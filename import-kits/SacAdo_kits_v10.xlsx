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Récap" sheetId="2" state="visible" r:id="rId4"/>
    <sheet name="Manquants" sheetId="3" state="visible" r:id="rId5"/>
    <sheet name="Exclus" sheetId="4" state="visible" r:id="rId6"/>
    <sheet name="Écarts Edushop" sheetId="5" state="visible" r:id="rId7"/>
    <sheet name="Œuvres" sheetId="6" state="visible" r:id="rId8"/>
    <sheet name="Articles" sheetId="7" state="visible" r:id="rId9"/>
    <sheet name="CI" sheetId="8" state="visible" r:id="rId10"/>
    <sheet name="CP" sheetId="9" state="visible" r:id="rId11"/>
    <sheet name="CE1" sheetId="10" state="visible" r:id="rId12"/>
    <sheet name="CE2" sheetId="11" state="visible" r:id="rId13"/>
    <sheet name="CM1" sheetId="12" state="visible" r:id="rId14"/>
    <sheet name="CM2" sheetId="13" state="visible" r:id="rId15"/>
    <sheet name="6e" sheetId="14" state="visible" r:id="rId16"/>
    <sheet name="5e" sheetId="15" state="visible" r:id="rId17"/>
    <sheet name="4e" sheetId="16" state="visible" r:id="rId18"/>
    <sheet name="3e" sheetId="17" state="visible" r:id="rId19"/>
    <sheet name="2nde L" sheetId="18" state="visible" r:id="rId20"/>
    <sheet name="2nde S" sheetId="19" state="visible" r:id="rId21"/>
    <sheet name="1re L" sheetId="20" state="visible" r:id="rId22"/>
    <sheet name="1re S1" sheetId="21" state="visible" r:id="rId23"/>
    <sheet name="1re S2" sheetId="22" state="visible" r:id="rId24"/>
    <sheet name="Tle L" sheetId="23" state="visible" r:id="rId25"/>
    <sheet name="Tle S1" sheetId="24" state="visible" r:id="rId26"/>
    <sheet name="Tle S2" sheetId="25" state="visible" r:id="rId27"/>
    <sheet name="2nde STEG" sheetId="26" state="visible" r:id="rId28"/>
    <sheet name="1re STEG" sheetId="27" state="visible" r:id="rId29"/>
    <sheet name="Tle STEG"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<sst xmlns="http://schemas.openxmlformats.org/spreadsheetml/2006/main" count="10213" uniqueCount="959">
  <si>
    <t xml:space="preserve">Kits SacAdo : du CI à la Terminale (L, S1, S2, STEG)</t>
  </si>
  <si>
    <t xml:space="preserve">Version 10 du 26/09/2026. Même contenu que kits.json.</t>
  </si>
  <si>
    <t xml:space="preserve">Les trois gammes, de la moins chère à la plus chère</t>
  </si>
  <si>
    <t xml:space="preserve">Essentiel : les fournitures indispensables, avec l'article correct le moins cher. Les livres du Complet sont affichés en dessous, décochés : le client peut les ajouter.</t>
  </si>
  <si>
    <t xml:space="preserve">Complet : toute la liste en fournitures de meilleure qualité (Calligraphe, Maped), plus les œuvres au programme, et au primaire les manuels Didactikos de la liste. Calculatrice scientifique générique. Collège, lycée et STEG : un protège-cahier par cahier.</t>
  </si>
  <si>
    <t xml:space="preserve">Confort : le Complet, plus les manuels scolaires (collège et lycée), la Casio fx-92 à la place de la calculatrice générique, stylo 4 couleurs, correcteur, et des livres en plus : œuvres « bon à avoir » en L, La Clé des Cracks et parascolaire scientifique en 3e et en S (éditions S1 ou S2 selon la série).</t>
  </si>
  <si>
    <t xml:space="preserve">Dans chaque kit, chaque produit peut être décoché (colonne « Coché par défaut »). Sac en option décochée. Pas d'ebook pour l'instant.</t>
  </si>
  <si>
    <t xml:space="preserve">À faire avant publication</t>
  </si>
  <si>
    <t xml:space="preserve">1. Reporter dans Articles l'ID et le prix de l'app pour les copies doubles et les deux Calligraphe grand format (lignes A-CREER).</t>
  </si>
  <si>
    <t xml:space="preserve">2. Livres Korka Diallo (lignes CDC) : titres et prix réels du catalogue Korka depuis le 26/09.</t>
  </si>
  <si>
    <t xml:space="preserve">3. Corriger les prix signalés dans la feuille Écarts Edushop (lignes orange).</t>
  </si>
  <si>
    <t xml:space="preserve">Séries techniques</t>
  </si>
  <si>
    <t xml:space="preserve">STEG : kits publiés tels quels. Cahiers déduits des matières et coefficients du Complexe Saint-Michel (UCAO), faute de liste de fournitures ; à ajuster dès qu'une vraie liste arrive.</t>
  </si>
  <si>
    <t xml:space="preserve">S1 et S2 : mêmes matières, horaires et coefficients différents. Mêmes fournitures ; la différence est dans les livres (éditions S1 ou S2 de La Clé des Cracks, SVT de La Clé des Cracks en S2 seulement).</t>
  </si>
  <si>
    <t xml:space="preserve">Séries industrielles (S3, T1, T2, STIDD, F6) : retirées. Elles demandent du dessin industriel (té, équerres spéciales, compas industriel, porte-mines) et de l'équipement d'atelier (tournevis, gants, lunettes, chaussures de sécurité), absents du catalogue.</t>
  </si>
  <si>
    <t xml:space="preserve">Lycée arabe : pas encore disponible dans l'app (message « bientôt »). Pas de liste trouvée.</t>
  </si>
  <si>
    <t xml:space="preserve">Règle pour les œuvres (feuille Œuvres)</t>
  </si>
  <si>
    <t xml:space="preserve">Complet : une œuvre citée par au moins deux sources pour la classe. Si aucun titre n'y arrive, ton titre est retenu. Confort : les titres cités une seule fois.</t>
  </si>
  <si>
    <t xml:space="preserve">Sources</t>
  </si>
  <si>
    <t xml:space="preserve">Primaire : Complexe Dar El-Hadith, contrôlé avec ISJA 2026-2027. Collège : Sainte-Marie de Hann 2025-2026 et ISJA 2026-2027. Lycée : ISJA 2026-2027, Maristes de Niakhirate, liste d'œuvres du lycée. STEG : matières du Complexe Saint-Michel. Prix concurrent : fichier Edushop.</t>
  </si>
  <si>
    <t xml:space="preserve">Comment modifier</t>
  </si>
  <si>
    <t xml:space="preserve">Feuille Articles : les prix en bleu sont les seules cellules à modifier ; tous les kits, le récap et la comparaison Edushop se mettent à jour.</t>
  </si>
  <si>
    <t xml:space="preserve">Feuilles de classe : ID et quantité (en bleu) modifiables. Statut vente : « Fixé », « Estimé », « À trancher », « À fournir ». Statut achat : « Confirmé », « Estimé », « Inconnu ».</t>
  </si>
  <si>
    <t xml:space="preserve">Classe</t>
  </si>
  <si>
    <t xml:space="preserve">Gamme</t>
  </si>
  <si>
    <t xml:space="preserve">Nb de lignes</t>
  </si>
  <si>
    <t xml:space="preserve">Nb de cahiers</t>
  </si>
  <si>
    <t xml:space="preserve">Total vente (FCFA)</t>
  </si>
  <si>
    <t xml:space="preserve">Coût de revient connu (FCFA)</t>
  </si>
  <si>
    <t xml:space="preserve">Marge sur coût connu (FCFA)</t>
  </si>
  <si>
    <t xml:space="preserve">Part du PV estimée</t>
  </si>
  <si>
    <t xml:space="preserve">Statut</t>
  </si>
  <si>
    <t xml:space="preserve">Nb de manquants</t>
  </si>
  <si>
    <t xml:space="preserve">Essentiel + livres cochés (FCFA)</t>
  </si>
  <si>
    <t xml:space="preserve">CI</t>
  </si>
  <si>
    <t xml:space="preserve">Essentiel</t>
  </si>
  <si>
    <t xml:space="preserve">Complet</t>
  </si>
  <si>
    <t xml:space="preserve">Confort</t>
  </si>
  <si>
    <t xml:space="preserve">CP</t>
  </si>
  <si>
    <t xml:space="preserve">CE1</t>
  </si>
  <si>
    <t xml:space="preserve">CE2</t>
  </si>
  <si>
    <t xml:space="preserve">CM1</t>
  </si>
  <si>
    <t xml:space="preserve">CM2</t>
  </si>
  <si>
    <t xml:space="preserve">6e</t>
  </si>
  <si>
    <t xml:space="preserve">5e</t>
  </si>
  <si>
    <t xml:space="preserve">4e</t>
  </si>
  <si>
    <t xml:space="preserve">3e</t>
  </si>
  <si>
    <t xml:space="preserve">2nde L</t>
  </si>
  <si>
    <t xml:space="preserve">2nde S</t>
  </si>
  <si>
    <t xml:space="preserve">1re L</t>
  </si>
  <si>
    <t xml:space="preserve">1re S1</t>
  </si>
  <si>
    <t xml:space="preserve">1re S2</t>
  </si>
  <si>
    <t xml:space="preserve">Tle L</t>
  </si>
  <si>
    <t xml:space="preserve">Tle S1</t>
  </si>
  <si>
    <t xml:space="preserve">Tle S2</t>
  </si>
  <si>
    <t xml:space="preserve">2nde STEG</t>
  </si>
  <si>
    <t xml:space="preserve">1re STEG</t>
  </si>
  <si>
    <t xml:space="preserve">Tle STEG</t>
  </si>
  <si>
    <t xml:space="preserve">Priorité</t>
  </si>
  <si>
    <t xml:space="preserve">Article manquant</t>
  </si>
  <si>
    <t xml:space="preserve">Classes et gammes concernées</t>
  </si>
  <si>
    <t xml:space="preserve">Pourquoi</t>
  </si>
  <si>
    <t xml:space="preserve">Où chercher</t>
  </si>
  <si>
    <t xml:space="preserve">Haute</t>
  </si>
  <si>
    <t xml:space="preserve">Copies doubles (A-CREER-03), Calligraphe 192 p GF (A-CREER-01), Calligraphe 96 p GF (A-CREER-02)</t>
  </si>
  <si>
    <t xml:space="preserve">Collège, lycée, STEG</t>
  </si>
  <si>
    <t xml:space="preserve">Rattachés aux produits de l'app lors de l'intégration. Copies doubles : 1 300 / 1 800</t>
  </si>
  <si>
    <t xml:space="preserve">Intégration</t>
  </si>
  <si>
    <t xml:space="preserve">Info</t>
  </si>
  <si>
    <t xml:space="preserve">Livres Korka Diallo</t>
  </si>
  <si>
    <t xml:space="preserve">Confort 3e, 2nde S, 1re S1 et S2, Tle L, S1 et S2</t>
  </si>
  <si>
    <t xml:space="preserve">Faits le 26/09 avec le catalogue Korka (prix public). Pas de physique-chimie de Terminale S1 au bon prix (le Sakho est à 38 000 F), pas de SVT en Première et Terminale S2 pour ne pas doubler le manuel Didactikos</t>
  </si>
  <si>
    <t xml:space="preserve">—</t>
  </si>
  <si>
    <t xml:space="preserve">Format exact du L'écolier 192 p (SAC-005)</t>
  </si>
  <si>
    <t xml:space="preserve">Essentiel collège, lycée, STEG</t>
  </si>
  <si>
    <t xml:space="preserve">S'il est en petit format, l'Essentiel n'a aucun grand format. Edushop vend un 192 p à 500 F en 17x22</t>
  </si>
  <si>
    <t xml:space="preserve">Papex</t>
  </si>
  <si>
    <t xml:space="preserve">Le Vieux Nègre et la Médaille (Oyono)</t>
  </si>
  <si>
    <t xml:space="preserve">Complet 5e</t>
  </si>
  <si>
    <t xml:space="preserve">Seule œuvre de 5e de ta liste absente</t>
  </si>
  <si>
    <t xml:space="preserve">LPD</t>
  </si>
  <si>
    <t xml:space="preserve">Phèdre (Racine)</t>
  </si>
  <si>
    <t xml:space="preserve">Complet Seconde</t>
  </si>
  <si>
    <t xml:space="preserve">Dans 3 listes sur 4</t>
  </si>
  <si>
    <t xml:space="preserve">La Tragédie du roi Christophe (Césaire)</t>
  </si>
  <si>
    <t xml:space="preserve">Complet Première</t>
  </si>
  <si>
    <t xml:space="preserve">Dans 2 listes et ta liste</t>
  </si>
  <si>
    <t xml:space="preserve">Les Soleils des Indépendances (Kourouma)</t>
  </si>
  <si>
    <t xml:space="preserve">Complet Terminale</t>
  </si>
  <si>
    <t xml:space="preserve">Dans les 4 listes de Terminale</t>
  </si>
  <si>
    <t xml:space="preserve">L'Exil d'Albouri (Ndao), Antigone (Anouilh)</t>
  </si>
  <si>
    <t xml:space="preserve">Chacun dans 2 listes</t>
  </si>
  <si>
    <t xml:space="preserve">Moyenne</t>
  </si>
  <si>
    <t xml:space="preserve">Kandia physique-chimie (Seconde S, Première S, Terminale S)</t>
  </si>
  <si>
    <t xml:space="preserve">Complet lycée S</t>
  </si>
  <si>
    <t xml:space="preserve">Demandé par les deux lycées</t>
  </si>
  <si>
    <t xml:space="preserve">LPD, Clairafrique</t>
  </si>
  <si>
    <t xml:space="preserve">Le Français en 6e, en Seconde, en 1re et Terminale (Edicef)</t>
  </si>
  <si>
    <t xml:space="preserve">Complet 6e et lycée</t>
  </si>
  <si>
    <t xml:space="preserve">Demandés par toutes les écoles ; seuls 5e et 3e sont au catalogue</t>
  </si>
  <si>
    <t xml:space="preserve">Cahier de TP (grand format)</t>
  </si>
  <si>
    <t xml:space="preserve">Collège et lycée (HG, SVT)</t>
  </si>
  <si>
    <t xml:space="preserve">Sainte-Marie et ton exemple de 3e le demandent. Edushop le vend 1 000 à 2 000 F</t>
  </si>
  <si>
    <t xml:space="preserve">Papex, LPD</t>
  </si>
  <si>
    <t xml:space="preserve">Cahier double ligne</t>
  </si>
  <si>
    <t xml:space="preserve">Liste Dar El-Hadith</t>
  </si>
  <si>
    <t xml:space="preserve">Annales BFEM et Bac</t>
  </si>
  <si>
    <t xml:space="preserve">Confort 3e et Terminale</t>
  </si>
  <si>
    <t xml:space="preserve">Complète la Clé des Cracks</t>
  </si>
  <si>
    <t xml:space="preserve">Librairies</t>
  </si>
  <si>
    <t xml:space="preserve">Œuvres bon à avoir absentes : Molière (Fourberies de Scapin, Médecin malgré lui, L'Avare, Bourgeois gentilhomme), Le Cid, Fables de La Fontaine, Crépuscule des temps anciens, Kun Fâyda, Candide ou Zadig, Chants d'ombre, Lorenzaccio, Hernani</t>
  </si>
  <si>
    <t xml:space="preserve">Confort collège et lycée L</t>
  </si>
  <si>
    <t xml:space="preserve">Titres cités dans une seule liste ou dans la tienne. Edushop vend Le Cid à 2 000 F</t>
  </si>
  <si>
    <t xml:space="preserve">Surligneur à l'unité et correcteur bon marché</t>
  </si>
  <si>
    <t xml:space="preserve">Edushop : surligneur 400 F, Blanco 300 F</t>
  </si>
  <si>
    <t xml:space="preserve">Basse</t>
  </si>
  <si>
    <t xml:space="preserve">Manuels STEG (gestion comptable, SES, droit, management)</t>
  </si>
  <si>
    <t xml:space="preserve">Complet STEG</t>
  </si>
  <si>
    <t xml:space="preserve">Aucune liste trouvée : à demander à un lycée qui a la série</t>
  </si>
  <si>
    <t xml:space="preserve">Lycée Saint-Michel, LPD</t>
  </si>
  <si>
    <t xml:space="preserve">Manuels d'anglais (Keep in Touch, Stay Tuned, Far Ahead)</t>
  </si>
  <si>
    <t xml:space="preserve">Collège et lycée</t>
  </si>
  <si>
    <t xml:space="preserve">Titre différent selon l'école : à vendre à part</t>
  </si>
  <si>
    <t xml:space="preserve">CIAM (maths lycée)</t>
  </si>
  <si>
    <t xml:space="preserve">Lycée</t>
  </si>
  <si>
    <t xml:space="preserve">Pas disponible chez tes fournisseurs : retiré. La Clé des Cracks sert de ressource en maths</t>
  </si>
  <si>
    <t xml:space="preserve">Article des listes</t>
  </si>
  <si>
    <t xml:space="preserve">Pourquoi il n'est pas dans les kits</t>
  </si>
  <si>
    <t xml:space="preserve">Mouchoirs, sous-main, étiquettes</t>
  </si>
  <si>
    <t xml:space="preserve">Pas du matériel scolaire à proprement parler</t>
  </si>
  <si>
    <t xml:space="preserve">Blouse de laboratoire, tenue d'EPS, baskets, maillot, lunettes de piscine</t>
  </si>
  <si>
    <t xml:space="preserve">Textile et sport : hors papeterie</t>
  </si>
  <si>
    <t xml:space="preserve">Clé USB 16 Go</t>
  </si>
  <si>
    <t xml:space="preserve">Utile mais hors catalogue et hors papeterie ; à proposer à part si un fournisseur en a</t>
  </si>
  <si>
    <t xml:space="preserve">Flûte à bec, cahier de musique</t>
  </si>
  <si>
    <t xml:space="preserve">Demandés seulement par les écoles privées ; à garder d'une année sur l'autre</t>
  </si>
  <si>
    <t xml:space="preserve">Gouaches, pinceaux, canson, feutres d'arts plastiques</t>
  </si>
  <si>
    <t xml:space="preserve">Arts plastiques souvent « à facturer » par l'école ; LPD a de quoi faire un pack à part</t>
  </si>
  <si>
    <t xml:space="preserve">Globe, planisphère, gabarit carte de France</t>
  </si>
  <si>
    <t xml:space="preserve">Matériel de classe ou très spécifique à une école</t>
  </si>
  <si>
    <t xml:space="preserve">Cahiers de latin, d'allemand, d'arabe, de catéchèse et d'éthique</t>
  </si>
  <si>
    <t xml:space="preserve">Options propres à certaines écoles : à proposer en ajout, pas dans le kit de base</t>
  </si>
  <si>
    <t xml:space="preserve">Fascicules et livres vendus par l'école (HG, espagnol, arabe, Cambridge, livres religieux)</t>
  </si>
  <si>
    <t xml:space="preserve">Vendus uniquement par l'établissement</t>
  </si>
  <si>
    <t xml:space="preserve">Protège-cahiers dans l'Essentiel et au primaire</t>
  </si>
  <si>
    <t xml:space="preserve">Depuis le 26/09, ils sont dans le Complet et le Confort du collège, du lycée et de la STEG (1 par cahier, 150 F). Pas dans l'Essentiel ni au primaire : la liste Dar El-Hadith ne les demande pas</t>
  </si>
  <si>
    <t xml:space="preserve">Trousse</t>
  </si>
  <si>
    <t xml:space="preserve">Utile, mais chaque trousse est un modèle différent, et les kits ne proposent pas de choix : à vendre à côté, comme le sac</t>
  </si>
  <si>
    <t xml:space="preserve">ID SacAdo</t>
  </si>
  <si>
    <t xml:space="preserve">Notre article</t>
  </si>
  <si>
    <t xml:space="preserve">Notre PV (FCFA)</t>
  </si>
  <si>
    <t xml:space="preserve">Statut vente / achat</t>
  </si>
  <si>
    <t xml:space="preserve">Produit Edushop (n°)</t>
  </si>
  <si>
    <t xml:space="preserve">Prix Edushop (FCFA)</t>
  </si>
  <si>
    <t xml:space="preserve">Écart</t>
  </si>
  <si>
    <t xml:space="preserve">Verdict</t>
  </si>
  <si>
    <t xml:space="preserve">Comparable ?</t>
  </si>
  <si>
    <t xml:space="preserve">S053</t>
  </si>
  <si>
    <t xml:space="preserve">Éponge (69)</t>
  </si>
  <si>
    <t xml:space="preserve">Oui, même produit</t>
  </si>
  <si>
    <t xml:space="preserve">S109</t>
  </si>
  <si>
    <t xml:space="preserve">Protège-cahier (107 à 112)</t>
  </si>
  <si>
    <t xml:space="preserve">CIS-ardoise</t>
  </si>
  <si>
    <t xml:space="preserve">Ardoise effaçable MM quadrillée (52)</t>
  </si>
  <si>
    <t xml:space="preserve">Proche : la nôtre a une poignée</t>
  </si>
  <si>
    <t xml:space="preserve">S086</t>
  </si>
  <si>
    <t xml:space="preserve">Ardoise (1)</t>
  </si>
  <si>
    <t xml:space="preserve">Oui</t>
  </si>
  <si>
    <t xml:space="preserve">LIT-013</t>
  </si>
  <si>
    <t xml:space="preserve">Sous l'orage (95)</t>
  </si>
  <si>
    <t xml:space="preserve">Oui : même titre. Nos autres romans africains à 3 500 F sont sans doute trop hauts aussi</t>
  </si>
  <si>
    <t xml:space="preserve">SAC-041</t>
  </si>
  <si>
    <t xml:space="preserve">Compas (81)</t>
  </si>
  <si>
    <t xml:space="preserve">Qualité différente : Maped chez nous</t>
  </si>
  <si>
    <t xml:space="preserve">SAC-069</t>
  </si>
  <si>
    <t xml:space="preserve">Blanco (119)</t>
  </si>
  <si>
    <t xml:space="preserve">Produit différent : souris chez nous, liquide chez eux</t>
  </si>
  <si>
    <t xml:space="preserve">S129</t>
  </si>
  <si>
    <t xml:space="preserve">Cahier dessin grand modèle (10)</t>
  </si>
  <si>
    <t xml:space="preserve">Proche</t>
  </si>
  <si>
    <t xml:space="preserve">S009</t>
  </si>
  <si>
    <t xml:space="preserve">Gomme (122)</t>
  </si>
  <si>
    <t xml:space="preserve">Qualité différente : Staedtler chez nous</t>
  </si>
  <si>
    <t xml:space="preserve">SAC-017</t>
  </si>
  <si>
    <t xml:space="preserve">Taille-crayon (126)</t>
  </si>
  <si>
    <t xml:space="preserve">Qualité différente : réservoir Maped chez nous</t>
  </si>
  <si>
    <t xml:space="preserve">S069</t>
  </si>
  <si>
    <t xml:space="preserve">Règle 30 cm (84)</t>
  </si>
  <si>
    <t xml:space="preserve">Proche : métal chez nous</t>
  </si>
  <si>
    <t xml:space="preserve">SAC-016</t>
  </si>
  <si>
    <t xml:space="preserve">Ciseaux bouts ronds 13 cm (65)</t>
  </si>
  <si>
    <t xml:space="preserve">Oui, même taille ; Maped chez nous</t>
  </si>
  <si>
    <t xml:space="preserve">SAC-046</t>
  </si>
  <si>
    <t xml:space="preserve">Cahier 200 pages (5)</t>
  </si>
  <si>
    <t xml:space="preserve">Qualité différente : Calligraphe 90 g chez nous</t>
  </si>
  <si>
    <t xml:space="preserve">SAC-048</t>
  </si>
  <si>
    <t xml:space="preserve">Cahier 100 pages petit format (4)</t>
  </si>
  <si>
    <t xml:space="preserve">Qualité différente : Calligraphe chez nous</t>
  </si>
  <si>
    <t xml:space="preserve">SAC-019</t>
  </si>
  <si>
    <t xml:space="preserve">Crayons de couleur 12 (36)</t>
  </si>
  <si>
    <t xml:space="preserve">SAC-037</t>
  </si>
  <si>
    <t xml:space="preserve">Surligneur à l'unité x 4 (39)</t>
  </si>
  <si>
    <t xml:space="preserve">Proche : pochette de 4 chez nous</t>
  </si>
  <si>
    <t xml:space="preserve">SAC-004</t>
  </si>
  <si>
    <t xml:space="preserve">Cahier 48 pages (8)</t>
  </si>
  <si>
    <t xml:space="preserve">SAC-022</t>
  </si>
  <si>
    <t xml:space="preserve">Casio fx-991ES Plus (54)</t>
  </si>
  <si>
    <t xml:space="preserve">Leur modèle est supérieur à la fx-92 et moins cher</t>
  </si>
  <si>
    <t xml:space="preserve">A-CREER-02</t>
  </si>
  <si>
    <t xml:space="preserve">Cahier 100 pages grand format (3)</t>
  </si>
  <si>
    <t xml:space="preserve">SAC-005</t>
  </si>
  <si>
    <t xml:space="preserve">Cahier simple 17x22 192 p cartonné (14)</t>
  </si>
  <si>
    <t xml:space="preserve">Oui, si le nôtre est aussi en 17x22</t>
  </si>
  <si>
    <t xml:space="preserve">A-CREER-01</t>
  </si>
  <si>
    <t xml:space="preserve">Cahier 200 pages grand format (6)</t>
  </si>
  <si>
    <t xml:space="preserve">S091</t>
  </si>
  <si>
    <t xml:space="preserve">Matériel géométrique (72)</t>
  </si>
  <si>
    <t xml:space="preserve">S033</t>
  </si>
  <si>
    <t xml:space="preserve">SAC-024</t>
  </si>
  <si>
    <t xml:space="preserve">Crayons de couleur 24 (37)</t>
  </si>
  <si>
    <t xml:space="preserve">SAC-065</t>
  </si>
  <si>
    <t xml:space="preserve">Stylo bleu (123)</t>
  </si>
  <si>
    <t xml:space="preserve">SAC-066</t>
  </si>
  <si>
    <t xml:space="preserve">Stylos bleu, rouge, vert, noir à l'unité x 4</t>
  </si>
  <si>
    <t xml:space="preserve">NIO-2894</t>
  </si>
  <si>
    <t xml:space="preserve">Grammaire du Français (90)</t>
  </si>
  <si>
    <t xml:space="preserve">DID-6915</t>
  </si>
  <si>
    <t xml:space="preserve">Langue et Communication CP (103)</t>
  </si>
  <si>
    <t xml:space="preserve">DID-7467</t>
  </si>
  <si>
    <t xml:space="preserve">SVT Didactikos (96)</t>
  </si>
  <si>
    <t xml:space="preserve">Oui (niveau non précisé chez eux)</t>
  </si>
  <si>
    <t xml:space="preserve">NIO-3240</t>
  </si>
  <si>
    <t xml:space="preserve">BLED CM1/CM2 (86)</t>
  </si>
  <si>
    <t xml:space="preserve">S081</t>
  </si>
  <si>
    <t xml:space="preserve">Ciseaux (55)</t>
  </si>
  <si>
    <t xml:space="preserve">S065</t>
  </si>
  <si>
    <t xml:space="preserve">Crayon papier HB (120)</t>
  </si>
  <si>
    <t xml:space="preserve">S011</t>
  </si>
  <si>
    <t xml:space="preserve">Proche : 20 cm chez nous</t>
  </si>
  <si>
    <t xml:space="preserve">SAC-007</t>
  </si>
  <si>
    <t xml:space="preserve">Ensemble géométrique plastique 9 pièces (60)</t>
  </si>
  <si>
    <t xml:space="preserve">Proche : 4 pièces chez nous</t>
  </si>
  <si>
    <t xml:space="preserve">S015</t>
  </si>
  <si>
    <t xml:space="preserve">Calculatrice scientifique (22)</t>
  </si>
  <si>
    <t xml:space="preserve">DID-7248</t>
  </si>
  <si>
    <t xml:space="preserve">Cahier d'activités Mathématiques CP (99)</t>
  </si>
  <si>
    <t xml:space="preserve">S100</t>
  </si>
  <si>
    <t xml:space="preserve">Classeur lutin transparent (56)</t>
  </si>
  <si>
    <t xml:space="preserve">SAC-034</t>
  </si>
  <si>
    <t xml:space="preserve">Colle en bâton 21 g (67)</t>
  </si>
  <si>
    <t xml:space="preserve">SAC-031</t>
  </si>
  <si>
    <t xml:space="preserve">Proche : 10 g chez nous</t>
  </si>
  <si>
    <t xml:space="preserve">SAC-001</t>
  </si>
  <si>
    <t xml:space="preserve">Cahiers de dessin 32 pages (43)</t>
  </si>
  <si>
    <t xml:space="preserve">S020</t>
  </si>
  <si>
    <t xml:space="preserve">Sac à dos enfant (113)</t>
  </si>
  <si>
    <t xml:space="preserve">Source : fichier produits Edushop envoyé par SacAdo le 25/09/2026. Prix Edushop en bleu. Les produits Edushop sont souvent sans marque : un écart peut venir de la qualité (Maped, Calligraphe, Staedtler chez nous).</t>
  </si>
  <si>
    <t xml:space="preserve">Hors kits mais au catalogue : Horizontes (espagnol) 3 550 F chez nous contre 2 500 à 3 000 F chez Edushop ; English for Success 4 000 F contre 3 000 F.</t>
  </si>
  <si>
    <t xml:space="preserve">Tous les packs Edushop sont affichés à 20 000 F, du CP à la Terminale, sans contenu détaillé : ce prix ne sert pas de repère.</t>
  </si>
  <si>
    <t xml:space="preserve">Titre</t>
  </si>
  <si>
    <t xml:space="preserve">Cité par</t>
  </si>
  <si>
    <t xml:space="preserve">Place dans les kits</t>
  </si>
  <si>
    <t xml:space="preserve">Au catalogue ?</t>
  </si>
  <si>
    <t xml:space="preserve">Le Pagne noir</t>
  </si>
  <si>
    <t xml:space="preserve">Ta liste, ISJA (et Sainte-Marie en 5e)</t>
  </si>
  <si>
    <t xml:space="preserve">Oui (LIT-014)</t>
  </si>
  <si>
    <t xml:space="preserve">Les Contes d'Amadou Koumba</t>
  </si>
  <si>
    <t xml:space="preserve">Ta liste (Sainte-Marie : Les Nouveaux Contes)</t>
  </si>
  <si>
    <t xml:space="preserve">Oui (LIT-011)</t>
  </si>
  <si>
    <t xml:space="preserve">Fables de La Fontaine</t>
  </si>
  <si>
    <t xml:space="preserve">Ta liste</t>
  </si>
  <si>
    <t xml:space="preserve">Non</t>
  </si>
  <si>
    <t xml:space="preserve">Les Fourberies de Scapin / Le Médecin malgré lui</t>
  </si>
  <si>
    <t xml:space="preserve">ISJA / Sainte-Marie</t>
  </si>
  <si>
    <t xml:space="preserve">La Belle Histoire de Leuk-le-Lièvre</t>
  </si>
  <si>
    <t xml:space="preserve">Oui (LIT-021)</t>
  </si>
  <si>
    <t xml:space="preserve">Le Vieux Nègre et la Médaille</t>
  </si>
  <si>
    <t xml:space="preserve">L'Os de Mor Lam</t>
  </si>
  <si>
    <t xml:space="preserve">Sainte-Marie</t>
  </si>
  <si>
    <t xml:space="preserve">Oui (LIT-023), photo à refaire</t>
  </si>
  <si>
    <t xml:space="preserve">Le Malade imaginaire</t>
  </si>
  <si>
    <t xml:space="preserve">ISJA</t>
  </si>
  <si>
    <t xml:space="preserve">Oui (LIT-018)</t>
  </si>
  <si>
    <t xml:space="preserve">Maïmouna</t>
  </si>
  <si>
    <t xml:space="preserve">Non retenu</t>
  </si>
  <si>
    <t xml:space="preserve">Oui (LIT-012)</t>
  </si>
  <si>
    <t xml:space="preserve">Sous l'orage</t>
  </si>
  <si>
    <t xml:space="preserve">Ta liste, Sainte-Marie, ISJA</t>
  </si>
  <si>
    <t xml:space="preserve">Oui (LIT-013)</t>
  </si>
  <si>
    <t xml:space="preserve">Eugénie Grandet</t>
  </si>
  <si>
    <t xml:space="preserve">Oui (NIO-2900)</t>
  </si>
  <si>
    <t xml:space="preserve">Le Cid</t>
  </si>
  <si>
    <t xml:space="preserve">Sainte-Marie (ta liste : 3e)</t>
  </si>
  <si>
    <t xml:space="preserve">L'Avare / Le Bourgeois gentilhomme</t>
  </si>
  <si>
    <t xml:space="preserve">Une si longue lettre</t>
  </si>
  <si>
    <t xml:space="preserve">Oui (LIT-001)</t>
  </si>
  <si>
    <t xml:space="preserve">Vol de nuit</t>
  </si>
  <si>
    <t xml:space="preserve">Sainte-Marie, ISJA (ta liste : Seconde)</t>
  </si>
  <si>
    <t xml:space="preserve">Oui (LIT-019)</t>
  </si>
  <si>
    <t xml:space="preserve">Crépuscule des temps anciens, Kun Fâyda</t>
  </si>
  <si>
    <t xml:space="preserve">Seconde</t>
  </si>
  <si>
    <t xml:space="preserve">Les Nouveaux Contes d'Amadou Koumba</t>
  </si>
  <si>
    <t xml:space="preserve">Liste d'œuvres, Maristes, ISJA</t>
  </si>
  <si>
    <t xml:space="preserve">Oui (NIO-6379)</t>
  </si>
  <si>
    <t xml:space="preserve">Phèdre</t>
  </si>
  <si>
    <t xml:space="preserve">Le Marabout de la sécheresse</t>
  </si>
  <si>
    <t xml:space="preserve">Maristes</t>
  </si>
  <si>
    <t xml:space="preserve">Oui (S062)</t>
  </si>
  <si>
    <t xml:space="preserve">L'Enfant noir</t>
  </si>
  <si>
    <t xml:space="preserve">Oui (LIT-004)</t>
  </si>
  <si>
    <t xml:space="preserve">Chants d'ombre / Hosties noires</t>
  </si>
  <si>
    <t xml:space="preserve">Ta liste (Maristes : Terminale)</t>
  </si>
  <si>
    <t xml:space="preserve">Candide / Zadig</t>
  </si>
  <si>
    <t xml:space="preserve">ISJA / Maristes</t>
  </si>
  <si>
    <t xml:space="preserve">Première</t>
  </si>
  <si>
    <t xml:space="preserve">Une vie de boy</t>
  </si>
  <si>
    <t xml:space="preserve">Ta liste, liste d'œuvres, Maristes, ISJA</t>
  </si>
  <si>
    <t xml:space="preserve">Oui (LIT-024)</t>
  </si>
  <si>
    <t xml:space="preserve">Le Père Goriot</t>
  </si>
  <si>
    <t xml:space="preserve">Liste d'œuvres, Maristes (ta liste : Terminale)</t>
  </si>
  <si>
    <t xml:space="preserve">Oui (LIT-008)</t>
  </si>
  <si>
    <t xml:space="preserve">Madame Bovary</t>
  </si>
  <si>
    <t xml:space="preserve">Liste d'œuvres, ISJA</t>
  </si>
  <si>
    <t xml:space="preserve">Oui (LIT-009)</t>
  </si>
  <si>
    <t xml:space="preserve">La Tragédie du roi Christophe</t>
  </si>
  <si>
    <t xml:space="preserve">Maristes, ISJA (ta liste : Terminale)</t>
  </si>
  <si>
    <t xml:space="preserve">Les Bouts de bois de Dieu</t>
  </si>
  <si>
    <t xml:space="preserve">Oui (LIT-005)</t>
  </si>
  <si>
    <t xml:space="preserve">Nini, mulâtresse du Sénégal</t>
  </si>
  <si>
    <t xml:space="preserve">Liste d'œuvres</t>
  </si>
  <si>
    <t xml:space="preserve">Oui (LIT-003)</t>
  </si>
  <si>
    <t xml:space="preserve">Lorenzaccio</t>
  </si>
  <si>
    <t xml:space="preserve">Terminale</t>
  </si>
  <si>
    <t xml:space="preserve">L'Étranger</t>
  </si>
  <si>
    <t xml:space="preserve">Oui (LIT-007)</t>
  </si>
  <si>
    <t xml:space="preserve">Les Contemplations</t>
  </si>
  <si>
    <t xml:space="preserve">Liste d'œuvres, Maristes, ISJA (ta liste : Première)</t>
  </si>
  <si>
    <t xml:space="preserve">Oui (LIT-010)</t>
  </si>
  <si>
    <t xml:space="preserve">Les Soleils des Indépendances</t>
  </si>
  <si>
    <t xml:space="preserve">L'Exil d'Albouri</t>
  </si>
  <si>
    <t xml:space="preserve">Liste d'œuvres, Maristes</t>
  </si>
  <si>
    <t xml:space="preserve">Antigone</t>
  </si>
  <si>
    <t xml:space="preserve">Apologie de Socrate (philosophie)</t>
  </si>
  <si>
    <t xml:space="preserve">ISJA, série L</t>
  </si>
  <si>
    <t xml:space="preserve">Complet Tle L</t>
  </si>
  <si>
    <t xml:space="preserve">Oui (LIT-020)</t>
  </si>
  <si>
    <t xml:space="preserve">L'Aventure ambiguë</t>
  </si>
  <si>
    <t xml:space="preserve">Oui (LIT-002)</t>
  </si>
  <si>
    <t xml:space="preserve">ID</t>
  </si>
  <si>
    <t xml:space="preserve">Fournisseur</t>
  </si>
  <si>
    <t xml:space="preserve">Désignation</t>
  </si>
  <si>
    <t xml:space="preserve">Unité de vente</t>
  </si>
  <si>
    <t xml:space="preserve">Prix achat (FCFA)</t>
  </si>
  <si>
    <t xml:space="preserve">Statut achat</t>
  </si>
  <si>
    <t xml:space="preserve">Prix vente (FCFA)</t>
  </si>
  <si>
    <t xml:space="preserve">Statut vente</t>
  </si>
  <si>
    <t xml:space="preserve">Remarque</t>
  </si>
  <si>
    <t xml:space="preserve">Cahier de dessin L'écolier 32 pages</t>
  </si>
  <si>
    <t xml:space="preserve">pièce</t>
  </si>
  <si>
    <t xml:space="preserve">Confirmé</t>
  </si>
  <si>
    <t xml:space="preserve">Fixé</t>
  </si>
  <si>
    <t xml:space="preserve">Cahier L'écolier 48 pages</t>
  </si>
  <si>
    <t xml:space="preserve">Estimé</t>
  </si>
  <si>
    <t xml:space="preserve">Cahier L'écolier 192 pages</t>
  </si>
  <si>
    <t xml:space="preserve">Format (17x22 ou 24x32) non précisé : à confirmer</t>
  </si>
  <si>
    <t xml:space="preserve">Cahier Calligraphe 96 pages 17x22 56 g seyès</t>
  </si>
  <si>
    <t xml:space="preserve">SAC-033</t>
  </si>
  <si>
    <t xml:space="preserve">Cahier Calligraphe 140 pages 17x22 90 g seyès</t>
  </si>
  <si>
    <t xml:space="preserve">Achat interpolé</t>
  </si>
  <si>
    <t xml:space="preserve">Cahier Calligraphe 192 pages 17x22 90 g seyès</t>
  </si>
  <si>
    <t xml:space="preserve">SAC-036</t>
  </si>
  <si>
    <t xml:space="preserve">Cahier Calligraphe 140 pages 24x32 90 g seyès</t>
  </si>
  <si>
    <t xml:space="preserve">Cahier Calligraphe 192 pages 24x32 (grand format)</t>
  </si>
  <si>
    <t xml:space="preserve">Présent dans l'app selon toi : remplacer cet ID par celui de l'app et vérifier le prix (tarif Papex GF 192 p 1 500 / 1 650)</t>
  </si>
  <si>
    <t xml:space="preserve">Cahier Calligraphe 96 pages 24x32 (grand format)</t>
  </si>
  <si>
    <t xml:space="preserve">Présent dans l'app selon toi : remplacer cet ID par celui de l'app et vérifier le prix (tarif Papex GF 96 p 1 000 / 1 350)</t>
  </si>
  <si>
    <t xml:space="preserve">A-CREER-03</t>
  </si>
  <si>
    <t xml:space="preserve">À préciser</t>
  </si>
  <si>
    <t xml:space="preserve">Paquet de copies doubles grand format</t>
  </si>
  <si>
    <t xml:space="preserve">paquet</t>
  </si>
  <si>
    <t xml:space="preserve">Prix donnés par SacAdo le 25/09/2026 (achat 1 300, vente 1 800)</t>
  </si>
  <si>
    <t xml:space="preserve">CDC-3M</t>
  </si>
  <si>
    <t xml:space="preserve">Korka Diallo</t>
  </si>
  <si>
    <t xml:space="preserve">MATHEMATIQUES TROISIEME (Korka Diallo, Le BFEM en poche)</t>
  </si>
  <si>
    <t xml:space="preserve">Catalogue Korka : prix public = prix de vente, achat -20 %</t>
  </si>
  <si>
    <t xml:space="preserve">CDC-3PC</t>
  </si>
  <si>
    <t xml:space="preserve">PHYSIQUE CHIMIE TROISIEME (Korka Diallo, Le BFEM en poche)</t>
  </si>
  <si>
    <t xml:space="preserve">Catalogue Korka</t>
  </si>
  <si>
    <t xml:space="preserve">CDC-3ANG</t>
  </si>
  <si>
    <t xml:space="preserve">ANNALE D'ANGLAIS TROISIEME (Korka Diallo, Club de l'Excellence)</t>
  </si>
  <si>
    <t xml:space="preserve">Catalogue Korka. Annales pour le BFEM</t>
  </si>
  <si>
    <t xml:space="preserve">CDC-2M</t>
  </si>
  <si>
    <t xml:space="preserve">KAAMILE DE MATHS - SECONDE S (Korka Diallo, Collection Cracks)</t>
  </si>
  <si>
    <t xml:space="preserve">CDC-2PC</t>
  </si>
  <si>
    <t xml:space="preserve">PHYSIQUE CHIMIE SECONDE S (Korka Diallo, Collection Cracks)</t>
  </si>
  <si>
    <t xml:space="preserve">CDC-2SVT</t>
  </si>
  <si>
    <t xml:space="preserve">SVT SECONDE S</t>
  </si>
  <si>
    <t xml:space="preserve">Catalogue Korka. Auteur non indiqué</t>
  </si>
  <si>
    <t xml:space="preserve">CDC-1M-S1</t>
  </si>
  <si>
    <t xml:space="preserve">MATHS 1S1 (CRACKS EN MATHS) (Korka Diallo)</t>
  </si>
  <si>
    <t xml:space="preserve">Catalogue Korka. Édition S1</t>
  </si>
  <si>
    <t xml:space="preserve">CDC-1M-S2</t>
  </si>
  <si>
    <t xml:space="preserve">MATHS 1S2 - LA CLE DES CRACKS (Korka Diallo)</t>
  </si>
  <si>
    <t xml:space="preserve">Catalogue Korka. Édition S2</t>
  </si>
  <si>
    <t xml:space="preserve">CDC-1PC</t>
  </si>
  <si>
    <t xml:space="preserve">PHYSIQUE CHIMIE PREMIERE S (Sidy Mohamed Ndiaye, Collection Atomic)</t>
  </si>
  <si>
    <t xml:space="preserve">Revendu par Korka, auteur Sidy Mohamed Ndiaye. Même livre en S1 et S2</t>
  </si>
  <si>
    <t xml:space="preserve">CDC-TM-S1</t>
  </si>
  <si>
    <t xml:space="preserve">MATHS TS1 (EPREUVES DU BAC S1, C, E) (Korka Diallo)</t>
  </si>
  <si>
    <t xml:space="preserve">Catalogue Korka. Annales du bac S1</t>
  </si>
  <si>
    <t xml:space="preserve">CDC-TM-S2</t>
  </si>
  <si>
    <t xml:space="preserve">MATHS TS2 - LA CLE DU BAC (Korka Diallo, Collection Cracks)</t>
  </si>
  <si>
    <t xml:space="preserve">CDC-TPC-S2</t>
  </si>
  <si>
    <t xml:space="preserve">PHYSIQUE CHIMIE TS2</t>
  </si>
  <si>
    <t xml:space="preserve">CDC-TPHILO</t>
  </si>
  <si>
    <t xml:space="preserve">PHILOSOPHIE TERMINALES L ET S - L'ESSENTIEL (Korka Diallo, Club de l'Excellence)</t>
  </si>
  <si>
    <t xml:space="preserve">Protège-cahier couleur petit format (à l'unité)</t>
  </si>
  <si>
    <t xml:space="preserve">Inconnu</t>
  </si>
  <si>
    <t xml:space="preserve">PV corrigé par SacAdo le 26/09 (950 -&gt; 150). Format supposé petit : à confirmer</t>
  </si>
  <si>
    <t xml:space="preserve">A-CREER-04</t>
  </si>
  <si>
    <t xml:space="preserve">Protège-cahier grand format (à l'unité)</t>
  </si>
  <si>
    <t xml:space="preserve">À fournir</t>
  </si>
  <si>
    <t xml:space="preserve">À trouver dans l'app. Sans ce produit, les cahiers grand format des kits n'ont pas de protège-cahier</t>
  </si>
  <si>
    <t xml:space="preserve">Kit de traçage 30 cm, 4 pièces L'écolier</t>
  </si>
  <si>
    <t xml:space="preserve">Crayons de couleur Maped, boîte de 12</t>
  </si>
  <si>
    <t xml:space="preserve">boîte</t>
  </si>
  <si>
    <t xml:space="preserve">Crayons de couleur Maped Nightfall, boîte de 24</t>
  </si>
  <si>
    <t xml:space="preserve">Stylo à bille Schneider Tops 505 M bleu</t>
  </si>
  <si>
    <t xml:space="preserve">Achat supposé 50 à 80 F</t>
  </si>
  <si>
    <t xml:space="preserve">SAC-104</t>
  </si>
  <si>
    <t xml:space="preserve">Stylo à bille Schneider Tops 505 M vert</t>
  </si>
  <si>
    <t xml:space="preserve">Pack de 4 stylos Schneider Tops 505 M (bleu, noir, rouge, vert)</t>
  </si>
  <si>
    <t xml:space="preserve">pack de 4</t>
  </si>
  <si>
    <t xml:space="preserve">Achat supposé 200 à 320 F</t>
  </si>
  <si>
    <t xml:space="preserve">SAC-062</t>
  </si>
  <si>
    <t xml:space="preserve">Stylo 4 couleurs Schneider</t>
  </si>
  <si>
    <t xml:space="preserve">Taille-crayon avec réservoir Maped</t>
  </si>
  <si>
    <t xml:space="preserve">Bâton de colle Giotto 10 g</t>
  </si>
  <si>
    <t xml:space="preserve">Achat en fourchette 300 à 400 F</t>
  </si>
  <si>
    <t xml:space="preserve">Bâton de colle Giotto 20 g</t>
  </si>
  <si>
    <t xml:space="preserve">Achat en fourchette 600 à 700 F</t>
  </si>
  <si>
    <t xml:space="preserve">Ciseaux Maped 13 cm Security</t>
  </si>
  <si>
    <t xml:space="preserve">Compas Maped</t>
  </si>
  <si>
    <t xml:space="preserve">Surligneurs Maped Fluo Peps, pochette de 4</t>
  </si>
  <si>
    <t xml:space="preserve">pochette</t>
  </si>
  <si>
    <t xml:space="preserve">Correcteur souris ARK</t>
  </si>
  <si>
    <t xml:space="preserve">SAC-055</t>
  </si>
  <si>
    <t xml:space="preserve">Chemise 3 rabats à élastique</t>
  </si>
  <si>
    <t xml:space="preserve">PV calé sur le prix public Chez Monami, pas de prix fournisseur</t>
  </si>
  <si>
    <t xml:space="preserve">Calculatrice Casio fx-92 Collège</t>
  </si>
  <si>
    <t xml:space="preserve">PV corrigé par SacAdo le 26/09 (9 000 -&gt; 8 000)</t>
  </si>
  <si>
    <t xml:space="preserve">SAC-112</t>
  </si>
  <si>
    <t xml:space="preserve">Dictionnaire Le Robert de français, 65 000 mots</t>
  </si>
  <si>
    <t xml:space="preserve">Règle plastique transparente 20 cm</t>
  </si>
  <si>
    <t xml:space="preserve">PV corrigé par SacAdo le 26/09 (300 -&gt; 100). Achat à obtenir</t>
  </si>
  <si>
    <t xml:space="preserve">Règle métal 30 cm</t>
  </si>
  <si>
    <t xml:space="preserve">Ardoise scolaire</t>
  </si>
  <si>
    <t xml:space="preserve">Éponge</t>
  </si>
  <si>
    <t xml:space="preserve">Achat à obtenir. 1 500 F pour une éponge : à revoir</t>
  </si>
  <si>
    <t xml:space="preserve">Crayon papier (vendu à l'unité)</t>
  </si>
  <si>
    <t xml:space="preserve">Achat à obtenir</t>
  </si>
  <si>
    <t xml:space="preserve">Gomme Staedtler Mars Plastic</t>
  </si>
  <si>
    <t xml:space="preserve">S030</t>
  </si>
  <si>
    <t xml:space="preserve">Boîte à éponge (ex « taille-crayon rond »)</t>
  </si>
  <si>
    <t xml:space="preserve">Renommé par SacAdo le 26/09 : ce n'est pas un taille-crayon. Retiré des kits</t>
  </si>
  <si>
    <t xml:space="preserve">Ciseaux scolaires bouts ronds</t>
  </si>
  <si>
    <t xml:space="preserve">Compas de précision avec étui</t>
  </si>
  <si>
    <t xml:space="preserve">Kit géométrie Maped 30 cm (réf. 1930)</t>
  </si>
  <si>
    <t xml:space="preserve">À trancher</t>
  </si>
  <si>
    <t xml:space="preserve">La grille LPD dit aussi « remonté de 1 800 à 1 900 »</t>
  </si>
  <si>
    <t xml:space="preserve">Calculatrice scientifique Parpn YH-2000</t>
  </si>
  <si>
    <t xml:space="preserve">Générique : les listes demandent une Casio fx-92</t>
  </si>
  <si>
    <t xml:space="preserve">Protège-documents porte-vues</t>
  </si>
  <si>
    <t xml:space="preserve">Cahier de dessin TPG</t>
  </si>
  <si>
    <t xml:space="preserve">PV corrigé par SacAdo le 26/09 (1 050 -&gt; 550). Achat à obtenir</t>
  </si>
  <si>
    <t xml:space="preserve">Cissé &amp; Frères</t>
  </si>
  <si>
    <t xml:space="preserve">Ardoise quadrillée avec poignée</t>
  </si>
  <si>
    <t xml:space="preserve">Couleur non choisie dans le kit</t>
  </si>
  <si>
    <t xml:space="preserve">LIT-014</t>
  </si>
  <si>
    <t xml:space="preserve">Le Pagne noir (Bernard Dadié)</t>
  </si>
  <si>
    <t xml:space="preserve">Doublon à 3 900 dans l'app</t>
  </si>
  <si>
    <t xml:space="preserve">LIT-011</t>
  </si>
  <si>
    <t xml:space="preserve">Les Contes d'Amadou Koumba (Birago Diop)</t>
  </si>
  <si>
    <t xml:space="preserve">LIT-021</t>
  </si>
  <si>
    <t xml:space="preserve">La Belle Histoire de Leuk-le-Lièvre (Senghor et Sadji)</t>
  </si>
  <si>
    <t xml:space="preserve">LIT-023</t>
  </si>
  <si>
    <t xml:space="preserve">L'Os de Mor Lam (Birago Diop)</t>
  </si>
  <si>
    <t xml:space="preserve">Photo LPD sous 400 px : non publiable, à remplacer</t>
  </si>
  <si>
    <t xml:space="preserve">LIT-018</t>
  </si>
  <si>
    <t xml:space="preserve">Le Malade imaginaire (Molière)</t>
  </si>
  <si>
    <t xml:space="preserve">Sous l'orage (Seydou Badian)</t>
  </si>
  <si>
    <t xml:space="preserve">NIO-2900</t>
  </si>
  <si>
    <t xml:space="preserve">Eugénie Grandet (Balzac)</t>
  </si>
  <si>
    <t xml:space="preserve">LIT-001</t>
  </si>
  <si>
    <t xml:space="preserve">Une si longue lettre (Mariama Bâ)</t>
  </si>
  <si>
    <t xml:space="preserve">LIT-019</t>
  </si>
  <si>
    <t xml:space="preserve">Vol de nuit (Saint-Exupéry)</t>
  </si>
  <si>
    <t xml:space="preserve">NIO-6379</t>
  </si>
  <si>
    <t xml:space="preserve">Les Nouveaux Contes d'Amadou Koumba (Birago Diop)</t>
  </si>
  <si>
    <t xml:space="preserve">S062</t>
  </si>
  <si>
    <t xml:space="preserve">Le Marabout de la sécheresse (Cheik Aliou Ndao)</t>
  </si>
  <si>
    <t xml:space="preserve">Prix LPD réel</t>
  </si>
  <si>
    <t xml:space="preserve">LIT-004</t>
  </si>
  <si>
    <t xml:space="preserve">L'Enfant noir (Camara Laye)</t>
  </si>
  <si>
    <t xml:space="preserve">LIT-024</t>
  </si>
  <si>
    <t xml:space="preserve">Une vie de boy (Ferdinand Oyono)</t>
  </si>
  <si>
    <t xml:space="preserve">LIT-008</t>
  </si>
  <si>
    <t xml:space="preserve">Le Père Goriot (Balzac)</t>
  </si>
  <si>
    <t xml:space="preserve">LIT-009</t>
  </si>
  <si>
    <t xml:space="preserve">Madame Bovary (Flaubert)</t>
  </si>
  <si>
    <t xml:space="preserve">LIT-005</t>
  </si>
  <si>
    <t xml:space="preserve">Les Bouts de bois de Dieu (Ousmane Sembène)</t>
  </si>
  <si>
    <t xml:space="preserve">LIT-003</t>
  </si>
  <si>
    <t xml:space="preserve">Nini, mulâtresse du Sénégal (Abdoulaye Sadji)</t>
  </si>
  <si>
    <t xml:space="preserve">LIT-007</t>
  </si>
  <si>
    <t xml:space="preserve">L'Étranger (Albert Camus)</t>
  </si>
  <si>
    <t xml:space="preserve">LIT-010</t>
  </si>
  <si>
    <t xml:space="preserve">Les Contemplations (Victor Hugo)</t>
  </si>
  <si>
    <t xml:space="preserve">Seul prix LPD confirmé du rayon livres</t>
  </si>
  <si>
    <t xml:space="preserve">LIT-002</t>
  </si>
  <si>
    <t xml:space="preserve">L'Aventure ambiguë (Cheikh Hamidou Kane)</t>
  </si>
  <si>
    <t xml:space="preserve">LIT-020</t>
  </si>
  <si>
    <t xml:space="preserve">Apologie de Socrate (Platon)</t>
  </si>
  <si>
    <t xml:space="preserve">DID-6913</t>
  </si>
  <si>
    <t xml:space="preserve">Langue et communication C.I.</t>
  </si>
  <si>
    <t xml:space="preserve">PV du fichier livres, à vérifier dans l'app. Achat estimé</t>
  </si>
  <si>
    <t xml:space="preserve">DID-6936</t>
  </si>
  <si>
    <t xml:space="preserve">Mathématiques C.I.</t>
  </si>
  <si>
    <t xml:space="preserve">DID-6949</t>
  </si>
  <si>
    <t xml:space="preserve">Découverte du monde C.I.</t>
  </si>
  <si>
    <t xml:space="preserve">Langue et communication C.P.</t>
  </si>
  <si>
    <t xml:space="preserve">DID-6938</t>
  </si>
  <si>
    <t xml:space="preserve">Mathématiques C.P.</t>
  </si>
  <si>
    <t xml:space="preserve">DID-6952</t>
  </si>
  <si>
    <t xml:space="preserve">Découverte du monde C.P.</t>
  </si>
  <si>
    <t xml:space="preserve">DID-6917</t>
  </si>
  <si>
    <t xml:space="preserve">Langue et communication C.E.1</t>
  </si>
  <si>
    <t xml:space="preserve">DID-6941</t>
  </si>
  <si>
    <t xml:space="preserve">Mathématiques C.E.1</t>
  </si>
  <si>
    <t xml:space="preserve">DID-6954</t>
  </si>
  <si>
    <t xml:space="preserve">Découverte du monde C.E.1</t>
  </si>
  <si>
    <t xml:space="preserve">DID-6922</t>
  </si>
  <si>
    <t xml:space="preserve">Langue et communication C.E.2</t>
  </si>
  <si>
    <t xml:space="preserve">DID-6943</t>
  </si>
  <si>
    <t xml:space="preserve">Mathématiques C.E.2</t>
  </si>
  <si>
    <t xml:space="preserve">DID-6956</t>
  </si>
  <si>
    <t xml:space="preserve">Découverte du monde C.E.2</t>
  </si>
  <si>
    <t xml:space="preserve">DID-6924</t>
  </si>
  <si>
    <t xml:space="preserve">Langue et communication C.M.1</t>
  </si>
  <si>
    <t xml:space="preserve">DID-6945</t>
  </si>
  <si>
    <t xml:space="preserve">Mathématiques C.M.1</t>
  </si>
  <si>
    <t xml:space="preserve">DID-6958</t>
  </si>
  <si>
    <t xml:space="preserve">Découverte du monde C.M.1</t>
  </si>
  <si>
    <t xml:space="preserve">DID-6927</t>
  </si>
  <si>
    <t xml:space="preserve">Langue et communication C.M.2</t>
  </si>
  <si>
    <t xml:space="preserve">DID-6947</t>
  </si>
  <si>
    <t xml:space="preserve">Mathématiques C.M.2</t>
  </si>
  <si>
    <t xml:space="preserve">DID-6963</t>
  </si>
  <si>
    <t xml:space="preserve">Découverte du monde C.M.2</t>
  </si>
  <si>
    <t xml:space="preserve">DID-7364</t>
  </si>
  <si>
    <t xml:space="preserve">Cahier d’activités fongible LC C.I.</t>
  </si>
  <si>
    <t xml:space="preserve">DID-7253</t>
  </si>
  <si>
    <t xml:space="preserve">Cahier d’activités mathématiques C.I.</t>
  </si>
  <si>
    <t xml:space="preserve">DID-7404</t>
  </si>
  <si>
    <t xml:space="preserve">Cahier d’activités fongible LC C.P.</t>
  </si>
  <si>
    <t xml:space="preserve">Cahier d’activités mathématiques C.P.</t>
  </si>
  <si>
    <t xml:space="preserve">DID-7403</t>
  </si>
  <si>
    <t xml:space="preserve">Cahier d’activités fongible LC C.E.1</t>
  </si>
  <si>
    <t xml:space="preserve">DID-7246</t>
  </si>
  <si>
    <t xml:space="preserve">Cahier d’activités mathématiques C.E.1</t>
  </si>
  <si>
    <t xml:space="preserve">DID-7256</t>
  </si>
  <si>
    <t xml:space="preserve">Cahier d’activités fongible LC C.E.2</t>
  </si>
  <si>
    <t xml:space="preserve">DID-7241</t>
  </si>
  <si>
    <t xml:space="preserve">Cahier d’activités mathématiques C.E.2</t>
  </si>
  <si>
    <t xml:space="preserve">DID-7259</t>
  </si>
  <si>
    <t xml:space="preserve">Cahier d’activités fongible LC C.M.1</t>
  </si>
  <si>
    <t xml:space="preserve">DID-7239</t>
  </si>
  <si>
    <t xml:space="preserve">Cahier d’activités mathématiques C.M.1</t>
  </si>
  <si>
    <t xml:space="preserve">DID-7017</t>
  </si>
  <si>
    <t xml:space="preserve">VISA Annales CFEE</t>
  </si>
  <si>
    <t xml:space="preserve">Bled CM2-6e</t>
  </si>
  <si>
    <t xml:space="preserve">DID-7469</t>
  </si>
  <si>
    <t xml:space="preserve">Mathématiques 6éme</t>
  </si>
  <si>
    <t xml:space="preserve">Science de la vie et de la terre 6éme</t>
  </si>
  <si>
    <t xml:space="preserve">Grammaire du Français 6/5e, IPAM Edicef</t>
  </si>
  <si>
    <t xml:space="preserve">NIO-2907</t>
  </si>
  <si>
    <t xml:space="preserve">Excellence Maths 6ème, EENAS</t>
  </si>
  <si>
    <t xml:space="preserve">DID-7947</t>
  </si>
  <si>
    <t xml:space="preserve">Cahier d’activités maths 6éme</t>
  </si>
  <si>
    <t xml:space="preserve">DID-7471</t>
  </si>
  <si>
    <t xml:space="preserve">Cahier d’activités SVT 6éme</t>
  </si>
  <si>
    <t xml:space="preserve">DID-8096</t>
  </si>
  <si>
    <t xml:space="preserve">Mathématiques 5éme</t>
  </si>
  <si>
    <t xml:space="preserve">DID-7465</t>
  </si>
  <si>
    <t xml:space="preserve">Science de la vie et de la terre 5éme</t>
  </si>
  <si>
    <t xml:space="preserve">NIO-3008</t>
  </si>
  <si>
    <t xml:space="preserve">Le Français en 5ème</t>
  </si>
  <si>
    <t xml:space="preserve">NIO-2908</t>
  </si>
  <si>
    <t xml:space="preserve">Excellence Maths 5ème, EENAS</t>
  </si>
  <si>
    <t xml:space="preserve">DID-7950</t>
  </si>
  <si>
    <t xml:space="preserve">Cahier d’activités maths 5éme</t>
  </si>
  <si>
    <t xml:space="preserve">DID-8098</t>
  </si>
  <si>
    <t xml:space="preserve">Cahier d’activités SVT 5éme</t>
  </si>
  <si>
    <t xml:space="preserve">DID-7456</t>
  </si>
  <si>
    <t xml:space="preserve">Mathématiques 4eme</t>
  </si>
  <si>
    <t xml:space="preserve">DID-7454</t>
  </si>
  <si>
    <t xml:space="preserve">Science de la vie et de la terre 4éme</t>
  </si>
  <si>
    <t xml:space="preserve">DID-7459</t>
  </si>
  <si>
    <t xml:space="preserve">Sciences physiques 4éme</t>
  </si>
  <si>
    <t xml:space="preserve">NIO-2895</t>
  </si>
  <si>
    <t xml:space="preserve">Grammaire du Français 4/3e, IPAM Edicef</t>
  </si>
  <si>
    <t xml:space="preserve">NIO-2909</t>
  </si>
  <si>
    <t xml:space="preserve">Excellence Maths 4ème, EENAS</t>
  </si>
  <si>
    <t xml:space="preserve">DID-7461</t>
  </si>
  <si>
    <t xml:space="preserve">Cahier d’activités mathématiques 4éme</t>
  </si>
  <si>
    <t xml:space="preserve">DID-8287</t>
  </si>
  <si>
    <t xml:space="preserve">Cahier d’activités SVT 4éme</t>
  </si>
  <si>
    <t xml:space="preserve">DID-7463</t>
  </si>
  <si>
    <t xml:space="preserve">Cahier d’activités PC 4eme</t>
  </si>
  <si>
    <t xml:space="preserve">DID-7432</t>
  </si>
  <si>
    <t xml:space="preserve">Mathématiques 3éme</t>
  </si>
  <si>
    <t xml:space="preserve">DID-7434</t>
  </si>
  <si>
    <t xml:space="preserve">Science de la vie et de la terre 3éme</t>
  </si>
  <si>
    <t xml:space="preserve">DID-7422</t>
  </si>
  <si>
    <t xml:space="preserve">Sciences Physiques 3ème</t>
  </si>
  <si>
    <t xml:space="preserve">NIO-5189</t>
  </si>
  <si>
    <t xml:space="preserve">Le Français en 3ème</t>
  </si>
  <si>
    <t xml:space="preserve">NIO-2910</t>
  </si>
  <si>
    <t xml:space="preserve">Excellence Maths 3ème, EENAS</t>
  </si>
  <si>
    <t xml:space="preserve">DID-7427</t>
  </si>
  <si>
    <t xml:space="preserve">Cahier d’activités mathématiques 3éme</t>
  </si>
  <si>
    <t xml:space="preserve">DID-7452</t>
  </si>
  <si>
    <t xml:space="preserve">Cahier d’activités SVT 3éme</t>
  </si>
  <si>
    <t xml:space="preserve">DID-7430</t>
  </si>
  <si>
    <t xml:space="preserve">Cahier d’activités PC 3éme</t>
  </si>
  <si>
    <t xml:space="preserve">DID-7944</t>
  </si>
  <si>
    <t xml:space="preserve">Science de la vie et de la terre 2nde</t>
  </si>
  <si>
    <t xml:space="preserve">DID-9328</t>
  </si>
  <si>
    <t xml:space="preserve">Cahier d’activités SVT 2nde</t>
  </si>
  <si>
    <t xml:space="preserve">DID-9284</t>
  </si>
  <si>
    <t xml:space="preserve">Mathématiques 2nde</t>
  </si>
  <si>
    <t xml:space="preserve">DID-8383</t>
  </si>
  <si>
    <t xml:space="preserve">Livre de Français 2nde</t>
  </si>
  <si>
    <t xml:space="preserve">DID-7941</t>
  </si>
  <si>
    <t xml:space="preserve">Science de la vie et de la terre 1ʳᵉ</t>
  </si>
  <si>
    <t xml:space="preserve">DID-9285</t>
  </si>
  <si>
    <t xml:space="preserve">Livre de Mathématiques 1ʳᵉ</t>
  </si>
  <si>
    <t xml:space="preserve">DID-8378</t>
  </si>
  <si>
    <t xml:space="preserve">Livre de Français 1ʳᵉ</t>
  </si>
  <si>
    <t xml:space="preserve">DID-8376</t>
  </si>
  <si>
    <t xml:space="preserve">Science de la Vie et de la Terre Tlᵉ</t>
  </si>
  <si>
    <t xml:space="preserve">DID-9286</t>
  </si>
  <si>
    <t xml:space="preserve">Livre de Mathématiques Tlᵉ</t>
  </si>
  <si>
    <t xml:space="preserve">DID-8385</t>
  </si>
  <si>
    <t xml:space="preserve">Livre de Français Tlᵉ</t>
  </si>
  <si>
    <t xml:space="preserve">S027</t>
  </si>
  <si>
    <t xml:space="preserve">Cartable rigide bleu marine</t>
  </si>
  <si>
    <t xml:space="preserve">Option primaire (décochée)</t>
  </si>
  <si>
    <t xml:space="preserve">Sac à dos bleu marine</t>
  </si>
  <si>
    <t xml:space="preserve">Option collège et lycée (décochée)</t>
  </si>
  <si>
    <t xml:space="preserve">Kit CI</t>
  </si>
  <si>
    <t xml:space="preserve">Liste réelle du Complexe Dar El-Hadith. Contrôle croisé avec la liste ISJA 2026-2027 (plus chargée, écoles privées).</t>
  </si>
  <si>
    <t xml:space="preserve">CI — Essentiel</t>
  </si>
  <si>
    <t xml:space="preserve">Groupe (app)</t>
  </si>
  <si>
    <t xml:space="preserve">Besoin (liste)</t>
  </si>
  <si>
    <t xml:space="preserve">Qté</t>
  </si>
  <si>
    <t xml:space="preserve">PV unit. (FCFA)</t>
  </si>
  <si>
    <t xml:space="preserve">Sous-total vente</t>
  </si>
  <si>
    <t xml:space="preserve">PA unit. (FCFA)</t>
  </si>
  <si>
    <t xml:space="preserve">Sous-total achat</t>
  </si>
  <si>
    <t xml:space="preserve">Coché par défaut</t>
  </si>
  <si>
    <t xml:space="preserve">Cahiers</t>
  </si>
  <si>
    <t xml:space="preserve">Cahier 32 pages</t>
  </si>
  <si>
    <t xml:space="preserve">48 p (32 p absent)</t>
  </si>
  <si>
    <t xml:space="preserve">Ardoise</t>
  </si>
  <si>
    <t xml:space="preserve">Petit matériel</t>
  </si>
  <si>
    <t xml:space="preserve">Géométrie</t>
  </si>
  <si>
    <t xml:space="preserve">Règle</t>
  </si>
  <si>
    <t xml:space="preserve">Écriture</t>
  </si>
  <si>
    <t xml:space="preserve">Crayon noir</t>
  </si>
  <si>
    <t xml:space="preserve">Bic bleu</t>
  </si>
  <si>
    <t xml:space="preserve">Art &amp; dessin</t>
  </si>
  <si>
    <t xml:space="preserve">Paquet de crayons de couleur</t>
  </si>
  <si>
    <t xml:space="preserve">Lignes sans prix de vente (à fournir)</t>
  </si>
  <si>
    <t xml:space="preserve">Total vente du kit (FCFA)</t>
  </si>
  <si>
    <t xml:space="preserve">Lignes sans prix d'achat</t>
  </si>
  <si>
    <t xml:space="preserve">Marge sur les lignes au coût connu (FCFA)</t>
  </si>
  <si>
    <t xml:space="preserve">Nombre de cahiers (ligne « X cahiers » dans l'app)</t>
  </si>
  <si>
    <t xml:space="preserve">Part du prix de vente reposant sur des PV estimés</t>
  </si>
  <si>
    <t xml:space="preserve">Statut du coût</t>
  </si>
  <si>
    <t xml:space="preserve">Proposés décochés : livres du Complet (non comptés, cochables par le client)</t>
  </si>
  <si>
    <t xml:space="preserve">Manuels au programme</t>
  </si>
  <si>
    <t xml:space="preserve">Didactikos Langue et communication</t>
  </si>
  <si>
    <t xml:space="preserve">Didactikos Mathématiques</t>
  </si>
  <si>
    <t xml:space="preserve">Didactikos Découverte du monde</t>
  </si>
  <si>
    <t xml:space="preserve">Total si tous les livres sont cochés (FCFA)</t>
  </si>
  <si>
    <t xml:space="preserve">Option décochée par défaut, non comptée :</t>
  </si>
  <si>
    <t xml:space="preserve">Manquants :</t>
  </si>
  <si>
    <t xml:space="preserve">Cahier double ligne (1)</t>
  </si>
  <si>
    <t xml:space="preserve">CI — Complet</t>
  </si>
  <si>
    <t xml:space="preserve">96 p Calligraphe (32 p absent)</t>
  </si>
  <si>
    <t xml:space="preserve">« Didactikos langue, maths, DDM : 1 » lu comme 1 manuel par matière</t>
  </si>
  <si>
    <t xml:space="preserve">CI — Confort</t>
  </si>
  <si>
    <t xml:space="preserve">Parascolaire</t>
  </si>
  <si>
    <t xml:space="preserve">Cahier d'activités Langue et communication</t>
  </si>
  <si>
    <t xml:space="preserve">Cahier d'activités Mathématiques</t>
  </si>
  <si>
    <t xml:space="preserve">Kit CP</t>
  </si>
  <si>
    <t xml:space="preserve">CP — Essentiel</t>
  </si>
  <si>
    <t xml:space="preserve">Cahier 96 pages</t>
  </si>
  <si>
    <t xml:space="preserve">Matériel géométrique</t>
  </si>
  <si>
    <t xml:space="preserve">Bic vert</t>
  </si>
  <si>
    <t xml:space="preserve">aucun</t>
  </si>
  <si>
    <t xml:space="preserve">CP — Complet</t>
  </si>
  <si>
    <t xml:space="preserve">140 p Calligraphe 90 g</t>
  </si>
  <si>
    <t xml:space="preserve">CP — Confort</t>
  </si>
  <si>
    <t xml:space="preserve">Kit CE1</t>
  </si>
  <si>
    <t xml:space="preserve">CE1 — Essentiel</t>
  </si>
  <si>
    <t xml:space="preserve">Gomme</t>
  </si>
  <si>
    <t xml:space="preserve">CE1 — Complet</t>
  </si>
  <si>
    <t xml:space="preserve">CE1 — Confort</t>
  </si>
  <si>
    <t xml:space="preserve">Kit CE2</t>
  </si>
  <si>
    <t xml:space="preserve">CE2 — Essentiel</t>
  </si>
  <si>
    <t xml:space="preserve">CE2 — Complet</t>
  </si>
  <si>
    <t xml:space="preserve">CE2 — Confort</t>
  </si>
  <si>
    <t xml:space="preserve">Kit CM1</t>
  </si>
  <si>
    <t xml:space="preserve">CM1 — Essentiel</t>
  </si>
  <si>
    <t xml:space="preserve">CM1 — Complet</t>
  </si>
  <si>
    <t xml:space="preserve">CM1 — Confort</t>
  </si>
  <si>
    <t xml:space="preserve">Kit CM2</t>
  </si>
  <si>
    <t xml:space="preserve">CM2 — Essentiel</t>
  </si>
  <si>
    <t xml:space="preserve">CM2 — Complet</t>
  </si>
  <si>
    <t xml:space="preserve">CM2 — Confort</t>
  </si>
  <si>
    <t xml:space="preserve">Préparation au CFEE</t>
  </si>
  <si>
    <t xml:space="preserve">Grammaire et orthographe (entrée en 6e)</t>
  </si>
  <si>
    <t xml:space="preserve">Kit 6e</t>
  </si>
  <si>
    <t xml:space="preserve">Synthèse des listes réelles Cours Sainte-Marie de Hann (2025-2026) et ISJA (2026-2027), tronc commun seulement.</t>
  </si>
  <si>
    <t xml:space="preserve">6e — Essentiel</t>
  </si>
  <si>
    <t xml:space="preserve">Maths (cours) : 200 p grand format</t>
  </si>
  <si>
    <t xml:space="preserve">192 p L'écolier, format à confirmer</t>
  </si>
  <si>
    <t xml:space="preserve">Maths (exercices) : 200 p petit format</t>
  </si>
  <si>
    <t xml:space="preserve">Français : 200 p petit format</t>
  </si>
  <si>
    <t xml:space="preserve">Français : 100 p petit format</t>
  </si>
  <si>
    <t xml:space="preserve">Histoire-géo : 200 p grand format</t>
  </si>
  <si>
    <t xml:space="preserve">Éducation civique / exercices HG : 100 p petit format</t>
  </si>
  <si>
    <t xml:space="preserve">Anglais : 200 p grand format</t>
  </si>
  <si>
    <t xml:space="preserve">SVT : 200 p grand format</t>
  </si>
  <si>
    <t xml:space="preserve">DDH / éthique : 48 p petit format</t>
  </si>
  <si>
    <t xml:space="preserve">Brouillon : 100 p petit format</t>
  </si>
  <si>
    <t xml:space="preserve">Cahier de dessin</t>
  </si>
  <si>
    <t xml:space="preserve">Stylos bleu, noir, rouge, vert</t>
  </si>
  <si>
    <t xml:space="preserve">Crayon papier</t>
  </si>
  <si>
    <t xml:space="preserve">Taille-crayon</t>
  </si>
  <si>
    <t xml:space="preserve">à réservoir (S030 était une boîte à éponge)</t>
  </si>
  <si>
    <t xml:space="preserve">Colle</t>
  </si>
  <si>
    <t xml:space="preserve">Ciseaux à bouts ronds</t>
  </si>
  <si>
    <t xml:space="preserve">Règle, équerre, rapporteur</t>
  </si>
  <si>
    <t xml:space="preserve">Compas</t>
  </si>
  <si>
    <t xml:space="preserve">12 crayons de couleur</t>
  </si>
  <si>
    <t xml:space="preserve">Papier</t>
  </si>
  <si>
    <t xml:space="preserve">Paquet de copies doubles</t>
  </si>
  <si>
    <t xml:space="preserve">Œuvres au programme</t>
  </si>
  <si>
    <t xml:space="preserve">Œuvre (ta liste + ISJA)</t>
  </si>
  <si>
    <t xml:space="preserve">6e — Complet</t>
  </si>
  <si>
    <t xml:space="preserve">140 p au lieu de 100, 90 g</t>
  </si>
  <si>
    <t xml:space="preserve">96 p au lieu de 48</t>
  </si>
  <si>
    <t xml:space="preserve">à réservoir, comme demandé</t>
  </si>
  <si>
    <t xml:space="preserve">Surligneurs</t>
  </si>
  <si>
    <t xml:space="preserve">pochette de 4</t>
  </si>
  <si>
    <t xml:space="preserve">Rangement</t>
  </si>
  <si>
    <t xml:space="preserve">Pochette cartonnée (géométrie, devoirs)</t>
  </si>
  <si>
    <t xml:space="preserve">chemise 3 rabats</t>
  </si>
  <si>
    <t xml:space="preserve">Protège-cahiers</t>
  </si>
  <si>
    <t xml:space="preserve">Protège-cahiers petit format (1 par cahier)</t>
  </si>
  <si>
    <t xml:space="preserve">Protège-cahiers grand format (1 par cahier)</t>
  </si>
  <si>
    <t xml:space="preserve">Le Français en 6e (Edicef), demandé par les deux écoles</t>
  </si>
  <si>
    <t xml:space="preserve">Manuel d'anglais (Keep in Touch 6e ou Stay Tuned, selon l'école)</t>
  </si>
  <si>
    <t xml:space="preserve">6e — Confort</t>
  </si>
  <si>
    <t xml:space="preserve">Manuels scolaires</t>
  </si>
  <si>
    <t xml:space="preserve">Maths (Didactikos, Sainte-Marie)</t>
  </si>
  <si>
    <t xml:space="preserve">SVT (Didactikos, les deux écoles)</t>
  </si>
  <si>
    <t xml:space="preserve">Grammaire du français 6e-5e IPAM (les deux écoles)</t>
  </si>
  <si>
    <t xml:space="preserve">Stylo 4 couleurs</t>
  </si>
  <si>
    <t xml:space="preserve">Correcteur</t>
  </si>
  <si>
    <t xml:space="preserve">Œuvres bon à avoir</t>
  </si>
  <si>
    <t xml:space="preserve">Œuvre (ta liste)</t>
  </si>
  <si>
    <t xml:space="preserve">Excellence Maths 6e (ISJA)</t>
  </si>
  <si>
    <t xml:space="preserve">Cahier d'activités maths (Sainte-Marie)</t>
  </si>
  <si>
    <t xml:space="preserve">Cahier d'activités SVT (Sainte-Marie)</t>
  </si>
  <si>
    <t xml:space="preserve">Dictionnaire</t>
  </si>
  <si>
    <t xml:space="preserve">Fables de La Fontaine (ta liste)</t>
  </si>
  <si>
    <t xml:space="preserve">Molière : Les Fourberies de Scapin (ISJA) ou Le Médecin malgré lui (Sainte-Marie)</t>
  </si>
  <si>
    <t xml:space="preserve">Bled 6e-5e Hachette (ISJA)</t>
  </si>
  <si>
    <t xml:space="preserve">Kit 5e</t>
  </si>
  <si>
    <t xml:space="preserve">5e — Essentiel</t>
  </si>
  <si>
    <t xml:space="preserve">5e — Complet</t>
  </si>
  <si>
    <t xml:space="preserve">Aucun titre commun aux listes de 5e : ton titre est retenu</t>
  </si>
  <si>
    <t xml:space="preserve">Le Vieux Nègre et la Médaille (Oyono), ta liste</t>
  </si>
  <si>
    <t xml:space="preserve">Manuel d'anglais (selon l'école)</t>
  </si>
  <si>
    <t xml:space="preserve">5e — Confort</t>
  </si>
  <si>
    <t xml:space="preserve">Le Français en 5e (Edicef, les deux écoles)</t>
  </si>
  <si>
    <t xml:space="preserve">Grammaire du français 6e-5e IPAM</t>
  </si>
  <si>
    <t xml:space="preserve">Œuvre (Sainte-Marie)</t>
  </si>
  <si>
    <t xml:space="preserve">Œuvre (ISJA)</t>
  </si>
  <si>
    <t xml:space="preserve">Excellence Maths 5e (ISJA)</t>
  </si>
  <si>
    <t xml:space="preserve">Cahier d'activités maths</t>
  </si>
  <si>
    <t xml:space="preserve">Cahier d'activités SVT</t>
  </si>
  <si>
    <t xml:space="preserve">Maïmouna existe au catalogue (ISJA 5e) si tu préfères ce titre</t>
  </si>
  <si>
    <t xml:space="preserve">Kit 4e</t>
  </si>
  <si>
    <t xml:space="preserve">4e — Essentiel</t>
  </si>
  <si>
    <t xml:space="preserve">HG exercices et éducation civique : 100 p petit format</t>
  </si>
  <si>
    <t xml:space="preserve">Sciences physiques : 100 p petit format</t>
  </si>
  <si>
    <t xml:space="preserve">Espagnol (LV2) : 200 p petit format</t>
  </si>
  <si>
    <t xml:space="preserve">Calculatrice collège (fx-92 demandée)</t>
  </si>
  <si>
    <t xml:space="preserve">générique, pas une fx-92</t>
  </si>
  <si>
    <t xml:space="preserve">Œuvre (ta liste + les deux écoles)</t>
  </si>
  <si>
    <t xml:space="preserve">4e — Complet</t>
  </si>
  <si>
    <t xml:space="preserve">scientifique générique ; la Casio fx-92 est dans le Confort</t>
  </si>
  <si>
    <t xml:space="preserve">Le Français en 4e (manuel de français, titre différent selon l'école)</t>
  </si>
  <si>
    <t xml:space="preserve">Cahier TP grand format pour l'HG (Sainte-Marie)</t>
  </si>
  <si>
    <t xml:space="preserve">4e — Confort</t>
  </si>
  <si>
    <t xml:space="preserve">Casio fx-92, comme demandé par les listes</t>
  </si>
  <si>
    <t xml:space="preserve">Maths (Didactikos)</t>
  </si>
  <si>
    <t xml:space="preserve">Sciences physiques (Didactikos, Sainte-Marie)</t>
  </si>
  <si>
    <t xml:space="preserve">ISJA demande Kandia (NIO-14541 au catalogue)</t>
  </si>
  <si>
    <t xml:space="preserve">Grammaire du français 4e-3e IPAM (les deux écoles)</t>
  </si>
  <si>
    <t xml:space="preserve">Excellence Maths 4e (ISJA)</t>
  </si>
  <si>
    <t xml:space="preserve">Cahier d'activités PC</t>
  </si>
  <si>
    <t xml:space="preserve">Le Cid (Sainte-Marie)</t>
  </si>
  <si>
    <t xml:space="preserve">L'Avare ou Le Bourgeois gentilhomme (ta liste)</t>
  </si>
  <si>
    <t xml:space="preserve">Kit 3e</t>
  </si>
  <si>
    <t xml:space="preserve">3e — Essentiel</t>
  </si>
  <si>
    <t xml:space="preserve">Sciences physiques : 200 p grand format</t>
  </si>
  <si>
    <t xml:space="preserve">Sciences physiques (exercices) : 100 p petit format</t>
  </si>
  <si>
    <t xml:space="preserve">Œuvre (les deux écoles)</t>
  </si>
  <si>
    <t xml:space="preserve">3e — Complet</t>
  </si>
  <si>
    <t xml:space="preserve">Cahier TP grand format (SVT et HG)</t>
  </si>
  <si>
    <t xml:space="preserve">3e — Confort</t>
  </si>
  <si>
    <t xml:space="preserve">Sciences physiques (Didactikos)</t>
  </si>
  <si>
    <t xml:space="preserve">Le Français en 3e (Edicef, les deux écoles)</t>
  </si>
  <si>
    <t xml:space="preserve">Grammaire du français 4e-3e IPAM</t>
  </si>
  <si>
    <t xml:space="preserve">Parascolaire scientifique</t>
  </si>
  <si>
    <t xml:space="preserve">Maths 3e (Korka Diallo)</t>
  </si>
  <si>
    <t xml:space="preserve">Physique-chimie 3e (Korka Diallo)</t>
  </si>
  <si>
    <t xml:space="preserve">Annales d'anglais BFEM (Korka Diallo)</t>
  </si>
  <si>
    <t xml:space="preserve">Excellence Maths 3e (ISJA)</t>
  </si>
  <si>
    <t xml:space="preserve">Annales BFEM</t>
  </si>
  <si>
    <t xml:space="preserve">Le Cid, Crépuscule des temps anciens, Kun Fâyda (ta liste)</t>
  </si>
  <si>
    <t xml:space="preserve">Kit 2nde L</t>
  </si>
  <si>
    <t xml:space="preserve">Fournitures : liste ISJA 2026-2027. Livres : ISJA, Maristes de Niakhirate, liste d'œuvres du lycée et ta liste.</t>
  </si>
  <si>
    <t xml:space="preserve">2nde L — Essentiel</t>
  </si>
  <si>
    <t xml:space="preserve">Espagnol (LV2) : 100 p grand format</t>
  </si>
  <si>
    <t xml:space="preserve">Histoire-géo : 120 p grand format</t>
  </si>
  <si>
    <t xml:space="preserve">HG exercices : 100 p petit format</t>
  </si>
  <si>
    <t xml:space="preserve">Français : 200 p grand format</t>
  </si>
  <si>
    <t xml:space="preserve">Anglais : 100 p petit format</t>
  </si>
  <si>
    <t xml:space="preserve">Sciences physiques : 100 p grand format</t>
  </si>
  <si>
    <t xml:space="preserve">SES : 200 p grand format</t>
  </si>
  <si>
    <t xml:space="preserve">SES exercices : 100 p petit format</t>
  </si>
  <si>
    <t xml:space="preserve">Œuvre (3 listes)</t>
  </si>
  <si>
    <t xml:space="preserve">2nde L — Complet</t>
  </si>
  <si>
    <t xml:space="preserve">140 p au lieu de 120</t>
  </si>
  <si>
    <t xml:space="preserve">Porte-vue (français, SVT)</t>
  </si>
  <si>
    <t xml:space="preserve">Phèdre (Racine), dans 3 listes</t>
  </si>
  <si>
    <t xml:space="preserve">Le français en Seconde (Edicef)</t>
  </si>
  <si>
    <t xml:space="preserve">2nde L — Confort</t>
  </si>
  <si>
    <t xml:space="preserve">SVT Seconde (Didactikos, ISJA)</t>
  </si>
  <si>
    <t xml:space="preserve">Œuvre (Maristes)</t>
  </si>
  <si>
    <t xml:space="preserve">Cahier d'activités SVT Seconde</t>
  </si>
  <si>
    <t xml:space="preserve">Français Seconde (Didactikos)</t>
  </si>
  <si>
    <t xml:space="preserve">Candide ou Zadig (Voltaire)</t>
  </si>
  <si>
    <t xml:space="preserve">Le Cid, Chants d'ombre / Hosties noires (ta liste)</t>
  </si>
  <si>
    <t xml:space="preserve">Kit 2nde S</t>
  </si>
  <si>
    <t xml:space="preserve">2nde S — Essentiel</t>
  </si>
  <si>
    <t xml:space="preserve">Anglais : 120 p grand format</t>
  </si>
  <si>
    <t xml:space="preserve">2nde S — Complet</t>
  </si>
  <si>
    <t xml:space="preserve">Kandia physique-chimie Seconde S</t>
  </si>
  <si>
    <t xml:space="preserve">2nde S — Confort</t>
  </si>
  <si>
    <t xml:space="preserve">Maths Seconde S (Kaamile, Korka Diallo)</t>
  </si>
  <si>
    <t xml:space="preserve">Physique-chimie Seconde S (Korka Diallo)</t>
  </si>
  <si>
    <t xml:space="preserve">SVT Seconde S</t>
  </si>
  <si>
    <t xml:space="preserve">Maths Seconde (Didactikos)</t>
  </si>
  <si>
    <t xml:space="preserve">Kit 1re L</t>
  </si>
  <si>
    <t xml:space="preserve">1re L — Essentiel</t>
  </si>
  <si>
    <t xml:space="preserve">Œuvre (4 listes)</t>
  </si>
  <si>
    <t xml:space="preserve">Œuvre (2 listes)</t>
  </si>
  <si>
    <t xml:space="preserve">1re L — Complet</t>
  </si>
  <si>
    <t xml:space="preserve">La Tragédie du roi Christophe (Césaire), dans 2 listes</t>
  </si>
  <si>
    <t xml:space="preserve">Le français en 1re et Terminale (Edicef)</t>
  </si>
  <si>
    <t xml:space="preserve">1re L — Confort</t>
  </si>
  <si>
    <t xml:space="preserve">SVT Première (Didactikos, ISJA)</t>
  </si>
  <si>
    <t xml:space="preserve">Œuvre (liste d'œuvres)</t>
  </si>
  <si>
    <t xml:space="preserve">Français Première (Didactikos)</t>
  </si>
  <si>
    <t xml:space="preserve">Lorenzaccio (ta liste), Les Fleurs du mal (liste d'œuvres)</t>
  </si>
  <si>
    <t xml:space="preserve">Kit 1re S1</t>
  </si>
  <si>
    <t xml:space="preserve">Fournitures : liste ISJA 2026-2027, identique en S1 et S2. Livres : ISJA, Maristes, liste d'œuvres. S1 et S2 diffèrent par les éditions de La Clé des Cracks.</t>
  </si>
  <si>
    <t xml:space="preserve">1re S1 — Essentiel</t>
  </si>
  <si>
    <t xml:space="preserve">1re S1 — Complet</t>
  </si>
  <si>
    <t xml:space="preserve">Kandia Physique et Chimie Première S</t>
  </si>
  <si>
    <t xml:space="preserve">1re S1 — Confort</t>
  </si>
  <si>
    <t xml:space="preserve">Maths Première S1 (Korka Diallo)</t>
  </si>
  <si>
    <t xml:space="preserve">Physique-chimie Première S (Collection Atomic)</t>
  </si>
  <si>
    <t xml:space="preserve">Maths Première (Didactikos)</t>
  </si>
  <si>
    <t xml:space="preserve">Kit 1re S2</t>
  </si>
  <si>
    <t xml:space="preserve">1re S2 — Essentiel</t>
  </si>
  <si>
    <t xml:space="preserve">1re S2 — Complet</t>
  </si>
  <si>
    <t xml:space="preserve">1re S2 — Confort</t>
  </si>
  <si>
    <t xml:space="preserve">Maths Première S2 (Korka Diallo)</t>
  </si>
  <si>
    <t xml:space="preserve">Kit Tle L</t>
  </si>
  <si>
    <t xml:space="preserve">Tle L — Essentiel</t>
  </si>
  <si>
    <t xml:space="preserve">Philosophie : 200 p grand format</t>
  </si>
  <si>
    <t xml:space="preserve">Philosophie (ISJA)</t>
  </si>
  <si>
    <t xml:space="preserve">Tle L — Complet</t>
  </si>
  <si>
    <t xml:space="preserve">Les Soleils des Indépendances (Kourouma), dans 4 listes</t>
  </si>
  <si>
    <t xml:space="preserve">L'Exil d'Albouri (Cheik Aliou Ndao), dans 2 listes</t>
  </si>
  <si>
    <t xml:space="preserve">Antigone (Anouilh), dans 2 listes</t>
  </si>
  <si>
    <t xml:space="preserve">Dictionnaire d'économie et de sciences sociales (ISJA)</t>
  </si>
  <si>
    <t xml:space="preserve">Tle L — Confort</t>
  </si>
  <si>
    <t xml:space="preserve">SVT Terminale (Didactikos, ISJA)</t>
  </si>
  <si>
    <t xml:space="preserve">Français Terminale (Didactikos)</t>
  </si>
  <si>
    <t xml:space="preserve">Philosophie (Korka Diallo)</t>
  </si>
  <si>
    <t xml:space="preserve">La Tragédie du roi Christophe (ta liste), Hernani (liste d'œuvres)</t>
  </si>
  <si>
    <t xml:space="preserve">Annales du Bac</t>
  </si>
  <si>
    <t xml:space="preserve">Du contrat social (Rousseau), philosophie ISJA</t>
  </si>
  <si>
    <t xml:space="preserve">Kit Tle S1</t>
  </si>
  <si>
    <t xml:space="preserve">Tle S1 — Essentiel</t>
  </si>
  <si>
    <t xml:space="preserve">Tle S1 — Complet</t>
  </si>
  <si>
    <t xml:space="preserve">Kandia Physique TS et Chimie TS</t>
  </si>
  <si>
    <t xml:space="preserve">Tle S1 — Confort</t>
  </si>
  <si>
    <t xml:space="preserve">Maths Terminale S1 (Korka Diallo)</t>
  </si>
  <si>
    <t xml:space="preserve">Maths Terminale (Didactikos)</t>
  </si>
  <si>
    <t xml:space="preserve">Kit Tle S2</t>
  </si>
  <si>
    <t xml:space="preserve">Tle S2 — Essentiel</t>
  </si>
  <si>
    <t xml:space="preserve">Tle S2 — Complet</t>
  </si>
  <si>
    <t xml:space="preserve">Tle S2 — Confort</t>
  </si>
  <si>
    <t xml:space="preserve">Maths Terminale S2 (Korka Diallo)</t>
  </si>
  <si>
    <t xml:space="preserve">Physique-chimie Terminale S2</t>
  </si>
  <si>
    <t xml:space="preserve">Kit 2nde STEG</t>
  </si>
  <si>
    <t xml:space="preserve">Série STEG, publiée telle quelle sur décision SacAdo (26/09/2026) : aucune liste de fournitures STEG trouvée. Cahiers déduits des matières et coefficients du Complexe Saint-Michel, matériel repris du lycée ISJA.</t>
  </si>
  <si>
    <t xml:space="preserve">2nde STEG — Essentiel</t>
  </si>
  <si>
    <t xml:space="preserve">Gestion comptable et financière (cours) : 200 p grand format</t>
  </si>
  <si>
    <t xml:space="preserve">Gestion comptable et financière (exercices) : 200 p grand format</t>
  </si>
  <si>
    <t xml:space="preserve">Connaissance du monde contemporain : 200 p grand format</t>
  </si>
  <si>
    <t xml:space="preserve">Management des organisations : 200 p petit format</t>
  </si>
  <si>
    <t xml:space="preserve">Droit : 200 p petit format</t>
  </si>
  <si>
    <t xml:space="preserve">Informatique de gestion : 100 p petit format</t>
  </si>
  <si>
    <t xml:space="preserve">Œuvre (3 listes de Seconde)</t>
  </si>
  <si>
    <t xml:space="preserve">2nde STEG — Complet</t>
  </si>
  <si>
    <t xml:space="preserve">Programme de français supposé commun aux séries : à confirmer</t>
  </si>
  <si>
    <t xml:space="preserve">Manuels de gestion comptable, SES, droit, management : aucune liste trouvée</t>
  </si>
  <si>
    <t xml:space="preserve">2nde STEG — Confort</t>
  </si>
  <si>
    <t xml:space="preserve">Kit 1re STEG</t>
  </si>
  <si>
    <t xml:space="preserve">1re STEG — Essentiel</t>
  </si>
  <si>
    <t xml:space="preserve">1re STEG — Complet</t>
  </si>
  <si>
    <t xml:space="preserve">1re STEG — Confort</t>
  </si>
  <si>
    <t xml:space="preserve">Kit Tle STEG</t>
  </si>
  <si>
    <t xml:space="preserve">Tle STEG — Essentiel</t>
  </si>
  <si>
    <t xml:space="preserve">Tle STEG — Complet</t>
  </si>
  <si>
    <t xml:space="preserve">Tle STEG — Confort</t>
  </si>
  <si>
    <t xml:space="preserve">Philosophie</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</si>
</sst>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0%"/>
  </numFmts>
  <fonts count="1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sz val="11"/>
      <color rgb="FF000000"/>
      <name val="Arial"/>
      <family val="0"/>
      <charset val="1"/>
    </font>
    <font>
      <sz val="11"/>
      <color rgb="FF008000"/>
      <name val="Arial"/>
      <family val="0"/>
      <charset val="1"/>
    </font>
    <font>
      <b val="true"/>
      <sz val="11"/>
      <name val="Arial"/>
      <family val="0"/>
      <charset val="1"/>
    </font>
    <font>
      <sz val="11"/>
      <name val="Arial"/>
      <family val="0"/>
      <charset val="1"/>
    </font>
    <font>
      <sz val="11"/>
      <color rgb="FF0000FF"/>
      <name val="Arial"/>
      <family val="0"/>
      <charset val="1"/>
    </font>
    <font>
      <i val="true"/>
      <sz val="11"/>
      <name val="Arial"/>
      <family val="0"/>
      <charset val="1"/>
    </font>
    <font>
      <b val="true"/>
      <sz val="14"/>
      <name val="Arial"/>
      <family val="0"/>
      <charset val="1"/>
    </font>
    <font>
      <b val="true"/>
      <sz val="12"/>
      <color rgb="FFFFFFFF"/>
      <name val="Arial"/>
      <family val="0"/>
      <charset val="1"/>
    </font>
    <font>
      <b val="true"/>
      <sz val="11"/>
      <color rgb="FF1F3864"/>
      <name val="Arial"/>
      <family val="0"/>
      <charset val="1"/>
    </font>
    <font>
      <b val="true"/>
      <sz val="11"/>
      <color rgb="FFC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9E1F2"/>
        <bgColor rgb="FFE2EFDA"/>
      </patternFill>
    </fill>
    <fill>
      <patternFill patternType="solid">
        <fgColor rgb="FFFFF2CC"/>
        <bgColor rgb="FFFCE4D6"/>
      </patternFill>
    </fill>
  </fills>
  <borders count="3">
    <border diagonalUp="false" diagonalDown="false">
      <left/>
      <right/>
      <top/>
      <bottom/>
      <diagonal/>
    </border>
    <border diagonalUp="false" diagonalDown="false">
      <left style="thin">
        <color rgb="FFBFBFBF"/>
      </left>
      <right style="thin">
        <color rgb="FFBFBFBF"/>
      </right>
      <top style="medium"/>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6" fontId="8" fillId="0" borderId="2" xfId="0" applyFont="true" applyBorder="true" applyAlignment="true" applyProtection="false">
      <alignment horizontal="general" vertical="top" textRotation="0" wrapText="true" indent="0" shrinkToFit="false"/>
      <protection locked="true" hidden="false"/>
    </xf>
    <xf numFmtId="166" fontId="12" fillId="0" borderId="2" xfId="0" applyFont="true" applyBorder="true" applyAlignment="true" applyProtection="false">
      <alignment horizontal="general" vertical="top" textRotation="0" wrapText="true" indent="0" shrinkToFit="false"/>
      <protection locked="true" hidden="false"/>
    </xf>
    <xf numFmtId="168" fontId="8" fillId="0" borderId="2"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general" vertical="top" textRotation="0" wrapText="tru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4" borderId="2" xfId="0" applyFont="true" applyBorder="true" applyAlignment="true" applyProtection="false">
      <alignment horizontal="general" vertical="bottom" textRotation="0" wrapText="tru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8" fillId="3"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D6"/>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23.85" hidden="false" customHeight="false" outlineLevel="0" collapsed="false">
      <c r="A16" s="2" t="s">
        <v>12</v>
      </c>
    </row>
    <row r="17" customFormat="false" ht="23.8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15" hidden="false" customHeight="false" outlineLevel="0" collapsed="false">
      <c r="A22" s="2" t="s">
        <v>17</v>
      </c>
    </row>
    <row r="23" customFormat="false" ht="15" hidden="false" customHeight="false" outlineLevel="0" collapsed="false">
      <c r="A23" s="2"/>
    </row>
    <row r="24" customFormat="false" ht="15" hidden="false" customHeight="false" outlineLevel="0" collapsed="false">
      <c r="A24" s="3" t="s">
        <v>18</v>
      </c>
    </row>
    <row r="25" customFormat="false" ht="23.85" hidden="false" customHeight="false" outlineLevel="0" collapsed="false">
      <c r="A25" s="2" t="s">
        <v>19</v>
      </c>
    </row>
    <row r="26" customFormat="false" ht="15" hidden="false" customHeight="false" outlineLevel="0" collapsed="false">
      <c r="A26" s="2"/>
    </row>
    <row r="27" customFormat="false" ht="15" hidden="false" customHeight="false" outlineLevel="0" collapsed="false">
      <c r="A27" s="3" t="s">
        <v>20</v>
      </c>
    </row>
    <row r="28" customFormat="false" ht="15" hidden="false" customHeight="false" outlineLevel="0" collapsed="false">
      <c r="A28" s="2" t="s">
        <v>21</v>
      </c>
    </row>
    <row r="29" customFormat="false" ht="23.85" hidden="false" customHeight="false" outlineLevel="0" collapsed="false">
      <c r="A29"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4" min="4" style="0" width="11"/>
    <col collapsed="false" customWidth="true" hidden="false" outlineLevel="0" max="5" min="5" style="0" width="14"/>
    <col collapsed="false" customWidth="true" hidden="false" outlineLevel="0" max="6" min="6" style="0" width="16"/>
    <col collapsed="false" customWidth="true" hidden="false" outlineLevel="0" max="7" min="7" style="0" width="15"/>
    <col collapsed="false" customWidth="true" hidden="false" outlineLevel="0" max="8" min="8" style="0" width="12"/>
    <col collapsed="false" customWidth="true" hidden="false" outlineLevel="0" max="9" min="9" style="0" width="42"/>
    <col collapsed="false" customWidth="true" hidden="false" outlineLevel="0" max="10" min="10" style="0" width="12"/>
    <col collapsed="false" customWidth="true" hidden="false" outlineLevel="0" max="11" min="11" style="0" width="16"/>
  </cols>
  <sheetData>
    <row r="1" customFormat="false" ht="39.55" hidden="false" customHeight="false" outlineLevel="0" collapsed="false">
      <c r="A1" s="4" t="s">
        <v>23</v>
      </c>
      <c r="B1" s="4" t="s">
        <v>24</v>
      </c>
      <c r="C1" s="4" t="s">
        <v>25</v>
      </c>
      <c r="D1" s="4" t="s">
        <v>26</v>
      </c>
      <c r="E1" s="4" t="s">
        <v>27</v>
      </c>
      <c r="F1" s="4" t="s">
        <v>28</v>
      </c>
      <c r="G1" s="4" t="s">
        <v>29</v>
      </c>
      <c r="H1" s="4" t="s">
        <v>30</v>
      </c>
      <c r="I1" s="4" t="s">
        <v>31</v>
      </c>
      <c r="J1" s="4" t="s">
        <v>32</v>
      </c>
      <c r="K1" s="4" t="s">
        <v>33</v>
      </c>
    </row>
    <row r="2" customFormat="false" ht="15" hidden="false" customHeight="false" outlineLevel="0" collapsed="false">
      <c r="A2" s="5" t="s">
        <v>34</v>
      </c>
      <c r="B2" s="5" t="s">
        <v>35</v>
      </c>
      <c r="C2" s="6" t="n">
        <f aca="false">COUNTA(CI!C6:C12)</f>
        <v>7</v>
      </c>
      <c r="D2" s="7" t="n">
        <f aca="false">CI!H18</f>
        <v>2</v>
      </c>
      <c r="E2" s="7" t="n">
        <f aca="false">CI!H14</f>
        <v>4225</v>
      </c>
      <c r="F2" s="7" t="n">
        <f aca="false">CI!H15</f>
        <v>1600</v>
      </c>
      <c r="G2" s="7" t="n">
        <f aca="false">CI!H17</f>
        <v>750</v>
      </c>
      <c r="H2" s="8" t="n">
        <f aca="false">CI!H19</f>
        <v>0.343195266272189</v>
      </c>
      <c r="I2" s="6" t="str">
        <f aca="false">CI!H20</f>
        <v>Coût incomplet : 4 ligne(s) sans prix d'achat</v>
      </c>
      <c r="J2" s="5" t="n">
        <v>1</v>
      </c>
      <c r="K2" s="7" t="n">
        <f aca="false">CI!H26</f>
        <v>15895</v>
      </c>
    </row>
    <row r="3" customFormat="false" ht="15" hidden="false" customHeight="false" outlineLevel="0" collapsed="false">
      <c r="A3" s="9" t="s">
        <v>34</v>
      </c>
      <c r="B3" s="9" t="s">
        <v>36</v>
      </c>
      <c r="C3" s="10" t="n">
        <f aca="false">COUNTA(CI!C33:C42)</f>
        <v>10</v>
      </c>
      <c r="D3" s="11" t="n">
        <f aca="false">CI!H48</f>
        <v>2</v>
      </c>
      <c r="E3" s="11" t="n">
        <f aca="false">CI!H44</f>
        <v>18995</v>
      </c>
      <c r="F3" s="11" t="n">
        <f aca="false">CI!H45</f>
        <v>12570</v>
      </c>
      <c r="G3" s="11" t="n">
        <f aca="false">CI!H47</f>
        <v>4650</v>
      </c>
      <c r="H3" s="12" t="n">
        <f aca="false">CI!H49</f>
        <v>0.0842326928138984</v>
      </c>
      <c r="I3" s="10" t="str">
        <f aca="false">CI!H50</f>
        <v>Coût incomplet : 3 ligne(s) sans prix d'achat</v>
      </c>
      <c r="J3" s="9" t="n">
        <v>1</v>
      </c>
      <c r="K3" s="13"/>
    </row>
    <row r="4" customFormat="false" ht="15" hidden="false" customHeight="false" outlineLevel="0" collapsed="false">
      <c r="A4" s="9" t="s">
        <v>34</v>
      </c>
      <c r="B4" s="9" t="s">
        <v>37</v>
      </c>
      <c r="C4" s="10" t="n">
        <f aca="false">COUNTA(CI!C57:C68)</f>
        <v>12</v>
      </c>
      <c r="D4" s="11" t="n">
        <f aca="false">CI!H74</f>
        <v>2</v>
      </c>
      <c r="E4" s="11" t="n">
        <f aca="false">CI!H70</f>
        <v>24575</v>
      </c>
      <c r="F4" s="11" t="n">
        <f aca="false">CI!H71</f>
        <v>16150</v>
      </c>
      <c r="G4" s="11" t="n">
        <f aca="false">CI!H73</f>
        <v>6650</v>
      </c>
      <c r="H4" s="12" t="n">
        <f aca="false">CI!H75</f>
        <v>0.0651068158697864</v>
      </c>
      <c r="I4" s="10" t="str">
        <f aca="false">CI!H76</f>
        <v>Coût incomplet : 3 ligne(s) sans prix d'achat</v>
      </c>
      <c r="J4" s="9" t="n">
        <v>1</v>
      </c>
      <c r="K4" s="13"/>
    </row>
    <row r="5" customFormat="false" ht="15" hidden="false" customHeight="false" outlineLevel="0" collapsed="false">
      <c r="A5" s="5" t="s">
        <v>38</v>
      </c>
      <c r="B5" s="5" t="s">
        <v>35</v>
      </c>
      <c r="C5" s="6" t="n">
        <f aca="false">COUNTA(CP!C6:C12)</f>
        <v>7</v>
      </c>
      <c r="D5" s="7" t="n">
        <f aca="false">CP!H18</f>
        <v>2</v>
      </c>
      <c r="E5" s="7" t="n">
        <f aca="false">CP!H14</f>
        <v>4000</v>
      </c>
      <c r="F5" s="7" t="n">
        <f aca="false">CP!H15</f>
        <v>2600</v>
      </c>
      <c r="G5" s="7" t="n">
        <f aca="false">CP!H17</f>
        <v>1000</v>
      </c>
      <c r="H5" s="8" t="n">
        <f aca="false">CP!H19</f>
        <v>0.45</v>
      </c>
      <c r="I5" s="6" t="str">
        <f aca="false">CP!H20</f>
        <v>Coût incomplet : 3 ligne(s) sans prix d'achat</v>
      </c>
      <c r="J5" s="5" t="n">
        <v>0</v>
      </c>
      <c r="K5" s="7" t="n">
        <f aca="false">CP!H26</f>
        <v>15670</v>
      </c>
    </row>
    <row r="6" customFormat="false" ht="15" hidden="false" customHeight="false" outlineLevel="0" collapsed="false">
      <c r="A6" s="9" t="s">
        <v>38</v>
      </c>
      <c r="B6" s="9" t="s">
        <v>36</v>
      </c>
      <c r="C6" s="10" t="n">
        <f aca="false">COUNTA(CP!C33:C42)</f>
        <v>10</v>
      </c>
      <c r="D6" s="11" t="n">
        <f aca="false">CP!H48</f>
        <v>2</v>
      </c>
      <c r="E6" s="11" t="n">
        <f aca="false">CP!H44</f>
        <v>19920</v>
      </c>
      <c r="F6" s="11" t="n">
        <f aca="false">CP!H45</f>
        <v>14670</v>
      </c>
      <c r="G6" s="11" t="n">
        <f aca="false">CP!H47</f>
        <v>4950</v>
      </c>
      <c r="H6" s="12" t="n">
        <f aca="false">CP!H49</f>
        <v>0.170682730923695</v>
      </c>
      <c r="I6" s="10" t="str">
        <f aca="false">CP!H50</f>
        <v>Coût incomplet : 2 ligne(s) sans prix d'achat</v>
      </c>
      <c r="J6" s="9" t="n">
        <v>0</v>
      </c>
      <c r="K6" s="13"/>
    </row>
    <row r="7" customFormat="false" ht="15" hidden="false" customHeight="false" outlineLevel="0" collapsed="false">
      <c r="A7" s="9" t="s">
        <v>38</v>
      </c>
      <c r="B7" s="9" t="s">
        <v>37</v>
      </c>
      <c r="C7" s="10" t="n">
        <f aca="false">COUNTA(CP!C57:C68)</f>
        <v>12</v>
      </c>
      <c r="D7" s="11" t="n">
        <f aca="false">CP!H74</f>
        <v>2</v>
      </c>
      <c r="E7" s="11" t="n">
        <f aca="false">CP!H70</f>
        <v>25500</v>
      </c>
      <c r="F7" s="11" t="n">
        <f aca="false">CP!H71</f>
        <v>18250</v>
      </c>
      <c r="G7" s="11" t="n">
        <f aca="false">CP!H73</f>
        <v>6950</v>
      </c>
      <c r="H7" s="12" t="n">
        <f aca="false">CP!H75</f>
        <v>0.133333333333333</v>
      </c>
      <c r="I7" s="10" t="str">
        <f aca="false">CP!H76</f>
        <v>Coût incomplet : 2 ligne(s) sans prix d'achat</v>
      </c>
      <c r="J7" s="9" t="n">
        <v>0</v>
      </c>
      <c r="K7" s="13"/>
    </row>
    <row r="8" customFormat="false" ht="15" hidden="false" customHeight="false" outlineLevel="0" collapsed="false">
      <c r="A8" s="5" t="s">
        <v>39</v>
      </c>
      <c r="B8" s="5" t="s">
        <v>35</v>
      </c>
      <c r="C8" s="6" t="n">
        <f aca="false">COUNTA(CE1!C6:C13)</f>
        <v>8</v>
      </c>
      <c r="D8" s="7" t="n">
        <f aca="false">CE1!H19</f>
        <v>4</v>
      </c>
      <c r="E8" s="7" t="n">
        <f aca="false">CE1!H15</f>
        <v>5025</v>
      </c>
      <c r="F8" s="7" t="n">
        <f aca="false">CE1!H16</f>
        <v>3410</v>
      </c>
      <c r="G8" s="7" t="n">
        <f aca="false">CE1!H18</f>
        <v>1340</v>
      </c>
      <c r="H8" s="8" t="n">
        <f aca="false">CE1!H20</f>
        <v>0.358208955223881</v>
      </c>
      <c r="I8" s="6" t="str">
        <f aca="false">CE1!H21</f>
        <v>Coût incomplet : 3 ligne(s) sans prix d'achat</v>
      </c>
      <c r="J8" s="5" t="n">
        <v>0</v>
      </c>
      <c r="K8" s="7" t="n">
        <f aca="false">CE1!H27</f>
        <v>17025</v>
      </c>
    </row>
    <row r="9" customFormat="false" ht="15" hidden="false" customHeight="false" outlineLevel="0" collapsed="false">
      <c r="A9" s="9" t="s">
        <v>39</v>
      </c>
      <c r="B9" s="9" t="s">
        <v>36</v>
      </c>
      <c r="C9" s="10" t="n">
        <f aca="false">COUNTA(CE1!C34:C44)</f>
        <v>11</v>
      </c>
      <c r="D9" s="11" t="n">
        <f aca="false">CE1!H50</f>
        <v>4</v>
      </c>
      <c r="E9" s="11" t="n">
        <f aca="false">CE1!H46</f>
        <v>21425</v>
      </c>
      <c r="F9" s="11" t="n">
        <f aca="false">CE1!H47</f>
        <v>16010</v>
      </c>
      <c r="G9" s="11" t="n">
        <f aca="false">CE1!H49</f>
        <v>5140</v>
      </c>
      <c r="H9" s="12" t="n">
        <f aca="false">CE1!H51</f>
        <v>0.158693115519253</v>
      </c>
      <c r="I9" s="10" t="str">
        <f aca="false">CE1!H52</f>
        <v>Coût incomplet : 3 ligne(s) sans prix d'achat</v>
      </c>
      <c r="J9" s="9" t="n">
        <v>0</v>
      </c>
      <c r="K9" s="13"/>
    </row>
    <row r="10" customFormat="false" ht="15" hidden="false" customHeight="false" outlineLevel="0" collapsed="false">
      <c r="A10" s="9" t="s">
        <v>39</v>
      </c>
      <c r="B10" s="9" t="s">
        <v>37</v>
      </c>
      <c r="C10" s="10" t="n">
        <f aca="false">COUNTA(CE1!C59:C71)</f>
        <v>13</v>
      </c>
      <c r="D10" s="11" t="n">
        <f aca="false">CE1!H77</f>
        <v>4</v>
      </c>
      <c r="E10" s="11" t="n">
        <f aca="false">CE1!H73</f>
        <v>27445</v>
      </c>
      <c r="F10" s="11" t="n">
        <f aca="false">CE1!H74</f>
        <v>20030</v>
      </c>
      <c r="G10" s="11" t="n">
        <f aca="false">CE1!H76</f>
        <v>7140</v>
      </c>
      <c r="H10" s="12" t="n">
        <f aca="false">CE1!H78</f>
        <v>0.123884131900164</v>
      </c>
      <c r="I10" s="10" t="str">
        <f aca="false">CE1!H79</f>
        <v>Coût incomplet : 3 ligne(s) sans prix d'achat</v>
      </c>
      <c r="J10" s="9" t="n">
        <v>0</v>
      </c>
      <c r="K10" s="13"/>
    </row>
    <row r="11" customFormat="false" ht="15" hidden="false" customHeight="false" outlineLevel="0" collapsed="false">
      <c r="A11" s="5" t="s">
        <v>40</v>
      </c>
      <c r="B11" s="5" t="s">
        <v>35</v>
      </c>
      <c r="C11" s="6" t="n">
        <f aca="false">COUNTA(CE2!C6:C13)</f>
        <v>8</v>
      </c>
      <c r="D11" s="7" t="n">
        <f aca="false">CE2!H19</f>
        <v>4</v>
      </c>
      <c r="E11" s="7" t="n">
        <f aca="false">CE2!H15</f>
        <v>5025</v>
      </c>
      <c r="F11" s="7" t="n">
        <f aca="false">CE2!H16</f>
        <v>3410</v>
      </c>
      <c r="G11" s="7" t="n">
        <f aca="false">CE2!H18</f>
        <v>1340</v>
      </c>
      <c r="H11" s="8" t="n">
        <f aca="false">CE2!H20</f>
        <v>0.358208955223881</v>
      </c>
      <c r="I11" s="6" t="str">
        <f aca="false">CE2!H21</f>
        <v>Coût incomplet : 3 ligne(s) sans prix d'achat</v>
      </c>
      <c r="J11" s="5" t="n">
        <v>0</v>
      </c>
      <c r="K11" s="7" t="n">
        <f aca="false">CE2!H27</f>
        <v>17025</v>
      </c>
    </row>
    <row r="12" customFormat="false" ht="15" hidden="false" customHeight="false" outlineLevel="0" collapsed="false">
      <c r="A12" s="9" t="s">
        <v>40</v>
      </c>
      <c r="B12" s="9" t="s">
        <v>36</v>
      </c>
      <c r="C12" s="10" t="n">
        <f aca="false">COUNTA(CE2!C34:C44)</f>
        <v>11</v>
      </c>
      <c r="D12" s="11" t="n">
        <f aca="false">CE2!H50</f>
        <v>4</v>
      </c>
      <c r="E12" s="11" t="n">
        <f aca="false">CE2!H46</f>
        <v>21425</v>
      </c>
      <c r="F12" s="11" t="n">
        <f aca="false">CE2!H47</f>
        <v>16010</v>
      </c>
      <c r="G12" s="11" t="n">
        <f aca="false">CE2!H49</f>
        <v>5140</v>
      </c>
      <c r="H12" s="12" t="n">
        <f aca="false">CE2!H51</f>
        <v>0.158693115519253</v>
      </c>
      <c r="I12" s="10" t="str">
        <f aca="false">CE2!H52</f>
        <v>Coût incomplet : 3 ligne(s) sans prix d'achat</v>
      </c>
      <c r="J12" s="9" t="n">
        <v>0</v>
      </c>
      <c r="K12" s="13"/>
    </row>
    <row r="13" customFormat="false" ht="15" hidden="false" customHeight="false" outlineLevel="0" collapsed="false">
      <c r="A13" s="9" t="s">
        <v>40</v>
      </c>
      <c r="B13" s="9" t="s">
        <v>37</v>
      </c>
      <c r="C13" s="10" t="n">
        <f aca="false">COUNTA(CE2!C59:C71)</f>
        <v>13</v>
      </c>
      <c r="D13" s="11" t="n">
        <f aca="false">CE2!H77</f>
        <v>4</v>
      </c>
      <c r="E13" s="11" t="n">
        <f aca="false">CE2!H73</f>
        <v>27445</v>
      </c>
      <c r="F13" s="11" t="n">
        <f aca="false">CE2!H74</f>
        <v>20030</v>
      </c>
      <c r="G13" s="11" t="n">
        <f aca="false">CE2!H76</f>
        <v>7140</v>
      </c>
      <c r="H13" s="12" t="n">
        <f aca="false">CE2!H78</f>
        <v>0.123884131900164</v>
      </c>
      <c r="I13" s="10" t="str">
        <f aca="false">CE2!H79</f>
        <v>Coût incomplet : 3 ligne(s) sans prix d'achat</v>
      </c>
      <c r="J13" s="9" t="n">
        <v>0</v>
      </c>
      <c r="K13" s="13"/>
    </row>
    <row r="14" customFormat="false" ht="15" hidden="false" customHeight="false" outlineLevel="0" collapsed="false">
      <c r="A14" s="5" t="s">
        <v>41</v>
      </c>
      <c r="B14" s="5" t="s">
        <v>35</v>
      </c>
      <c r="C14" s="6" t="n">
        <f aca="false">COUNTA(CM1!C6:C13)</f>
        <v>8</v>
      </c>
      <c r="D14" s="7" t="n">
        <f aca="false">CM1!H19</f>
        <v>4</v>
      </c>
      <c r="E14" s="7" t="n">
        <f aca="false">CM1!H15</f>
        <v>5025</v>
      </c>
      <c r="F14" s="7" t="n">
        <f aca="false">CM1!H16</f>
        <v>3410</v>
      </c>
      <c r="G14" s="7" t="n">
        <f aca="false">CM1!H18</f>
        <v>1340</v>
      </c>
      <c r="H14" s="8" t="n">
        <f aca="false">CM1!H20</f>
        <v>0.358208955223881</v>
      </c>
      <c r="I14" s="6" t="str">
        <f aca="false">CM1!H21</f>
        <v>Coût incomplet : 3 ligne(s) sans prix d'achat</v>
      </c>
      <c r="J14" s="5" t="n">
        <v>0</v>
      </c>
      <c r="K14" s="7" t="n">
        <f aca="false">CM1!H27</f>
        <v>17025</v>
      </c>
    </row>
    <row r="15" customFormat="false" ht="15" hidden="false" customHeight="false" outlineLevel="0" collapsed="false">
      <c r="A15" s="9" t="s">
        <v>41</v>
      </c>
      <c r="B15" s="9" t="s">
        <v>36</v>
      </c>
      <c r="C15" s="10" t="n">
        <f aca="false">COUNTA(CM1!C34:C44)</f>
        <v>11</v>
      </c>
      <c r="D15" s="11" t="n">
        <f aca="false">CM1!H50</f>
        <v>4</v>
      </c>
      <c r="E15" s="11" t="n">
        <f aca="false">CM1!H46</f>
        <v>21425</v>
      </c>
      <c r="F15" s="11" t="n">
        <f aca="false">CM1!H47</f>
        <v>16010</v>
      </c>
      <c r="G15" s="11" t="n">
        <f aca="false">CM1!H49</f>
        <v>5140</v>
      </c>
      <c r="H15" s="12" t="n">
        <f aca="false">CM1!H51</f>
        <v>0.158693115519253</v>
      </c>
      <c r="I15" s="10" t="str">
        <f aca="false">CM1!H52</f>
        <v>Coût incomplet : 3 ligne(s) sans prix d'achat</v>
      </c>
      <c r="J15" s="9" t="n">
        <v>0</v>
      </c>
      <c r="K15" s="13"/>
    </row>
    <row r="16" customFormat="false" ht="15" hidden="false" customHeight="false" outlineLevel="0" collapsed="false">
      <c r="A16" s="9" t="s">
        <v>41</v>
      </c>
      <c r="B16" s="9" t="s">
        <v>37</v>
      </c>
      <c r="C16" s="10" t="n">
        <f aca="false">COUNTA(CM1!C59:C71)</f>
        <v>13</v>
      </c>
      <c r="D16" s="11" t="n">
        <f aca="false">CM1!H77</f>
        <v>4</v>
      </c>
      <c r="E16" s="11" t="n">
        <f aca="false">CM1!H73</f>
        <v>27905</v>
      </c>
      <c r="F16" s="11" t="n">
        <f aca="false">CM1!H74</f>
        <v>20490</v>
      </c>
      <c r="G16" s="11" t="n">
        <f aca="false">CM1!H76</f>
        <v>7140</v>
      </c>
      <c r="H16" s="12" t="n">
        <f aca="false">CM1!H78</f>
        <v>0.12184196380577</v>
      </c>
      <c r="I16" s="10" t="str">
        <f aca="false">CM1!H79</f>
        <v>Coût incomplet : 3 ligne(s) sans prix d'achat</v>
      </c>
      <c r="J16" s="9" t="n">
        <v>0</v>
      </c>
      <c r="K16" s="13"/>
    </row>
    <row r="17" customFormat="false" ht="15" hidden="false" customHeight="false" outlineLevel="0" collapsed="false">
      <c r="A17" s="5" t="s">
        <v>42</v>
      </c>
      <c r="B17" s="5" t="s">
        <v>35</v>
      </c>
      <c r="C17" s="6" t="n">
        <f aca="false">COUNTA(CM2!C6:C13)</f>
        <v>8</v>
      </c>
      <c r="D17" s="7" t="n">
        <f aca="false">CM2!H19</f>
        <v>4</v>
      </c>
      <c r="E17" s="7" t="n">
        <f aca="false">CM2!H15</f>
        <v>5025</v>
      </c>
      <c r="F17" s="7" t="n">
        <f aca="false">CM2!H16</f>
        <v>3410</v>
      </c>
      <c r="G17" s="7" t="n">
        <f aca="false">CM2!H18</f>
        <v>1340</v>
      </c>
      <c r="H17" s="8" t="n">
        <f aca="false">CM2!H20</f>
        <v>0.358208955223881</v>
      </c>
      <c r="I17" s="6" t="str">
        <f aca="false">CM2!H21</f>
        <v>Coût incomplet : 3 ligne(s) sans prix d'achat</v>
      </c>
      <c r="J17" s="5" t="n">
        <v>0</v>
      </c>
      <c r="K17" s="7" t="n">
        <f aca="false">CM2!H27</f>
        <v>17025</v>
      </c>
    </row>
    <row r="18" customFormat="false" ht="15" hidden="false" customHeight="false" outlineLevel="0" collapsed="false">
      <c r="A18" s="9" t="s">
        <v>42</v>
      </c>
      <c r="B18" s="9" t="s">
        <v>36</v>
      </c>
      <c r="C18" s="10" t="n">
        <f aca="false">COUNTA(CM2!C34:C44)</f>
        <v>11</v>
      </c>
      <c r="D18" s="11" t="n">
        <f aca="false">CM2!H50</f>
        <v>4</v>
      </c>
      <c r="E18" s="11" t="n">
        <f aca="false">CM2!H46</f>
        <v>21425</v>
      </c>
      <c r="F18" s="11" t="n">
        <f aca="false">CM2!H47</f>
        <v>16010</v>
      </c>
      <c r="G18" s="11" t="n">
        <f aca="false">CM2!H49</f>
        <v>5140</v>
      </c>
      <c r="H18" s="12" t="n">
        <f aca="false">CM2!H51</f>
        <v>0.158693115519253</v>
      </c>
      <c r="I18" s="10" t="str">
        <f aca="false">CM2!H52</f>
        <v>Coût incomplet : 3 ligne(s) sans prix d'achat</v>
      </c>
      <c r="J18" s="9" t="n">
        <v>0</v>
      </c>
      <c r="K18" s="13"/>
    </row>
    <row r="19" customFormat="false" ht="15" hidden="false" customHeight="false" outlineLevel="0" collapsed="false">
      <c r="A19" s="9" t="s">
        <v>42</v>
      </c>
      <c r="B19" s="9" t="s">
        <v>37</v>
      </c>
      <c r="C19" s="10" t="n">
        <f aca="false">COUNTA(CM2!C59:C71)</f>
        <v>13</v>
      </c>
      <c r="D19" s="11" t="n">
        <f aca="false">CM2!H77</f>
        <v>4</v>
      </c>
      <c r="E19" s="11" t="n">
        <f aca="false">CM2!H73</f>
        <v>30575</v>
      </c>
      <c r="F19" s="11" t="n">
        <f aca="false">CM2!H74</f>
        <v>23160</v>
      </c>
      <c r="G19" s="11" t="n">
        <f aca="false">CM2!H76</f>
        <v>7140</v>
      </c>
      <c r="H19" s="12" t="n">
        <f aca="false">CM2!H78</f>
        <v>0.111201962387572</v>
      </c>
      <c r="I19" s="10" t="str">
        <f aca="false">CM2!H79</f>
        <v>Coût incomplet : 3 ligne(s) sans prix d'achat</v>
      </c>
      <c r="J19" s="9" t="n">
        <v>0</v>
      </c>
      <c r="K19" s="13"/>
    </row>
    <row r="20" customFormat="false" ht="15" hidden="false" customHeight="false" outlineLevel="0" collapsed="false">
      <c r="A20" s="5" t="s">
        <v>43</v>
      </c>
      <c r="B20" s="5" t="s">
        <v>35</v>
      </c>
      <c r="C20" s="6" t="n">
        <f aca="false">COUNTA(6e!C6:C26)</f>
        <v>21</v>
      </c>
      <c r="D20" s="7" t="n">
        <f aca="false">6e!H32</f>
        <v>11</v>
      </c>
      <c r="E20" s="7" t="n">
        <f aca="false">6e!H28</f>
        <v>11550</v>
      </c>
      <c r="F20" s="7" t="n">
        <f aca="false">6e!H29</f>
        <v>8135</v>
      </c>
      <c r="G20" s="7" t="n">
        <f aca="false">6e!H31</f>
        <v>2940</v>
      </c>
      <c r="H20" s="8" t="n">
        <f aca="false">6e!H33</f>
        <v>0.569264069264069</v>
      </c>
      <c r="I20" s="6" t="str">
        <f aca="false">6e!H34</f>
        <v>Coût incomplet : 2 ligne(s) sans prix d'achat</v>
      </c>
      <c r="J20" s="5" t="n">
        <v>0</v>
      </c>
      <c r="K20" s="7" t="n">
        <f aca="false">6e!H38</f>
        <v>15050</v>
      </c>
    </row>
    <row r="21" customFormat="false" ht="15" hidden="false" customHeight="false" outlineLevel="0" collapsed="false">
      <c r="A21" s="9" t="s">
        <v>43</v>
      </c>
      <c r="B21" s="9" t="s">
        <v>36</v>
      </c>
      <c r="C21" s="10" t="n">
        <f aca="false">COUNTA(6e!C45:C70)</f>
        <v>26</v>
      </c>
      <c r="D21" s="11" t="n">
        <f aca="false">6e!H76</f>
        <v>11</v>
      </c>
      <c r="E21" s="11" t="n">
        <f aca="false">6e!H72</f>
        <v>29625</v>
      </c>
      <c r="F21" s="11" t="n">
        <f aca="false">6e!H73</f>
        <v>22160</v>
      </c>
      <c r="G21" s="11" t="n">
        <f aca="false">6e!H75</f>
        <v>4890</v>
      </c>
      <c r="H21" s="12" t="n">
        <f aca="false">6e!H77</f>
        <v>0.270042194092827</v>
      </c>
      <c r="I21" s="10" t="str">
        <f aca="false">6e!H78</f>
        <v>Total incomplet : 1 prix de vente à fournir</v>
      </c>
      <c r="J21" s="9" t="n">
        <v>2</v>
      </c>
      <c r="K21" s="13"/>
    </row>
    <row r="22" customFormat="false" ht="15" hidden="false" customHeight="false" outlineLevel="0" collapsed="false">
      <c r="A22" s="9" t="s">
        <v>43</v>
      </c>
      <c r="B22" s="9" t="s">
        <v>37</v>
      </c>
      <c r="C22" s="10" t="n">
        <f aca="false">COUNTA(6e!C86:C121)</f>
        <v>36</v>
      </c>
      <c r="D22" s="11" t="n">
        <f aca="false">6e!H127</f>
        <v>11</v>
      </c>
      <c r="E22" s="11" t="n">
        <f aca="false">6e!H123</f>
        <v>61855</v>
      </c>
      <c r="F22" s="11" t="n">
        <f aca="false">6e!H124</f>
        <v>46340</v>
      </c>
      <c r="G22" s="11" t="n">
        <f aca="false">6e!H126</f>
        <v>12940</v>
      </c>
      <c r="H22" s="12" t="n">
        <f aca="false">6e!H128</f>
        <v>0.129334734459623</v>
      </c>
      <c r="I22" s="10" t="str">
        <f aca="false">6e!H129</f>
        <v>Total incomplet : 1 prix de vente à fournir</v>
      </c>
      <c r="J22" s="9" t="n">
        <v>5</v>
      </c>
      <c r="K22" s="13"/>
    </row>
    <row r="23" customFormat="false" ht="15" hidden="false" customHeight="false" outlineLevel="0" collapsed="false">
      <c r="A23" s="5" t="s">
        <v>44</v>
      </c>
      <c r="B23" s="5" t="s">
        <v>35</v>
      </c>
      <c r="C23" s="6" t="n">
        <f aca="false">COUNTA(5e!C6:C26)</f>
        <v>21</v>
      </c>
      <c r="D23" s="7" t="n">
        <f aca="false">5e!H32</f>
        <v>11</v>
      </c>
      <c r="E23" s="7" t="n">
        <f aca="false">5e!H28</f>
        <v>11550</v>
      </c>
      <c r="F23" s="7" t="n">
        <f aca="false">5e!H29</f>
        <v>8135</v>
      </c>
      <c r="G23" s="7" t="n">
        <f aca="false">5e!H31</f>
        <v>2940</v>
      </c>
      <c r="H23" s="8" t="n">
        <f aca="false">5e!H33</f>
        <v>0.569264069264069</v>
      </c>
      <c r="I23" s="6" t="str">
        <f aca="false">5e!H34</f>
        <v>Coût incomplet : 2 ligne(s) sans prix d'achat</v>
      </c>
      <c r="J23" s="5" t="n">
        <v>0</v>
      </c>
      <c r="K23" s="7" t="n">
        <f aca="false">5e!H38</f>
        <v>15050</v>
      </c>
    </row>
    <row r="24" customFormat="false" ht="15" hidden="false" customHeight="false" outlineLevel="0" collapsed="false">
      <c r="A24" s="9" t="s">
        <v>44</v>
      </c>
      <c r="B24" s="9" t="s">
        <v>36</v>
      </c>
      <c r="C24" s="10" t="n">
        <f aca="false">COUNTA(5e!C45:C70)</f>
        <v>26</v>
      </c>
      <c r="D24" s="11" t="n">
        <f aca="false">5e!H76</f>
        <v>11</v>
      </c>
      <c r="E24" s="11" t="n">
        <f aca="false">5e!H72</f>
        <v>29625</v>
      </c>
      <c r="F24" s="11" t="n">
        <f aca="false">5e!H73</f>
        <v>22160</v>
      </c>
      <c r="G24" s="11" t="n">
        <f aca="false">5e!H75</f>
        <v>4890</v>
      </c>
      <c r="H24" s="12" t="n">
        <f aca="false">5e!H77</f>
        <v>0.270042194092827</v>
      </c>
      <c r="I24" s="10" t="str">
        <f aca="false">5e!H78</f>
        <v>Total incomplet : 1 prix de vente à fournir</v>
      </c>
      <c r="J24" s="9" t="n">
        <v>2</v>
      </c>
      <c r="K24" s="13"/>
    </row>
    <row r="25" customFormat="false" ht="15" hidden="false" customHeight="false" outlineLevel="0" collapsed="false">
      <c r="A25" s="9" t="s">
        <v>44</v>
      </c>
      <c r="B25" s="9" t="s">
        <v>37</v>
      </c>
      <c r="C25" s="10" t="n">
        <f aca="false">COUNTA(5e!C86:C123)</f>
        <v>38</v>
      </c>
      <c r="D25" s="11" t="n">
        <f aca="false">5e!H129</f>
        <v>11</v>
      </c>
      <c r="E25" s="11" t="n">
        <f aca="false">5e!H125</f>
        <v>68655</v>
      </c>
      <c r="F25" s="11" t="n">
        <f aca="false">5e!H126</f>
        <v>51140</v>
      </c>
      <c r="G25" s="11" t="n">
        <f aca="false">5e!H128</f>
        <v>14940</v>
      </c>
      <c r="H25" s="12" t="n">
        <f aca="false">5e!H130</f>
        <v>0.116524652246741</v>
      </c>
      <c r="I25" s="10" t="str">
        <f aca="false">5e!H131</f>
        <v>Total incomplet : 1 prix de vente à fournir</v>
      </c>
      <c r="J25" s="9" t="n">
        <v>3</v>
      </c>
      <c r="K25" s="13"/>
    </row>
    <row r="26" customFormat="false" ht="15" hidden="false" customHeight="false" outlineLevel="0" collapsed="false">
      <c r="A26" s="5" t="s">
        <v>45</v>
      </c>
      <c r="B26" s="5" t="s">
        <v>35</v>
      </c>
      <c r="C26" s="6" t="n">
        <f aca="false">COUNTA(4e!C6:C28)</f>
        <v>23</v>
      </c>
      <c r="D26" s="7" t="n">
        <f aca="false">4e!H34</f>
        <v>13</v>
      </c>
      <c r="E26" s="7" t="n">
        <f aca="false">4e!H30</f>
        <v>14025</v>
      </c>
      <c r="F26" s="7" t="n">
        <f aca="false">4e!H31</f>
        <v>10110</v>
      </c>
      <c r="G26" s="7" t="n">
        <f aca="false">4e!H33</f>
        <v>3440</v>
      </c>
      <c r="H26" s="8" t="n">
        <f aca="false">4e!H35</f>
        <v>0.449197860962567</v>
      </c>
      <c r="I26" s="6" t="str">
        <f aca="false">4e!H36</f>
        <v>Coût incomplet : 2 ligne(s) sans prix d'achat</v>
      </c>
      <c r="J26" s="5" t="n">
        <v>0</v>
      </c>
      <c r="K26" s="7" t="n">
        <f aca="false">4e!H40</f>
        <v>17525</v>
      </c>
    </row>
    <row r="27" customFormat="false" ht="15" hidden="false" customHeight="false" outlineLevel="0" collapsed="false">
      <c r="A27" s="9" t="s">
        <v>45</v>
      </c>
      <c r="B27" s="9" t="s">
        <v>36</v>
      </c>
      <c r="C27" s="10" t="n">
        <f aca="false">COUNTA(4e!C47:C74)</f>
        <v>28</v>
      </c>
      <c r="D27" s="11" t="n">
        <f aca="false">4e!H80</f>
        <v>13</v>
      </c>
      <c r="E27" s="11" t="n">
        <f aca="false">4e!H76</f>
        <v>33125</v>
      </c>
      <c r="F27" s="11" t="n">
        <f aca="false">4e!H77</f>
        <v>24860</v>
      </c>
      <c r="G27" s="11" t="n">
        <f aca="false">4e!H79</f>
        <v>5390</v>
      </c>
      <c r="H27" s="12" t="n">
        <f aca="false">4e!H81</f>
        <v>0.241509433962264</v>
      </c>
      <c r="I27" s="10" t="str">
        <f aca="false">4e!H82</f>
        <v>Total incomplet : 1 prix de vente à fournir</v>
      </c>
      <c r="J27" s="9" t="n">
        <v>3</v>
      </c>
      <c r="K27" s="13"/>
    </row>
    <row r="28" customFormat="false" ht="15" hidden="false" customHeight="false" outlineLevel="0" collapsed="false">
      <c r="A28" s="9" t="s">
        <v>45</v>
      </c>
      <c r="B28" s="9" t="s">
        <v>37</v>
      </c>
      <c r="C28" s="10" t="n">
        <f aca="false">COUNTA(4e!C91:C130)</f>
        <v>40</v>
      </c>
      <c r="D28" s="11" t="n">
        <f aca="false">4e!H136</f>
        <v>13</v>
      </c>
      <c r="E28" s="11" t="n">
        <f aca="false">4e!H132</f>
        <v>79445</v>
      </c>
      <c r="F28" s="11" t="n">
        <f aca="false">4e!H133</f>
        <v>60430</v>
      </c>
      <c r="G28" s="11" t="n">
        <f aca="false">4e!H135</f>
        <v>16140</v>
      </c>
      <c r="H28" s="12" t="n">
        <f aca="false">4e!H137</f>
        <v>0.100698596513311</v>
      </c>
      <c r="I28" s="10" t="str">
        <f aca="false">4e!H138</f>
        <v>Total incomplet : 1 prix de vente à fournir</v>
      </c>
      <c r="J28" s="9" t="n">
        <v>5</v>
      </c>
      <c r="K28" s="13"/>
    </row>
    <row r="29" customFormat="false" ht="15" hidden="false" customHeight="false" outlineLevel="0" collapsed="false">
      <c r="A29" s="5" t="s">
        <v>46</v>
      </c>
      <c r="B29" s="5" t="s">
        <v>35</v>
      </c>
      <c r="C29" s="6" t="n">
        <f aca="false">COUNTA(3e!C6:C29)</f>
        <v>24</v>
      </c>
      <c r="D29" s="7" t="n">
        <f aca="false">3e!H35</f>
        <v>13</v>
      </c>
      <c r="E29" s="7" t="n">
        <f aca="false">3e!H31</f>
        <v>14075</v>
      </c>
      <c r="F29" s="7" t="n">
        <f aca="false">3e!H32</f>
        <v>10160</v>
      </c>
      <c r="G29" s="7" t="n">
        <f aca="false">3e!H34</f>
        <v>3440</v>
      </c>
      <c r="H29" s="8" t="n">
        <f aca="false">3e!H36</f>
        <v>0.483126110124334</v>
      </c>
      <c r="I29" s="6" t="str">
        <f aca="false">3e!H37</f>
        <v>Coût incomplet : 2 ligne(s) sans prix d'achat</v>
      </c>
      <c r="J29" s="5" t="n">
        <v>0</v>
      </c>
      <c r="K29" s="7" t="n">
        <f aca="false">3e!H42</f>
        <v>20375</v>
      </c>
    </row>
    <row r="30" customFormat="false" ht="15" hidden="false" customHeight="false" outlineLevel="0" collapsed="false">
      <c r="A30" s="9" t="s">
        <v>46</v>
      </c>
      <c r="B30" s="9" t="s">
        <v>36</v>
      </c>
      <c r="C30" s="10" t="n">
        <f aca="false">COUNTA(3e!C49:C78)</f>
        <v>30</v>
      </c>
      <c r="D30" s="11" t="n">
        <f aca="false">3e!H84</f>
        <v>13</v>
      </c>
      <c r="E30" s="11" t="n">
        <f aca="false">3e!H80</f>
        <v>36675</v>
      </c>
      <c r="F30" s="11" t="n">
        <f aca="false">3e!H81</f>
        <v>27510</v>
      </c>
      <c r="G30" s="11" t="n">
        <f aca="false">3e!H83</f>
        <v>6440</v>
      </c>
      <c r="H30" s="12" t="n">
        <f aca="false">3e!H85</f>
        <v>0.21813224267212</v>
      </c>
      <c r="I30" s="10" t="str">
        <f aca="false">3e!H86</f>
        <v>Total incomplet : 1 prix de vente à fournir</v>
      </c>
      <c r="J30" s="9" t="n">
        <v>2</v>
      </c>
      <c r="K30" s="13"/>
    </row>
    <row r="31" customFormat="false" ht="15" hidden="false" customHeight="false" outlineLevel="0" collapsed="false">
      <c r="A31" s="9" t="s">
        <v>46</v>
      </c>
      <c r="B31" s="9" t="s">
        <v>37</v>
      </c>
      <c r="C31" s="10" t="n">
        <f aca="false">COUNTA(3e!C94:C138)</f>
        <v>45</v>
      </c>
      <c r="D31" s="11" t="n">
        <f aca="false">3e!H144</f>
        <v>13</v>
      </c>
      <c r="E31" s="11" t="n">
        <f aca="false">3e!H140</f>
        <v>101095</v>
      </c>
      <c r="F31" s="11" t="n">
        <f aca="false">3e!H141</f>
        <v>77580</v>
      </c>
      <c r="G31" s="11" t="n">
        <f aca="false">3e!H143</f>
        <v>20790</v>
      </c>
      <c r="H31" s="12" t="n">
        <f aca="false">3e!H145</f>
        <v>0.0791334883030813</v>
      </c>
      <c r="I31" s="10" t="str">
        <f aca="false">3e!H146</f>
        <v>Total incomplet : 1 prix de vente à fournir</v>
      </c>
      <c r="J31" s="9" t="n">
        <v>4</v>
      </c>
      <c r="K31" s="13"/>
    </row>
    <row r="32" customFormat="false" ht="15" hidden="false" customHeight="false" outlineLevel="0" collapsed="false">
      <c r="A32" s="5" t="s">
        <v>47</v>
      </c>
      <c r="B32" s="5" t="s">
        <v>35</v>
      </c>
      <c r="C32" s="6" t="n">
        <f aca="false">COUNTA('2nde L'!C6:C28)</f>
        <v>23</v>
      </c>
      <c r="D32" s="7" t="n">
        <f aca="false">'2nde L'!H34</f>
        <v>13</v>
      </c>
      <c r="E32" s="7" t="n">
        <f aca="false">'2nde L'!H30</f>
        <v>13925</v>
      </c>
      <c r="F32" s="7" t="n">
        <f aca="false">'2nde L'!H31</f>
        <v>10110</v>
      </c>
      <c r="G32" s="7" t="n">
        <f aca="false">'2nde L'!H33</f>
        <v>3340</v>
      </c>
      <c r="H32" s="8" t="n">
        <f aca="false">'2nde L'!H35</f>
        <v>0.560143626570916</v>
      </c>
      <c r="I32" s="6" t="str">
        <f aca="false">'2nde L'!H36</f>
        <v>Coût incomplet : 2 ligne(s) sans prix d'achat</v>
      </c>
      <c r="J32" s="5" t="n">
        <v>0</v>
      </c>
      <c r="K32" s="7" t="n">
        <f aca="false">'2nde L'!H40</f>
        <v>17825</v>
      </c>
    </row>
    <row r="33" customFormat="false" ht="15" hidden="false" customHeight="false" outlineLevel="0" collapsed="false">
      <c r="A33" s="9" t="s">
        <v>47</v>
      </c>
      <c r="B33" s="9" t="s">
        <v>36</v>
      </c>
      <c r="C33" s="10" t="n">
        <f aca="false">COUNTA('2nde L'!C47:C75)</f>
        <v>29</v>
      </c>
      <c r="D33" s="11" t="n">
        <f aca="false">'2nde L'!H81</f>
        <v>13</v>
      </c>
      <c r="E33" s="11" t="n">
        <f aca="false">'2nde L'!H77</f>
        <v>36675</v>
      </c>
      <c r="F33" s="11" t="n">
        <f aca="false">'2nde L'!H78</f>
        <v>28560</v>
      </c>
      <c r="G33" s="11" t="n">
        <f aca="false">'2nde L'!H80</f>
        <v>6540</v>
      </c>
      <c r="H33" s="12" t="n">
        <f aca="false">'2nde L'!H82</f>
        <v>0.21813224267212</v>
      </c>
      <c r="I33" s="10" t="str">
        <f aca="false">'2nde L'!H83</f>
        <v>Total incomplet : 1 prix de vente à fournir</v>
      </c>
      <c r="J33" s="9" t="n">
        <v>2</v>
      </c>
      <c r="K33" s="13"/>
    </row>
    <row r="34" customFormat="false" ht="15" hidden="false" customHeight="false" outlineLevel="0" collapsed="false">
      <c r="A34" s="9" t="s">
        <v>47</v>
      </c>
      <c r="B34" s="9" t="s">
        <v>37</v>
      </c>
      <c r="C34" s="10" t="n">
        <f aca="false">COUNTA('2nde L'!C91:C126)</f>
        <v>36</v>
      </c>
      <c r="D34" s="11" t="n">
        <f aca="false">'2nde L'!H132</f>
        <v>13</v>
      </c>
      <c r="E34" s="11" t="n">
        <f aca="false">'2nde L'!H128</f>
        <v>64725</v>
      </c>
      <c r="F34" s="11" t="n">
        <f aca="false">'2nde L'!H129</f>
        <v>50360</v>
      </c>
      <c r="G34" s="11" t="n">
        <f aca="false">'2nde L'!H131</f>
        <v>12790</v>
      </c>
      <c r="H34" s="12" t="n">
        <f aca="false">'2nde L'!H133</f>
        <v>0.123599845500193</v>
      </c>
      <c r="I34" s="10" t="str">
        <f aca="false">'2nde L'!H134</f>
        <v>Total incomplet : 1 prix de vente à fournir</v>
      </c>
      <c r="J34" s="9" t="n">
        <v>4</v>
      </c>
      <c r="K34" s="13"/>
    </row>
    <row r="35" customFormat="false" ht="15" hidden="false" customHeight="false" outlineLevel="0" collapsed="false">
      <c r="A35" s="5" t="s">
        <v>48</v>
      </c>
      <c r="B35" s="5" t="s">
        <v>35</v>
      </c>
      <c r="C35" s="6" t="n">
        <f aca="false">COUNTA('2nde S'!C6:C26)</f>
        <v>21</v>
      </c>
      <c r="D35" s="7" t="n">
        <f aca="false">'2nde S'!H32</f>
        <v>12</v>
      </c>
      <c r="E35" s="7" t="n">
        <f aca="false">'2nde S'!H28</f>
        <v>13525</v>
      </c>
      <c r="F35" s="7" t="n">
        <f aca="false">'2nde S'!H29</f>
        <v>9810</v>
      </c>
      <c r="G35" s="7" t="n">
        <f aca="false">'2nde S'!H31</f>
        <v>3240</v>
      </c>
      <c r="H35" s="8" t="n">
        <f aca="false">'2nde S'!H33</f>
        <v>0.613678373382625</v>
      </c>
      <c r="I35" s="6" t="str">
        <f aca="false">'2nde S'!H34</f>
        <v>Coût incomplet : 2 ligne(s) sans prix d'achat</v>
      </c>
      <c r="J35" s="5" t="n">
        <v>0</v>
      </c>
      <c r="K35" s="7" t="n">
        <f aca="false">'2nde S'!H38</f>
        <v>17425</v>
      </c>
    </row>
    <row r="36" customFormat="false" ht="15" hidden="false" customHeight="false" outlineLevel="0" collapsed="false">
      <c r="A36" s="9" t="s">
        <v>48</v>
      </c>
      <c r="B36" s="9" t="s">
        <v>36</v>
      </c>
      <c r="C36" s="10" t="n">
        <f aca="false">COUNTA('2nde S'!C45:C71)</f>
        <v>27</v>
      </c>
      <c r="D36" s="11" t="n">
        <f aca="false">'2nde S'!H77</f>
        <v>12</v>
      </c>
      <c r="E36" s="11" t="n">
        <f aca="false">'2nde S'!H73</f>
        <v>36225</v>
      </c>
      <c r="F36" s="11" t="n">
        <f aca="false">'2nde S'!H74</f>
        <v>28260</v>
      </c>
      <c r="G36" s="11" t="n">
        <f aca="false">'2nde S'!H76</f>
        <v>6690</v>
      </c>
      <c r="H36" s="12" t="n">
        <f aca="false">'2nde S'!H78</f>
        <v>0.220841959972395</v>
      </c>
      <c r="I36" s="10" t="str">
        <f aca="false">'2nde S'!H79</f>
        <v>Total incomplet : 1 prix de vente à fournir</v>
      </c>
      <c r="J36" s="9" t="n">
        <v>3</v>
      </c>
      <c r="K36" s="13"/>
    </row>
    <row r="37" customFormat="false" ht="15" hidden="false" customHeight="false" outlineLevel="0" collapsed="false">
      <c r="A37" s="9" t="s">
        <v>48</v>
      </c>
      <c r="B37" s="9" t="s">
        <v>37</v>
      </c>
      <c r="C37" s="10" t="n">
        <f aca="false">COUNTA('2nde S'!C88:C122)</f>
        <v>35</v>
      </c>
      <c r="D37" s="11" t="n">
        <f aca="false">'2nde S'!H128</f>
        <v>12</v>
      </c>
      <c r="E37" s="11" t="n">
        <f aca="false">'2nde S'!H124</f>
        <v>93675</v>
      </c>
      <c r="F37" s="11" t="n">
        <f aca="false">'2nde S'!H125</f>
        <v>74460</v>
      </c>
      <c r="G37" s="11" t="n">
        <f aca="false">'2nde S'!H127</f>
        <v>17940</v>
      </c>
      <c r="H37" s="12" t="n">
        <f aca="false">'2nde S'!H129</f>
        <v>0.085401654657059</v>
      </c>
      <c r="I37" s="10" t="str">
        <f aca="false">'2nde S'!H130</f>
        <v>Total incomplet : 1 prix de vente à fournir</v>
      </c>
      <c r="J37" s="9" t="n">
        <v>3</v>
      </c>
      <c r="K37" s="13"/>
    </row>
    <row r="38" customFormat="false" ht="15" hidden="false" customHeight="false" outlineLevel="0" collapsed="false">
      <c r="A38" s="5" t="s">
        <v>49</v>
      </c>
      <c r="B38" s="5" t="s">
        <v>35</v>
      </c>
      <c r="C38" s="6" t="n">
        <f aca="false">COUNTA('1re L'!C6:C28)</f>
        <v>23</v>
      </c>
      <c r="D38" s="7" t="n">
        <f aca="false">'1re L'!H34</f>
        <v>12</v>
      </c>
      <c r="E38" s="7" t="n">
        <f aca="false">'1re L'!H30</f>
        <v>13425</v>
      </c>
      <c r="F38" s="7" t="n">
        <f aca="false">'1re L'!H31</f>
        <v>9710</v>
      </c>
      <c r="G38" s="7" t="n">
        <f aca="false">'1re L'!H33</f>
        <v>3240</v>
      </c>
      <c r="H38" s="8" t="n">
        <f aca="false">'1re L'!H35</f>
        <v>0.543761638733706</v>
      </c>
      <c r="I38" s="6" t="str">
        <f aca="false">'1re L'!H36</f>
        <v>Coût incomplet : 2 ligne(s) sans prix d'achat</v>
      </c>
      <c r="J38" s="5" t="n">
        <v>0</v>
      </c>
      <c r="K38" s="7" t="n">
        <f aca="false">'1re L'!H42</f>
        <v>21825</v>
      </c>
    </row>
    <row r="39" customFormat="false" ht="15" hidden="false" customHeight="false" outlineLevel="0" collapsed="false">
      <c r="A39" s="9" t="s">
        <v>49</v>
      </c>
      <c r="B39" s="9" t="s">
        <v>36</v>
      </c>
      <c r="C39" s="10" t="n">
        <f aca="false">COUNTA('1re L'!C49:C79)</f>
        <v>31</v>
      </c>
      <c r="D39" s="11" t="n">
        <f aca="false">'1re L'!H85</f>
        <v>12</v>
      </c>
      <c r="E39" s="11" t="n">
        <f aca="false">'1re L'!H81</f>
        <v>39825</v>
      </c>
      <c r="F39" s="11" t="n">
        <f aca="false">'1re L'!H82</f>
        <v>30060</v>
      </c>
      <c r="G39" s="11" t="n">
        <f aca="false">'1re L'!H84</f>
        <v>8190</v>
      </c>
      <c r="H39" s="12" t="n">
        <f aca="false">'1re L'!H86</f>
        <v>0.200878844946642</v>
      </c>
      <c r="I39" s="10" t="str">
        <f aca="false">'1re L'!H87</f>
        <v>Total incomplet : 1 prix de vente à fournir</v>
      </c>
      <c r="J39" s="9" t="n">
        <v>2</v>
      </c>
      <c r="K39" s="13"/>
    </row>
    <row r="40" customFormat="false" ht="15" hidden="false" customHeight="false" outlineLevel="0" collapsed="false">
      <c r="A40" s="9" t="s">
        <v>49</v>
      </c>
      <c r="B40" s="9" t="s">
        <v>37</v>
      </c>
      <c r="C40" s="10" t="n">
        <f aca="false">COUNTA('1re L'!C95:C131)</f>
        <v>37</v>
      </c>
      <c r="D40" s="11" t="n">
        <f aca="false">'1re L'!H137</f>
        <v>12</v>
      </c>
      <c r="E40" s="11" t="n">
        <f aca="false">'1re L'!H133</f>
        <v>65615</v>
      </c>
      <c r="F40" s="11" t="n">
        <f aca="false">'1re L'!H134</f>
        <v>50600</v>
      </c>
      <c r="G40" s="11" t="n">
        <f aca="false">'1re L'!H136</f>
        <v>13440</v>
      </c>
      <c r="H40" s="12" t="n">
        <f aca="false">'1re L'!H138</f>
        <v>0.121923340699535</v>
      </c>
      <c r="I40" s="10" t="str">
        <f aca="false">'1re L'!H139</f>
        <v>Total incomplet : 1 prix de vente à fournir</v>
      </c>
      <c r="J40" s="9" t="n">
        <v>3</v>
      </c>
      <c r="K40" s="13"/>
    </row>
    <row r="41" customFormat="false" ht="15" hidden="false" customHeight="false" outlineLevel="0" collapsed="false">
      <c r="A41" s="5" t="s">
        <v>50</v>
      </c>
      <c r="B41" s="5" t="s">
        <v>35</v>
      </c>
      <c r="C41" s="6" t="n">
        <f aca="false">COUNTA('1re S1'!C6:C27)</f>
        <v>22</v>
      </c>
      <c r="D41" s="7" t="n">
        <f aca="false">'1re S1'!H33</f>
        <v>11</v>
      </c>
      <c r="E41" s="7" t="n">
        <f aca="false">'1re S1'!H29</f>
        <v>12975</v>
      </c>
      <c r="F41" s="7" t="n">
        <f aca="false">'1re S1'!H30</f>
        <v>9360</v>
      </c>
      <c r="G41" s="7" t="n">
        <f aca="false">'1re S1'!H32</f>
        <v>3140</v>
      </c>
      <c r="H41" s="8" t="n">
        <f aca="false">'1re S1'!H34</f>
        <v>0.5626204238921</v>
      </c>
      <c r="I41" s="6" t="str">
        <f aca="false">'1re S1'!H35</f>
        <v>Coût incomplet : 2 ligne(s) sans prix d'achat</v>
      </c>
      <c r="J41" s="5" t="n">
        <v>0</v>
      </c>
      <c r="K41" s="7" t="n">
        <f aca="false">'1re S1'!H41</f>
        <v>21375</v>
      </c>
    </row>
    <row r="42" customFormat="false" ht="15" hidden="false" customHeight="false" outlineLevel="0" collapsed="false">
      <c r="A42" s="9" t="s">
        <v>50</v>
      </c>
      <c r="B42" s="9" t="s">
        <v>36</v>
      </c>
      <c r="C42" s="10" t="n">
        <f aca="false">COUNTA('1re S1'!C48:C77)</f>
        <v>30</v>
      </c>
      <c r="D42" s="11" t="n">
        <f aca="false">'1re S1'!H83</f>
        <v>11</v>
      </c>
      <c r="E42" s="11" t="n">
        <f aca="false">'1re S1'!H79</f>
        <v>38925</v>
      </c>
      <c r="F42" s="11" t="n">
        <f aca="false">'1re S1'!H80</f>
        <v>29410</v>
      </c>
      <c r="G42" s="11" t="n">
        <f aca="false">'1re S1'!H82</f>
        <v>8090</v>
      </c>
      <c r="H42" s="12" t="n">
        <f aca="false">'1re S1'!H84</f>
        <v>0.205523442517662</v>
      </c>
      <c r="I42" s="10" t="str">
        <f aca="false">'1re S1'!H85</f>
        <v>Total incomplet : 1 prix de vente à fournir</v>
      </c>
      <c r="J42" s="9" t="n">
        <v>3</v>
      </c>
      <c r="K42" s="13"/>
    </row>
    <row r="43" customFormat="false" ht="15" hidden="false" customHeight="false" outlineLevel="0" collapsed="false">
      <c r="A43" s="9" t="s">
        <v>50</v>
      </c>
      <c r="B43" s="9" t="s">
        <v>37</v>
      </c>
      <c r="C43" s="10" t="n">
        <f aca="false">COUNTA('1re S1'!C94:C129)</f>
        <v>36</v>
      </c>
      <c r="D43" s="11" t="n">
        <f aca="false">'1re S1'!H135</f>
        <v>11</v>
      </c>
      <c r="E43" s="11" t="n">
        <f aca="false">'1re S1'!H131</f>
        <v>80715</v>
      </c>
      <c r="F43" s="11" t="n">
        <f aca="false">'1re S1'!H132</f>
        <v>63350</v>
      </c>
      <c r="G43" s="11" t="n">
        <f aca="false">'1re S1'!H134</f>
        <v>15940</v>
      </c>
      <c r="H43" s="12" t="n">
        <f aca="false">'1re S1'!H136</f>
        <v>0.0991141671312643</v>
      </c>
      <c r="I43" s="10" t="str">
        <f aca="false">'1re S1'!H137</f>
        <v>Total incomplet : 1 prix de vente à fournir</v>
      </c>
      <c r="J43" s="9" t="n">
        <v>3</v>
      </c>
      <c r="K43" s="13"/>
    </row>
    <row r="44" customFormat="false" ht="15" hidden="false" customHeight="false" outlineLevel="0" collapsed="false">
      <c r="A44" s="5" t="s">
        <v>51</v>
      </c>
      <c r="B44" s="5" t="s">
        <v>35</v>
      </c>
      <c r="C44" s="6" t="n">
        <f aca="false">COUNTA('1re S2'!C6:C27)</f>
        <v>22</v>
      </c>
      <c r="D44" s="7" t="n">
        <f aca="false">'1re S2'!H33</f>
        <v>11</v>
      </c>
      <c r="E44" s="7" t="n">
        <f aca="false">'1re S2'!H29</f>
        <v>12975</v>
      </c>
      <c r="F44" s="7" t="n">
        <f aca="false">'1re S2'!H30</f>
        <v>9360</v>
      </c>
      <c r="G44" s="7" t="n">
        <f aca="false">'1re S2'!H32</f>
        <v>3140</v>
      </c>
      <c r="H44" s="8" t="n">
        <f aca="false">'1re S2'!H34</f>
        <v>0.5626204238921</v>
      </c>
      <c r="I44" s="6" t="str">
        <f aca="false">'1re S2'!H35</f>
        <v>Coût incomplet : 2 ligne(s) sans prix d'achat</v>
      </c>
      <c r="J44" s="5" t="n">
        <v>0</v>
      </c>
      <c r="K44" s="7" t="n">
        <f aca="false">'1re S2'!H41</f>
        <v>21375</v>
      </c>
    </row>
    <row r="45" customFormat="false" ht="15" hidden="false" customHeight="false" outlineLevel="0" collapsed="false">
      <c r="A45" s="9" t="s">
        <v>51</v>
      </c>
      <c r="B45" s="9" t="s">
        <v>36</v>
      </c>
      <c r="C45" s="10" t="n">
        <f aca="false">COUNTA('1re S2'!C48:C77)</f>
        <v>30</v>
      </c>
      <c r="D45" s="11" t="n">
        <f aca="false">'1re S2'!H83</f>
        <v>11</v>
      </c>
      <c r="E45" s="11" t="n">
        <f aca="false">'1re S2'!H79</f>
        <v>38925</v>
      </c>
      <c r="F45" s="11" t="n">
        <f aca="false">'1re S2'!H80</f>
        <v>29410</v>
      </c>
      <c r="G45" s="11" t="n">
        <f aca="false">'1re S2'!H82</f>
        <v>8090</v>
      </c>
      <c r="H45" s="12" t="n">
        <f aca="false">'1re S2'!H84</f>
        <v>0.205523442517662</v>
      </c>
      <c r="I45" s="10" t="str">
        <f aca="false">'1re S2'!H85</f>
        <v>Total incomplet : 1 prix de vente à fournir</v>
      </c>
      <c r="J45" s="9" t="n">
        <v>3</v>
      </c>
      <c r="K45" s="13"/>
    </row>
    <row r="46" customFormat="false" ht="15" hidden="false" customHeight="false" outlineLevel="0" collapsed="false">
      <c r="A46" s="9" t="s">
        <v>51</v>
      </c>
      <c r="B46" s="9" t="s">
        <v>37</v>
      </c>
      <c r="C46" s="10" t="n">
        <f aca="false">COUNTA('1re S2'!C94:C129)</f>
        <v>36</v>
      </c>
      <c r="D46" s="11" t="n">
        <f aca="false">'1re S2'!H135</f>
        <v>11</v>
      </c>
      <c r="E46" s="11" t="n">
        <f aca="false">'1re S2'!H131</f>
        <v>71715</v>
      </c>
      <c r="F46" s="11" t="n">
        <f aca="false">'1re S2'!H132</f>
        <v>56150</v>
      </c>
      <c r="G46" s="11" t="n">
        <f aca="false">'1re S2'!H134</f>
        <v>14140</v>
      </c>
      <c r="H46" s="12" t="n">
        <f aca="false">'1re S2'!H136</f>
        <v>0.11155267377815</v>
      </c>
      <c r="I46" s="10" t="str">
        <f aca="false">'1re S2'!H137</f>
        <v>Total incomplet : 1 prix de vente à fournir</v>
      </c>
      <c r="J46" s="9" t="n">
        <v>3</v>
      </c>
      <c r="K46" s="13"/>
    </row>
    <row r="47" customFormat="false" ht="15" hidden="false" customHeight="false" outlineLevel="0" collapsed="false">
      <c r="A47" s="5" t="s">
        <v>52</v>
      </c>
      <c r="B47" s="5" t="s">
        <v>35</v>
      </c>
      <c r="C47" s="6" t="n">
        <f aca="false">COUNTA('Tle L'!C6:C29)</f>
        <v>24</v>
      </c>
      <c r="D47" s="7" t="n">
        <f aca="false">'Tle L'!H35</f>
        <v>13</v>
      </c>
      <c r="E47" s="7" t="n">
        <f aca="false">'Tle L'!H31</f>
        <v>13925</v>
      </c>
      <c r="F47" s="7" t="n">
        <f aca="false">'Tle L'!H32</f>
        <v>10110</v>
      </c>
      <c r="G47" s="7" t="n">
        <f aca="false">'Tle L'!H34</f>
        <v>3340</v>
      </c>
      <c r="H47" s="8" t="n">
        <f aca="false">'Tle L'!H36</f>
        <v>0.560143626570916</v>
      </c>
      <c r="I47" s="6" t="str">
        <f aca="false">'Tle L'!H37</f>
        <v>Coût incomplet : 2 ligne(s) sans prix d'achat</v>
      </c>
      <c r="J47" s="5" t="n">
        <v>0</v>
      </c>
      <c r="K47" s="7" t="n">
        <f aca="false">'Tle L'!H43</f>
        <v>22325</v>
      </c>
    </row>
    <row r="48" customFormat="false" ht="15" hidden="false" customHeight="false" outlineLevel="0" collapsed="false">
      <c r="A48" s="9" t="s">
        <v>52</v>
      </c>
      <c r="B48" s="9" t="s">
        <v>36</v>
      </c>
      <c r="C48" s="10" t="n">
        <f aca="false">COUNTA('Tle L'!C50:C81)</f>
        <v>32</v>
      </c>
      <c r="D48" s="11" t="n">
        <f aca="false">'Tle L'!H87</f>
        <v>13</v>
      </c>
      <c r="E48" s="11" t="n">
        <f aca="false">'Tle L'!H83</f>
        <v>41475</v>
      </c>
      <c r="F48" s="11" t="n">
        <f aca="false">'Tle L'!H84</f>
        <v>31560</v>
      </c>
      <c r="G48" s="11" t="n">
        <f aca="false">'Tle L'!H86</f>
        <v>8340</v>
      </c>
      <c r="H48" s="12" t="n">
        <f aca="false">'Tle L'!H88</f>
        <v>0.192887281494876</v>
      </c>
      <c r="I48" s="10" t="str">
        <f aca="false">'Tle L'!H89</f>
        <v>Total incomplet : 1 prix de vente à fournir</v>
      </c>
      <c r="J48" s="9" t="n">
        <v>5</v>
      </c>
      <c r="K48" s="13"/>
    </row>
    <row r="49" customFormat="false" ht="15" hidden="false" customHeight="false" outlineLevel="0" collapsed="false">
      <c r="A49" s="9" t="s">
        <v>52</v>
      </c>
      <c r="B49" s="9" t="s">
        <v>37</v>
      </c>
      <c r="C49" s="10" t="n">
        <f aca="false">COUNTA('Tle L'!C100:C137)</f>
        <v>38</v>
      </c>
      <c r="D49" s="11" t="n">
        <f aca="false">'Tle L'!H143</f>
        <v>13</v>
      </c>
      <c r="E49" s="11" t="n">
        <f aca="false">'Tle L'!H139</f>
        <v>66765</v>
      </c>
      <c r="F49" s="11" t="n">
        <f aca="false">'Tle L'!H140</f>
        <v>52000</v>
      </c>
      <c r="G49" s="11" t="n">
        <f aca="false">'Tle L'!H142</f>
        <v>13190</v>
      </c>
      <c r="H49" s="12" t="n">
        <f aca="false">'Tle L'!H144</f>
        <v>0.119823260690482</v>
      </c>
      <c r="I49" s="10" t="str">
        <f aca="false">'Tle L'!H145</f>
        <v>Total incomplet : 1 prix de vente à fournir</v>
      </c>
      <c r="J49" s="9" t="n">
        <v>8</v>
      </c>
      <c r="K49" s="13"/>
    </row>
    <row r="50" customFormat="false" ht="15" hidden="false" customHeight="false" outlineLevel="0" collapsed="false">
      <c r="A50" s="5" t="s">
        <v>53</v>
      </c>
      <c r="B50" s="5" t="s">
        <v>35</v>
      </c>
      <c r="C50" s="6" t="n">
        <f aca="false">COUNTA('Tle S1'!C6:C28)</f>
        <v>23</v>
      </c>
      <c r="D50" s="7" t="n">
        <f aca="false">'Tle S1'!H34</f>
        <v>13</v>
      </c>
      <c r="E50" s="7" t="n">
        <f aca="false">'Tle S1'!H30</f>
        <v>13975</v>
      </c>
      <c r="F50" s="7" t="n">
        <f aca="false">'Tle S1'!H31</f>
        <v>10160</v>
      </c>
      <c r="G50" s="7" t="n">
        <f aca="false">'Tle S1'!H33</f>
        <v>3340</v>
      </c>
      <c r="H50" s="8" t="n">
        <f aca="false">'Tle S1'!H35</f>
        <v>0.59391771019678</v>
      </c>
      <c r="I50" s="6" t="str">
        <f aca="false">'Tle S1'!H36</f>
        <v>Coût incomplet : 2 ligne(s) sans prix d'achat</v>
      </c>
      <c r="J50" s="5" t="n">
        <v>0</v>
      </c>
      <c r="K50" s="7" t="n">
        <f aca="false">'Tle S1'!H41</f>
        <v>19575</v>
      </c>
    </row>
    <row r="51" customFormat="false" ht="15" hidden="false" customHeight="false" outlineLevel="0" collapsed="false">
      <c r="A51" s="9" t="s">
        <v>53</v>
      </c>
      <c r="B51" s="9" t="s">
        <v>36</v>
      </c>
      <c r="C51" s="10" t="n">
        <f aca="false">COUNTA('Tle S1'!C48:C77)</f>
        <v>30</v>
      </c>
      <c r="D51" s="11" t="n">
        <f aca="false">'Tle S1'!H83</f>
        <v>13</v>
      </c>
      <c r="E51" s="11" t="n">
        <f aca="false">'Tle S1'!H79</f>
        <v>39425</v>
      </c>
      <c r="F51" s="11" t="n">
        <f aca="false">'Tle S1'!H80</f>
        <v>30610</v>
      </c>
      <c r="G51" s="11" t="n">
        <f aca="false">'Tle S1'!H82</f>
        <v>7390</v>
      </c>
      <c r="H51" s="12" t="n">
        <f aca="false">'Tle S1'!H84</f>
        <v>0.20291693088142</v>
      </c>
      <c r="I51" s="10" t="str">
        <f aca="false">'Tle S1'!H85</f>
        <v>Total incomplet : 1 prix de vente à fournir</v>
      </c>
      <c r="J51" s="9" t="n">
        <v>5</v>
      </c>
      <c r="K51" s="13"/>
    </row>
    <row r="52" customFormat="false" ht="15" hidden="false" customHeight="false" outlineLevel="0" collapsed="false">
      <c r="A52" s="9" t="s">
        <v>53</v>
      </c>
      <c r="B52" s="9" t="s">
        <v>37</v>
      </c>
      <c r="C52" s="10" t="n">
        <f aca="false">COUNTA('Tle S1'!C96:C131)</f>
        <v>36</v>
      </c>
      <c r="D52" s="11" t="n">
        <f aca="false">'Tle S1'!H137</f>
        <v>13</v>
      </c>
      <c r="E52" s="11" t="n">
        <f aca="false">'Tle S1'!H133</f>
        <v>71215</v>
      </c>
      <c r="F52" s="11" t="n">
        <f aca="false">'Tle S1'!H134</f>
        <v>56550</v>
      </c>
      <c r="G52" s="11" t="n">
        <f aca="false">'Tle S1'!H136</f>
        <v>13240</v>
      </c>
      <c r="H52" s="12" t="n">
        <f aca="false">'Tle S1'!H138</f>
        <v>0.112335884294039</v>
      </c>
      <c r="I52" s="10" t="str">
        <f aca="false">'Tle S1'!H139</f>
        <v>Total incomplet : 1 prix de vente à fournir</v>
      </c>
      <c r="J52" s="9" t="n">
        <v>6</v>
      </c>
      <c r="K52" s="13"/>
    </row>
    <row r="53" customFormat="false" ht="15" hidden="false" customHeight="false" outlineLevel="0" collapsed="false">
      <c r="A53" s="5" t="s">
        <v>54</v>
      </c>
      <c r="B53" s="5" t="s">
        <v>35</v>
      </c>
      <c r="C53" s="6" t="n">
        <f aca="false">COUNTA('Tle S2'!C6:C28)</f>
        <v>23</v>
      </c>
      <c r="D53" s="7" t="n">
        <f aca="false">'Tle S2'!H34</f>
        <v>13</v>
      </c>
      <c r="E53" s="7" t="n">
        <f aca="false">'Tle S2'!H30</f>
        <v>13975</v>
      </c>
      <c r="F53" s="7" t="n">
        <f aca="false">'Tle S2'!H31</f>
        <v>10160</v>
      </c>
      <c r="G53" s="7" t="n">
        <f aca="false">'Tle S2'!H33</f>
        <v>3340</v>
      </c>
      <c r="H53" s="8" t="n">
        <f aca="false">'Tle S2'!H35</f>
        <v>0.59391771019678</v>
      </c>
      <c r="I53" s="6" t="str">
        <f aca="false">'Tle S2'!H36</f>
        <v>Coût incomplet : 2 ligne(s) sans prix d'achat</v>
      </c>
      <c r="J53" s="5" t="n">
        <v>0</v>
      </c>
      <c r="K53" s="7" t="n">
        <f aca="false">'Tle S2'!H41</f>
        <v>19575</v>
      </c>
    </row>
    <row r="54" customFormat="false" ht="15" hidden="false" customHeight="false" outlineLevel="0" collapsed="false">
      <c r="A54" s="9" t="s">
        <v>54</v>
      </c>
      <c r="B54" s="9" t="s">
        <v>36</v>
      </c>
      <c r="C54" s="10" t="n">
        <f aca="false">COUNTA('Tle S2'!C48:C77)</f>
        <v>30</v>
      </c>
      <c r="D54" s="11" t="n">
        <f aca="false">'Tle S2'!H83</f>
        <v>13</v>
      </c>
      <c r="E54" s="11" t="n">
        <f aca="false">'Tle S2'!H79</f>
        <v>39425</v>
      </c>
      <c r="F54" s="11" t="n">
        <f aca="false">'Tle S2'!H80</f>
        <v>30610</v>
      </c>
      <c r="G54" s="11" t="n">
        <f aca="false">'Tle S2'!H82</f>
        <v>7390</v>
      </c>
      <c r="H54" s="12" t="n">
        <f aca="false">'Tle S2'!H84</f>
        <v>0.20291693088142</v>
      </c>
      <c r="I54" s="10" t="str">
        <f aca="false">'Tle S2'!H85</f>
        <v>Total incomplet : 1 prix de vente à fournir</v>
      </c>
      <c r="J54" s="9" t="n">
        <v>5</v>
      </c>
      <c r="K54" s="13"/>
    </row>
    <row r="55" customFormat="false" ht="15" hidden="false" customHeight="false" outlineLevel="0" collapsed="false">
      <c r="A55" s="9" t="s">
        <v>54</v>
      </c>
      <c r="B55" s="9" t="s">
        <v>37</v>
      </c>
      <c r="C55" s="10" t="n">
        <f aca="false">COUNTA('Tle S2'!C96:C132)</f>
        <v>37</v>
      </c>
      <c r="D55" s="11" t="n">
        <f aca="false">'Tle S2'!H138</f>
        <v>13</v>
      </c>
      <c r="E55" s="11" t="n">
        <f aca="false">'Tle S2'!H134</f>
        <v>81215</v>
      </c>
      <c r="F55" s="11" t="n">
        <f aca="false">'Tle S2'!H135</f>
        <v>64550</v>
      </c>
      <c r="G55" s="11" t="n">
        <f aca="false">'Tle S2'!H137</f>
        <v>15240</v>
      </c>
      <c r="H55" s="12" t="n">
        <f aca="false">'Tle S2'!H139</f>
        <v>0.0985039709413286</v>
      </c>
      <c r="I55" s="10" t="str">
        <f aca="false">'Tle S2'!H140</f>
        <v>Total incomplet : 1 prix de vente à fournir</v>
      </c>
      <c r="J55" s="9" t="n">
        <v>6</v>
      </c>
      <c r="K55" s="13"/>
    </row>
    <row r="56" customFormat="false" ht="15" hidden="false" customHeight="false" outlineLevel="0" collapsed="false">
      <c r="A56" s="5" t="s">
        <v>55</v>
      </c>
      <c r="B56" s="5" t="s">
        <v>35</v>
      </c>
      <c r="C56" s="6" t="n">
        <f aca="false">COUNTA('2nde STEG'!C6:C30)</f>
        <v>25</v>
      </c>
      <c r="D56" s="7" t="n">
        <f aca="false">'2nde STEG'!H36</f>
        <v>14</v>
      </c>
      <c r="E56" s="7" t="n">
        <f aca="false">'2nde STEG'!H32</f>
        <v>14425</v>
      </c>
      <c r="F56" s="7" t="n">
        <f aca="false">'2nde STEG'!H33</f>
        <v>10510</v>
      </c>
      <c r="G56" s="7" t="n">
        <f aca="false">'2nde STEG'!H35</f>
        <v>3440</v>
      </c>
      <c r="H56" s="8" t="n">
        <f aca="false">'2nde STEG'!H37</f>
        <v>0.575389948006932</v>
      </c>
      <c r="I56" s="6" t="str">
        <f aca="false">'2nde STEG'!H38</f>
        <v>Coût incomplet : 2 ligne(s) sans prix d'achat</v>
      </c>
      <c r="J56" s="5" t="n">
        <v>0</v>
      </c>
      <c r="K56" s="7" t="n">
        <f aca="false">'2nde STEG'!H42</f>
        <v>18325</v>
      </c>
    </row>
    <row r="57" customFormat="false" ht="15" hidden="false" customHeight="false" outlineLevel="0" collapsed="false">
      <c r="A57" s="9" t="s">
        <v>55</v>
      </c>
      <c r="B57" s="9" t="s">
        <v>36</v>
      </c>
      <c r="C57" s="10" t="n">
        <f aca="false">COUNTA('2nde STEG'!C49:C79)</f>
        <v>31</v>
      </c>
      <c r="D57" s="11" t="n">
        <f aca="false">'2nde STEG'!H85</f>
        <v>14</v>
      </c>
      <c r="E57" s="11" t="n">
        <f aca="false">'2nde STEG'!H81</f>
        <v>37725</v>
      </c>
      <c r="F57" s="11" t="n">
        <f aca="false">'2nde STEG'!H82</f>
        <v>29660</v>
      </c>
      <c r="G57" s="11" t="n">
        <f aca="false">'2nde STEG'!H84</f>
        <v>6190</v>
      </c>
      <c r="H57" s="12" t="n">
        <f aca="false">'2nde STEG'!H86</f>
        <v>0.212060967528164</v>
      </c>
      <c r="I57" s="10" t="str">
        <f aca="false">'2nde STEG'!H87</f>
        <v>Total incomplet : 1 prix de vente à fournir</v>
      </c>
      <c r="J57" s="9" t="n">
        <v>2</v>
      </c>
      <c r="K57" s="13"/>
    </row>
    <row r="58" customFormat="false" ht="15" hidden="false" customHeight="false" outlineLevel="0" collapsed="false">
      <c r="A58" s="9" t="s">
        <v>55</v>
      </c>
      <c r="B58" s="9" t="s">
        <v>37</v>
      </c>
      <c r="C58" s="10" t="n">
        <f aca="false">COUNTA('2nde STEG'!C95:C129)</f>
        <v>35</v>
      </c>
      <c r="D58" s="11" t="n">
        <f aca="false">'2nde STEG'!H135</f>
        <v>14</v>
      </c>
      <c r="E58" s="11" t="n">
        <f aca="false">'2nde STEG'!H131</f>
        <v>52675</v>
      </c>
      <c r="F58" s="11" t="n">
        <f aca="false">'2nde STEG'!H132</f>
        <v>41360</v>
      </c>
      <c r="G58" s="11" t="n">
        <f aca="false">'2nde STEG'!H134</f>
        <v>9440</v>
      </c>
      <c r="H58" s="12" t="n">
        <f aca="false">'2nde STEG'!H136</f>
        <v>0.15187470336972</v>
      </c>
      <c r="I58" s="10" t="str">
        <f aca="false">'2nde STEG'!H137</f>
        <v>Total incomplet : 1 prix de vente à fournir</v>
      </c>
      <c r="J58" s="9" t="n">
        <v>2</v>
      </c>
      <c r="K58" s="13"/>
    </row>
    <row r="59" customFormat="false" ht="15" hidden="false" customHeight="false" outlineLevel="0" collapsed="false">
      <c r="A59" s="5" t="s">
        <v>56</v>
      </c>
      <c r="B59" s="5" t="s">
        <v>35</v>
      </c>
      <c r="C59" s="6" t="n">
        <f aca="false">COUNTA('1re STEG'!C6:C30)</f>
        <v>25</v>
      </c>
      <c r="D59" s="7" t="n">
        <f aca="false">'1re STEG'!H36</f>
        <v>14</v>
      </c>
      <c r="E59" s="7" t="n">
        <f aca="false">'1re STEG'!H32</f>
        <v>14425</v>
      </c>
      <c r="F59" s="7" t="n">
        <f aca="false">'1re STEG'!H33</f>
        <v>10510</v>
      </c>
      <c r="G59" s="7" t="n">
        <f aca="false">'1re STEG'!H35</f>
        <v>3440</v>
      </c>
      <c r="H59" s="8" t="n">
        <f aca="false">'1re STEG'!H37</f>
        <v>0.575389948006932</v>
      </c>
      <c r="I59" s="6" t="str">
        <f aca="false">'1re STEG'!H38</f>
        <v>Coût incomplet : 2 ligne(s) sans prix d'achat</v>
      </c>
      <c r="J59" s="5" t="n">
        <v>0</v>
      </c>
      <c r="K59" s="7" t="n">
        <f aca="false">'1re STEG'!H44</f>
        <v>22825</v>
      </c>
    </row>
    <row r="60" customFormat="false" ht="15" hidden="false" customHeight="false" outlineLevel="0" collapsed="false">
      <c r="A60" s="9" t="s">
        <v>56</v>
      </c>
      <c r="B60" s="9" t="s">
        <v>36</v>
      </c>
      <c r="C60" s="10" t="n">
        <f aca="false">COUNTA('1re STEG'!C51:C83)</f>
        <v>33</v>
      </c>
      <c r="D60" s="11" t="n">
        <f aca="false">'1re STEG'!H89</f>
        <v>14</v>
      </c>
      <c r="E60" s="11" t="n">
        <f aca="false">'1re STEG'!H85</f>
        <v>42225</v>
      </c>
      <c r="F60" s="11" t="n">
        <f aca="false">'1re STEG'!H86</f>
        <v>32160</v>
      </c>
      <c r="G60" s="11" t="n">
        <f aca="false">'1re STEG'!H88</f>
        <v>8190</v>
      </c>
      <c r="H60" s="12" t="n">
        <f aca="false">'1re STEG'!H90</f>
        <v>0.189461219656602</v>
      </c>
      <c r="I60" s="10" t="str">
        <f aca="false">'1re STEG'!H91</f>
        <v>Total incomplet : 1 prix de vente à fournir</v>
      </c>
      <c r="J60" s="9" t="n">
        <v>2</v>
      </c>
      <c r="K60" s="13"/>
    </row>
    <row r="61" customFormat="false" ht="15" hidden="false" customHeight="false" outlineLevel="0" collapsed="false">
      <c r="A61" s="9" t="s">
        <v>56</v>
      </c>
      <c r="B61" s="9" t="s">
        <v>37</v>
      </c>
      <c r="C61" s="10" t="n">
        <f aca="false">COUNTA('1re STEG'!C99:C135)</f>
        <v>37</v>
      </c>
      <c r="D61" s="11" t="n">
        <f aca="false">'1re STEG'!H141</f>
        <v>14</v>
      </c>
      <c r="E61" s="11" t="n">
        <f aca="false">'1re STEG'!H137</f>
        <v>58575</v>
      </c>
      <c r="F61" s="11" t="n">
        <f aca="false">'1re STEG'!H138</f>
        <v>45260</v>
      </c>
      <c r="G61" s="11" t="n">
        <f aca="false">'1re STEG'!H140</f>
        <v>11440</v>
      </c>
      <c r="H61" s="12" t="n">
        <f aca="false">'1re STEG'!H142</f>
        <v>0.136577037985489</v>
      </c>
      <c r="I61" s="10" t="str">
        <f aca="false">'1re STEG'!H143</f>
        <v>Total incomplet : 1 prix de vente à fournir</v>
      </c>
      <c r="J61" s="9" t="n">
        <v>2</v>
      </c>
      <c r="K61" s="13"/>
    </row>
    <row r="62" customFormat="false" ht="15" hidden="false" customHeight="false" outlineLevel="0" collapsed="false">
      <c r="A62" s="5" t="s">
        <v>57</v>
      </c>
      <c r="B62" s="5" t="s">
        <v>35</v>
      </c>
      <c r="C62" s="6" t="n">
        <f aca="false">COUNTA('Tle STEG'!C6:C31)</f>
        <v>26</v>
      </c>
      <c r="D62" s="7" t="n">
        <f aca="false">'Tle STEG'!H37</f>
        <v>15</v>
      </c>
      <c r="E62" s="7" t="n">
        <f aca="false">'Tle STEG'!H33</f>
        <v>14925</v>
      </c>
      <c r="F62" s="7" t="n">
        <f aca="false">'Tle STEG'!H34</f>
        <v>10910</v>
      </c>
      <c r="G62" s="7" t="n">
        <f aca="false">'Tle STEG'!H36</f>
        <v>3540</v>
      </c>
      <c r="H62" s="8" t="n">
        <f aca="false">'Tle STEG'!H38</f>
        <v>0.589614740368509</v>
      </c>
      <c r="I62" s="6" t="str">
        <f aca="false">'Tle STEG'!H39</f>
        <v>Coût incomplet : 2 ligne(s) sans prix d'achat</v>
      </c>
      <c r="J62" s="5" t="n">
        <v>0</v>
      </c>
      <c r="K62" s="7" t="n">
        <f aca="false">'Tle STEG'!H44</f>
        <v>20525</v>
      </c>
    </row>
    <row r="63" customFormat="false" ht="15" hidden="false" customHeight="false" outlineLevel="0" collapsed="false">
      <c r="A63" s="9" t="s">
        <v>57</v>
      </c>
      <c r="B63" s="9" t="s">
        <v>36</v>
      </c>
      <c r="C63" s="10" t="n">
        <f aca="false">COUNTA('Tle STEG'!C51:C83)</f>
        <v>33</v>
      </c>
      <c r="D63" s="11" t="n">
        <f aca="false">'Tle STEG'!H89</f>
        <v>15</v>
      </c>
      <c r="E63" s="11" t="n">
        <f aca="false">'Tle STEG'!H85</f>
        <v>41075</v>
      </c>
      <c r="F63" s="11" t="n">
        <f aca="false">'Tle STEG'!H86</f>
        <v>31860</v>
      </c>
      <c r="G63" s="11" t="n">
        <f aca="false">'Tle STEG'!H88</f>
        <v>7340</v>
      </c>
      <c r="H63" s="12" t="n">
        <f aca="false">'Tle STEG'!H90</f>
        <v>0.194765672550213</v>
      </c>
      <c r="I63" s="10" t="str">
        <f aca="false">'Tle STEG'!H91</f>
        <v>Total incomplet : 1 prix de vente à fournir</v>
      </c>
      <c r="J63" s="9" t="n">
        <v>2</v>
      </c>
      <c r="K63" s="13"/>
    </row>
    <row r="64" customFormat="false" ht="15" hidden="false" customHeight="false" outlineLevel="0" collapsed="false">
      <c r="A64" s="9" t="s">
        <v>57</v>
      </c>
      <c r="B64" s="9" t="s">
        <v>37</v>
      </c>
      <c r="C64" s="10" t="n">
        <f aca="false">COUNTA('Tle STEG'!C99:C135)</f>
        <v>37</v>
      </c>
      <c r="D64" s="11" t="n">
        <f aca="false">'Tle STEG'!H141</f>
        <v>15</v>
      </c>
      <c r="E64" s="11" t="n">
        <f aca="false">'Tle STEG'!H137</f>
        <v>56725</v>
      </c>
      <c r="F64" s="11" t="n">
        <f aca="false">'Tle STEG'!H138</f>
        <v>44260</v>
      </c>
      <c r="G64" s="11" t="n">
        <f aca="false">'Tle STEG'!H140</f>
        <v>10590</v>
      </c>
      <c r="H64" s="12" t="n">
        <f aca="false">'Tle STEG'!H142</f>
        <v>0.141031291317761</v>
      </c>
      <c r="I64" s="10" t="str">
        <f aca="false">'Tle STEG'!H143</f>
        <v>Total incomplet : 1 prix de vente à fournir</v>
      </c>
      <c r="J64" s="9" t="n">
        <v>2</v>
      </c>
      <c r="K6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30"/>
    <col collapsed="false" customWidth="true" hidden="false" outlineLevel="0" max="4" min="4" style="0" width="55"/>
    <col collapsed="false" customWidth="true" hidden="false" outlineLevel="0" max="5" min="5" style="0" width="38"/>
  </cols>
  <sheetData>
    <row r="1" customFormat="false" ht="26.85" hidden="false" customHeight="false" outlineLevel="0" collapsed="false">
      <c r="A1" s="4" t="s">
        <v>58</v>
      </c>
      <c r="B1" s="4" t="s">
        <v>59</v>
      </c>
      <c r="C1" s="4" t="s">
        <v>60</v>
      </c>
      <c r="D1" s="4" t="s">
        <v>61</v>
      </c>
      <c r="E1" s="4" t="s">
        <v>62</v>
      </c>
    </row>
    <row r="2" customFormat="false" ht="39.55" hidden="false" customHeight="false" outlineLevel="0" collapsed="false">
      <c r="A2" s="14" t="s">
        <v>63</v>
      </c>
      <c r="B2" s="15" t="s">
        <v>64</v>
      </c>
      <c r="C2" s="15" t="s">
        <v>65</v>
      </c>
      <c r="D2" s="15" t="s">
        <v>66</v>
      </c>
      <c r="E2" s="15" t="s">
        <v>67</v>
      </c>
    </row>
    <row r="3" customFormat="false" ht="52.2" hidden="false" customHeight="false" outlineLevel="0" collapsed="false">
      <c r="A3" s="16" t="s">
        <v>68</v>
      </c>
      <c r="B3" s="15" t="s">
        <v>69</v>
      </c>
      <c r="C3" s="15" t="s">
        <v>70</v>
      </c>
      <c r="D3" s="15" t="s">
        <v>71</v>
      </c>
      <c r="E3" s="15" t="s">
        <v>72</v>
      </c>
    </row>
    <row r="4" customFormat="false" ht="26.85" hidden="false" customHeight="false" outlineLevel="0" collapsed="false">
      <c r="A4" s="14" t="s">
        <v>63</v>
      </c>
      <c r="B4" s="15" t="s">
        <v>73</v>
      </c>
      <c r="C4" s="15" t="s">
        <v>74</v>
      </c>
      <c r="D4" s="15" t="s">
        <v>75</v>
      </c>
      <c r="E4" s="15" t="s">
        <v>76</v>
      </c>
    </row>
    <row r="5" customFormat="false" ht="15" hidden="false" customHeight="false" outlineLevel="0" collapsed="false">
      <c r="A5" s="14" t="s">
        <v>63</v>
      </c>
      <c r="B5" s="15" t="s">
        <v>77</v>
      </c>
      <c r="C5" s="15" t="s">
        <v>78</v>
      </c>
      <c r="D5" s="15" t="s">
        <v>79</v>
      </c>
      <c r="E5" s="15" t="s">
        <v>80</v>
      </c>
    </row>
    <row r="6" customFormat="false" ht="15" hidden="false" customHeight="false" outlineLevel="0" collapsed="false">
      <c r="A6" s="14" t="s">
        <v>63</v>
      </c>
      <c r="B6" s="15" t="s">
        <v>81</v>
      </c>
      <c r="C6" s="15" t="s">
        <v>82</v>
      </c>
      <c r="D6" s="15" t="s">
        <v>83</v>
      </c>
      <c r="E6" s="15" t="s">
        <v>80</v>
      </c>
    </row>
    <row r="7" customFormat="false" ht="15" hidden="false" customHeight="false" outlineLevel="0" collapsed="false">
      <c r="A7" s="14" t="s">
        <v>63</v>
      </c>
      <c r="B7" s="15" t="s">
        <v>84</v>
      </c>
      <c r="C7" s="15" t="s">
        <v>85</v>
      </c>
      <c r="D7" s="15" t="s">
        <v>86</v>
      </c>
      <c r="E7" s="15" t="s">
        <v>80</v>
      </c>
    </row>
    <row r="8" customFormat="false" ht="15" hidden="false" customHeight="false" outlineLevel="0" collapsed="false">
      <c r="A8" s="14" t="s">
        <v>63</v>
      </c>
      <c r="B8" s="15" t="s">
        <v>87</v>
      </c>
      <c r="C8" s="15" t="s">
        <v>88</v>
      </c>
      <c r="D8" s="15" t="s">
        <v>89</v>
      </c>
      <c r="E8" s="15" t="s">
        <v>80</v>
      </c>
    </row>
    <row r="9" customFormat="false" ht="15" hidden="false" customHeight="false" outlineLevel="0" collapsed="false">
      <c r="A9" s="14" t="s">
        <v>63</v>
      </c>
      <c r="B9" s="15" t="s">
        <v>90</v>
      </c>
      <c r="C9" s="15" t="s">
        <v>88</v>
      </c>
      <c r="D9" s="15" t="s">
        <v>91</v>
      </c>
      <c r="E9" s="15" t="s">
        <v>80</v>
      </c>
    </row>
    <row r="10" customFormat="false" ht="26.85" hidden="false" customHeight="false" outlineLevel="0" collapsed="false">
      <c r="A10" s="16" t="s">
        <v>92</v>
      </c>
      <c r="B10" s="15" t="s">
        <v>93</v>
      </c>
      <c r="C10" s="15" t="s">
        <v>94</v>
      </c>
      <c r="D10" s="15" t="s">
        <v>95</v>
      </c>
      <c r="E10" s="15" t="s">
        <v>96</v>
      </c>
    </row>
    <row r="11" customFormat="false" ht="26.85" hidden="false" customHeight="false" outlineLevel="0" collapsed="false">
      <c r="A11" s="16" t="s">
        <v>92</v>
      </c>
      <c r="B11" s="15" t="s">
        <v>97</v>
      </c>
      <c r="C11" s="15" t="s">
        <v>98</v>
      </c>
      <c r="D11" s="15" t="s">
        <v>99</v>
      </c>
      <c r="E11" s="15" t="s">
        <v>80</v>
      </c>
    </row>
    <row r="12" customFormat="false" ht="26.85" hidden="false" customHeight="false" outlineLevel="0" collapsed="false">
      <c r="A12" s="16" t="s">
        <v>92</v>
      </c>
      <c r="B12" s="15" t="s">
        <v>100</v>
      </c>
      <c r="C12" s="15" t="s">
        <v>101</v>
      </c>
      <c r="D12" s="15" t="s">
        <v>102</v>
      </c>
      <c r="E12" s="15" t="s">
        <v>103</v>
      </c>
    </row>
    <row r="13" customFormat="false" ht="15" hidden="false" customHeight="false" outlineLevel="0" collapsed="false">
      <c r="A13" s="16" t="s">
        <v>92</v>
      </c>
      <c r="B13" s="15" t="s">
        <v>104</v>
      </c>
      <c r="C13" s="15" t="s">
        <v>34</v>
      </c>
      <c r="D13" s="15" t="s">
        <v>105</v>
      </c>
      <c r="E13" s="15" t="s">
        <v>103</v>
      </c>
    </row>
    <row r="14" customFormat="false" ht="15" hidden="false" customHeight="false" outlineLevel="0" collapsed="false">
      <c r="A14" s="16" t="s">
        <v>92</v>
      </c>
      <c r="B14" s="15" t="s">
        <v>106</v>
      </c>
      <c r="C14" s="15" t="s">
        <v>107</v>
      </c>
      <c r="D14" s="15" t="s">
        <v>108</v>
      </c>
      <c r="E14" s="15" t="s">
        <v>109</v>
      </c>
    </row>
    <row r="15" customFormat="false" ht="77.6" hidden="false" customHeight="false" outlineLevel="0" collapsed="false">
      <c r="A15" s="16" t="s">
        <v>92</v>
      </c>
      <c r="B15" s="15" t="s">
        <v>110</v>
      </c>
      <c r="C15" s="15" t="s">
        <v>111</v>
      </c>
      <c r="D15" s="15" t="s">
        <v>112</v>
      </c>
      <c r="E15" s="15" t="s">
        <v>80</v>
      </c>
    </row>
    <row r="16" customFormat="false" ht="15" hidden="false" customHeight="false" outlineLevel="0" collapsed="false">
      <c r="A16" s="16" t="s">
        <v>92</v>
      </c>
      <c r="B16" s="15" t="s">
        <v>113</v>
      </c>
      <c r="C16" s="15" t="s">
        <v>35</v>
      </c>
      <c r="D16" s="15" t="s">
        <v>114</v>
      </c>
      <c r="E16" s="15" t="s">
        <v>103</v>
      </c>
    </row>
    <row r="17" customFormat="false" ht="26.85" hidden="false" customHeight="false" outlineLevel="0" collapsed="false">
      <c r="A17" s="16" t="s">
        <v>115</v>
      </c>
      <c r="B17" s="15" t="s">
        <v>116</v>
      </c>
      <c r="C17" s="15" t="s">
        <v>117</v>
      </c>
      <c r="D17" s="15" t="s">
        <v>118</v>
      </c>
      <c r="E17" s="15" t="s">
        <v>119</v>
      </c>
    </row>
    <row r="18" customFormat="false" ht="26.85" hidden="false" customHeight="false" outlineLevel="0" collapsed="false">
      <c r="A18" s="16" t="s">
        <v>115</v>
      </c>
      <c r="B18" s="15" t="s">
        <v>120</v>
      </c>
      <c r="C18" s="15" t="s">
        <v>121</v>
      </c>
      <c r="D18" s="15" t="s">
        <v>122</v>
      </c>
      <c r="E18" s="15" t="s">
        <v>80</v>
      </c>
    </row>
    <row r="19" customFormat="false" ht="26.85" hidden="false" customHeight="false" outlineLevel="0" collapsed="false">
      <c r="A19" s="16" t="s">
        <v>68</v>
      </c>
      <c r="B19" s="15" t="s">
        <v>123</v>
      </c>
      <c r="C19" s="15" t="s">
        <v>124</v>
      </c>
      <c r="D19" s="15" t="s">
        <v>125</v>
      </c>
      <c r="E19" s="15"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80"/>
  </cols>
  <sheetData>
    <row r="1" customFormat="false" ht="15" hidden="false" customHeight="false" outlineLevel="0" collapsed="false">
      <c r="A1" s="4" t="s">
        <v>126</v>
      </c>
      <c r="B1" s="4" t="s">
        <v>127</v>
      </c>
    </row>
    <row r="2" customFormat="false" ht="15" hidden="false" customHeight="false" outlineLevel="0" collapsed="false">
      <c r="A2" s="15" t="s">
        <v>128</v>
      </c>
      <c r="B2" s="15" t="s">
        <v>129</v>
      </c>
    </row>
    <row r="3" customFormat="false" ht="26.85" hidden="false" customHeight="false" outlineLevel="0" collapsed="false">
      <c r="A3" s="15" t="s">
        <v>130</v>
      </c>
      <c r="B3" s="15" t="s">
        <v>131</v>
      </c>
    </row>
    <row r="4" customFormat="false" ht="15" hidden="false" customHeight="false" outlineLevel="0" collapsed="false">
      <c r="A4" s="15" t="s">
        <v>132</v>
      </c>
      <c r="B4" s="15" t="s">
        <v>133</v>
      </c>
    </row>
    <row r="5" customFormat="false" ht="15" hidden="false" customHeight="false" outlineLevel="0" collapsed="false">
      <c r="A5" s="15" t="s">
        <v>134</v>
      </c>
      <c r="B5" s="15" t="s">
        <v>135</v>
      </c>
    </row>
    <row r="6" customFormat="false" ht="15" hidden="false" customHeight="false" outlineLevel="0" collapsed="false">
      <c r="A6" s="15" t="s">
        <v>136</v>
      </c>
      <c r="B6" s="15" t="s">
        <v>137</v>
      </c>
    </row>
    <row r="7" customFormat="false" ht="15" hidden="false" customHeight="false" outlineLevel="0" collapsed="false">
      <c r="A7" s="15" t="s">
        <v>138</v>
      </c>
      <c r="B7" s="15" t="s">
        <v>139</v>
      </c>
    </row>
    <row r="8" customFormat="false" ht="26.85" hidden="false" customHeight="false" outlineLevel="0" collapsed="false">
      <c r="A8" s="15" t="s">
        <v>140</v>
      </c>
      <c r="B8" s="15" t="s">
        <v>141</v>
      </c>
    </row>
    <row r="9" customFormat="false" ht="26.85" hidden="false" customHeight="false" outlineLevel="0" collapsed="false">
      <c r="A9" s="15" t="s">
        <v>142</v>
      </c>
      <c r="B9" s="15" t="s">
        <v>143</v>
      </c>
    </row>
    <row r="10" customFormat="false" ht="39.55" hidden="false" customHeight="false" outlineLevel="0" collapsed="false">
      <c r="A10" s="15" t="s">
        <v>144</v>
      </c>
      <c r="B10" s="15" t="s">
        <v>145</v>
      </c>
    </row>
    <row r="11" customFormat="false" ht="26.85" hidden="false" customHeight="false" outlineLevel="0" collapsed="false">
      <c r="A11" s="15" t="s">
        <v>146</v>
      </c>
      <c r="B11" s="15"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2"/>
    <col collapsed="false" customWidth="true" hidden="false" outlineLevel="0" max="4" min="4" style="0" width="20"/>
    <col collapsed="false" customWidth="true" hidden="false" outlineLevel="0" max="5" min="5" style="0" width="44"/>
    <col collapsed="false" customWidth="true" hidden="false" outlineLevel="0" max="6" min="6" style="0" width="12"/>
    <col collapsed="false" customWidth="true" hidden="false" outlineLevel="0" max="7" min="7" style="0" width="9"/>
    <col collapsed="false" customWidth="true" hidden="false" outlineLevel="0" max="8" min="8" style="0" width="26"/>
    <col collapsed="false" customWidth="true" hidden="false" outlineLevel="0" max="9" min="9" style="0" width="44"/>
  </cols>
  <sheetData>
    <row r="1" customFormat="false" ht="39.55" hidden="false" customHeight="false" outlineLevel="0" collapsed="false">
      <c r="A1" s="4" t="s">
        <v>148</v>
      </c>
      <c r="B1" s="4" t="s">
        <v>149</v>
      </c>
      <c r="C1" s="4" t="s">
        <v>150</v>
      </c>
      <c r="D1" s="4" t="s">
        <v>151</v>
      </c>
      <c r="E1" s="4" t="s">
        <v>152</v>
      </c>
      <c r="F1" s="4" t="s">
        <v>153</v>
      </c>
      <c r="G1" s="4" t="s">
        <v>154</v>
      </c>
      <c r="H1" s="4" t="s">
        <v>155</v>
      </c>
      <c r="I1" s="4" t="s">
        <v>156</v>
      </c>
    </row>
    <row r="2" customFormat="false" ht="15" hidden="false" customHeight="false" outlineLevel="0" collapsed="false">
      <c r="A2" s="17" t="s">
        <v>157</v>
      </c>
      <c r="B2" s="17" t="str">
        <f aca="false">INDEX(Articles!$C$2:$C$148,MATCH(A2,Articles!$A$2:$A$148,0))</f>
        <v>Éponge</v>
      </c>
      <c r="C2" s="18" t="n">
        <f aca="false">INDEX(Articles!$G$2:$G$148,MATCH(A2,Articles!$A$2:$A$148,0))</f>
        <v>1500</v>
      </c>
      <c r="D2" s="17" t="str">
        <f aca="false">INDEX(Articles!$H$2:$H$148,MATCH(A2,Articles!$A$2:$A$148,0))&amp;" / "&amp;INDEX(Articles!$F$2:$F$148,MATCH(A2,Articles!$A$2:$A$148,0))</f>
        <v>Fixé / Inconnu</v>
      </c>
      <c r="E2" s="17" t="s">
        <v>158</v>
      </c>
      <c r="F2" s="19" t="n">
        <v>200</v>
      </c>
      <c r="G2" s="20" t="n">
        <f aca="false">(C2-F2)/F2</f>
        <v>6.5</v>
      </c>
      <c r="H2" s="17" t="str">
        <f aca="false">IF(G2&gt;=0.5,"Nous : beaucoup plus cher",IF(G2&lt;=-0.35,"Nous : beaucoup moins cher",IF(ABS(G2)&gt;=0.25,"Écart moyen","Aligné")))</f>
        <v>Nous : beaucoup plus cher</v>
      </c>
      <c r="I2" s="17" t="s">
        <v>159</v>
      </c>
    </row>
    <row r="3" customFormat="false" ht="15" hidden="false" customHeight="false" outlineLevel="0" collapsed="false">
      <c r="A3" s="17" t="s">
        <v>160</v>
      </c>
      <c r="B3" s="17" t="str">
        <f aca="false">INDEX(Articles!$C$2:$C$148,MATCH(A3,Articles!$A$2:$A$148,0))</f>
        <v>Protège-cahier couleur petit format (à l'unité)</v>
      </c>
      <c r="C3" s="18" t="n">
        <f aca="false">INDEX(Articles!$G$2:$G$148,MATCH(A3,Articles!$A$2:$A$148,0))</f>
        <v>150</v>
      </c>
      <c r="D3" s="17" t="str">
        <f aca="false">INDEX(Articles!$H$2:$H$148,MATCH(A3,Articles!$A$2:$A$148,0))&amp;" / "&amp;INDEX(Articles!$F$2:$F$148,MATCH(A3,Articles!$A$2:$A$148,0))</f>
        <v>Fixé / Inconnu</v>
      </c>
      <c r="E3" s="17" t="s">
        <v>161</v>
      </c>
      <c r="F3" s="19" t="n">
        <v>100</v>
      </c>
      <c r="G3" s="20" t="n">
        <f aca="false">(C3-F3)/F3</f>
        <v>0.5</v>
      </c>
      <c r="H3" s="17" t="str">
        <f aca="false">IF(G3&gt;=0.5,"Nous : beaucoup plus cher",IF(G3&lt;=-0.35,"Nous : beaucoup moins cher",IF(ABS(G3)&gt;=0.25,"Écart moyen","Aligné")))</f>
        <v>Nous : beaucoup plus cher</v>
      </c>
      <c r="I3" s="17" t="s">
        <v>159</v>
      </c>
    </row>
    <row r="4" customFormat="false" ht="15" hidden="false" customHeight="false" outlineLevel="0" collapsed="false">
      <c r="A4" s="17" t="s">
        <v>162</v>
      </c>
      <c r="B4" s="17" t="str">
        <f aca="false">INDEX(Articles!$C$2:$C$148,MATCH(A4,Articles!$A$2:$A$148,0))</f>
        <v>Ardoise quadrillée avec poignée</v>
      </c>
      <c r="C4" s="18" t="n">
        <f aca="false">INDEX(Articles!$G$2:$G$148,MATCH(A4,Articles!$A$2:$A$148,0))</f>
        <v>2500</v>
      </c>
      <c r="D4" s="17" t="str">
        <f aca="false">INDEX(Articles!$H$2:$H$148,MATCH(A4,Articles!$A$2:$A$148,0))&amp;" / "&amp;INDEX(Articles!$F$2:$F$148,MATCH(A4,Articles!$A$2:$A$148,0))</f>
        <v>Fixé / Confirmé</v>
      </c>
      <c r="E4" s="17" t="s">
        <v>163</v>
      </c>
      <c r="F4" s="19" t="n">
        <v>700</v>
      </c>
      <c r="G4" s="20" t="n">
        <f aca="false">(C4-F4)/F4</f>
        <v>2.57142857142857</v>
      </c>
      <c r="H4" s="17" t="str">
        <f aca="false">IF(G4&gt;=0.5,"Nous : beaucoup plus cher",IF(G4&lt;=-0.35,"Nous : beaucoup moins cher",IF(ABS(G4)&gt;=0.25,"Écart moyen","Aligné")))</f>
        <v>Nous : beaucoup plus cher</v>
      </c>
      <c r="I4" s="17" t="s">
        <v>164</v>
      </c>
    </row>
    <row r="5" customFormat="false" ht="15" hidden="false" customHeight="false" outlineLevel="0" collapsed="false">
      <c r="A5" s="17" t="s">
        <v>165</v>
      </c>
      <c r="B5" s="17" t="str">
        <f aca="false">INDEX(Articles!$C$2:$C$148,MATCH(A5,Articles!$A$2:$A$148,0))</f>
        <v>Ardoise scolaire</v>
      </c>
      <c r="C5" s="18" t="n">
        <f aca="false">INDEX(Articles!$G$2:$G$148,MATCH(A5,Articles!$A$2:$A$148,0))</f>
        <v>900</v>
      </c>
      <c r="D5" s="17" t="str">
        <f aca="false">INDEX(Articles!$H$2:$H$148,MATCH(A5,Articles!$A$2:$A$148,0))&amp;" / "&amp;INDEX(Articles!$F$2:$F$148,MATCH(A5,Articles!$A$2:$A$148,0))</f>
        <v>Fixé / Estimé</v>
      </c>
      <c r="E5" s="17" t="s">
        <v>166</v>
      </c>
      <c r="F5" s="19" t="n">
        <v>500</v>
      </c>
      <c r="G5" s="20" t="n">
        <f aca="false">(C5-F5)/F5</f>
        <v>0.8</v>
      </c>
      <c r="H5" s="17" t="str">
        <f aca="false">IF(G5&gt;=0.5,"Nous : beaucoup plus cher",IF(G5&lt;=-0.35,"Nous : beaucoup moins cher",IF(ABS(G5)&gt;=0.25,"Écart moyen","Aligné")))</f>
        <v>Nous : beaucoup plus cher</v>
      </c>
      <c r="I5" s="17" t="s">
        <v>167</v>
      </c>
    </row>
    <row r="6" customFormat="false" ht="26.85" hidden="false" customHeight="false" outlineLevel="0" collapsed="false">
      <c r="A6" s="17" t="s">
        <v>168</v>
      </c>
      <c r="B6" s="17" t="str">
        <f aca="false">INDEX(Articles!$C$2:$C$148,MATCH(A6,Articles!$A$2:$A$148,0))</f>
        <v>Sous l'orage (Seydou Badian)</v>
      </c>
      <c r="C6" s="18" t="n">
        <f aca="false">INDEX(Articles!$G$2:$G$148,MATCH(A6,Articles!$A$2:$A$148,0))</f>
        <v>3500</v>
      </c>
      <c r="D6" s="17" t="str">
        <f aca="false">INDEX(Articles!$H$2:$H$148,MATCH(A6,Articles!$A$2:$A$148,0))&amp;" / "&amp;INDEX(Articles!$F$2:$F$148,MATCH(A6,Articles!$A$2:$A$148,0))</f>
        <v>Fixé / Estimé</v>
      </c>
      <c r="E6" s="17" t="s">
        <v>169</v>
      </c>
      <c r="F6" s="19" t="n">
        <v>1800</v>
      </c>
      <c r="G6" s="20" t="n">
        <f aca="false">(C6-F6)/F6</f>
        <v>0.944444444444444</v>
      </c>
      <c r="H6" s="17" t="str">
        <f aca="false">IF(G6&gt;=0.5,"Nous : beaucoup plus cher",IF(G6&lt;=-0.35,"Nous : beaucoup moins cher",IF(ABS(G6)&gt;=0.25,"Écart moyen","Aligné")))</f>
        <v>Nous : beaucoup plus cher</v>
      </c>
      <c r="I6" s="17" t="s">
        <v>170</v>
      </c>
    </row>
    <row r="7" customFormat="false" ht="15" hidden="false" customHeight="false" outlineLevel="0" collapsed="false">
      <c r="A7" s="17" t="s">
        <v>171</v>
      </c>
      <c r="B7" s="17" t="str">
        <f aca="false">INDEX(Articles!$C$2:$C$148,MATCH(A7,Articles!$A$2:$A$148,0))</f>
        <v>Compas Maped</v>
      </c>
      <c r="C7" s="18" t="n">
        <f aca="false">INDEX(Articles!$G$2:$G$148,MATCH(A7,Articles!$A$2:$A$148,0))</f>
        <v>2000</v>
      </c>
      <c r="D7" s="17" t="str">
        <f aca="false">INDEX(Articles!$H$2:$H$148,MATCH(A7,Articles!$A$2:$A$148,0))&amp;" / "&amp;INDEX(Articles!$F$2:$F$148,MATCH(A7,Articles!$A$2:$A$148,0))</f>
        <v>Fixé / Confirmé</v>
      </c>
      <c r="E7" s="17" t="s">
        <v>172</v>
      </c>
      <c r="F7" s="19" t="n">
        <v>600</v>
      </c>
      <c r="G7" s="20" t="n">
        <f aca="false">(C7-F7)/F7</f>
        <v>2.33333333333333</v>
      </c>
      <c r="H7" s="17" t="str">
        <f aca="false">IF(G7&gt;=0.5,"Nous : beaucoup plus cher",IF(G7&lt;=-0.35,"Nous : beaucoup moins cher",IF(ABS(G7)&gt;=0.25,"Écart moyen","Aligné")))</f>
        <v>Nous : beaucoup plus cher</v>
      </c>
      <c r="I7" s="17" t="s">
        <v>173</v>
      </c>
    </row>
    <row r="8" customFormat="false" ht="26.85" hidden="false" customHeight="false" outlineLevel="0" collapsed="false">
      <c r="A8" s="17" t="s">
        <v>174</v>
      </c>
      <c r="B8" s="17" t="str">
        <f aca="false">INDEX(Articles!$C$2:$C$148,MATCH(A8,Articles!$A$2:$A$148,0))</f>
        <v>Correcteur souris ARK</v>
      </c>
      <c r="C8" s="18" t="n">
        <f aca="false">INDEX(Articles!$G$2:$G$148,MATCH(A8,Articles!$A$2:$A$148,0))</f>
        <v>1000</v>
      </c>
      <c r="D8" s="17" t="str">
        <f aca="false">INDEX(Articles!$H$2:$H$148,MATCH(A8,Articles!$A$2:$A$148,0))&amp;" / "&amp;INDEX(Articles!$F$2:$F$148,MATCH(A8,Articles!$A$2:$A$148,0))</f>
        <v>Fixé / Confirmé</v>
      </c>
      <c r="E8" s="17" t="s">
        <v>175</v>
      </c>
      <c r="F8" s="19" t="n">
        <v>300</v>
      </c>
      <c r="G8" s="20" t="n">
        <f aca="false">(C8-F8)/F8</f>
        <v>2.33333333333333</v>
      </c>
      <c r="H8" s="17" t="str">
        <f aca="false">IF(G8&gt;=0.5,"Nous : beaucoup plus cher",IF(G8&lt;=-0.35,"Nous : beaucoup moins cher",IF(ABS(G8)&gt;=0.25,"Écart moyen","Aligné")))</f>
        <v>Nous : beaucoup plus cher</v>
      </c>
      <c r="I8" s="17" t="s">
        <v>176</v>
      </c>
    </row>
    <row r="9" customFormat="false" ht="15" hidden="false" customHeight="false" outlineLevel="0" collapsed="false">
      <c r="A9" s="17" t="s">
        <v>177</v>
      </c>
      <c r="B9" s="17" t="str">
        <f aca="false">INDEX(Articles!$C$2:$C$148,MATCH(A9,Articles!$A$2:$A$148,0))</f>
        <v>Cahier de dessin TPG</v>
      </c>
      <c r="C9" s="18" t="n">
        <f aca="false">INDEX(Articles!$G$2:$G$148,MATCH(A9,Articles!$A$2:$A$148,0))</f>
        <v>550</v>
      </c>
      <c r="D9" s="17" t="str">
        <f aca="false">INDEX(Articles!$H$2:$H$148,MATCH(A9,Articles!$A$2:$A$148,0))&amp;" / "&amp;INDEX(Articles!$F$2:$F$148,MATCH(A9,Articles!$A$2:$A$148,0))</f>
        <v>Fixé / Inconnu</v>
      </c>
      <c r="E9" s="17" t="s">
        <v>178</v>
      </c>
      <c r="F9" s="19" t="n">
        <v>450</v>
      </c>
      <c r="G9" s="20" t="n">
        <f aca="false">(C9-F9)/F9</f>
        <v>0.222222222222222</v>
      </c>
      <c r="H9" s="17" t="str">
        <f aca="false">IF(G9&gt;=0.5,"Nous : beaucoup plus cher",IF(G9&lt;=-0.35,"Nous : beaucoup moins cher",IF(ABS(G9)&gt;=0.25,"Écart moyen","Aligné")))</f>
        <v>Aligné</v>
      </c>
      <c r="I9" s="17" t="s">
        <v>179</v>
      </c>
    </row>
    <row r="10" customFormat="false" ht="15" hidden="false" customHeight="false" outlineLevel="0" collapsed="false">
      <c r="A10" s="17" t="s">
        <v>180</v>
      </c>
      <c r="B10" s="17" t="str">
        <f aca="false">INDEX(Articles!$C$2:$C$148,MATCH(A10,Articles!$A$2:$A$148,0))</f>
        <v>Gomme Staedtler Mars Plastic</v>
      </c>
      <c r="C10" s="18" t="n">
        <f aca="false">INDEX(Articles!$G$2:$G$148,MATCH(A10,Articles!$A$2:$A$148,0))</f>
        <v>250</v>
      </c>
      <c r="D10" s="17" t="str">
        <f aca="false">INDEX(Articles!$H$2:$H$148,MATCH(A10,Articles!$A$2:$A$148,0))&amp;" / "&amp;INDEX(Articles!$F$2:$F$148,MATCH(A10,Articles!$A$2:$A$148,0))</f>
        <v>Fixé / Estimé</v>
      </c>
      <c r="E10" s="17" t="s">
        <v>181</v>
      </c>
      <c r="F10" s="19" t="n">
        <v>100</v>
      </c>
      <c r="G10" s="20" t="n">
        <f aca="false">(C10-F10)/F10</f>
        <v>1.5</v>
      </c>
      <c r="H10" s="17" t="str">
        <f aca="false">IF(G10&gt;=0.5,"Nous : beaucoup plus cher",IF(G10&lt;=-0.35,"Nous : beaucoup moins cher",IF(ABS(G10)&gt;=0.25,"Écart moyen","Aligné")))</f>
        <v>Nous : beaucoup plus cher</v>
      </c>
      <c r="I10" s="17" t="s">
        <v>182</v>
      </c>
    </row>
    <row r="11" customFormat="false" ht="15" hidden="false" customHeight="false" outlineLevel="0" collapsed="false">
      <c r="A11" s="17" t="s">
        <v>183</v>
      </c>
      <c r="B11" s="17" t="str">
        <f aca="false">INDEX(Articles!$C$2:$C$148,MATCH(A11,Articles!$A$2:$A$148,0))</f>
        <v>Taille-crayon avec réservoir Maped</v>
      </c>
      <c r="C11" s="18" t="n">
        <f aca="false">INDEX(Articles!$G$2:$G$148,MATCH(A11,Articles!$A$2:$A$148,0))</f>
        <v>500</v>
      </c>
      <c r="D11" s="17" t="str">
        <f aca="false">INDEX(Articles!$H$2:$H$148,MATCH(A11,Articles!$A$2:$A$148,0))&amp;" / "&amp;INDEX(Articles!$F$2:$F$148,MATCH(A11,Articles!$A$2:$A$148,0))</f>
        <v>Estimé / Estimé</v>
      </c>
      <c r="E11" s="17" t="s">
        <v>184</v>
      </c>
      <c r="F11" s="19" t="n">
        <v>200</v>
      </c>
      <c r="G11" s="20" t="n">
        <f aca="false">(C11-F11)/F11</f>
        <v>1.5</v>
      </c>
      <c r="H11" s="17" t="str">
        <f aca="false">IF(G11&gt;=0.5,"Nous : beaucoup plus cher",IF(G11&lt;=-0.35,"Nous : beaucoup moins cher",IF(ABS(G11)&gt;=0.25,"Écart moyen","Aligné")))</f>
        <v>Nous : beaucoup plus cher</v>
      </c>
      <c r="I11" s="17" t="s">
        <v>185</v>
      </c>
    </row>
    <row r="12" customFormat="false" ht="15" hidden="false" customHeight="false" outlineLevel="0" collapsed="false">
      <c r="A12" s="17" t="s">
        <v>186</v>
      </c>
      <c r="B12" s="17" t="str">
        <f aca="false">INDEX(Articles!$C$2:$C$148,MATCH(A12,Articles!$A$2:$A$148,0))</f>
        <v>Règle métal 30 cm</v>
      </c>
      <c r="C12" s="18" t="n">
        <f aca="false">INDEX(Articles!$G$2:$G$148,MATCH(A12,Articles!$A$2:$A$148,0))</f>
        <v>550</v>
      </c>
      <c r="D12" s="17" t="str">
        <f aca="false">INDEX(Articles!$H$2:$H$148,MATCH(A12,Articles!$A$2:$A$148,0))&amp;" / "&amp;INDEX(Articles!$F$2:$F$148,MATCH(A12,Articles!$A$2:$A$148,0))</f>
        <v>Fixé / Estimé</v>
      </c>
      <c r="E12" s="17" t="s">
        <v>187</v>
      </c>
      <c r="F12" s="19" t="n">
        <v>300</v>
      </c>
      <c r="G12" s="20" t="n">
        <f aca="false">(C12-F12)/F12</f>
        <v>0.833333333333333</v>
      </c>
      <c r="H12" s="17" t="str">
        <f aca="false">IF(G12&gt;=0.5,"Nous : beaucoup plus cher",IF(G12&lt;=-0.35,"Nous : beaucoup moins cher",IF(ABS(G12)&gt;=0.25,"Écart moyen","Aligné")))</f>
        <v>Nous : beaucoup plus cher</v>
      </c>
      <c r="I12" s="17" t="s">
        <v>188</v>
      </c>
    </row>
    <row r="13" customFormat="false" ht="15" hidden="false" customHeight="false" outlineLevel="0" collapsed="false">
      <c r="A13" s="17" t="s">
        <v>189</v>
      </c>
      <c r="B13" s="17" t="str">
        <f aca="false">INDEX(Articles!$C$2:$C$148,MATCH(A13,Articles!$A$2:$A$148,0))</f>
        <v>Ciseaux Maped 13 cm Security</v>
      </c>
      <c r="C13" s="18" t="n">
        <f aca="false">INDEX(Articles!$G$2:$G$148,MATCH(A13,Articles!$A$2:$A$148,0))</f>
        <v>900</v>
      </c>
      <c r="D13" s="17" t="str">
        <f aca="false">INDEX(Articles!$H$2:$H$148,MATCH(A13,Articles!$A$2:$A$148,0))&amp;" / "&amp;INDEX(Articles!$F$2:$F$148,MATCH(A13,Articles!$A$2:$A$148,0))</f>
        <v>Estimé / Estimé</v>
      </c>
      <c r="E13" s="17" t="s">
        <v>190</v>
      </c>
      <c r="F13" s="19" t="n">
        <v>500</v>
      </c>
      <c r="G13" s="20" t="n">
        <f aca="false">(C13-F13)/F13</f>
        <v>0.8</v>
      </c>
      <c r="H13" s="17" t="str">
        <f aca="false">IF(G13&gt;=0.5,"Nous : beaucoup plus cher",IF(G13&lt;=-0.35,"Nous : beaucoup moins cher",IF(ABS(G13)&gt;=0.25,"Écart moyen","Aligné")))</f>
        <v>Nous : beaucoup plus cher</v>
      </c>
      <c r="I13" s="17" t="s">
        <v>191</v>
      </c>
    </row>
    <row r="14" customFormat="false" ht="26.85" hidden="false" customHeight="false" outlineLevel="0" collapsed="false">
      <c r="A14" s="17" t="s">
        <v>192</v>
      </c>
      <c r="B14" s="17" t="str">
        <f aca="false">INDEX(Articles!$C$2:$C$148,MATCH(A14,Articles!$A$2:$A$148,0))</f>
        <v>Cahier Calligraphe 192 pages 17x22 90 g seyès</v>
      </c>
      <c r="C14" s="18" t="n">
        <f aca="false">INDEX(Articles!$G$2:$G$148,MATCH(A14,Articles!$A$2:$A$148,0))</f>
        <v>900</v>
      </c>
      <c r="D14" s="17" t="str">
        <f aca="false">INDEX(Articles!$H$2:$H$148,MATCH(A14,Articles!$A$2:$A$148,0))&amp;" / "&amp;INDEX(Articles!$F$2:$F$148,MATCH(A14,Articles!$A$2:$A$148,0))</f>
        <v>Fixé / Confirmé</v>
      </c>
      <c r="E14" s="17" t="s">
        <v>193</v>
      </c>
      <c r="F14" s="19" t="n">
        <v>600</v>
      </c>
      <c r="G14" s="20" t="n">
        <f aca="false">(C14-F14)/F14</f>
        <v>0.5</v>
      </c>
      <c r="H14" s="17" t="str">
        <f aca="false">IF(G14&gt;=0.5,"Nous : beaucoup plus cher",IF(G14&lt;=-0.35,"Nous : beaucoup moins cher",IF(ABS(G14)&gt;=0.25,"Écart moyen","Aligné")))</f>
        <v>Nous : beaucoup plus cher</v>
      </c>
      <c r="I14" s="17" t="s">
        <v>194</v>
      </c>
    </row>
    <row r="15" customFormat="false" ht="15" hidden="false" customHeight="false" outlineLevel="0" collapsed="false">
      <c r="A15" s="17" t="s">
        <v>195</v>
      </c>
      <c r="B15" s="17" t="str">
        <f aca="false">INDEX(Articles!$C$2:$C$148,MATCH(A15,Articles!$A$2:$A$148,0))</f>
        <v>Cahier Calligraphe 96 pages 17x22 56 g seyès</v>
      </c>
      <c r="C15" s="18" t="n">
        <f aca="false">INDEX(Articles!$G$2:$G$148,MATCH(A15,Articles!$A$2:$A$148,0))</f>
        <v>450</v>
      </c>
      <c r="D15" s="17" t="str">
        <f aca="false">INDEX(Articles!$H$2:$H$148,MATCH(A15,Articles!$A$2:$A$148,0))&amp;" / "&amp;INDEX(Articles!$F$2:$F$148,MATCH(A15,Articles!$A$2:$A$148,0))</f>
        <v>Fixé / Confirmé</v>
      </c>
      <c r="E15" s="17" t="s">
        <v>196</v>
      </c>
      <c r="F15" s="19" t="n">
        <v>300</v>
      </c>
      <c r="G15" s="20" t="n">
        <f aca="false">(C15-F15)/F15</f>
        <v>0.5</v>
      </c>
      <c r="H15" s="17" t="str">
        <f aca="false">IF(G15&gt;=0.5,"Nous : beaucoup plus cher",IF(G15&lt;=-0.35,"Nous : beaucoup moins cher",IF(ABS(G15)&gt;=0.25,"Écart moyen","Aligné")))</f>
        <v>Nous : beaucoup plus cher</v>
      </c>
      <c r="I15" s="17" t="s">
        <v>197</v>
      </c>
    </row>
    <row r="16" customFormat="false" ht="15" hidden="false" customHeight="false" outlineLevel="0" collapsed="false">
      <c r="A16" s="17" t="s">
        <v>198</v>
      </c>
      <c r="B16" s="17" t="str">
        <f aca="false">INDEX(Articles!$C$2:$C$148,MATCH(A16,Articles!$A$2:$A$148,0))</f>
        <v>Crayons de couleur Maped, boîte de 12</v>
      </c>
      <c r="C16" s="18" t="n">
        <f aca="false">INDEX(Articles!$G$2:$G$148,MATCH(A16,Articles!$A$2:$A$148,0))</f>
        <v>900</v>
      </c>
      <c r="D16" s="17" t="str">
        <f aca="false">INDEX(Articles!$H$2:$H$148,MATCH(A16,Articles!$A$2:$A$148,0))&amp;" / "&amp;INDEX(Articles!$F$2:$F$148,MATCH(A16,Articles!$A$2:$A$148,0))</f>
        <v>Estimé / Estimé</v>
      </c>
      <c r="E16" s="17" t="s">
        <v>199</v>
      </c>
      <c r="F16" s="19" t="n">
        <v>600</v>
      </c>
      <c r="G16" s="20" t="n">
        <f aca="false">(C16-F16)/F16</f>
        <v>0.5</v>
      </c>
      <c r="H16" s="17" t="str">
        <f aca="false">IF(G16&gt;=0.5,"Nous : beaucoup plus cher",IF(G16&lt;=-0.35,"Nous : beaucoup moins cher",IF(ABS(G16)&gt;=0.25,"Écart moyen","Aligné")))</f>
        <v>Nous : beaucoup plus cher</v>
      </c>
      <c r="I16" s="17" t="s">
        <v>173</v>
      </c>
    </row>
    <row r="17" customFormat="false" ht="15" hidden="false" customHeight="false" outlineLevel="0" collapsed="false">
      <c r="A17" s="17" t="s">
        <v>200</v>
      </c>
      <c r="B17" s="17" t="str">
        <f aca="false">INDEX(Articles!$C$2:$C$148,MATCH(A17,Articles!$A$2:$A$148,0))</f>
        <v>Surligneurs Maped Fluo Peps, pochette de 4</v>
      </c>
      <c r="C17" s="18" t="n">
        <f aca="false">INDEX(Articles!$G$2:$G$148,MATCH(A17,Articles!$A$2:$A$148,0))</f>
        <v>2500</v>
      </c>
      <c r="D17" s="17" t="str">
        <f aca="false">INDEX(Articles!$H$2:$H$148,MATCH(A17,Articles!$A$2:$A$148,0))&amp;" / "&amp;INDEX(Articles!$F$2:$F$148,MATCH(A17,Articles!$A$2:$A$148,0))</f>
        <v>Estimé / Confirmé</v>
      </c>
      <c r="E17" s="17" t="s">
        <v>201</v>
      </c>
      <c r="F17" s="19" t="n">
        <v>1600</v>
      </c>
      <c r="G17" s="20" t="n">
        <f aca="false">(C17-F17)/F17</f>
        <v>0.5625</v>
      </c>
      <c r="H17" s="17" t="str">
        <f aca="false">IF(G17&gt;=0.5,"Nous : beaucoup plus cher",IF(G17&lt;=-0.35,"Nous : beaucoup moins cher",IF(ABS(G17)&gt;=0.25,"Écart moyen","Aligné")))</f>
        <v>Nous : beaucoup plus cher</v>
      </c>
      <c r="I17" s="17" t="s">
        <v>202</v>
      </c>
    </row>
    <row r="18" customFormat="false" ht="15" hidden="false" customHeight="false" outlineLevel="0" collapsed="false">
      <c r="A18" s="17" t="s">
        <v>203</v>
      </c>
      <c r="B18" s="17" t="str">
        <f aca="false">INDEX(Articles!$C$2:$C$148,MATCH(A18,Articles!$A$2:$A$148,0))</f>
        <v>Cahier L'écolier 48 pages</v>
      </c>
      <c r="C18" s="18" t="n">
        <f aca="false">INDEX(Articles!$G$2:$G$148,MATCH(A18,Articles!$A$2:$A$148,0))</f>
        <v>275</v>
      </c>
      <c r="D18" s="17" t="str">
        <f aca="false">INDEX(Articles!$H$2:$H$148,MATCH(A18,Articles!$A$2:$A$148,0))&amp;" / "&amp;INDEX(Articles!$F$2:$F$148,MATCH(A18,Articles!$A$2:$A$148,0))</f>
        <v>Estimé / Confirmé</v>
      </c>
      <c r="E18" s="17" t="s">
        <v>204</v>
      </c>
      <c r="F18" s="19" t="n">
        <v>200</v>
      </c>
      <c r="G18" s="20" t="n">
        <f aca="false">(C18-F18)/F18</f>
        <v>0.375</v>
      </c>
      <c r="H18" s="17" t="str">
        <f aca="false">IF(G18&gt;=0.5,"Nous : beaucoup plus cher",IF(G18&lt;=-0.35,"Nous : beaucoup moins cher",IF(ABS(G18)&gt;=0.25,"Écart moyen","Aligné")))</f>
        <v>Écart moyen</v>
      </c>
      <c r="I18" s="17" t="s">
        <v>167</v>
      </c>
    </row>
    <row r="19" customFormat="false" ht="26.85" hidden="false" customHeight="false" outlineLevel="0" collapsed="false">
      <c r="A19" s="17" t="s">
        <v>205</v>
      </c>
      <c r="B19" s="17" t="str">
        <f aca="false">INDEX(Articles!$C$2:$C$148,MATCH(A19,Articles!$A$2:$A$148,0))</f>
        <v>Calculatrice Casio fx-92 Collège</v>
      </c>
      <c r="C19" s="18" t="n">
        <f aca="false">INDEX(Articles!$G$2:$G$148,MATCH(A19,Articles!$A$2:$A$148,0))</f>
        <v>8000</v>
      </c>
      <c r="D19" s="17" t="str">
        <f aca="false">INDEX(Articles!$H$2:$H$148,MATCH(A19,Articles!$A$2:$A$148,0))&amp;" / "&amp;INDEX(Articles!$F$2:$F$148,MATCH(A19,Articles!$A$2:$A$148,0))</f>
        <v>Fixé / Confirmé</v>
      </c>
      <c r="E19" s="17" t="s">
        <v>206</v>
      </c>
      <c r="F19" s="19" t="n">
        <v>7500</v>
      </c>
      <c r="G19" s="20" t="n">
        <f aca="false">(C19-F19)/F19</f>
        <v>0.0666666666666667</v>
      </c>
      <c r="H19" s="17" t="str">
        <f aca="false">IF(G19&gt;=0.5,"Nous : beaucoup plus cher",IF(G19&lt;=-0.35,"Nous : beaucoup moins cher",IF(ABS(G19)&gt;=0.25,"Écart moyen","Aligné")))</f>
        <v>Aligné</v>
      </c>
      <c r="I19" s="17" t="s">
        <v>207</v>
      </c>
    </row>
    <row r="20" customFormat="false" ht="26.85" hidden="false" customHeight="false" outlineLevel="0" collapsed="false">
      <c r="A20" s="17" t="s">
        <v>208</v>
      </c>
      <c r="B20" s="17" t="str">
        <f aca="false">INDEX(Articles!$C$2:$C$148,MATCH(A20,Articles!$A$2:$A$148,0))</f>
        <v>Cahier Calligraphe 96 pages 24x32 (grand format)</v>
      </c>
      <c r="C20" s="18" t="n">
        <f aca="false">INDEX(Articles!$G$2:$G$148,MATCH(A20,Articles!$A$2:$A$148,0))</f>
        <v>1350</v>
      </c>
      <c r="D20" s="17" t="str">
        <f aca="false">INDEX(Articles!$H$2:$H$148,MATCH(A20,Articles!$A$2:$A$148,0))&amp;" / "&amp;INDEX(Articles!$F$2:$F$148,MATCH(A20,Articles!$A$2:$A$148,0))</f>
        <v>Fixé / Confirmé</v>
      </c>
      <c r="E20" s="17" t="s">
        <v>209</v>
      </c>
      <c r="F20" s="19" t="n">
        <v>1200</v>
      </c>
      <c r="G20" s="20" t="n">
        <f aca="false">(C20-F20)/F20</f>
        <v>0.125</v>
      </c>
      <c r="H20" s="17" t="str">
        <f aca="false">IF(G20&gt;=0.5,"Nous : beaucoup plus cher",IF(G20&lt;=-0.35,"Nous : beaucoup moins cher",IF(ABS(G20)&gt;=0.25,"Écart moyen","Aligné")))</f>
        <v>Aligné</v>
      </c>
      <c r="I20" s="17" t="s">
        <v>167</v>
      </c>
    </row>
    <row r="21" customFormat="false" ht="15" hidden="false" customHeight="false" outlineLevel="0" collapsed="false">
      <c r="A21" s="17" t="s">
        <v>210</v>
      </c>
      <c r="B21" s="17" t="str">
        <f aca="false">INDEX(Articles!$C$2:$C$148,MATCH(A21,Articles!$A$2:$A$148,0))</f>
        <v>Cahier L'écolier 192 pages</v>
      </c>
      <c r="C21" s="18" t="n">
        <f aca="false">INDEX(Articles!$G$2:$G$148,MATCH(A21,Articles!$A$2:$A$148,0))</f>
        <v>500</v>
      </c>
      <c r="D21" s="17" t="str">
        <f aca="false">INDEX(Articles!$H$2:$H$148,MATCH(A21,Articles!$A$2:$A$148,0))&amp;" / "&amp;INDEX(Articles!$F$2:$F$148,MATCH(A21,Articles!$A$2:$A$148,0))</f>
        <v>Estimé / Confirmé</v>
      </c>
      <c r="E21" s="17" t="s">
        <v>211</v>
      </c>
      <c r="F21" s="19" t="n">
        <v>500</v>
      </c>
      <c r="G21" s="20" t="n">
        <f aca="false">(C21-F21)/F21</f>
        <v>0</v>
      </c>
      <c r="H21" s="17" t="str">
        <f aca="false">IF(G21&gt;=0.5,"Nous : beaucoup plus cher",IF(G21&lt;=-0.35,"Nous : beaucoup moins cher",IF(ABS(G21)&gt;=0.25,"Écart moyen","Aligné")))</f>
        <v>Aligné</v>
      </c>
      <c r="I21" s="17" t="s">
        <v>212</v>
      </c>
    </row>
    <row r="22" customFormat="false" ht="26.85" hidden="false" customHeight="false" outlineLevel="0" collapsed="false">
      <c r="A22" s="17" t="s">
        <v>213</v>
      </c>
      <c r="B22" s="17" t="str">
        <f aca="false">INDEX(Articles!$C$2:$C$148,MATCH(A22,Articles!$A$2:$A$148,0))</f>
        <v>Cahier Calligraphe 192 pages 24x32 (grand format)</v>
      </c>
      <c r="C22" s="18" t="n">
        <f aca="false">INDEX(Articles!$G$2:$G$148,MATCH(A22,Articles!$A$2:$A$148,0))</f>
        <v>1650</v>
      </c>
      <c r="D22" s="17" t="str">
        <f aca="false">INDEX(Articles!$H$2:$H$148,MATCH(A22,Articles!$A$2:$A$148,0))&amp;" / "&amp;INDEX(Articles!$F$2:$F$148,MATCH(A22,Articles!$A$2:$A$148,0))</f>
        <v>Fixé / Confirmé</v>
      </c>
      <c r="E22" s="17" t="s">
        <v>214</v>
      </c>
      <c r="F22" s="19" t="n">
        <v>1700</v>
      </c>
      <c r="G22" s="20" t="n">
        <f aca="false">(C22-F22)/F22</f>
        <v>-0.0294117647058824</v>
      </c>
      <c r="H22" s="17" t="str">
        <f aca="false">IF(G22&gt;=0.5,"Nous : beaucoup plus cher",IF(G22&lt;=-0.35,"Nous : beaucoup moins cher",IF(ABS(G22)&gt;=0.25,"Écart moyen","Aligné")))</f>
        <v>Aligné</v>
      </c>
      <c r="I22" s="17" t="s">
        <v>167</v>
      </c>
    </row>
    <row r="23" customFormat="false" ht="26.85" hidden="false" customHeight="false" outlineLevel="0" collapsed="false">
      <c r="A23" s="17" t="s">
        <v>215</v>
      </c>
      <c r="B23" s="17" t="str">
        <f aca="false">INDEX(Articles!$C$2:$C$148,MATCH(A23,Articles!$A$2:$A$148,0))</f>
        <v>Kit géométrie Maped 30 cm (réf. 1930)</v>
      </c>
      <c r="C23" s="18" t="n">
        <f aca="false">INDEX(Articles!$G$2:$G$148,MATCH(A23,Articles!$A$2:$A$148,0))</f>
        <v>1800</v>
      </c>
      <c r="D23" s="17" t="str">
        <f aca="false">INDEX(Articles!$H$2:$H$148,MATCH(A23,Articles!$A$2:$A$148,0))&amp;" / "&amp;INDEX(Articles!$F$2:$F$148,MATCH(A23,Articles!$A$2:$A$148,0))</f>
        <v>À trancher / Confirmé</v>
      </c>
      <c r="E23" s="17" t="s">
        <v>216</v>
      </c>
      <c r="F23" s="19" t="n">
        <v>1800</v>
      </c>
      <c r="G23" s="20" t="n">
        <f aca="false">(C23-F23)/F23</f>
        <v>0</v>
      </c>
      <c r="H23" s="17" t="str">
        <f aca="false">IF(G23&gt;=0.5,"Nous : beaucoup plus cher",IF(G23&lt;=-0.35,"Nous : beaucoup moins cher",IF(ABS(G23)&gt;=0.25,"Écart moyen","Aligné")))</f>
        <v>Aligné</v>
      </c>
      <c r="I23" s="17" t="s">
        <v>167</v>
      </c>
    </row>
    <row r="24" customFormat="false" ht="15" hidden="false" customHeight="false" outlineLevel="0" collapsed="false">
      <c r="A24" s="17" t="s">
        <v>217</v>
      </c>
      <c r="B24" s="17" t="str">
        <f aca="false">INDEX(Articles!$C$2:$C$148,MATCH(A24,Articles!$A$2:$A$148,0))</f>
        <v>Compas de précision avec étui</v>
      </c>
      <c r="C24" s="18" t="n">
        <f aca="false">INDEX(Articles!$G$2:$G$148,MATCH(A24,Articles!$A$2:$A$148,0))</f>
        <v>600</v>
      </c>
      <c r="D24" s="17" t="str">
        <f aca="false">INDEX(Articles!$H$2:$H$148,MATCH(A24,Articles!$A$2:$A$148,0))&amp;" / "&amp;INDEX(Articles!$F$2:$F$148,MATCH(A24,Articles!$A$2:$A$148,0))</f>
        <v>Fixé / Estimé</v>
      </c>
      <c r="E24" s="17" t="s">
        <v>172</v>
      </c>
      <c r="F24" s="19" t="n">
        <v>600</v>
      </c>
      <c r="G24" s="20" t="n">
        <f aca="false">(C24-F24)/F24</f>
        <v>0</v>
      </c>
      <c r="H24" s="17" t="str">
        <f aca="false">IF(G24&gt;=0.5,"Nous : beaucoup plus cher",IF(G24&lt;=-0.35,"Nous : beaucoup moins cher",IF(ABS(G24)&gt;=0.25,"Écart moyen","Aligné")))</f>
        <v>Aligné</v>
      </c>
      <c r="I24" s="17" t="s">
        <v>167</v>
      </c>
    </row>
    <row r="25" customFormat="false" ht="26.85" hidden="false" customHeight="false" outlineLevel="0" collapsed="false">
      <c r="A25" s="17" t="s">
        <v>218</v>
      </c>
      <c r="B25" s="17" t="str">
        <f aca="false">INDEX(Articles!$C$2:$C$148,MATCH(A25,Articles!$A$2:$A$148,0))</f>
        <v>Crayons de couleur Maped Nightfall, boîte de 24</v>
      </c>
      <c r="C25" s="18" t="n">
        <f aca="false">INDEX(Articles!$G$2:$G$148,MATCH(A25,Articles!$A$2:$A$148,0))</f>
        <v>1600</v>
      </c>
      <c r="D25" s="17" t="str">
        <f aca="false">INDEX(Articles!$H$2:$H$148,MATCH(A25,Articles!$A$2:$A$148,0))&amp;" / "&amp;INDEX(Articles!$F$2:$F$148,MATCH(A25,Articles!$A$2:$A$148,0))</f>
        <v>Estimé / Estimé</v>
      </c>
      <c r="E25" s="17" t="s">
        <v>219</v>
      </c>
      <c r="F25" s="19" t="n">
        <v>1700</v>
      </c>
      <c r="G25" s="20" t="n">
        <f aca="false">(C25-F25)/F25</f>
        <v>-0.0588235294117647</v>
      </c>
      <c r="H25" s="17" t="str">
        <f aca="false">IF(G25&gt;=0.5,"Nous : beaucoup plus cher",IF(G25&lt;=-0.35,"Nous : beaucoup moins cher",IF(ABS(G25)&gt;=0.25,"Écart moyen","Aligné")))</f>
        <v>Aligné</v>
      </c>
      <c r="I25" s="17" t="s">
        <v>167</v>
      </c>
    </row>
    <row r="26" customFormat="false" ht="15" hidden="false" customHeight="false" outlineLevel="0" collapsed="false">
      <c r="A26" s="17" t="s">
        <v>220</v>
      </c>
      <c r="B26" s="17" t="str">
        <f aca="false">INDEX(Articles!$C$2:$C$148,MATCH(A26,Articles!$A$2:$A$148,0))</f>
        <v>Stylo à bille Schneider Tops 505 M bleu</v>
      </c>
      <c r="C26" s="18" t="n">
        <f aca="false">INDEX(Articles!$G$2:$G$148,MATCH(A26,Articles!$A$2:$A$148,0))</f>
        <v>100</v>
      </c>
      <c r="D26" s="17" t="str">
        <f aca="false">INDEX(Articles!$H$2:$H$148,MATCH(A26,Articles!$A$2:$A$148,0))&amp;" / "&amp;INDEX(Articles!$F$2:$F$148,MATCH(A26,Articles!$A$2:$A$148,0))</f>
        <v>Fixé / Inconnu</v>
      </c>
      <c r="E26" s="17" t="s">
        <v>221</v>
      </c>
      <c r="F26" s="19" t="n">
        <v>100</v>
      </c>
      <c r="G26" s="20" t="n">
        <f aca="false">(C26-F26)/F26</f>
        <v>0</v>
      </c>
      <c r="H26" s="17" t="str">
        <f aca="false">IF(G26&gt;=0.5,"Nous : beaucoup plus cher",IF(G26&lt;=-0.35,"Nous : beaucoup moins cher",IF(ABS(G26)&gt;=0.25,"Écart moyen","Aligné")))</f>
        <v>Aligné</v>
      </c>
      <c r="I26" s="17" t="s">
        <v>167</v>
      </c>
    </row>
    <row r="27" customFormat="false" ht="26.85" hidden="false" customHeight="false" outlineLevel="0" collapsed="false">
      <c r="A27" s="17" t="s">
        <v>222</v>
      </c>
      <c r="B27" s="17" t="str">
        <f aca="false">INDEX(Articles!$C$2:$C$148,MATCH(A27,Articles!$A$2:$A$148,0))</f>
        <v>Pack de 4 stylos Schneider Tops 505 M (bleu, noir, rouge, vert)</v>
      </c>
      <c r="C27" s="18" t="n">
        <f aca="false">INDEX(Articles!$G$2:$G$148,MATCH(A27,Articles!$A$2:$A$148,0))</f>
        <v>400</v>
      </c>
      <c r="D27" s="17" t="str">
        <f aca="false">INDEX(Articles!$H$2:$H$148,MATCH(A27,Articles!$A$2:$A$148,0))&amp;" / "&amp;INDEX(Articles!$F$2:$F$148,MATCH(A27,Articles!$A$2:$A$148,0))</f>
        <v>Fixé / Inconnu</v>
      </c>
      <c r="E27" s="17" t="s">
        <v>223</v>
      </c>
      <c r="F27" s="19" t="n">
        <v>400</v>
      </c>
      <c r="G27" s="20" t="n">
        <f aca="false">(C27-F27)/F27</f>
        <v>0</v>
      </c>
      <c r="H27" s="17" t="str">
        <f aca="false">IF(G27&gt;=0.5,"Nous : beaucoup plus cher",IF(G27&lt;=-0.35,"Nous : beaucoup moins cher",IF(ABS(G27)&gt;=0.25,"Écart moyen","Aligné")))</f>
        <v>Aligné</v>
      </c>
      <c r="I27" s="17" t="s">
        <v>167</v>
      </c>
    </row>
    <row r="28" customFormat="false" ht="15" hidden="false" customHeight="false" outlineLevel="0" collapsed="false">
      <c r="A28" s="17" t="s">
        <v>224</v>
      </c>
      <c r="B28" s="17" t="str">
        <f aca="false">INDEX(Articles!$C$2:$C$148,MATCH(A28,Articles!$A$2:$A$148,0))</f>
        <v>Grammaire du Français 6/5e, IPAM Edicef</v>
      </c>
      <c r="C28" s="18" t="n">
        <f aca="false">INDEX(Articles!$G$2:$G$148,MATCH(A28,Articles!$A$2:$A$148,0))</f>
        <v>4000</v>
      </c>
      <c r="D28" s="17" t="str">
        <f aca="false">INDEX(Articles!$H$2:$H$148,MATCH(A28,Articles!$A$2:$A$148,0))&amp;" / "&amp;INDEX(Articles!$F$2:$F$148,MATCH(A28,Articles!$A$2:$A$148,0))</f>
        <v>Fixé / Estimé</v>
      </c>
      <c r="E28" s="17" t="s">
        <v>225</v>
      </c>
      <c r="F28" s="19" t="n">
        <v>4000</v>
      </c>
      <c r="G28" s="20" t="n">
        <f aca="false">(C28-F28)/F28</f>
        <v>0</v>
      </c>
      <c r="H28" s="17" t="str">
        <f aca="false">IF(G28&gt;=0.5,"Nous : beaucoup plus cher",IF(G28&lt;=-0.35,"Nous : beaucoup moins cher",IF(ABS(G28)&gt;=0.25,"Écart moyen","Aligné")))</f>
        <v>Aligné</v>
      </c>
      <c r="I28" s="17" t="s">
        <v>167</v>
      </c>
    </row>
    <row r="29" customFormat="false" ht="15" hidden="false" customHeight="false" outlineLevel="0" collapsed="false">
      <c r="A29" s="17" t="s">
        <v>226</v>
      </c>
      <c r="B29" s="17" t="str">
        <f aca="false">INDEX(Articles!$C$2:$C$148,MATCH(A29,Articles!$A$2:$A$148,0))</f>
        <v>Langue et communication C.P.</v>
      </c>
      <c r="C29" s="18" t="n">
        <f aca="false">INDEX(Articles!$G$2:$G$148,MATCH(A29,Articles!$A$2:$A$148,0))</f>
        <v>3890</v>
      </c>
      <c r="D29" s="17" t="str">
        <f aca="false">INDEX(Articles!$H$2:$H$148,MATCH(A29,Articles!$A$2:$A$148,0))&amp;" / "&amp;INDEX(Articles!$F$2:$F$148,MATCH(A29,Articles!$A$2:$A$148,0))</f>
        <v>Fixé / Estimé</v>
      </c>
      <c r="E29" s="17" t="s">
        <v>227</v>
      </c>
      <c r="F29" s="19" t="n">
        <v>4000</v>
      </c>
      <c r="G29" s="20" t="n">
        <f aca="false">(C29-F29)/F29</f>
        <v>-0.0275</v>
      </c>
      <c r="H29" s="17" t="str">
        <f aca="false">IF(G29&gt;=0.5,"Nous : beaucoup plus cher",IF(G29&lt;=-0.35,"Nous : beaucoup moins cher",IF(ABS(G29)&gt;=0.25,"Écart moyen","Aligné")))</f>
        <v>Aligné</v>
      </c>
      <c r="I29" s="17" t="s">
        <v>167</v>
      </c>
    </row>
    <row r="30" customFormat="false" ht="15" hidden="false" customHeight="false" outlineLevel="0" collapsed="false">
      <c r="A30" s="17" t="s">
        <v>228</v>
      </c>
      <c r="B30" s="17" t="str">
        <f aca="false">INDEX(Articles!$C$2:$C$148,MATCH(A30,Articles!$A$2:$A$148,0))</f>
        <v>Science de la vie et de la terre 6éme</v>
      </c>
      <c r="C30" s="18" t="n">
        <f aca="false">INDEX(Articles!$G$2:$G$148,MATCH(A30,Articles!$A$2:$A$148,0))</f>
        <v>3960</v>
      </c>
      <c r="D30" s="17" t="str">
        <f aca="false">INDEX(Articles!$H$2:$H$148,MATCH(A30,Articles!$A$2:$A$148,0))&amp;" / "&amp;INDEX(Articles!$F$2:$F$148,MATCH(A30,Articles!$A$2:$A$148,0))</f>
        <v>Fixé / Estimé</v>
      </c>
      <c r="E30" s="17" t="s">
        <v>229</v>
      </c>
      <c r="F30" s="19" t="n">
        <v>4000</v>
      </c>
      <c r="G30" s="20" t="n">
        <f aca="false">(C30-F30)/F30</f>
        <v>-0.01</v>
      </c>
      <c r="H30" s="17" t="str">
        <f aca="false">IF(G30&gt;=0.5,"Nous : beaucoup plus cher",IF(G30&lt;=-0.35,"Nous : beaucoup moins cher",IF(ABS(G30)&gt;=0.25,"Écart moyen","Aligné")))</f>
        <v>Aligné</v>
      </c>
      <c r="I30" s="17" t="s">
        <v>230</v>
      </c>
    </row>
    <row r="31" customFormat="false" ht="15" hidden="false" customHeight="false" outlineLevel="0" collapsed="false">
      <c r="A31" s="17" t="s">
        <v>231</v>
      </c>
      <c r="B31" s="17" t="str">
        <f aca="false">INDEX(Articles!$C$2:$C$148,MATCH(A31,Articles!$A$2:$A$148,0))</f>
        <v>Bled CM2-6e</v>
      </c>
      <c r="C31" s="18" t="n">
        <f aca="false">INDEX(Articles!$G$2:$G$148,MATCH(A31,Articles!$A$2:$A$148,0))</f>
        <v>4500</v>
      </c>
      <c r="D31" s="17" t="str">
        <f aca="false">INDEX(Articles!$H$2:$H$148,MATCH(A31,Articles!$A$2:$A$148,0))&amp;" / "&amp;INDEX(Articles!$F$2:$F$148,MATCH(A31,Articles!$A$2:$A$148,0))</f>
        <v>Fixé / Estimé</v>
      </c>
      <c r="E31" s="17" t="s">
        <v>232</v>
      </c>
      <c r="F31" s="19" t="n">
        <v>5000</v>
      </c>
      <c r="G31" s="20" t="n">
        <f aca="false">(C31-F31)/F31</f>
        <v>-0.1</v>
      </c>
      <c r="H31" s="17" t="str">
        <f aca="false">IF(G31&gt;=0.5,"Nous : beaucoup plus cher",IF(G31&lt;=-0.35,"Nous : beaucoup moins cher",IF(ABS(G31)&gt;=0.25,"Écart moyen","Aligné")))</f>
        <v>Aligné</v>
      </c>
      <c r="I31" s="17" t="s">
        <v>179</v>
      </c>
    </row>
    <row r="32" customFormat="false" ht="26.85" hidden="false" customHeight="false" outlineLevel="0" collapsed="false">
      <c r="A32" s="17" t="s">
        <v>233</v>
      </c>
      <c r="B32" s="17" t="str">
        <f aca="false">INDEX(Articles!$C$2:$C$148,MATCH(A32,Articles!$A$2:$A$148,0))</f>
        <v>Ciseaux scolaires bouts ronds</v>
      </c>
      <c r="C32" s="18" t="n">
        <f aca="false">INDEX(Articles!$G$2:$G$148,MATCH(A32,Articles!$A$2:$A$148,0))</f>
        <v>250</v>
      </c>
      <c r="D32" s="17" t="str">
        <f aca="false">INDEX(Articles!$H$2:$H$148,MATCH(A32,Articles!$A$2:$A$148,0))&amp;" / "&amp;INDEX(Articles!$F$2:$F$148,MATCH(A32,Articles!$A$2:$A$148,0))</f>
        <v>Fixé / Estimé</v>
      </c>
      <c r="E32" s="17" t="s">
        <v>234</v>
      </c>
      <c r="F32" s="19" t="n">
        <v>400</v>
      </c>
      <c r="G32" s="20" t="n">
        <f aca="false">(C32-F32)/F32</f>
        <v>-0.375</v>
      </c>
      <c r="H32" s="17" t="str">
        <f aca="false">IF(G32&gt;=0.5,"Nous : beaucoup plus cher",IF(G32&lt;=-0.35,"Nous : beaucoup moins cher",IF(ABS(G32)&gt;=0.25,"Écart moyen","Aligné")))</f>
        <v>Nous : beaucoup moins cher</v>
      </c>
      <c r="I32" s="17" t="s">
        <v>167</v>
      </c>
    </row>
    <row r="33" customFormat="false" ht="15" hidden="false" customHeight="false" outlineLevel="0" collapsed="false">
      <c r="A33" s="17" t="s">
        <v>235</v>
      </c>
      <c r="B33" s="17" t="str">
        <f aca="false">INDEX(Articles!$C$2:$C$148,MATCH(A33,Articles!$A$2:$A$148,0))</f>
        <v>Crayon papier (vendu à l'unité)</v>
      </c>
      <c r="C33" s="18" t="n">
        <f aca="false">INDEX(Articles!$G$2:$G$148,MATCH(A33,Articles!$A$2:$A$148,0))</f>
        <v>75</v>
      </c>
      <c r="D33" s="17" t="str">
        <f aca="false">INDEX(Articles!$H$2:$H$148,MATCH(A33,Articles!$A$2:$A$148,0))&amp;" / "&amp;INDEX(Articles!$F$2:$F$148,MATCH(A33,Articles!$A$2:$A$148,0))</f>
        <v>Fixé / Inconnu</v>
      </c>
      <c r="E33" s="17" t="s">
        <v>236</v>
      </c>
      <c r="F33" s="19" t="n">
        <v>100</v>
      </c>
      <c r="G33" s="20" t="n">
        <f aca="false">(C33-F33)/F33</f>
        <v>-0.25</v>
      </c>
      <c r="H33" s="17" t="str">
        <f aca="false">IF(G33&gt;=0.5,"Nous : beaucoup plus cher",IF(G33&lt;=-0.35,"Nous : beaucoup moins cher",IF(ABS(G33)&gt;=0.25,"Écart moyen","Aligné")))</f>
        <v>Écart moyen</v>
      </c>
      <c r="I33" s="17" t="s">
        <v>167</v>
      </c>
    </row>
    <row r="34" customFormat="false" ht="26.85" hidden="false" customHeight="false" outlineLevel="0" collapsed="false">
      <c r="A34" s="17" t="s">
        <v>237</v>
      </c>
      <c r="B34" s="17" t="str">
        <f aca="false">INDEX(Articles!$C$2:$C$148,MATCH(A34,Articles!$A$2:$A$148,0))</f>
        <v>Règle plastique transparente 20 cm</v>
      </c>
      <c r="C34" s="18" t="n">
        <f aca="false">INDEX(Articles!$G$2:$G$148,MATCH(A34,Articles!$A$2:$A$148,0))</f>
        <v>100</v>
      </c>
      <c r="D34" s="17" t="str">
        <f aca="false">INDEX(Articles!$H$2:$H$148,MATCH(A34,Articles!$A$2:$A$148,0))&amp;" / "&amp;INDEX(Articles!$F$2:$F$148,MATCH(A34,Articles!$A$2:$A$148,0))</f>
        <v>Fixé / Inconnu</v>
      </c>
      <c r="E34" s="17" t="s">
        <v>187</v>
      </c>
      <c r="F34" s="19" t="n">
        <v>300</v>
      </c>
      <c r="G34" s="20" t="n">
        <f aca="false">(C34-F34)/F34</f>
        <v>-0.666666666666667</v>
      </c>
      <c r="H34" s="17" t="str">
        <f aca="false">IF(G34&gt;=0.5,"Nous : beaucoup plus cher",IF(G34&lt;=-0.35,"Nous : beaucoup moins cher",IF(ABS(G34)&gt;=0.25,"Écart moyen","Aligné")))</f>
        <v>Nous : beaucoup moins cher</v>
      </c>
      <c r="I34" s="17" t="s">
        <v>238</v>
      </c>
    </row>
    <row r="35" customFormat="false" ht="15" hidden="false" customHeight="false" outlineLevel="0" collapsed="false">
      <c r="A35" s="17" t="s">
        <v>239</v>
      </c>
      <c r="B35" s="17" t="str">
        <f aca="false">INDEX(Articles!$C$2:$C$148,MATCH(A35,Articles!$A$2:$A$148,0))</f>
        <v>Kit de traçage 30 cm, 4 pièces L'écolier</v>
      </c>
      <c r="C35" s="18" t="n">
        <f aca="false">INDEX(Articles!$G$2:$G$148,MATCH(A35,Articles!$A$2:$A$148,0))</f>
        <v>900</v>
      </c>
      <c r="D35" s="17" t="str">
        <f aca="false">INDEX(Articles!$H$2:$H$148,MATCH(A35,Articles!$A$2:$A$148,0))&amp;" / "&amp;INDEX(Articles!$F$2:$F$148,MATCH(A35,Articles!$A$2:$A$148,0))</f>
        <v>Estimé / Confirmé</v>
      </c>
      <c r="E35" s="17" t="s">
        <v>240</v>
      </c>
      <c r="F35" s="19" t="n">
        <v>1000</v>
      </c>
      <c r="G35" s="20" t="n">
        <f aca="false">(C35-F35)/F35</f>
        <v>-0.1</v>
      </c>
      <c r="H35" s="17" t="str">
        <f aca="false">IF(G35&gt;=0.5,"Nous : beaucoup plus cher",IF(G35&lt;=-0.35,"Nous : beaucoup moins cher",IF(ABS(G35)&gt;=0.25,"Écart moyen","Aligné")))</f>
        <v>Aligné</v>
      </c>
      <c r="I35" s="17" t="s">
        <v>241</v>
      </c>
    </row>
    <row r="36" customFormat="false" ht="26.85" hidden="false" customHeight="false" outlineLevel="0" collapsed="false">
      <c r="A36" s="17" t="s">
        <v>242</v>
      </c>
      <c r="B36" s="17" t="str">
        <f aca="false">INDEX(Articles!$C$2:$C$148,MATCH(A36,Articles!$A$2:$A$148,0))</f>
        <v>Calculatrice scientifique Parpn YH-2000</v>
      </c>
      <c r="C36" s="18" t="n">
        <f aca="false">INDEX(Articles!$G$2:$G$148,MATCH(A36,Articles!$A$2:$A$148,0))</f>
        <v>1400</v>
      </c>
      <c r="D36" s="17" t="str">
        <f aca="false">INDEX(Articles!$H$2:$H$148,MATCH(A36,Articles!$A$2:$A$148,0))&amp;" / "&amp;INDEX(Articles!$F$2:$F$148,MATCH(A36,Articles!$A$2:$A$148,0))</f>
        <v>Fixé / Confirmé</v>
      </c>
      <c r="E36" s="17" t="s">
        <v>243</v>
      </c>
      <c r="F36" s="19" t="n">
        <v>2200</v>
      </c>
      <c r="G36" s="20" t="n">
        <f aca="false">(C36-F36)/F36</f>
        <v>-0.363636363636364</v>
      </c>
      <c r="H36" s="17" t="str">
        <f aca="false">IF(G36&gt;=0.5,"Nous : beaucoup plus cher",IF(G36&lt;=-0.35,"Nous : beaucoup moins cher",IF(ABS(G36)&gt;=0.25,"Écart moyen","Aligné")))</f>
        <v>Nous : beaucoup moins cher</v>
      </c>
      <c r="I36" s="17" t="s">
        <v>167</v>
      </c>
    </row>
    <row r="37" customFormat="false" ht="15" hidden="false" customHeight="false" outlineLevel="0" collapsed="false">
      <c r="A37" s="17" t="s">
        <v>244</v>
      </c>
      <c r="B37" s="17" t="str">
        <f aca="false">INDEX(Articles!$C$2:$C$148,MATCH(A37,Articles!$A$2:$A$148,0))</f>
        <v>Cahier d’activités mathématiques C.P.</v>
      </c>
      <c r="C37" s="18" t="n">
        <f aca="false">INDEX(Articles!$G$2:$G$148,MATCH(A37,Articles!$A$2:$A$148,0))</f>
        <v>2790</v>
      </c>
      <c r="D37" s="17" t="str">
        <f aca="false">INDEX(Articles!$H$2:$H$148,MATCH(A37,Articles!$A$2:$A$148,0))&amp;" / "&amp;INDEX(Articles!$F$2:$F$148,MATCH(A37,Articles!$A$2:$A$148,0))</f>
        <v>Fixé / Estimé</v>
      </c>
      <c r="E37" s="17" t="s">
        <v>245</v>
      </c>
      <c r="F37" s="19" t="n">
        <v>4000</v>
      </c>
      <c r="G37" s="20" t="n">
        <f aca="false">(C37-F37)/F37</f>
        <v>-0.3025</v>
      </c>
      <c r="H37" s="17" t="str">
        <f aca="false">IF(G37&gt;=0.5,"Nous : beaucoup plus cher",IF(G37&lt;=-0.35,"Nous : beaucoup moins cher",IF(ABS(G37)&gt;=0.25,"Écart moyen","Aligné")))</f>
        <v>Écart moyen</v>
      </c>
      <c r="I37" s="17" t="s">
        <v>167</v>
      </c>
    </row>
    <row r="38" customFormat="false" ht="26.85" hidden="false" customHeight="false" outlineLevel="0" collapsed="false">
      <c r="A38" s="17" t="s">
        <v>246</v>
      </c>
      <c r="B38" s="17" t="str">
        <f aca="false">INDEX(Articles!$C$2:$C$148,MATCH(A38,Articles!$A$2:$A$148,0))</f>
        <v>Protège-documents porte-vues</v>
      </c>
      <c r="C38" s="18" t="n">
        <f aca="false">INDEX(Articles!$G$2:$G$148,MATCH(A38,Articles!$A$2:$A$148,0))</f>
        <v>1150</v>
      </c>
      <c r="D38" s="17" t="str">
        <f aca="false">INDEX(Articles!$H$2:$H$148,MATCH(A38,Articles!$A$2:$A$148,0))&amp;" / "&amp;INDEX(Articles!$F$2:$F$148,MATCH(A38,Articles!$A$2:$A$148,0))</f>
        <v>Fixé / Estimé</v>
      </c>
      <c r="E38" s="17" t="s">
        <v>247</v>
      </c>
      <c r="F38" s="19" t="n">
        <v>2000</v>
      </c>
      <c r="G38" s="20" t="n">
        <f aca="false">(C38-F38)/F38</f>
        <v>-0.425</v>
      </c>
      <c r="H38" s="17" t="str">
        <f aca="false">IF(G38&gt;=0.5,"Nous : beaucoup plus cher",IF(G38&lt;=-0.35,"Nous : beaucoup moins cher",IF(ABS(G38)&gt;=0.25,"Écart moyen","Aligné")))</f>
        <v>Nous : beaucoup moins cher</v>
      </c>
      <c r="I38" s="17" t="s">
        <v>179</v>
      </c>
    </row>
    <row r="39" customFormat="false" ht="15" hidden="false" customHeight="false" outlineLevel="0" collapsed="false">
      <c r="A39" s="17" t="s">
        <v>248</v>
      </c>
      <c r="B39" s="17" t="str">
        <f aca="false">INDEX(Articles!$C$2:$C$148,MATCH(A39,Articles!$A$2:$A$148,0))</f>
        <v>Bâton de colle Giotto 20 g</v>
      </c>
      <c r="C39" s="18" t="n">
        <f aca="false">INDEX(Articles!$G$2:$G$148,MATCH(A39,Articles!$A$2:$A$148,0))</f>
        <v>900</v>
      </c>
      <c r="D39" s="17" t="str">
        <f aca="false">INDEX(Articles!$H$2:$H$148,MATCH(A39,Articles!$A$2:$A$148,0))&amp;" / "&amp;INDEX(Articles!$F$2:$F$148,MATCH(A39,Articles!$A$2:$A$148,0))</f>
        <v>Estimé / Estimé</v>
      </c>
      <c r="E39" s="17" t="s">
        <v>249</v>
      </c>
      <c r="F39" s="19" t="n">
        <v>1300</v>
      </c>
      <c r="G39" s="20" t="n">
        <f aca="false">(C39-F39)/F39</f>
        <v>-0.307692307692308</v>
      </c>
      <c r="H39" s="17" t="str">
        <f aca="false">IF(G39&gt;=0.5,"Nous : beaucoup plus cher",IF(G39&lt;=-0.35,"Nous : beaucoup moins cher",IF(ABS(G39)&gt;=0.25,"Écart moyen","Aligné")))</f>
        <v>Écart moyen</v>
      </c>
      <c r="I39" s="17" t="s">
        <v>167</v>
      </c>
    </row>
    <row r="40" customFormat="false" ht="26.85" hidden="false" customHeight="false" outlineLevel="0" collapsed="false">
      <c r="A40" s="17" t="s">
        <v>250</v>
      </c>
      <c r="B40" s="17" t="str">
        <f aca="false">INDEX(Articles!$C$2:$C$148,MATCH(A40,Articles!$A$2:$A$148,0))</f>
        <v>Bâton de colle Giotto 10 g</v>
      </c>
      <c r="C40" s="18" t="n">
        <f aca="false">INDEX(Articles!$G$2:$G$148,MATCH(A40,Articles!$A$2:$A$148,0))</f>
        <v>500</v>
      </c>
      <c r="D40" s="17" t="str">
        <f aca="false">INDEX(Articles!$H$2:$H$148,MATCH(A40,Articles!$A$2:$A$148,0))&amp;" / "&amp;INDEX(Articles!$F$2:$F$148,MATCH(A40,Articles!$A$2:$A$148,0))</f>
        <v>Estimé / Estimé</v>
      </c>
      <c r="E40" s="17" t="s">
        <v>249</v>
      </c>
      <c r="F40" s="19" t="n">
        <v>1300</v>
      </c>
      <c r="G40" s="20" t="n">
        <f aca="false">(C40-F40)/F40</f>
        <v>-0.615384615384615</v>
      </c>
      <c r="H40" s="17" t="str">
        <f aca="false">IF(G40&gt;=0.5,"Nous : beaucoup plus cher",IF(G40&lt;=-0.35,"Nous : beaucoup moins cher",IF(ABS(G40)&gt;=0.25,"Écart moyen","Aligné")))</f>
        <v>Nous : beaucoup moins cher</v>
      </c>
      <c r="I40" s="17" t="s">
        <v>251</v>
      </c>
    </row>
    <row r="41" customFormat="false" ht="26.85" hidden="false" customHeight="false" outlineLevel="0" collapsed="false">
      <c r="A41" s="17" t="s">
        <v>252</v>
      </c>
      <c r="B41" s="17" t="str">
        <f aca="false">INDEX(Articles!$C$2:$C$148,MATCH(A41,Articles!$A$2:$A$148,0))</f>
        <v>Cahier de dessin L'écolier 32 pages</v>
      </c>
      <c r="C41" s="18" t="n">
        <f aca="false">INDEX(Articles!$G$2:$G$148,MATCH(A41,Articles!$A$2:$A$148,0))</f>
        <v>250</v>
      </c>
      <c r="D41" s="17" t="str">
        <f aca="false">INDEX(Articles!$H$2:$H$148,MATCH(A41,Articles!$A$2:$A$148,0))&amp;" / "&amp;INDEX(Articles!$F$2:$F$148,MATCH(A41,Articles!$A$2:$A$148,0))</f>
        <v>Fixé / Confirmé</v>
      </c>
      <c r="E41" s="17" t="s">
        <v>253</v>
      </c>
      <c r="F41" s="19" t="n">
        <v>600</v>
      </c>
      <c r="G41" s="20" t="n">
        <f aca="false">(C41-F41)/F41</f>
        <v>-0.583333333333333</v>
      </c>
      <c r="H41" s="17" t="str">
        <f aca="false">IF(G41&gt;=0.5,"Nous : beaucoup plus cher",IF(G41&lt;=-0.35,"Nous : beaucoup moins cher",IF(ABS(G41)&gt;=0.25,"Écart moyen","Aligné")))</f>
        <v>Nous : beaucoup moins cher</v>
      </c>
      <c r="I41" s="17" t="s">
        <v>167</v>
      </c>
    </row>
    <row r="42" customFormat="false" ht="15" hidden="false" customHeight="false" outlineLevel="0" collapsed="false">
      <c r="A42" s="17" t="s">
        <v>254</v>
      </c>
      <c r="B42" s="17" t="str">
        <f aca="false">INDEX(Articles!$C$2:$C$148,MATCH(A42,Articles!$A$2:$A$148,0))</f>
        <v>Sac à dos bleu marine</v>
      </c>
      <c r="C42" s="18" t="n">
        <f aca="false">INDEX(Articles!$G$2:$G$148,MATCH(A42,Articles!$A$2:$A$148,0))</f>
        <v>7000</v>
      </c>
      <c r="D42" s="17" t="str">
        <f aca="false">INDEX(Articles!$H$2:$H$148,MATCH(A42,Articles!$A$2:$A$148,0))&amp;" / "&amp;INDEX(Articles!$F$2:$F$148,MATCH(A42,Articles!$A$2:$A$148,0))</f>
        <v>Fixé / Confirmé</v>
      </c>
      <c r="E42" s="17" t="s">
        <v>255</v>
      </c>
      <c r="F42" s="19" t="n">
        <v>10000</v>
      </c>
      <c r="G42" s="20" t="n">
        <f aca="false">(C42-F42)/F42</f>
        <v>-0.3</v>
      </c>
      <c r="H42" s="17" t="str">
        <f aca="false">IF(G42&gt;=0.5,"Nous : beaucoup plus cher",IF(G42&lt;=-0.35,"Nous : beaucoup moins cher",IF(ABS(G42)&gt;=0.25,"Écart moyen","Aligné")))</f>
        <v>Écart moyen</v>
      </c>
      <c r="I42" s="17" t="s">
        <v>179</v>
      </c>
    </row>
    <row r="44" customFormat="false" ht="15" hidden="false" customHeight="false" outlineLevel="0" collapsed="false">
      <c r="A44" s="21" t="s">
        <v>256</v>
      </c>
    </row>
    <row r="45" customFormat="false" ht="15" hidden="false" customHeight="false" outlineLevel="0" collapsed="false">
      <c r="A45" s="21" t="s">
        <v>257</v>
      </c>
    </row>
    <row r="46" customFormat="false" ht="15" hidden="false" customHeight="false" outlineLevel="0" collapsed="false">
      <c r="A46" s="21" t="s">
        <v>258</v>
      </c>
    </row>
  </sheetData>
  <conditionalFormatting sqref="A2:I42">
    <cfRule type="expression" priority="2" aboveAverage="0" equalAverage="0" bottom="0" percent="0" rank="0" text="" dxfId="0">
      <formula>$G2&gt;=0.5</formula>
    </cfRule>
    <cfRule type="expression" priority="3" aboveAverage="0" equalAverage="0" bottom="0" percent="0" rank="0" text="" dxfId="1">
      <formula>$G2&lt;=-0.35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48"/>
    <col collapsed="false" customWidth="true" hidden="false" outlineLevel="0" max="4" min="4" style="0" width="20"/>
    <col collapsed="false" customWidth="true" hidden="false" outlineLevel="0" max="5" min="5" style="0" width="16"/>
  </cols>
  <sheetData>
    <row r="1" customFormat="false" ht="15" hidden="false" customHeight="false" outlineLevel="0" collapsed="false">
      <c r="A1" s="4" t="s">
        <v>23</v>
      </c>
      <c r="B1" s="4" t="s">
        <v>259</v>
      </c>
      <c r="C1" s="4" t="s">
        <v>260</v>
      </c>
      <c r="D1" s="4" t="s">
        <v>261</v>
      </c>
      <c r="E1" s="4" t="s">
        <v>262</v>
      </c>
    </row>
    <row r="2" customFormat="false" ht="15" hidden="false" customHeight="false" outlineLevel="0" collapsed="false">
      <c r="A2" s="15" t="s">
        <v>43</v>
      </c>
      <c r="B2" s="15" t="s">
        <v>263</v>
      </c>
      <c r="C2" s="15" t="s">
        <v>264</v>
      </c>
      <c r="D2" s="16" t="s">
        <v>36</v>
      </c>
      <c r="E2" s="15" t="s">
        <v>265</v>
      </c>
    </row>
    <row r="3" customFormat="false" ht="15" hidden="false" customHeight="false" outlineLevel="0" collapsed="false">
      <c r="A3" s="15" t="s">
        <v>43</v>
      </c>
      <c r="B3" s="15" t="s">
        <v>266</v>
      </c>
      <c r="C3" s="15" t="s">
        <v>267</v>
      </c>
      <c r="D3" s="15" t="s">
        <v>37</v>
      </c>
      <c r="E3" s="15" t="s">
        <v>268</v>
      </c>
    </row>
    <row r="4" customFormat="false" ht="15" hidden="false" customHeight="false" outlineLevel="0" collapsed="false">
      <c r="A4" s="22" t="s">
        <v>43</v>
      </c>
      <c r="B4" s="22" t="s">
        <v>269</v>
      </c>
      <c r="C4" s="22" t="s">
        <v>270</v>
      </c>
      <c r="D4" s="22" t="s">
        <v>37</v>
      </c>
      <c r="E4" s="22" t="s">
        <v>271</v>
      </c>
    </row>
    <row r="5" customFormat="false" ht="26.85" hidden="false" customHeight="false" outlineLevel="0" collapsed="false">
      <c r="A5" s="22" t="s">
        <v>43</v>
      </c>
      <c r="B5" s="22" t="s">
        <v>272</v>
      </c>
      <c r="C5" s="22" t="s">
        <v>273</v>
      </c>
      <c r="D5" s="22" t="s">
        <v>37</v>
      </c>
      <c r="E5" s="22" t="s">
        <v>271</v>
      </c>
    </row>
    <row r="6" customFormat="false" ht="15" hidden="false" customHeight="false" outlineLevel="0" collapsed="false">
      <c r="A6" s="15" t="s">
        <v>44</v>
      </c>
      <c r="B6" s="15" t="s">
        <v>274</v>
      </c>
      <c r="C6" s="15" t="s">
        <v>270</v>
      </c>
      <c r="D6" s="16" t="s">
        <v>36</v>
      </c>
      <c r="E6" s="15" t="s">
        <v>275</v>
      </c>
    </row>
    <row r="7" customFormat="false" ht="15" hidden="false" customHeight="false" outlineLevel="0" collapsed="false">
      <c r="A7" s="22" t="s">
        <v>44</v>
      </c>
      <c r="B7" s="22" t="s">
        <v>276</v>
      </c>
      <c r="C7" s="22" t="s">
        <v>270</v>
      </c>
      <c r="D7" s="14" t="s">
        <v>36</v>
      </c>
      <c r="E7" s="22" t="s">
        <v>271</v>
      </c>
    </row>
    <row r="8" customFormat="false" ht="26.85" hidden="false" customHeight="false" outlineLevel="0" collapsed="false">
      <c r="A8" s="15" t="s">
        <v>44</v>
      </c>
      <c r="B8" s="15" t="s">
        <v>277</v>
      </c>
      <c r="C8" s="15" t="s">
        <v>278</v>
      </c>
      <c r="D8" s="15" t="s">
        <v>37</v>
      </c>
      <c r="E8" s="15" t="s">
        <v>279</v>
      </c>
    </row>
    <row r="9" customFormat="false" ht="15" hidden="false" customHeight="false" outlineLevel="0" collapsed="false">
      <c r="A9" s="15" t="s">
        <v>44</v>
      </c>
      <c r="B9" s="15" t="s">
        <v>280</v>
      </c>
      <c r="C9" s="15" t="s">
        <v>281</v>
      </c>
      <c r="D9" s="15" t="s">
        <v>37</v>
      </c>
      <c r="E9" s="15" t="s">
        <v>282</v>
      </c>
    </row>
    <row r="10" customFormat="false" ht="15" hidden="false" customHeight="false" outlineLevel="0" collapsed="false">
      <c r="A10" s="15" t="s">
        <v>44</v>
      </c>
      <c r="B10" s="15" t="s">
        <v>283</v>
      </c>
      <c r="C10" s="15" t="s">
        <v>281</v>
      </c>
      <c r="D10" s="15" t="s">
        <v>284</v>
      </c>
      <c r="E10" s="15" t="s">
        <v>285</v>
      </c>
    </row>
    <row r="11" customFormat="false" ht="15" hidden="false" customHeight="false" outlineLevel="0" collapsed="false">
      <c r="A11" s="15" t="s">
        <v>45</v>
      </c>
      <c r="B11" s="15" t="s">
        <v>286</v>
      </c>
      <c r="C11" s="15" t="s">
        <v>287</v>
      </c>
      <c r="D11" s="16" t="s">
        <v>36</v>
      </c>
      <c r="E11" s="15" t="s">
        <v>288</v>
      </c>
    </row>
    <row r="12" customFormat="false" ht="15" hidden="false" customHeight="false" outlineLevel="0" collapsed="false">
      <c r="A12" s="15" t="s">
        <v>45</v>
      </c>
      <c r="B12" s="15" t="s">
        <v>289</v>
      </c>
      <c r="C12" s="15" t="s">
        <v>281</v>
      </c>
      <c r="D12" s="15" t="s">
        <v>37</v>
      </c>
      <c r="E12" s="15" t="s">
        <v>290</v>
      </c>
    </row>
    <row r="13" customFormat="false" ht="15" hidden="false" customHeight="false" outlineLevel="0" collapsed="false">
      <c r="A13" s="22" t="s">
        <v>45</v>
      </c>
      <c r="B13" s="22" t="s">
        <v>291</v>
      </c>
      <c r="C13" s="22" t="s">
        <v>292</v>
      </c>
      <c r="D13" s="22" t="s">
        <v>37</v>
      </c>
      <c r="E13" s="22" t="s">
        <v>271</v>
      </c>
    </row>
    <row r="14" customFormat="false" ht="15" hidden="false" customHeight="false" outlineLevel="0" collapsed="false">
      <c r="A14" s="22" t="s">
        <v>45</v>
      </c>
      <c r="B14" s="22" t="s">
        <v>293</v>
      </c>
      <c r="C14" s="22" t="s">
        <v>270</v>
      </c>
      <c r="D14" s="22" t="s">
        <v>37</v>
      </c>
      <c r="E14" s="22" t="s">
        <v>271</v>
      </c>
    </row>
    <row r="15" customFormat="false" ht="15" hidden="false" customHeight="false" outlineLevel="0" collapsed="false">
      <c r="A15" s="15" t="s">
        <v>46</v>
      </c>
      <c r="B15" s="15" t="s">
        <v>294</v>
      </c>
      <c r="C15" s="15" t="s">
        <v>287</v>
      </c>
      <c r="D15" s="16" t="s">
        <v>36</v>
      </c>
      <c r="E15" s="15" t="s">
        <v>295</v>
      </c>
    </row>
    <row r="16" customFormat="false" ht="15" hidden="false" customHeight="false" outlineLevel="0" collapsed="false">
      <c r="A16" s="15" t="s">
        <v>46</v>
      </c>
      <c r="B16" s="15" t="s">
        <v>296</v>
      </c>
      <c r="C16" s="15" t="s">
        <v>297</v>
      </c>
      <c r="D16" s="16" t="s">
        <v>36</v>
      </c>
      <c r="E16" s="15" t="s">
        <v>298</v>
      </c>
    </row>
    <row r="17" customFormat="false" ht="15" hidden="false" customHeight="false" outlineLevel="0" collapsed="false">
      <c r="A17" s="22" t="s">
        <v>46</v>
      </c>
      <c r="B17" s="22" t="s">
        <v>299</v>
      </c>
      <c r="C17" s="22" t="s">
        <v>270</v>
      </c>
      <c r="D17" s="22" t="s">
        <v>37</v>
      </c>
      <c r="E17" s="22" t="s">
        <v>271</v>
      </c>
    </row>
    <row r="18" customFormat="false" ht="15" hidden="false" customHeight="false" outlineLevel="0" collapsed="false">
      <c r="A18" s="15" t="s">
        <v>300</v>
      </c>
      <c r="B18" s="15" t="s">
        <v>301</v>
      </c>
      <c r="C18" s="15" t="s">
        <v>302</v>
      </c>
      <c r="D18" s="16" t="s">
        <v>36</v>
      </c>
      <c r="E18" s="15" t="s">
        <v>303</v>
      </c>
    </row>
    <row r="19" customFormat="false" ht="15" hidden="false" customHeight="false" outlineLevel="0" collapsed="false">
      <c r="A19" s="22" t="s">
        <v>300</v>
      </c>
      <c r="B19" s="22" t="s">
        <v>304</v>
      </c>
      <c r="C19" s="22" t="s">
        <v>302</v>
      </c>
      <c r="D19" s="14" t="s">
        <v>36</v>
      </c>
      <c r="E19" s="22" t="s">
        <v>271</v>
      </c>
    </row>
    <row r="20" customFormat="false" ht="15" hidden="false" customHeight="false" outlineLevel="0" collapsed="false">
      <c r="A20" s="15" t="s">
        <v>300</v>
      </c>
      <c r="B20" s="15" t="s">
        <v>305</v>
      </c>
      <c r="C20" s="15" t="s">
        <v>306</v>
      </c>
      <c r="D20" s="15" t="s">
        <v>37</v>
      </c>
      <c r="E20" s="15" t="s">
        <v>307</v>
      </c>
    </row>
    <row r="21" customFormat="false" ht="15" hidden="false" customHeight="false" outlineLevel="0" collapsed="false">
      <c r="A21" s="15" t="s">
        <v>300</v>
      </c>
      <c r="B21" s="15" t="s">
        <v>308</v>
      </c>
      <c r="C21" s="15" t="s">
        <v>270</v>
      </c>
      <c r="D21" s="15" t="s">
        <v>37</v>
      </c>
      <c r="E21" s="15" t="s">
        <v>309</v>
      </c>
    </row>
    <row r="22" customFormat="false" ht="15" hidden="false" customHeight="false" outlineLevel="0" collapsed="false">
      <c r="A22" s="22" t="s">
        <v>300</v>
      </c>
      <c r="B22" s="22" t="s">
        <v>310</v>
      </c>
      <c r="C22" s="22" t="s">
        <v>311</v>
      </c>
      <c r="D22" s="22" t="s">
        <v>37</v>
      </c>
      <c r="E22" s="22" t="s">
        <v>271</v>
      </c>
    </row>
    <row r="23" customFormat="false" ht="15" hidden="false" customHeight="false" outlineLevel="0" collapsed="false">
      <c r="A23" s="22" t="s">
        <v>300</v>
      </c>
      <c r="B23" s="22" t="s">
        <v>312</v>
      </c>
      <c r="C23" s="22" t="s">
        <v>313</v>
      </c>
      <c r="D23" s="22" t="s">
        <v>37</v>
      </c>
      <c r="E23" s="22" t="s">
        <v>271</v>
      </c>
    </row>
    <row r="24" customFormat="false" ht="15" hidden="false" customHeight="false" outlineLevel="0" collapsed="false">
      <c r="A24" s="15" t="s">
        <v>314</v>
      </c>
      <c r="B24" s="15" t="s">
        <v>315</v>
      </c>
      <c r="C24" s="15" t="s">
        <v>316</v>
      </c>
      <c r="D24" s="16" t="s">
        <v>36</v>
      </c>
      <c r="E24" s="15" t="s">
        <v>317</v>
      </c>
    </row>
    <row r="25" customFormat="false" ht="15" hidden="false" customHeight="false" outlineLevel="0" collapsed="false">
      <c r="A25" s="15" t="s">
        <v>314</v>
      </c>
      <c r="B25" s="15" t="s">
        <v>318</v>
      </c>
      <c r="C25" s="15" t="s">
        <v>319</v>
      </c>
      <c r="D25" s="16" t="s">
        <v>36</v>
      </c>
      <c r="E25" s="15" t="s">
        <v>320</v>
      </c>
    </row>
    <row r="26" customFormat="false" ht="15" hidden="false" customHeight="false" outlineLevel="0" collapsed="false">
      <c r="A26" s="15" t="s">
        <v>314</v>
      </c>
      <c r="B26" s="15" t="s">
        <v>321</v>
      </c>
      <c r="C26" s="15" t="s">
        <v>322</v>
      </c>
      <c r="D26" s="16" t="s">
        <v>36</v>
      </c>
      <c r="E26" s="15" t="s">
        <v>323</v>
      </c>
    </row>
    <row r="27" customFormat="false" ht="15" hidden="false" customHeight="false" outlineLevel="0" collapsed="false">
      <c r="A27" s="22" t="s">
        <v>314</v>
      </c>
      <c r="B27" s="22" t="s">
        <v>324</v>
      </c>
      <c r="C27" s="22" t="s">
        <v>325</v>
      </c>
      <c r="D27" s="14" t="s">
        <v>36</v>
      </c>
      <c r="E27" s="22" t="s">
        <v>271</v>
      </c>
    </row>
    <row r="28" customFormat="false" ht="15" hidden="false" customHeight="false" outlineLevel="0" collapsed="false">
      <c r="A28" s="15" t="s">
        <v>314</v>
      </c>
      <c r="B28" s="15" t="s">
        <v>326</v>
      </c>
      <c r="C28" s="15" t="s">
        <v>270</v>
      </c>
      <c r="D28" s="15" t="s">
        <v>37</v>
      </c>
      <c r="E28" s="15" t="s">
        <v>327</v>
      </c>
    </row>
    <row r="29" customFormat="false" ht="15" hidden="false" customHeight="false" outlineLevel="0" collapsed="false">
      <c r="A29" s="15" t="s">
        <v>314</v>
      </c>
      <c r="B29" s="15" t="s">
        <v>328</v>
      </c>
      <c r="C29" s="15" t="s">
        <v>329</v>
      </c>
      <c r="D29" s="15" t="s">
        <v>37</v>
      </c>
      <c r="E29" s="15" t="s">
        <v>330</v>
      </c>
    </row>
    <row r="30" customFormat="false" ht="15" hidden="false" customHeight="false" outlineLevel="0" collapsed="false">
      <c r="A30" s="22" t="s">
        <v>314</v>
      </c>
      <c r="B30" s="22" t="s">
        <v>331</v>
      </c>
      <c r="C30" s="22" t="s">
        <v>270</v>
      </c>
      <c r="D30" s="22" t="s">
        <v>37</v>
      </c>
      <c r="E30" s="22" t="s">
        <v>271</v>
      </c>
    </row>
    <row r="31" customFormat="false" ht="15" hidden="false" customHeight="false" outlineLevel="0" collapsed="false">
      <c r="A31" s="15" t="s">
        <v>332</v>
      </c>
      <c r="B31" s="15" t="s">
        <v>333</v>
      </c>
      <c r="C31" s="15" t="s">
        <v>316</v>
      </c>
      <c r="D31" s="16" t="s">
        <v>36</v>
      </c>
      <c r="E31" s="15" t="s">
        <v>334</v>
      </c>
    </row>
    <row r="32" customFormat="false" ht="15" hidden="false" customHeight="false" outlineLevel="0" collapsed="false">
      <c r="A32" s="15" t="s">
        <v>332</v>
      </c>
      <c r="B32" s="15" t="s">
        <v>335</v>
      </c>
      <c r="C32" s="15" t="s">
        <v>336</v>
      </c>
      <c r="D32" s="16" t="s">
        <v>36</v>
      </c>
      <c r="E32" s="15" t="s">
        <v>337</v>
      </c>
    </row>
    <row r="33" customFormat="false" ht="15" hidden="false" customHeight="false" outlineLevel="0" collapsed="false">
      <c r="A33" s="22" t="s">
        <v>332</v>
      </c>
      <c r="B33" s="22" t="s">
        <v>338</v>
      </c>
      <c r="C33" s="22" t="s">
        <v>316</v>
      </c>
      <c r="D33" s="14" t="s">
        <v>36</v>
      </c>
      <c r="E33" s="22" t="s">
        <v>271</v>
      </c>
    </row>
    <row r="34" customFormat="false" ht="15" hidden="false" customHeight="false" outlineLevel="0" collapsed="false">
      <c r="A34" s="22" t="s">
        <v>332</v>
      </c>
      <c r="B34" s="22" t="s">
        <v>339</v>
      </c>
      <c r="C34" s="22" t="s">
        <v>340</v>
      </c>
      <c r="D34" s="14" t="s">
        <v>36</v>
      </c>
      <c r="E34" s="22" t="s">
        <v>271</v>
      </c>
    </row>
    <row r="35" customFormat="false" ht="15" hidden="false" customHeight="false" outlineLevel="0" collapsed="false">
      <c r="A35" s="22" t="s">
        <v>332</v>
      </c>
      <c r="B35" s="22" t="s">
        <v>341</v>
      </c>
      <c r="C35" s="22" t="s">
        <v>322</v>
      </c>
      <c r="D35" s="14" t="s">
        <v>36</v>
      </c>
      <c r="E35" s="22" t="s">
        <v>271</v>
      </c>
    </row>
    <row r="36" customFormat="false" ht="15" hidden="false" customHeight="false" outlineLevel="0" collapsed="false">
      <c r="A36" s="15" t="s">
        <v>332</v>
      </c>
      <c r="B36" s="15" t="s">
        <v>342</v>
      </c>
      <c r="C36" s="15" t="s">
        <v>343</v>
      </c>
      <c r="D36" s="15" t="s">
        <v>344</v>
      </c>
      <c r="E36" s="15" t="s">
        <v>345</v>
      </c>
    </row>
    <row r="37" customFormat="false" ht="15" hidden="false" customHeight="false" outlineLevel="0" collapsed="false">
      <c r="A37" s="15" t="s">
        <v>332</v>
      </c>
      <c r="B37" s="15" t="s">
        <v>346</v>
      </c>
      <c r="C37" s="15" t="s">
        <v>270</v>
      </c>
      <c r="D37" s="15" t="s">
        <v>37</v>
      </c>
      <c r="E37" s="15"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56"/>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70"/>
  </cols>
  <sheetData>
    <row r="1" customFormat="false" ht="26.85" hidden="false" customHeight="false" outlineLevel="0" collapsed="false">
      <c r="A1" s="4" t="s">
        <v>348</v>
      </c>
      <c r="B1" s="4" t="s">
        <v>349</v>
      </c>
      <c r="C1" s="4" t="s">
        <v>350</v>
      </c>
      <c r="D1" s="4" t="s">
        <v>351</v>
      </c>
      <c r="E1" s="4" t="s">
        <v>352</v>
      </c>
      <c r="F1" s="4" t="s">
        <v>353</v>
      </c>
      <c r="G1" s="4" t="s">
        <v>354</v>
      </c>
      <c r="H1" s="4" t="s">
        <v>355</v>
      </c>
      <c r="I1" s="4" t="s">
        <v>356</v>
      </c>
    </row>
    <row r="2" customFormat="false" ht="15" hidden="false" customHeight="false" outlineLevel="0" collapsed="false">
      <c r="A2" s="9" t="s">
        <v>252</v>
      </c>
      <c r="B2" s="9" t="s">
        <v>76</v>
      </c>
      <c r="C2" s="9" t="s">
        <v>357</v>
      </c>
      <c r="D2" s="9" t="s">
        <v>358</v>
      </c>
      <c r="E2" s="23" t="n">
        <v>150</v>
      </c>
      <c r="F2" s="9" t="s">
        <v>359</v>
      </c>
      <c r="G2" s="23" t="n">
        <v>250</v>
      </c>
      <c r="H2" s="9" t="s">
        <v>360</v>
      </c>
      <c r="I2" s="17"/>
    </row>
    <row r="3" customFormat="false" ht="15" hidden="false" customHeight="false" outlineLevel="0" collapsed="false">
      <c r="A3" s="9" t="s">
        <v>203</v>
      </c>
      <c r="B3" s="9" t="s">
        <v>76</v>
      </c>
      <c r="C3" s="9" t="s">
        <v>361</v>
      </c>
      <c r="D3" s="9" t="s">
        <v>358</v>
      </c>
      <c r="E3" s="23" t="n">
        <v>175</v>
      </c>
      <c r="F3" s="9" t="s">
        <v>359</v>
      </c>
      <c r="G3" s="23" t="n">
        <v>275</v>
      </c>
      <c r="H3" s="9" t="s">
        <v>362</v>
      </c>
      <c r="I3" s="17"/>
    </row>
    <row r="4" customFormat="false" ht="15" hidden="false" customHeight="false" outlineLevel="0" collapsed="false">
      <c r="A4" s="9" t="s">
        <v>210</v>
      </c>
      <c r="B4" s="9" t="s">
        <v>76</v>
      </c>
      <c r="C4" s="9" t="s">
        <v>363</v>
      </c>
      <c r="D4" s="9" t="s">
        <v>358</v>
      </c>
      <c r="E4" s="23" t="n">
        <v>400</v>
      </c>
      <c r="F4" s="9" t="s">
        <v>359</v>
      </c>
      <c r="G4" s="23" t="n">
        <v>500</v>
      </c>
      <c r="H4" s="9" t="s">
        <v>362</v>
      </c>
      <c r="I4" s="17" t="s">
        <v>364</v>
      </c>
    </row>
    <row r="5" customFormat="false" ht="15" hidden="false" customHeight="false" outlineLevel="0" collapsed="false">
      <c r="A5" s="9" t="s">
        <v>195</v>
      </c>
      <c r="B5" s="9" t="s">
        <v>76</v>
      </c>
      <c r="C5" s="9" t="s">
        <v>365</v>
      </c>
      <c r="D5" s="9" t="s">
        <v>358</v>
      </c>
      <c r="E5" s="23" t="n">
        <v>350</v>
      </c>
      <c r="F5" s="9" t="s">
        <v>359</v>
      </c>
      <c r="G5" s="23" t="n">
        <v>450</v>
      </c>
      <c r="H5" s="9" t="s">
        <v>360</v>
      </c>
      <c r="I5" s="17"/>
    </row>
    <row r="6" customFormat="false" ht="15" hidden="false" customHeight="false" outlineLevel="0" collapsed="false">
      <c r="A6" s="9" t="s">
        <v>366</v>
      </c>
      <c r="B6" s="9" t="s">
        <v>76</v>
      </c>
      <c r="C6" s="9" t="s">
        <v>367</v>
      </c>
      <c r="D6" s="9" t="s">
        <v>358</v>
      </c>
      <c r="E6" s="23" t="n">
        <v>650</v>
      </c>
      <c r="F6" s="9" t="s">
        <v>362</v>
      </c>
      <c r="G6" s="23" t="n">
        <v>750</v>
      </c>
      <c r="H6" s="9" t="s">
        <v>360</v>
      </c>
      <c r="I6" s="17" t="s">
        <v>368</v>
      </c>
    </row>
    <row r="7" customFormat="false" ht="15" hidden="false" customHeight="false" outlineLevel="0" collapsed="false">
      <c r="A7" s="9" t="s">
        <v>192</v>
      </c>
      <c r="B7" s="9" t="s">
        <v>76</v>
      </c>
      <c r="C7" s="9" t="s">
        <v>369</v>
      </c>
      <c r="D7" s="9" t="s">
        <v>358</v>
      </c>
      <c r="E7" s="23" t="n">
        <v>800</v>
      </c>
      <c r="F7" s="9" t="s">
        <v>359</v>
      </c>
      <c r="G7" s="23" t="n">
        <v>900</v>
      </c>
      <c r="H7" s="9" t="s">
        <v>360</v>
      </c>
      <c r="I7" s="17"/>
    </row>
    <row r="8" customFormat="false" ht="15" hidden="false" customHeight="false" outlineLevel="0" collapsed="false">
      <c r="A8" s="9" t="s">
        <v>370</v>
      </c>
      <c r="B8" s="9" t="s">
        <v>76</v>
      </c>
      <c r="C8" s="9" t="s">
        <v>371</v>
      </c>
      <c r="D8" s="9" t="s">
        <v>358</v>
      </c>
      <c r="E8" s="23" t="n">
        <v>1250</v>
      </c>
      <c r="F8" s="9" t="s">
        <v>362</v>
      </c>
      <c r="G8" s="23" t="n">
        <v>1500</v>
      </c>
      <c r="H8" s="9" t="s">
        <v>360</v>
      </c>
      <c r="I8" s="17" t="s">
        <v>368</v>
      </c>
    </row>
    <row r="9" customFormat="false" ht="26.85" hidden="false" customHeight="false" outlineLevel="0" collapsed="false">
      <c r="A9" s="24" t="s">
        <v>213</v>
      </c>
      <c r="B9" s="24" t="s">
        <v>76</v>
      </c>
      <c r="C9" s="24" t="s">
        <v>372</v>
      </c>
      <c r="D9" s="24" t="s">
        <v>358</v>
      </c>
      <c r="E9" s="25" t="n">
        <v>1500</v>
      </c>
      <c r="F9" s="24" t="s">
        <v>359</v>
      </c>
      <c r="G9" s="25" t="n">
        <v>1650</v>
      </c>
      <c r="H9" s="24" t="s">
        <v>360</v>
      </c>
      <c r="I9" s="26" t="s">
        <v>373</v>
      </c>
    </row>
    <row r="10" customFormat="false" ht="26.85" hidden="false" customHeight="false" outlineLevel="0" collapsed="false">
      <c r="A10" s="24" t="s">
        <v>208</v>
      </c>
      <c r="B10" s="24" t="s">
        <v>76</v>
      </c>
      <c r="C10" s="24" t="s">
        <v>374</v>
      </c>
      <c r="D10" s="24" t="s">
        <v>358</v>
      </c>
      <c r="E10" s="25" t="n">
        <v>1000</v>
      </c>
      <c r="F10" s="24" t="s">
        <v>359</v>
      </c>
      <c r="G10" s="25" t="n">
        <v>1350</v>
      </c>
      <c r="H10" s="24" t="s">
        <v>360</v>
      </c>
      <c r="I10" s="26" t="s">
        <v>375</v>
      </c>
    </row>
    <row r="11" customFormat="false" ht="15" hidden="false" customHeight="false" outlineLevel="0" collapsed="false">
      <c r="A11" s="24" t="s">
        <v>376</v>
      </c>
      <c r="B11" s="24" t="s">
        <v>377</v>
      </c>
      <c r="C11" s="24" t="s">
        <v>378</v>
      </c>
      <c r="D11" s="24" t="s">
        <v>379</v>
      </c>
      <c r="E11" s="25" t="n">
        <v>1300</v>
      </c>
      <c r="F11" s="24" t="s">
        <v>359</v>
      </c>
      <c r="G11" s="25" t="n">
        <v>1800</v>
      </c>
      <c r="H11" s="24" t="s">
        <v>360</v>
      </c>
      <c r="I11" s="26" t="s">
        <v>380</v>
      </c>
    </row>
    <row r="12" customFormat="false" ht="15" hidden="false" customHeight="false" outlineLevel="0" collapsed="false">
      <c r="A12" s="9" t="s">
        <v>381</v>
      </c>
      <c r="B12" s="9" t="s">
        <v>382</v>
      </c>
      <c r="C12" s="9" t="s">
        <v>383</v>
      </c>
      <c r="D12" s="9" t="s">
        <v>358</v>
      </c>
      <c r="E12" s="23" t="n">
        <v>8000</v>
      </c>
      <c r="F12" s="9" t="s">
        <v>359</v>
      </c>
      <c r="G12" s="23" t="n">
        <v>10000</v>
      </c>
      <c r="H12" s="9" t="s">
        <v>360</v>
      </c>
      <c r="I12" s="17" t="s">
        <v>384</v>
      </c>
    </row>
    <row r="13" customFormat="false" ht="15" hidden="false" customHeight="false" outlineLevel="0" collapsed="false">
      <c r="A13" s="9" t="s">
        <v>385</v>
      </c>
      <c r="B13" s="9" t="s">
        <v>382</v>
      </c>
      <c r="C13" s="9" t="s">
        <v>386</v>
      </c>
      <c r="D13" s="9" t="s">
        <v>358</v>
      </c>
      <c r="E13" s="23" t="n">
        <v>4000</v>
      </c>
      <c r="F13" s="9" t="s">
        <v>359</v>
      </c>
      <c r="G13" s="23" t="n">
        <v>5000</v>
      </c>
      <c r="H13" s="9" t="s">
        <v>360</v>
      </c>
      <c r="I13" s="17" t="s">
        <v>387</v>
      </c>
    </row>
    <row r="14" customFormat="false" ht="15" hidden="false" customHeight="false" outlineLevel="0" collapsed="false">
      <c r="A14" s="9" t="s">
        <v>388</v>
      </c>
      <c r="B14" s="9" t="s">
        <v>382</v>
      </c>
      <c r="C14" s="9" t="s">
        <v>389</v>
      </c>
      <c r="D14" s="9" t="s">
        <v>358</v>
      </c>
      <c r="E14" s="23" t="n">
        <v>2400</v>
      </c>
      <c r="F14" s="9" t="s">
        <v>359</v>
      </c>
      <c r="G14" s="23" t="n">
        <v>3000</v>
      </c>
      <c r="H14" s="9" t="s">
        <v>360</v>
      </c>
      <c r="I14" s="17" t="s">
        <v>390</v>
      </c>
    </row>
    <row r="15" customFormat="false" ht="15" hidden="false" customHeight="false" outlineLevel="0" collapsed="false">
      <c r="A15" s="9" t="s">
        <v>391</v>
      </c>
      <c r="B15" s="9" t="s">
        <v>382</v>
      </c>
      <c r="C15" s="9" t="s">
        <v>392</v>
      </c>
      <c r="D15" s="9" t="s">
        <v>358</v>
      </c>
      <c r="E15" s="23" t="n">
        <v>8000</v>
      </c>
      <c r="F15" s="9" t="s">
        <v>359</v>
      </c>
      <c r="G15" s="23" t="n">
        <v>10000</v>
      </c>
      <c r="H15" s="9" t="s">
        <v>360</v>
      </c>
      <c r="I15" s="17" t="s">
        <v>387</v>
      </c>
    </row>
    <row r="16" customFormat="false" ht="15" hidden="false" customHeight="false" outlineLevel="0" collapsed="false">
      <c r="A16" s="9" t="s">
        <v>393</v>
      </c>
      <c r="B16" s="9" t="s">
        <v>382</v>
      </c>
      <c r="C16" s="9" t="s">
        <v>394</v>
      </c>
      <c r="D16" s="9" t="s">
        <v>358</v>
      </c>
      <c r="E16" s="23" t="n">
        <v>8000</v>
      </c>
      <c r="F16" s="9" t="s">
        <v>359</v>
      </c>
      <c r="G16" s="23" t="n">
        <v>10000</v>
      </c>
      <c r="H16" s="9" t="s">
        <v>360</v>
      </c>
      <c r="I16" s="17" t="s">
        <v>387</v>
      </c>
    </row>
    <row r="17" customFormat="false" ht="15" hidden="false" customHeight="false" outlineLevel="0" collapsed="false">
      <c r="A17" s="9" t="s">
        <v>395</v>
      </c>
      <c r="B17" s="9" t="s">
        <v>382</v>
      </c>
      <c r="C17" s="9" t="s">
        <v>396</v>
      </c>
      <c r="D17" s="9" t="s">
        <v>358</v>
      </c>
      <c r="E17" s="23" t="n">
        <v>12000</v>
      </c>
      <c r="F17" s="9" t="s">
        <v>359</v>
      </c>
      <c r="G17" s="23" t="n">
        <v>15000</v>
      </c>
      <c r="H17" s="9" t="s">
        <v>360</v>
      </c>
      <c r="I17" s="17" t="s">
        <v>397</v>
      </c>
    </row>
    <row r="18" customFormat="false" ht="15" hidden="false" customHeight="false" outlineLevel="0" collapsed="false">
      <c r="A18" s="9" t="s">
        <v>398</v>
      </c>
      <c r="B18" s="9" t="s">
        <v>382</v>
      </c>
      <c r="C18" s="9" t="s">
        <v>399</v>
      </c>
      <c r="D18" s="9" t="s">
        <v>358</v>
      </c>
      <c r="E18" s="23" t="n">
        <v>12000</v>
      </c>
      <c r="F18" s="9" t="s">
        <v>359</v>
      </c>
      <c r="G18" s="23" t="n">
        <v>15000</v>
      </c>
      <c r="H18" s="9" t="s">
        <v>360</v>
      </c>
      <c r="I18" s="17" t="s">
        <v>400</v>
      </c>
    </row>
    <row r="19" customFormat="false" ht="15" hidden="false" customHeight="false" outlineLevel="0" collapsed="false">
      <c r="A19" s="9" t="s">
        <v>401</v>
      </c>
      <c r="B19" s="9" t="s">
        <v>382</v>
      </c>
      <c r="C19" s="9" t="s">
        <v>402</v>
      </c>
      <c r="D19" s="9" t="s">
        <v>358</v>
      </c>
      <c r="E19" s="23" t="n">
        <v>4800</v>
      </c>
      <c r="F19" s="9" t="s">
        <v>359</v>
      </c>
      <c r="G19" s="23" t="n">
        <v>6000</v>
      </c>
      <c r="H19" s="9" t="s">
        <v>360</v>
      </c>
      <c r="I19" s="17" t="s">
        <v>403</v>
      </c>
    </row>
    <row r="20" customFormat="false" ht="15" hidden="false" customHeight="false" outlineLevel="0" collapsed="false">
      <c r="A20" s="9" t="s">
        <v>404</v>
      </c>
      <c r="B20" s="9" t="s">
        <v>382</v>
      </c>
      <c r="C20" s="9" t="s">
        <v>405</v>
      </c>
      <c r="D20" s="9" t="s">
        <v>358</v>
      </c>
      <c r="E20" s="23" t="n">
        <v>6400</v>
      </c>
      <c r="F20" s="9" t="s">
        <v>359</v>
      </c>
      <c r="G20" s="23" t="n">
        <v>8000</v>
      </c>
      <c r="H20" s="9" t="s">
        <v>360</v>
      </c>
      <c r="I20" s="17" t="s">
        <v>406</v>
      </c>
    </row>
    <row r="21" customFormat="false" ht="15" hidden="false" customHeight="false" outlineLevel="0" collapsed="false">
      <c r="A21" s="9" t="s">
        <v>407</v>
      </c>
      <c r="B21" s="9" t="s">
        <v>382</v>
      </c>
      <c r="C21" s="9" t="s">
        <v>408</v>
      </c>
      <c r="D21" s="9" t="s">
        <v>358</v>
      </c>
      <c r="E21" s="23" t="n">
        <v>8000</v>
      </c>
      <c r="F21" s="9" t="s">
        <v>359</v>
      </c>
      <c r="G21" s="23" t="n">
        <v>10000</v>
      </c>
      <c r="H21" s="9" t="s">
        <v>360</v>
      </c>
      <c r="I21" s="17" t="s">
        <v>409</v>
      </c>
    </row>
    <row r="22" customFormat="false" ht="15" hidden="false" customHeight="false" outlineLevel="0" collapsed="false">
      <c r="A22" s="9" t="s">
        <v>410</v>
      </c>
      <c r="B22" s="9" t="s">
        <v>382</v>
      </c>
      <c r="C22" s="9" t="s">
        <v>411</v>
      </c>
      <c r="D22" s="9" t="s">
        <v>358</v>
      </c>
      <c r="E22" s="23" t="n">
        <v>8000</v>
      </c>
      <c r="F22" s="9" t="s">
        <v>359</v>
      </c>
      <c r="G22" s="23" t="n">
        <v>10000</v>
      </c>
      <c r="H22" s="9" t="s">
        <v>360</v>
      </c>
      <c r="I22" s="17" t="s">
        <v>403</v>
      </c>
    </row>
    <row r="23" customFormat="false" ht="15" hidden="false" customHeight="false" outlineLevel="0" collapsed="false">
      <c r="A23" s="9" t="s">
        <v>412</v>
      </c>
      <c r="B23" s="9" t="s">
        <v>382</v>
      </c>
      <c r="C23" s="9" t="s">
        <v>413</v>
      </c>
      <c r="D23" s="9" t="s">
        <v>358</v>
      </c>
      <c r="E23" s="23" t="n">
        <v>8000</v>
      </c>
      <c r="F23" s="9" t="s">
        <v>359</v>
      </c>
      <c r="G23" s="23" t="n">
        <v>10000</v>
      </c>
      <c r="H23" s="9" t="s">
        <v>360</v>
      </c>
      <c r="I23" s="17" t="s">
        <v>397</v>
      </c>
    </row>
    <row r="24" customFormat="false" ht="15" hidden="false" customHeight="false" outlineLevel="0" collapsed="false">
      <c r="A24" s="9" t="s">
        <v>414</v>
      </c>
      <c r="B24" s="9" t="s">
        <v>382</v>
      </c>
      <c r="C24" s="9" t="s">
        <v>415</v>
      </c>
      <c r="D24" s="9" t="s">
        <v>358</v>
      </c>
      <c r="E24" s="23" t="n">
        <v>2400</v>
      </c>
      <c r="F24" s="9" t="s">
        <v>359</v>
      </c>
      <c r="G24" s="23" t="n">
        <v>3000</v>
      </c>
      <c r="H24" s="9" t="s">
        <v>360</v>
      </c>
      <c r="I24" s="17" t="s">
        <v>387</v>
      </c>
    </row>
    <row r="25" customFormat="false" ht="26.85" hidden="false" customHeight="false" outlineLevel="0" collapsed="false">
      <c r="A25" s="9" t="s">
        <v>160</v>
      </c>
      <c r="B25" s="9" t="s">
        <v>80</v>
      </c>
      <c r="C25" s="9" t="s">
        <v>416</v>
      </c>
      <c r="D25" s="9" t="s">
        <v>358</v>
      </c>
      <c r="E25" s="23"/>
      <c r="F25" s="9" t="s">
        <v>417</v>
      </c>
      <c r="G25" s="23" t="n">
        <v>150</v>
      </c>
      <c r="H25" s="9" t="s">
        <v>360</v>
      </c>
      <c r="I25" s="17" t="s">
        <v>418</v>
      </c>
    </row>
    <row r="26" customFormat="false" ht="26.85" hidden="false" customHeight="false" outlineLevel="0" collapsed="false">
      <c r="A26" s="24" t="s">
        <v>419</v>
      </c>
      <c r="B26" s="24" t="s">
        <v>377</v>
      </c>
      <c r="C26" s="24" t="s">
        <v>420</v>
      </c>
      <c r="D26" s="24" t="s">
        <v>358</v>
      </c>
      <c r="E26" s="25"/>
      <c r="F26" s="24" t="s">
        <v>417</v>
      </c>
      <c r="G26" s="25"/>
      <c r="H26" s="24" t="s">
        <v>421</v>
      </c>
      <c r="I26" s="26" t="s">
        <v>422</v>
      </c>
    </row>
    <row r="27" customFormat="false" ht="15" hidden="false" customHeight="false" outlineLevel="0" collapsed="false">
      <c r="A27" s="9" t="s">
        <v>239</v>
      </c>
      <c r="B27" s="9" t="s">
        <v>76</v>
      </c>
      <c r="C27" s="9" t="s">
        <v>423</v>
      </c>
      <c r="D27" s="9" t="s">
        <v>358</v>
      </c>
      <c r="E27" s="23" t="n">
        <v>650</v>
      </c>
      <c r="F27" s="9" t="s">
        <v>359</v>
      </c>
      <c r="G27" s="23" t="n">
        <v>900</v>
      </c>
      <c r="H27" s="9" t="s">
        <v>362</v>
      </c>
      <c r="I27" s="17"/>
    </row>
    <row r="28" customFormat="false" ht="15" hidden="false" customHeight="false" outlineLevel="0" collapsed="false">
      <c r="A28" s="9" t="s">
        <v>198</v>
      </c>
      <c r="B28" s="9" t="s">
        <v>76</v>
      </c>
      <c r="C28" s="9" t="s">
        <v>424</v>
      </c>
      <c r="D28" s="9" t="s">
        <v>425</v>
      </c>
      <c r="E28" s="23" t="n">
        <v>650</v>
      </c>
      <c r="F28" s="9" t="s">
        <v>362</v>
      </c>
      <c r="G28" s="23" t="n">
        <v>900</v>
      </c>
      <c r="H28" s="9" t="s">
        <v>362</v>
      </c>
      <c r="I28" s="17"/>
    </row>
    <row r="29" customFormat="false" ht="15" hidden="false" customHeight="false" outlineLevel="0" collapsed="false">
      <c r="A29" s="9" t="s">
        <v>218</v>
      </c>
      <c r="B29" s="9" t="s">
        <v>76</v>
      </c>
      <c r="C29" s="9" t="s">
        <v>426</v>
      </c>
      <c r="D29" s="9" t="s">
        <v>425</v>
      </c>
      <c r="E29" s="23" t="n">
        <v>1300</v>
      </c>
      <c r="F29" s="9" t="s">
        <v>362</v>
      </c>
      <c r="G29" s="23" t="n">
        <v>1600</v>
      </c>
      <c r="H29" s="9" t="s">
        <v>362</v>
      </c>
      <c r="I29" s="17"/>
    </row>
    <row r="30" customFormat="false" ht="15" hidden="false" customHeight="false" outlineLevel="0" collapsed="false">
      <c r="A30" s="9" t="s">
        <v>220</v>
      </c>
      <c r="B30" s="9" t="s">
        <v>76</v>
      </c>
      <c r="C30" s="9" t="s">
        <v>427</v>
      </c>
      <c r="D30" s="9" t="s">
        <v>358</v>
      </c>
      <c r="E30" s="23"/>
      <c r="F30" s="9" t="s">
        <v>417</v>
      </c>
      <c r="G30" s="23" t="n">
        <v>100</v>
      </c>
      <c r="H30" s="9" t="s">
        <v>360</v>
      </c>
      <c r="I30" s="17" t="s">
        <v>428</v>
      </c>
    </row>
    <row r="31" customFormat="false" ht="15" hidden="false" customHeight="false" outlineLevel="0" collapsed="false">
      <c r="A31" s="9" t="s">
        <v>429</v>
      </c>
      <c r="B31" s="9" t="s">
        <v>76</v>
      </c>
      <c r="C31" s="9" t="s">
        <v>430</v>
      </c>
      <c r="D31" s="9" t="s">
        <v>358</v>
      </c>
      <c r="E31" s="23"/>
      <c r="F31" s="9" t="s">
        <v>417</v>
      </c>
      <c r="G31" s="23" t="n">
        <v>100</v>
      </c>
      <c r="H31" s="9" t="s">
        <v>360</v>
      </c>
      <c r="I31" s="17" t="s">
        <v>428</v>
      </c>
    </row>
    <row r="32" customFormat="false" ht="15" hidden="false" customHeight="false" outlineLevel="0" collapsed="false">
      <c r="A32" s="9" t="s">
        <v>222</v>
      </c>
      <c r="B32" s="9" t="s">
        <v>76</v>
      </c>
      <c r="C32" s="9" t="s">
        <v>431</v>
      </c>
      <c r="D32" s="9" t="s">
        <v>432</v>
      </c>
      <c r="E32" s="23"/>
      <c r="F32" s="9" t="s">
        <v>417</v>
      </c>
      <c r="G32" s="23" t="n">
        <v>400</v>
      </c>
      <c r="H32" s="9" t="s">
        <v>360</v>
      </c>
      <c r="I32" s="17" t="s">
        <v>433</v>
      </c>
    </row>
    <row r="33" customFormat="false" ht="15" hidden="false" customHeight="false" outlineLevel="0" collapsed="false">
      <c r="A33" s="9" t="s">
        <v>434</v>
      </c>
      <c r="B33" s="9" t="s">
        <v>76</v>
      </c>
      <c r="C33" s="9" t="s">
        <v>435</v>
      </c>
      <c r="D33" s="9" t="s">
        <v>358</v>
      </c>
      <c r="E33" s="23" t="n">
        <v>1500</v>
      </c>
      <c r="F33" s="9" t="s">
        <v>359</v>
      </c>
      <c r="G33" s="23" t="n">
        <v>1750</v>
      </c>
      <c r="H33" s="9" t="s">
        <v>360</v>
      </c>
      <c r="I33" s="17"/>
    </row>
    <row r="34" customFormat="false" ht="15" hidden="false" customHeight="false" outlineLevel="0" collapsed="false">
      <c r="A34" s="9" t="s">
        <v>183</v>
      </c>
      <c r="B34" s="9" t="s">
        <v>76</v>
      </c>
      <c r="C34" s="9" t="s">
        <v>436</v>
      </c>
      <c r="D34" s="9" t="s">
        <v>358</v>
      </c>
      <c r="E34" s="23" t="n">
        <v>350</v>
      </c>
      <c r="F34" s="9" t="s">
        <v>362</v>
      </c>
      <c r="G34" s="23" t="n">
        <v>500</v>
      </c>
      <c r="H34" s="9" t="s">
        <v>362</v>
      </c>
      <c r="I34" s="17"/>
    </row>
    <row r="35" customFormat="false" ht="15" hidden="false" customHeight="false" outlineLevel="0" collapsed="false">
      <c r="A35" s="9" t="s">
        <v>250</v>
      </c>
      <c r="B35" s="9" t="s">
        <v>76</v>
      </c>
      <c r="C35" s="9" t="s">
        <v>437</v>
      </c>
      <c r="D35" s="9" t="s">
        <v>358</v>
      </c>
      <c r="E35" s="23" t="n">
        <v>350</v>
      </c>
      <c r="F35" s="9" t="s">
        <v>362</v>
      </c>
      <c r="G35" s="23" t="n">
        <v>500</v>
      </c>
      <c r="H35" s="9" t="s">
        <v>362</v>
      </c>
      <c r="I35" s="17" t="s">
        <v>438</v>
      </c>
    </row>
    <row r="36" customFormat="false" ht="15" hidden="false" customHeight="false" outlineLevel="0" collapsed="false">
      <c r="A36" s="9" t="s">
        <v>248</v>
      </c>
      <c r="B36" s="9" t="s">
        <v>76</v>
      </c>
      <c r="C36" s="9" t="s">
        <v>439</v>
      </c>
      <c r="D36" s="9" t="s">
        <v>358</v>
      </c>
      <c r="E36" s="23" t="n">
        <v>650</v>
      </c>
      <c r="F36" s="9" t="s">
        <v>362</v>
      </c>
      <c r="G36" s="23" t="n">
        <v>900</v>
      </c>
      <c r="H36" s="9" t="s">
        <v>362</v>
      </c>
      <c r="I36" s="17" t="s">
        <v>440</v>
      </c>
    </row>
    <row r="37" customFormat="false" ht="15" hidden="false" customHeight="false" outlineLevel="0" collapsed="false">
      <c r="A37" s="9" t="s">
        <v>189</v>
      </c>
      <c r="B37" s="9" t="s">
        <v>76</v>
      </c>
      <c r="C37" s="9" t="s">
        <v>441</v>
      </c>
      <c r="D37" s="9" t="s">
        <v>358</v>
      </c>
      <c r="E37" s="23" t="n">
        <v>650</v>
      </c>
      <c r="F37" s="9" t="s">
        <v>362</v>
      </c>
      <c r="G37" s="23" t="n">
        <v>900</v>
      </c>
      <c r="H37" s="9" t="s">
        <v>362</v>
      </c>
      <c r="I37" s="17"/>
    </row>
    <row r="38" customFormat="false" ht="15" hidden="false" customHeight="false" outlineLevel="0" collapsed="false">
      <c r="A38" s="9" t="s">
        <v>171</v>
      </c>
      <c r="B38" s="9" t="s">
        <v>76</v>
      </c>
      <c r="C38" s="9" t="s">
        <v>442</v>
      </c>
      <c r="D38" s="9" t="s">
        <v>358</v>
      </c>
      <c r="E38" s="23" t="n">
        <v>1750</v>
      </c>
      <c r="F38" s="9" t="s">
        <v>359</v>
      </c>
      <c r="G38" s="23" t="n">
        <v>2000</v>
      </c>
      <c r="H38" s="9" t="s">
        <v>360</v>
      </c>
      <c r="I38" s="17"/>
    </row>
    <row r="39" customFormat="false" ht="15" hidden="false" customHeight="false" outlineLevel="0" collapsed="false">
      <c r="A39" s="9" t="s">
        <v>200</v>
      </c>
      <c r="B39" s="9" t="s">
        <v>76</v>
      </c>
      <c r="C39" s="9" t="s">
        <v>443</v>
      </c>
      <c r="D39" s="9" t="s">
        <v>444</v>
      </c>
      <c r="E39" s="23" t="n">
        <v>2000</v>
      </c>
      <c r="F39" s="9" t="s">
        <v>359</v>
      </c>
      <c r="G39" s="23" t="n">
        <v>2500</v>
      </c>
      <c r="H39" s="9" t="s">
        <v>362</v>
      </c>
      <c r="I39" s="17"/>
    </row>
    <row r="40" customFormat="false" ht="15" hidden="false" customHeight="false" outlineLevel="0" collapsed="false">
      <c r="A40" s="9" t="s">
        <v>174</v>
      </c>
      <c r="B40" s="9" t="s">
        <v>76</v>
      </c>
      <c r="C40" s="9" t="s">
        <v>445</v>
      </c>
      <c r="D40" s="9" t="s">
        <v>358</v>
      </c>
      <c r="E40" s="23" t="n">
        <v>700</v>
      </c>
      <c r="F40" s="9" t="s">
        <v>359</v>
      </c>
      <c r="G40" s="23" t="n">
        <v>1000</v>
      </c>
      <c r="H40" s="9" t="s">
        <v>360</v>
      </c>
      <c r="I40" s="17"/>
    </row>
    <row r="41" customFormat="false" ht="15" hidden="false" customHeight="false" outlineLevel="0" collapsed="false">
      <c r="A41" s="9" t="s">
        <v>446</v>
      </c>
      <c r="B41" s="9" t="s">
        <v>76</v>
      </c>
      <c r="C41" s="9" t="s">
        <v>447</v>
      </c>
      <c r="D41" s="9" t="s">
        <v>358</v>
      </c>
      <c r="E41" s="23"/>
      <c r="F41" s="9" t="s">
        <v>417</v>
      </c>
      <c r="G41" s="23" t="n">
        <v>500</v>
      </c>
      <c r="H41" s="9" t="s">
        <v>362</v>
      </c>
      <c r="I41" s="17" t="s">
        <v>448</v>
      </c>
    </row>
    <row r="42" customFormat="false" ht="15" hidden="false" customHeight="false" outlineLevel="0" collapsed="false">
      <c r="A42" s="9" t="s">
        <v>205</v>
      </c>
      <c r="B42" s="9" t="s">
        <v>76</v>
      </c>
      <c r="C42" s="9" t="s">
        <v>449</v>
      </c>
      <c r="D42" s="9" t="s">
        <v>358</v>
      </c>
      <c r="E42" s="23" t="n">
        <v>7000</v>
      </c>
      <c r="F42" s="9" t="s">
        <v>359</v>
      </c>
      <c r="G42" s="23" t="n">
        <v>8000</v>
      </c>
      <c r="H42" s="9" t="s">
        <v>360</v>
      </c>
      <c r="I42" s="17" t="s">
        <v>450</v>
      </c>
    </row>
    <row r="43" customFormat="false" ht="15" hidden="false" customHeight="false" outlineLevel="0" collapsed="false">
      <c r="A43" s="9" t="s">
        <v>451</v>
      </c>
      <c r="B43" s="9" t="s">
        <v>76</v>
      </c>
      <c r="C43" s="9" t="s">
        <v>452</v>
      </c>
      <c r="D43" s="9" t="s">
        <v>358</v>
      </c>
      <c r="E43" s="23" t="n">
        <v>3000</v>
      </c>
      <c r="F43" s="9" t="s">
        <v>359</v>
      </c>
      <c r="G43" s="23" t="n">
        <v>3500</v>
      </c>
      <c r="H43" s="9" t="s">
        <v>360</v>
      </c>
      <c r="I43" s="17"/>
    </row>
    <row r="44" customFormat="false" ht="15" hidden="false" customHeight="false" outlineLevel="0" collapsed="false">
      <c r="A44" s="9" t="s">
        <v>237</v>
      </c>
      <c r="B44" s="9" t="s">
        <v>80</v>
      </c>
      <c r="C44" s="9" t="s">
        <v>453</v>
      </c>
      <c r="D44" s="9" t="s">
        <v>358</v>
      </c>
      <c r="E44" s="23"/>
      <c r="F44" s="9" t="s">
        <v>417</v>
      </c>
      <c r="G44" s="23" t="n">
        <v>100</v>
      </c>
      <c r="H44" s="9" t="s">
        <v>360</v>
      </c>
      <c r="I44" s="17" t="s">
        <v>454</v>
      </c>
    </row>
    <row r="45" customFormat="false" ht="15" hidden="false" customHeight="false" outlineLevel="0" collapsed="false">
      <c r="A45" s="9" t="s">
        <v>186</v>
      </c>
      <c r="B45" s="9" t="s">
        <v>80</v>
      </c>
      <c r="C45" s="9" t="s">
        <v>455</v>
      </c>
      <c r="D45" s="9" t="s">
        <v>358</v>
      </c>
      <c r="E45" s="23" t="n">
        <v>400</v>
      </c>
      <c r="F45" s="9" t="s">
        <v>362</v>
      </c>
      <c r="G45" s="23" t="n">
        <v>550</v>
      </c>
      <c r="H45" s="9" t="s">
        <v>360</v>
      </c>
      <c r="I45" s="17"/>
    </row>
    <row r="46" customFormat="false" ht="15" hidden="false" customHeight="false" outlineLevel="0" collapsed="false">
      <c r="A46" s="9" t="s">
        <v>165</v>
      </c>
      <c r="B46" s="9" t="s">
        <v>80</v>
      </c>
      <c r="C46" s="9" t="s">
        <v>456</v>
      </c>
      <c r="D46" s="9" t="s">
        <v>358</v>
      </c>
      <c r="E46" s="23" t="n">
        <v>600</v>
      </c>
      <c r="F46" s="9" t="s">
        <v>362</v>
      </c>
      <c r="G46" s="23" t="n">
        <v>900</v>
      </c>
      <c r="H46" s="9" t="s">
        <v>360</v>
      </c>
      <c r="I46" s="17"/>
    </row>
    <row r="47" customFormat="false" ht="15" hidden="false" customHeight="false" outlineLevel="0" collapsed="false">
      <c r="A47" s="9" t="s">
        <v>157</v>
      </c>
      <c r="B47" s="9" t="s">
        <v>80</v>
      </c>
      <c r="C47" s="9" t="s">
        <v>457</v>
      </c>
      <c r="D47" s="9" t="s">
        <v>358</v>
      </c>
      <c r="E47" s="23"/>
      <c r="F47" s="9" t="s">
        <v>417</v>
      </c>
      <c r="G47" s="23" t="n">
        <v>1500</v>
      </c>
      <c r="H47" s="9" t="s">
        <v>360</v>
      </c>
      <c r="I47" s="17" t="s">
        <v>458</v>
      </c>
    </row>
    <row r="48" customFormat="false" ht="15" hidden="false" customHeight="false" outlineLevel="0" collapsed="false">
      <c r="A48" s="9" t="s">
        <v>235</v>
      </c>
      <c r="B48" s="9" t="s">
        <v>80</v>
      </c>
      <c r="C48" s="9" t="s">
        <v>459</v>
      </c>
      <c r="D48" s="9" t="s">
        <v>358</v>
      </c>
      <c r="E48" s="23"/>
      <c r="F48" s="9" t="s">
        <v>417</v>
      </c>
      <c r="G48" s="23" t="n">
        <v>75</v>
      </c>
      <c r="H48" s="9" t="s">
        <v>360</v>
      </c>
      <c r="I48" s="17" t="s">
        <v>460</v>
      </c>
    </row>
    <row r="49" customFormat="false" ht="15" hidden="false" customHeight="false" outlineLevel="0" collapsed="false">
      <c r="A49" s="9" t="s">
        <v>180</v>
      </c>
      <c r="B49" s="9" t="s">
        <v>80</v>
      </c>
      <c r="C49" s="9" t="s">
        <v>461</v>
      </c>
      <c r="D49" s="9" t="s">
        <v>358</v>
      </c>
      <c r="E49" s="23" t="n">
        <v>110</v>
      </c>
      <c r="F49" s="9" t="s">
        <v>362</v>
      </c>
      <c r="G49" s="23" t="n">
        <v>250</v>
      </c>
      <c r="H49" s="9" t="s">
        <v>360</v>
      </c>
      <c r="I49" s="17"/>
    </row>
    <row r="50" customFormat="false" ht="26.85" hidden="false" customHeight="false" outlineLevel="0" collapsed="false">
      <c r="A50" s="9" t="s">
        <v>462</v>
      </c>
      <c r="B50" s="9" t="s">
        <v>80</v>
      </c>
      <c r="C50" s="9" t="s">
        <v>463</v>
      </c>
      <c r="D50" s="9" t="s">
        <v>358</v>
      </c>
      <c r="E50" s="23" t="n">
        <v>100</v>
      </c>
      <c r="F50" s="9" t="s">
        <v>362</v>
      </c>
      <c r="G50" s="23" t="n">
        <v>250</v>
      </c>
      <c r="H50" s="9" t="s">
        <v>360</v>
      </c>
      <c r="I50" s="17" t="s">
        <v>464</v>
      </c>
    </row>
    <row r="51" customFormat="false" ht="15" hidden="false" customHeight="false" outlineLevel="0" collapsed="false">
      <c r="A51" s="9" t="s">
        <v>233</v>
      </c>
      <c r="B51" s="9" t="s">
        <v>80</v>
      </c>
      <c r="C51" s="9" t="s">
        <v>465</v>
      </c>
      <c r="D51" s="9" t="s">
        <v>358</v>
      </c>
      <c r="E51" s="23" t="n">
        <v>100</v>
      </c>
      <c r="F51" s="9" t="s">
        <v>362</v>
      </c>
      <c r="G51" s="23" t="n">
        <v>250</v>
      </c>
      <c r="H51" s="9" t="s">
        <v>360</v>
      </c>
      <c r="I51" s="17"/>
    </row>
    <row r="52" customFormat="false" ht="15" hidden="false" customHeight="false" outlineLevel="0" collapsed="false">
      <c r="A52" s="9" t="s">
        <v>217</v>
      </c>
      <c r="B52" s="9" t="s">
        <v>80</v>
      </c>
      <c r="C52" s="9" t="s">
        <v>466</v>
      </c>
      <c r="D52" s="9" t="s">
        <v>358</v>
      </c>
      <c r="E52" s="23" t="n">
        <v>450</v>
      </c>
      <c r="F52" s="9" t="s">
        <v>362</v>
      </c>
      <c r="G52" s="23" t="n">
        <v>600</v>
      </c>
      <c r="H52" s="9" t="s">
        <v>360</v>
      </c>
      <c r="I52" s="17"/>
    </row>
    <row r="53" customFormat="false" ht="15" hidden="false" customHeight="false" outlineLevel="0" collapsed="false">
      <c r="A53" s="9" t="s">
        <v>215</v>
      </c>
      <c r="B53" s="9" t="s">
        <v>80</v>
      </c>
      <c r="C53" s="9" t="s">
        <v>467</v>
      </c>
      <c r="D53" s="9" t="s">
        <v>358</v>
      </c>
      <c r="E53" s="23" t="n">
        <v>1500</v>
      </c>
      <c r="F53" s="9" t="s">
        <v>359</v>
      </c>
      <c r="G53" s="23" t="n">
        <v>1800</v>
      </c>
      <c r="H53" s="9" t="s">
        <v>468</v>
      </c>
      <c r="I53" s="17" t="s">
        <v>469</v>
      </c>
    </row>
    <row r="54" customFormat="false" ht="15" hidden="false" customHeight="false" outlineLevel="0" collapsed="false">
      <c r="A54" s="9" t="s">
        <v>242</v>
      </c>
      <c r="B54" s="9" t="s">
        <v>80</v>
      </c>
      <c r="C54" s="9" t="s">
        <v>470</v>
      </c>
      <c r="D54" s="9" t="s">
        <v>358</v>
      </c>
      <c r="E54" s="23" t="n">
        <v>1100</v>
      </c>
      <c r="F54" s="9" t="s">
        <v>359</v>
      </c>
      <c r="G54" s="23" t="n">
        <v>1400</v>
      </c>
      <c r="H54" s="9" t="s">
        <v>360</v>
      </c>
      <c r="I54" s="17" t="s">
        <v>471</v>
      </c>
    </row>
    <row r="55" customFormat="false" ht="15" hidden="false" customHeight="false" outlineLevel="0" collapsed="false">
      <c r="A55" s="9" t="s">
        <v>246</v>
      </c>
      <c r="B55" s="9" t="s">
        <v>80</v>
      </c>
      <c r="C55" s="9" t="s">
        <v>472</v>
      </c>
      <c r="D55" s="9" t="s">
        <v>358</v>
      </c>
      <c r="E55" s="23" t="n">
        <v>850</v>
      </c>
      <c r="F55" s="9" t="s">
        <v>362</v>
      </c>
      <c r="G55" s="23" t="n">
        <v>1150</v>
      </c>
      <c r="H55" s="9" t="s">
        <v>360</v>
      </c>
      <c r="I55" s="17"/>
    </row>
    <row r="56" customFormat="false" ht="15" hidden="false" customHeight="false" outlineLevel="0" collapsed="false">
      <c r="A56" s="9" t="s">
        <v>177</v>
      </c>
      <c r="B56" s="9" t="s">
        <v>80</v>
      </c>
      <c r="C56" s="9" t="s">
        <v>473</v>
      </c>
      <c r="D56" s="9" t="s">
        <v>358</v>
      </c>
      <c r="E56" s="23"/>
      <c r="F56" s="9" t="s">
        <v>417</v>
      </c>
      <c r="G56" s="23" t="n">
        <v>550</v>
      </c>
      <c r="H56" s="9" t="s">
        <v>360</v>
      </c>
      <c r="I56" s="17" t="s">
        <v>474</v>
      </c>
    </row>
    <row r="57" customFormat="false" ht="15" hidden="false" customHeight="false" outlineLevel="0" collapsed="false">
      <c r="A57" s="9" t="s">
        <v>162</v>
      </c>
      <c r="B57" s="9" t="s">
        <v>475</v>
      </c>
      <c r="C57" s="9" t="s">
        <v>476</v>
      </c>
      <c r="D57" s="9" t="s">
        <v>358</v>
      </c>
      <c r="E57" s="23" t="n">
        <v>1500</v>
      </c>
      <c r="F57" s="9" t="s">
        <v>359</v>
      </c>
      <c r="G57" s="23" t="n">
        <v>2500</v>
      </c>
      <c r="H57" s="9" t="s">
        <v>360</v>
      </c>
      <c r="I57" s="17" t="s">
        <v>477</v>
      </c>
    </row>
    <row r="58" customFormat="false" ht="15" hidden="false" customHeight="false" outlineLevel="0" collapsed="false">
      <c r="A58" s="9" t="s">
        <v>478</v>
      </c>
      <c r="B58" s="9" t="s">
        <v>80</v>
      </c>
      <c r="C58" s="9" t="s">
        <v>479</v>
      </c>
      <c r="D58" s="9" t="s">
        <v>358</v>
      </c>
      <c r="E58" s="23" t="n">
        <v>2500</v>
      </c>
      <c r="F58" s="9" t="s">
        <v>362</v>
      </c>
      <c r="G58" s="23" t="n">
        <v>3500</v>
      </c>
      <c r="H58" s="9" t="s">
        <v>360</v>
      </c>
      <c r="I58" s="17" t="s">
        <v>480</v>
      </c>
    </row>
    <row r="59" customFormat="false" ht="15" hidden="false" customHeight="false" outlineLevel="0" collapsed="false">
      <c r="A59" s="9" t="s">
        <v>481</v>
      </c>
      <c r="B59" s="9" t="s">
        <v>80</v>
      </c>
      <c r="C59" s="9" t="s">
        <v>482</v>
      </c>
      <c r="D59" s="9" t="s">
        <v>358</v>
      </c>
      <c r="E59" s="23" t="n">
        <v>2500</v>
      </c>
      <c r="F59" s="9" t="s">
        <v>362</v>
      </c>
      <c r="G59" s="23" t="n">
        <v>3500</v>
      </c>
      <c r="H59" s="9" t="s">
        <v>360</v>
      </c>
      <c r="I59" s="17"/>
    </row>
    <row r="60" customFormat="false" ht="15" hidden="false" customHeight="false" outlineLevel="0" collapsed="false">
      <c r="A60" s="9" t="s">
        <v>483</v>
      </c>
      <c r="B60" s="9" t="s">
        <v>80</v>
      </c>
      <c r="C60" s="9" t="s">
        <v>484</v>
      </c>
      <c r="D60" s="9" t="s">
        <v>358</v>
      </c>
      <c r="E60" s="23" t="n">
        <v>2500</v>
      </c>
      <c r="F60" s="9" t="s">
        <v>362</v>
      </c>
      <c r="G60" s="23" t="n">
        <v>3500</v>
      </c>
      <c r="H60" s="9" t="s">
        <v>360</v>
      </c>
      <c r="I60" s="17"/>
    </row>
    <row r="61" customFormat="false" ht="15" hidden="false" customHeight="false" outlineLevel="0" collapsed="false">
      <c r="A61" s="9" t="s">
        <v>485</v>
      </c>
      <c r="B61" s="9" t="s">
        <v>80</v>
      </c>
      <c r="C61" s="9" t="s">
        <v>486</v>
      </c>
      <c r="D61" s="9" t="s">
        <v>358</v>
      </c>
      <c r="E61" s="23" t="n">
        <v>2500</v>
      </c>
      <c r="F61" s="9" t="s">
        <v>362</v>
      </c>
      <c r="G61" s="23" t="n">
        <v>3500</v>
      </c>
      <c r="H61" s="9" t="s">
        <v>360</v>
      </c>
      <c r="I61" s="17" t="s">
        <v>487</v>
      </c>
    </row>
    <row r="62" customFormat="false" ht="15" hidden="false" customHeight="false" outlineLevel="0" collapsed="false">
      <c r="A62" s="9" t="s">
        <v>488</v>
      </c>
      <c r="B62" s="9" t="s">
        <v>80</v>
      </c>
      <c r="C62" s="9" t="s">
        <v>489</v>
      </c>
      <c r="D62" s="9" t="s">
        <v>358</v>
      </c>
      <c r="E62" s="23" t="n">
        <v>1800</v>
      </c>
      <c r="F62" s="9" t="s">
        <v>362</v>
      </c>
      <c r="G62" s="23" t="n">
        <v>2800</v>
      </c>
      <c r="H62" s="9" t="s">
        <v>360</v>
      </c>
      <c r="I62" s="17"/>
    </row>
    <row r="63" customFormat="false" ht="15" hidden="false" customHeight="false" outlineLevel="0" collapsed="false">
      <c r="A63" s="9" t="s">
        <v>168</v>
      </c>
      <c r="B63" s="9" t="s">
        <v>80</v>
      </c>
      <c r="C63" s="9" t="s">
        <v>490</v>
      </c>
      <c r="D63" s="9" t="s">
        <v>358</v>
      </c>
      <c r="E63" s="23" t="n">
        <v>2500</v>
      </c>
      <c r="F63" s="9" t="s">
        <v>362</v>
      </c>
      <c r="G63" s="23" t="n">
        <v>3500</v>
      </c>
      <c r="H63" s="9" t="s">
        <v>360</v>
      </c>
      <c r="I63" s="17" t="s">
        <v>480</v>
      </c>
    </row>
    <row r="64" customFormat="false" ht="15" hidden="false" customHeight="false" outlineLevel="0" collapsed="false">
      <c r="A64" s="9" t="s">
        <v>491</v>
      </c>
      <c r="B64" s="9" t="s">
        <v>80</v>
      </c>
      <c r="C64" s="9" t="s">
        <v>492</v>
      </c>
      <c r="D64" s="9" t="s">
        <v>358</v>
      </c>
      <c r="E64" s="23" t="n">
        <v>2900</v>
      </c>
      <c r="F64" s="9" t="s">
        <v>362</v>
      </c>
      <c r="G64" s="23" t="n">
        <v>3900</v>
      </c>
      <c r="H64" s="9" t="s">
        <v>360</v>
      </c>
      <c r="I64" s="17"/>
    </row>
    <row r="65" customFormat="false" ht="15" hidden="false" customHeight="false" outlineLevel="0" collapsed="false">
      <c r="A65" s="9" t="s">
        <v>493</v>
      </c>
      <c r="B65" s="9" t="s">
        <v>80</v>
      </c>
      <c r="C65" s="9" t="s">
        <v>494</v>
      </c>
      <c r="D65" s="9" t="s">
        <v>358</v>
      </c>
      <c r="E65" s="23" t="n">
        <v>2500</v>
      </c>
      <c r="F65" s="9" t="s">
        <v>362</v>
      </c>
      <c r="G65" s="23" t="n">
        <v>3500</v>
      </c>
      <c r="H65" s="9" t="s">
        <v>360</v>
      </c>
      <c r="I65" s="17" t="s">
        <v>480</v>
      </c>
    </row>
    <row r="66" customFormat="false" ht="15" hidden="false" customHeight="false" outlineLevel="0" collapsed="false">
      <c r="A66" s="9" t="s">
        <v>495</v>
      </c>
      <c r="B66" s="9" t="s">
        <v>80</v>
      </c>
      <c r="C66" s="9" t="s">
        <v>496</v>
      </c>
      <c r="D66" s="9" t="s">
        <v>358</v>
      </c>
      <c r="E66" s="23" t="n">
        <v>1800</v>
      </c>
      <c r="F66" s="9" t="s">
        <v>362</v>
      </c>
      <c r="G66" s="23" t="n">
        <v>2800</v>
      </c>
      <c r="H66" s="9" t="s">
        <v>360</v>
      </c>
      <c r="I66" s="17" t="s">
        <v>480</v>
      </c>
    </row>
    <row r="67" customFormat="false" ht="15" hidden="false" customHeight="false" outlineLevel="0" collapsed="false">
      <c r="A67" s="9" t="s">
        <v>497</v>
      </c>
      <c r="B67" s="9" t="s">
        <v>80</v>
      </c>
      <c r="C67" s="9" t="s">
        <v>498</v>
      </c>
      <c r="D67" s="9" t="s">
        <v>358</v>
      </c>
      <c r="E67" s="23" t="n">
        <v>2900</v>
      </c>
      <c r="F67" s="9" t="s">
        <v>362</v>
      </c>
      <c r="G67" s="23" t="n">
        <v>3900</v>
      </c>
      <c r="H67" s="9" t="s">
        <v>360</v>
      </c>
      <c r="I67" s="17"/>
    </row>
    <row r="68" customFormat="false" ht="15" hidden="false" customHeight="false" outlineLevel="0" collapsed="false">
      <c r="A68" s="9" t="s">
        <v>499</v>
      </c>
      <c r="B68" s="9" t="s">
        <v>80</v>
      </c>
      <c r="C68" s="9" t="s">
        <v>500</v>
      </c>
      <c r="D68" s="9" t="s">
        <v>358</v>
      </c>
      <c r="E68" s="23" t="n">
        <v>1800</v>
      </c>
      <c r="F68" s="9" t="s">
        <v>359</v>
      </c>
      <c r="G68" s="23" t="n">
        <v>2800</v>
      </c>
      <c r="H68" s="9" t="s">
        <v>360</v>
      </c>
      <c r="I68" s="17" t="s">
        <v>501</v>
      </c>
    </row>
    <row r="69" customFormat="false" ht="15" hidden="false" customHeight="false" outlineLevel="0" collapsed="false">
      <c r="A69" s="9" t="s">
        <v>502</v>
      </c>
      <c r="B69" s="9" t="s">
        <v>80</v>
      </c>
      <c r="C69" s="9" t="s">
        <v>503</v>
      </c>
      <c r="D69" s="9" t="s">
        <v>358</v>
      </c>
      <c r="E69" s="23" t="n">
        <v>1800</v>
      </c>
      <c r="F69" s="9" t="s">
        <v>362</v>
      </c>
      <c r="G69" s="23" t="n">
        <v>2800</v>
      </c>
      <c r="H69" s="9" t="s">
        <v>360</v>
      </c>
      <c r="I69" s="17" t="s">
        <v>480</v>
      </c>
    </row>
    <row r="70" customFormat="false" ht="15" hidden="false" customHeight="false" outlineLevel="0" collapsed="false">
      <c r="A70" s="9" t="s">
        <v>504</v>
      </c>
      <c r="B70" s="9" t="s">
        <v>80</v>
      </c>
      <c r="C70" s="9" t="s">
        <v>505</v>
      </c>
      <c r="D70" s="9" t="s">
        <v>358</v>
      </c>
      <c r="E70" s="23" t="n">
        <v>1800</v>
      </c>
      <c r="F70" s="9" t="s">
        <v>362</v>
      </c>
      <c r="G70" s="23" t="n">
        <v>2800</v>
      </c>
      <c r="H70" s="9" t="s">
        <v>360</v>
      </c>
      <c r="I70" s="17"/>
    </row>
    <row r="71" customFormat="false" ht="15" hidden="false" customHeight="false" outlineLevel="0" collapsed="false">
      <c r="A71" s="9" t="s">
        <v>506</v>
      </c>
      <c r="B71" s="9" t="s">
        <v>80</v>
      </c>
      <c r="C71" s="9" t="s">
        <v>507</v>
      </c>
      <c r="D71" s="9" t="s">
        <v>358</v>
      </c>
      <c r="E71" s="23" t="n">
        <v>1800</v>
      </c>
      <c r="F71" s="9" t="s">
        <v>362</v>
      </c>
      <c r="G71" s="23" t="n">
        <v>2800</v>
      </c>
      <c r="H71" s="9" t="s">
        <v>360</v>
      </c>
      <c r="I71" s="17"/>
    </row>
    <row r="72" customFormat="false" ht="15" hidden="false" customHeight="false" outlineLevel="0" collapsed="false">
      <c r="A72" s="9" t="s">
        <v>508</v>
      </c>
      <c r="B72" s="9" t="s">
        <v>80</v>
      </c>
      <c r="C72" s="9" t="s">
        <v>509</v>
      </c>
      <c r="D72" s="9" t="s">
        <v>358</v>
      </c>
      <c r="E72" s="23" t="n">
        <v>1800</v>
      </c>
      <c r="F72" s="9" t="s">
        <v>362</v>
      </c>
      <c r="G72" s="23" t="n">
        <v>2800</v>
      </c>
      <c r="H72" s="9" t="s">
        <v>360</v>
      </c>
      <c r="I72" s="17"/>
    </row>
    <row r="73" customFormat="false" ht="15" hidden="false" customHeight="false" outlineLevel="0" collapsed="false">
      <c r="A73" s="9" t="s">
        <v>510</v>
      </c>
      <c r="B73" s="9" t="s">
        <v>80</v>
      </c>
      <c r="C73" s="9" t="s">
        <v>511</v>
      </c>
      <c r="D73" s="9" t="s">
        <v>358</v>
      </c>
      <c r="E73" s="23" t="n">
        <v>2500</v>
      </c>
      <c r="F73" s="9" t="s">
        <v>362</v>
      </c>
      <c r="G73" s="23" t="n">
        <v>3500</v>
      </c>
      <c r="H73" s="9" t="s">
        <v>360</v>
      </c>
      <c r="I73" s="17"/>
    </row>
    <row r="74" customFormat="false" ht="15" hidden="false" customHeight="false" outlineLevel="0" collapsed="false">
      <c r="A74" s="9" t="s">
        <v>512</v>
      </c>
      <c r="B74" s="9" t="s">
        <v>80</v>
      </c>
      <c r="C74" s="9" t="s">
        <v>513</v>
      </c>
      <c r="D74" s="9" t="s">
        <v>358</v>
      </c>
      <c r="E74" s="23" t="n">
        <v>2500</v>
      </c>
      <c r="F74" s="9" t="s">
        <v>362</v>
      </c>
      <c r="G74" s="23" t="n">
        <v>3500</v>
      </c>
      <c r="H74" s="9" t="s">
        <v>360</v>
      </c>
      <c r="I74" s="17"/>
    </row>
    <row r="75" customFormat="false" ht="15" hidden="false" customHeight="false" outlineLevel="0" collapsed="false">
      <c r="A75" s="9" t="s">
        <v>514</v>
      </c>
      <c r="B75" s="9" t="s">
        <v>80</v>
      </c>
      <c r="C75" s="9" t="s">
        <v>515</v>
      </c>
      <c r="D75" s="9" t="s">
        <v>358</v>
      </c>
      <c r="E75" s="23" t="n">
        <v>1800</v>
      </c>
      <c r="F75" s="9" t="s">
        <v>362</v>
      </c>
      <c r="G75" s="23" t="n">
        <v>2800</v>
      </c>
      <c r="H75" s="9" t="s">
        <v>360</v>
      </c>
      <c r="I75" s="17"/>
    </row>
    <row r="76" customFormat="false" ht="15" hidden="false" customHeight="false" outlineLevel="0" collapsed="false">
      <c r="A76" s="9" t="s">
        <v>516</v>
      </c>
      <c r="B76" s="9" t="s">
        <v>80</v>
      </c>
      <c r="C76" s="9" t="s">
        <v>517</v>
      </c>
      <c r="D76" s="9" t="s">
        <v>358</v>
      </c>
      <c r="E76" s="23" t="n">
        <v>1800</v>
      </c>
      <c r="F76" s="9" t="s">
        <v>359</v>
      </c>
      <c r="G76" s="23" t="n">
        <v>2800</v>
      </c>
      <c r="H76" s="9" t="s">
        <v>360</v>
      </c>
      <c r="I76" s="17" t="s">
        <v>518</v>
      </c>
    </row>
    <row r="77" customFormat="false" ht="15" hidden="false" customHeight="false" outlineLevel="0" collapsed="false">
      <c r="A77" s="9" t="s">
        <v>519</v>
      </c>
      <c r="B77" s="9" t="s">
        <v>80</v>
      </c>
      <c r="C77" s="9" t="s">
        <v>520</v>
      </c>
      <c r="D77" s="9" t="s">
        <v>358</v>
      </c>
      <c r="E77" s="23" t="n">
        <v>2500</v>
      </c>
      <c r="F77" s="9" t="s">
        <v>362</v>
      </c>
      <c r="G77" s="23" t="n">
        <v>3500</v>
      </c>
      <c r="H77" s="9" t="s">
        <v>360</v>
      </c>
      <c r="I77" s="17"/>
    </row>
    <row r="78" customFormat="false" ht="15" hidden="false" customHeight="false" outlineLevel="0" collapsed="false">
      <c r="A78" s="9" t="s">
        <v>521</v>
      </c>
      <c r="B78" s="9" t="s">
        <v>80</v>
      </c>
      <c r="C78" s="9" t="s">
        <v>522</v>
      </c>
      <c r="D78" s="9" t="s">
        <v>358</v>
      </c>
      <c r="E78" s="23" t="n">
        <v>1800</v>
      </c>
      <c r="F78" s="9" t="s">
        <v>362</v>
      </c>
      <c r="G78" s="23" t="n">
        <v>2800</v>
      </c>
      <c r="H78" s="9" t="s">
        <v>360</v>
      </c>
      <c r="I78" s="17"/>
    </row>
    <row r="79" customFormat="false" ht="15" hidden="false" customHeight="false" outlineLevel="0" collapsed="false">
      <c r="A79" s="9" t="s">
        <v>523</v>
      </c>
      <c r="B79" s="9" t="s">
        <v>80</v>
      </c>
      <c r="C79" s="9" t="s">
        <v>524</v>
      </c>
      <c r="D79" s="9" t="s">
        <v>358</v>
      </c>
      <c r="E79" s="23" t="n">
        <v>2890</v>
      </c>
      <c r="F79" s="9" t="s">
        <v>362</v>
      </c>
      <c r="G79" s="23" t="n">
        <v>3890</v>
      </c>
      <c r="H79" s="9" t="s">
        <v>360</v>
      </c>
      <c r="I79" s="17" t="s">
        <v>525</v>
      </c>
    </row>
    <row r="80" customFormat="false" ht="15" hidden="false" customHeight="false" outlineLevel="0" collapsed="false">
      <c r="A80" s="9" t="s">
        <v>526</v>
      </c>
      <c r="B80" s="9" t="s">
        <v>80</v>
      </c>
      <c r="C80" s="9" t="s">
        <v>527</v>
      </c>
      <c r="D80" s="9" t="s">
        <v>358</v>
      </c>
      <c r="E80" s="23" t="n">
        <v>2890</v>
      </c>
      <c r="F80" s="9" t="s">
        <v>362</v>
      </c>
      <c r="G80" s="23" t="n">
        <v>3890</v>
      </c>
      <c r="H80" s="9" t="s">
        <v>360</v>
      </c>
      <c r="I80" s="17" t="s">
        <v>525</v>
      </c>
    </row>
    <row r="81" customFormat="false" ht="15" hidden="false" customHeight="false" outlineLevel="0" collapsed="false">
      <c r="A81" s="9" t="s">
        <v>528</v>
      </c>
      <c r="B81" s="9" t="s">
        <v>80</v>
      </c>
      <c r="C81" s="9" t="s">
        <v>529</v>
      </c>
      <c r="D81" s="9" t="s">
        <v>358</v>
      </c>
      <c r="E81" s="23" t="n">
        <v>2890</v>
      </c>
      <c r="F81" s="9" t="s">
        <v>362</v>
      </c>
      <c r="G81" s="23" t="n">
        <v>3890</v>
      </c>
      <c r="H81" s="9" t="s">
        <v>360</v>
      </c>
      <c r="I81" s="17" t="s">
        <v>525</v>
      </c>
    </row>
    <row r="82" customFormat="false" ht="15" hidden="false" customHeight="false" outlineLevel="0" collapsed="false">
      <c r="A82" s="9" t="s">
        <v>226</v>
      </c>
      <c r="B82" s="9" t="s">
        <v>80</v>
      </c>
      <c r="C82" s="9" t="s">
        <v>530</v>
      </c>
      <c r="D82" s="9" t="s">
        <v>358</v>
      </c>
      <c r="E82" s="23" t="n">
        <v>2890</v>
      </c>
      <c r="F82" s="9" t="s">
        <v>362</v>
      </c>
      <c r="G82" s="23" t="n">
        <v>3890</v>
      </c>
      <c r="H82" s="9" t="s">
        <v>360</v>
      </c>
      <c r="I82" s="17" t="s">
        <v>525</v>
      </c>
    </row>
    <row r="83" customFormat="false" ht="15" hidden="false" customHeight="false" outlineLevel="0" collapsed="false">
      <c r="A83" s="9" t="s">
        <v>531</v>
      </c>
      <c r="B83" s="9" t="s">
        <v>80</v>
      </c>
      <c r="C83" s="9" t="s">
        <v>532</v>
      </c>
      <c r="D83" s="9" t="s">
        <v>358</v>
      </c>
      <c r="E83" s="23" t="n">
        <v>2890</v>
      </c>
      <c r="F83" s="9" t="s">
        <v>362</v>
      </c>
      <c r="G83" s="23" t="n">
        <v>3890</v>
      </c>
      <c r="H83" s="9" t="s">
        <v>360</v>
      </c>
      <c r="I83" s="17" t="s">
        <v>525</v>
      </c>
    </row>
    <row r="84" customFormat="false" ht="15" hidden="false" customHeight="false" outlineLevel="0" collapsed="false">
      <c r="A84" s="9" t="s">
        <v>533</v>
      </c>
      <c r="B84" s="9" t="s">
        <v>80</v>
      </c>
      <c r="C84" s="9" t="s">
        <v>534</v>
      </c>
      <c r="D84" s="9" t="s">
        <v>358</v>
      </c>
      <c r="E84" s="23" t="n">
        <v>2890</v>
      </c>
      <c r="F84" s="9" t="s">
        <v>362</v>
      </c>
      <c r="G84" s="23" t="n">
        <v>3890</v>
      </c>
      <c r="H84" s="9" t="s">
        <v>360</v>
      </c>
      <c r="I84" s="17" t="s">
        <v>525</v>
      </c>
    </row>
    <row r="85" customFormat="false" ht="15" hidden="false" customHeight="false" outlineLevel="0" collapsed="false">
      <c r="A85" s="9" t="s">
        <v>535</v>
      </c>
      <c r="B85" s="9" t="s">
        <v>80</v>
      </c>
      <c r="C85" s="9" t="s">
        <v>536</v>
      </c>
      <c r="D85" s="9" t="s">
        <v>358</v>
      </c>
      <c r="E85" s="23" t="n">
        <v>3000</v>
      </c>
      <c r="F85" s="9" t="s">
        <v>362</v>
      </c>
      <c r="G85" s="23" t="n">
        <v>4000</v>
      </c>
      <c r="H85" s="9" t="s">
        <v>360</v>
      </c>
      <c r="I85" s="17" t="s">
        <v>525</v>
      </c>
    </row>
    <row r="86" customFormat="false" ht="15" hidden="false" customHeight="false" outlineLevel="0" collapsed="false">
      <c r="A86" s="9" t="s">
        <v>537</v>
      </c>
      <c r="B86" s="9" t="s">
        <v>80</v>
      </c>
      <c r="C86" s="9" t="s">
        <v>538</v>
      </c>
      <c r="D86" s="9" t="s">
        <v>358</v>
      </c>
      <c r="E86" s="23" t="n">
        <v>3000</v>
      </c>
      <c r="F86" s="9" t="s">
        <v>362</v>
      </c>
      <c r="G86" s="23" t="n">
        <v>4000</v>
      </c>
      <c r="H86" s="9" t="s">
        <v>360</v>
      </c>
      <c r="I86" s="17" t="s">
        <v>525</v>
      </c>
    </row>
    <row r="87" customFormat="false" ht="15" hidden="false" customHeight="false" outlineLevel="0" collapsed="false">
      <c r="A87" s="9" t="s">
        <v>539</v>
      </c>
      <c r="B87" s="9" t="s">
        <v>80</v>
      </c>
      <c r="C87" s="9" t="s">
        <v>540</v>
      </c>
      <c r="D87" s="9" t="s">
        <v>358</v>
      </c>
      <c r="E87" s="23" t="n">
        <v>3000</v>
      </c>
      <c r="F87" s="9" t="s">
        <v>362</v>
      </c>
      <c r="G87" s="23" t="n">
        <v>4000</v>
      </c>
      <c r="H87" s="9" t="s">
        <v>360</v>
      </c>
      <c r="I87" s="17" t="s">
        <v>525</v>
      </c>
    </row>
    <row r="88" customFormat="false" ht="15" hidden="false" customHeight="false" outlineLevel="0" collapsed="false">
      <c r="A88" s="9" t="s">
        <v>541</v>
      </c>
      <c r="B88" s="9" t="s">
        <v>80</v>
      </c>
      <c r="C88" s="9" t="s">
        <v>542</v>
      </c>
      <c r="D88" s="9" t="s">
        <v>358</v>
      </c>
      <c r="E88" s="23" t="n">
        <v>3000</v>
      </c>
      <c r="F88" s="9" t="s">
        <v>362</v>
      </c>
      <c r="G88" s="23" t="n">
        <v>4000</v>
      </c>
      <c r="H88" s="9" t="s">
        <v>360</v>
      </c>
      <c r="I88" s="17" t="s">
        <v>525</v>
      </c>
    </row>
    <row r="89" customFormat="false" ht="15" hidden="false" customHeight="false" outlineLevel="0" collapsed="false">
      <c r="A89" s="9" t="s">
        <v>543</v>
      </c>
      <c r="B89" s="9" t="s">
        <v>80</v>
      </c>
      <c r="C89" s="9" t="s">
        <v>544</v>
      </c>
      <c r="D89" s="9" t="s">
        <v>358</v>
      </c>
      <c r="E89" s="23" t="n">
        <v>3000</v>
      </c>
      <c r="F89" s="9" t="s">
        <v>362</v>
      </c>
      <c r="G89" s="23" t="n">
        <v>4000</v>
      </c>
      <c r="H89" s="9" t="s">
        <v>360</v>
      </c>
      <c r="I89" s="17" t="s">
        <v>525</v>
      </c>
    </row>
    <row r="90" customFormat="false" ht="15" hidden="false" customHeight="false" outlineLevel="0" collapsed="false">
      <c r="A90" s="9" t="s">
        <v>545</v>
      </c>
      <c r="B90" s="9" t="s">
        <v>80</v>
      </c>
      <c r="C90" s="9" t="s">
        <v>546</v>
      </c>
      <c r="D90" s="9" t="s">
        <v>358</v>
      </c>
      <c r="E90" s="23" t="n">
        <v>3000</v>
      </c>
      <c r="F90" s="9" t="s">
        <v>362</v>
      </c>
      <c r="G90" s="23" t="n">
        <v>4000</v>
      </c>
      <c r="H90" s="9" t="s">
        <v>360</v>
      </c>
      <c r="I90" s="17" t="s">
        <v>525</v>
      </c>
    </row>
    <row r="91" customFormat="false" ht="15" hidden="false" customHeight="false" outlineLevel="0" collapsed="false">
      <c r="A91" s="9" t="s">
        <v>547</v>
      </c>
      <c r="B91" s="9" t="s">
        <v>80</v>
      </c>
      <c r="C91" s="9" t="s">
        <v>548</v>
      </c>
      <c r="D91" s="9" t="s">
        <v>358</v>
      </c>
      <c r="E91" s="23" t="n">
        <v>3000</v>
      </c>
      <c r="F91" s="9" t="s">
        <v>362</v>
      </c>
      <c r="G91" s="23" t="n">
        <v>4000</v>
      </c>
      <c r="H91" s="9" t="s">
        <v>360</v>
      </c>
      <c r="I91" s="17" t="s">
        <v>525</v>
      </c>
    </row>
    <row r="92" customFormat="false" ht="15" hidden="false" customHeight="false" outlineLevel="0" collapsed="false">
      <c r="A92" s="9" t="s">
        <v>549</v>
      </c>
      <c r="B92" s="9" t="s">
        <v>80</v>
      </c>
      <c r="C92" s="9" t="s">
        <v>550</v>
      </c>
      <c r="D92" s="9" t="s">
        <v>358</v>
      </c>
      <c r="E92" s="23" t="n">
        <v>3000</v>
      </c>
      <c r="F92" s="9" t="s">
        <v>362</v>
      </c>
      <c r="G92" s="23" t="n">
        <v>4000</v>
      </c>
      <c r="H92" s="9" t="s">
        <v>360</v>
      </c>
      <c r="I92" s="17" t="s">
        <v>525</v>
      </c>
    </row>
    <row r="93" customFormat="false" ht="15" hidden="false" customHeight="false" outlineLevel="0" collapsed="false">
      <c r="A93" s="9" t="s">
        <v>551</v>
      </c>
      <c r="B93" s="9" t="s">
        <v>80</v>
      </c>
      <c r="C93" s="9" t="s">
        <v>552</v>
      </c>
      <c r="D93" s="9" t="s">
        <v>358</v>
      </c>
      <c r="E93" s="23" t="n">
        <v>3000</v>
      </c>
      <c r="F93" s="9" t="s">
        <v>362</v>
      </c>
      <c r="G93" s="23" t="n">
        <v>4000</v>
      </c>
      <c r="H93" s="9" t="s">
        <v>360</v>
      </c>
      <c r="I93" s="17" t="s">
        <v>525</v>
      </c>
    </row>
    <row r="94" customFormat="false" ht="15" hidden="false" customHeight="false" outlineLevel="0" collapsed="false">
      <c r="A94" s="9" t="s">
        <v>553</v>
      </c>
      <c r="B94" s="9" t="s">
        <v>80</v>
      </c>
      <c r="C94" s="9" t="s">
        <v>554</v>
      </c>
      <c r="D94" s="9" t="s">
        <v>358</v>
      </c>
      <c r="E94" s="23" t="n">
        <v>3000</v>
      </c>
      <c r="F94" s="9" t="s">
        <v>362</v>
      </c>
      <c r="G94" s="23" t="n">
        <v>4000</v>
      </c>
      <c r="H94" s="9" t="s">
        <v>360</v>
      </c>
      <c r="I94" s="17" t="s">
        <v>525</v>
      </c>
    </row>
    <row r="95" customFormat="false" ht="15" hidden="false" customHeight="false" outlineLevel="0" collapsed="false">
      <c r="A95" s="9" t="s">
        <v>555</v>
      </c>
      <c r="B95" s="9" t="s">
        <v>80</v>
      </c>
      <c r="C95" s="9" t="s">
        <v>556</v>
      </c>
      <c r="D95" s="9" t="s">
        <v>358</v>
      </c>
      <c r="E95" s="23" t="n">
        <v>3000</v>
      </c>
      <c r="F95" s="9" t="s">
        <v>362</v>
      </c>
      <c r="G95" s="23" t="n">
        <v>4000</v>
      </c>
      <c r="H95" s="9" t="s">
        <v>360</v>
      </c>
      <c r="I95" s="17" t="s">
        <v>525</v>
      </c>
    </row>
    <row r="96" customFormat="false" ht="15" hidden="false" customHeight="false" outlineLevel="0" collapsed="false">
      <c r="A96" s="9" t="s">
        <v>557</v>
      </c>
      <c r="B96" s="9" t="s">
        <v>80</v>
      </c>
      <c r="C96" s="9" t="s">
        <v>558</v>
      </c>
      <c r="D96" s="9" t="s">
        <v>358</v>
      </c>
      <c r="E96" s="23" t="n">
        <v>3000</v>
      </c>
      <c r="F96" s="9" t="s">
        <v>362</v>
      </c>
      <c r="G96" s="23" t="n">
        <v>4000</v>
      </c>
      <c r="H96" s="9" t="s">
        <v>360</v>
      </c>
      <c r="I96" s="17" t="s">
        <v>525</v>
      </c>
    </row>
    <row r="97" customFormat="false" ht="15" hidden="false" customHeight="false" outlineLevel="0" collapsed="false">
      <c r="A97" s="9" t="s">
        <v>559</v>
      </c>
      <c r="B97" s="9" t="s">
        <v>80</v>
      </c>
      <c r="C97" s="9" t="s">
        <v>560</v>
      </c>
      <c r="D97" s="9" t="s">
        <v>358</v>
      </c>
      <c r="E97" s="23" t="n">
        <v>1790</v>
      </c>
      <c r="F97" s="9" t="s">
        <v>362</v>
      </c>
      <c r="G97" s="23" t="n">
        <v>2790</v>
      </c>
      <c r="H97" s="9" t="s">
        <v>360</v>
      </c>
      <c r="I97" s="17" t="s">
        <v>525</v>
      </c>
    </row>
    <row r="98" customFormat="false" ht="15" hidden="false" customHeight="false" outlineLevel="0" collapsed="false">
      <c r="A98" s="9" t="s">
        <v>561</v>
      </c>
      <c r="B98" s="9" t="s">
        <v>80</v>
      </c>
      <c r="C98" s="9" t="s">
        <v>562</v>
      </c>
      <c r="D98" s="9" t="s">
        <v>358</v>
      </c>
      <c r="E98" s="23" t="n">
        <v>1790</v>
      </c>
      <c r="F98" s="9" t="s">
        <v>362</v>
      </c>
      <c r="G98" s="23" t="n">
        <v>2790</v>
      </c>
      <c r="H98" s="9" t="s">
        <v>360</v>
      </c>
      <c r="I98" s="17" t="s">
        <v>525</v>
      </c>
    </row>
    <row r="99" customFormat="false" ht="15" hidden="false" customHeight="false" outlineLevel="0" collapsed="false">
      <c r="A99" s="9" t="s">
        <v>563</v>
      </c>
      <c r="B99" s="9" t="s">
        <v>80</v>
      </c>
      <c r="C99" s="9" t="s">
        <v>564</v>
      </c>
      <c r="D99" s="9" t="s">
        <v>358</v>
      </c>
      <c r="E99" s="23" t="n">
        <v>1790</v>
      </c>
      <c r="F99" s="9" t="s">
        <v>362</v>
      </c>
      <c r="G99" s="23" t="n">
        <v>2790</v>
      </c>
      <c r="H99" s="9" t="s">
        <v>360</v>
      </c>
      <c r="I99" s="17" t="s">
        <v>525</v>
      </c>
    </row>
    <row r="100" customFormat="false" ht="15" hidden="false" customHeight="false" outlineLevel="0" collapsed="false">
      <c r="A100" s="9" t="s">
        <v>244</v>
      </c>
      <c r="B100" s="9" t="s">
        <v>80</v>
      </c>
      <c r="C100" s="9" t="s">
        <v>565</v>
      </c>
      <c r="D100" s="9" t="s">
        <v>358</v>
      </c>
      <c r="E100" s="23" t="n">
        <v>1790</v>
      </c>
      <c r="F100" s="9" t="s">
        <v>362</v>
      </c>
      <c r="G100" s="23" t="n">
        <v>2790</v>
      </c>
      <c r="H100" s="9" t="s">
        <v>360</v>
      </c>
      <c r="I100" s="17" t="s">
        <v>525</v>
      </c>
    </row>
    <row r="101" customFormat="false" ht="15" hidden="false" customHeight="false" outlineLevel="0" collapsed="false">
      <c r="A101" s="9" t="s">
        <v>566</v>
      </c>
      <c r="B101" s="9" t="s">
        <v>80</v>
      </c>
      <c r="C101" s="9" t="s">
        <v>567</v>
      </c>
      <c r="D101" s="9" t="s">
        <v>358</v>
      </c>
      <c r="E101" s="23" t="n">
        <v>2010</v>
      </c>
      <c r="F101" s="9" t="s">
        <v>362</v>
      </c>
      <c r="G101" s="23" t="n">
        <v>3010</v>
      </c>
      <c r="H101" s="9" t="s">
        <v>360</v>
      </c>
      <c r="I101" s="17" t="s">
        <v>525</v>
      </c>
    </row>
    <row r="102" customFormat="false" ht="15" hidden="false" customHeight="false" outlineLevel="0" collapsed="false">
      <c r="A102" s="9" t="s">
        <v>568</v>
      </c>
      <c r="B102" s="9" t="s">
        <v>80</v>
      </c>
      <c r="C102" s="9" t="s">
        <v>569</v>
      </c>
      <c r="D102" s="9" t="s">
        <v>358</v>
      </c>
      <c r="E102" s="23" t="n">
        <v>2010</v>
      </c>
      <c r="F102" s="9" t="s">
        <v>362</v>
      </c>
      <c r="G102" s="23" t="n">
        <v>3010</v>
      </c>
      <c r="H102" s="9" t="s">
        <v>360</v>
      </c>
      <c r="I102" s="17" t="s">
        <v>525</v>
      </c>
    </row>
    <row r="103" customFormat="false" ht="15" hidden="false" customHeight="false" outlineLevel="0" collapsed="false">
      <c r="A103" s="9" t="s">
        <v>570</v>
      </c>
      <c r="B103" s="9" t="s">
        <v>80</v>
      </c>
      <c r="C103" s="9" t="s">
        <v>571</v>
      </c>
      <c r="D103" s="9" t="s">
        <v>358</v>
      </c>
      <c r="E103" s="23" t="n">
        <v>2010</v>
      </c>
      <c r="F103" s="9" t="s">
        <v>362</v>
      </c>
      <c r="G103" s="23" t="n">
        <v>3010</v>
      </c>
      <c r="H103" s="9" t="s">
        <v>360</v>
      </c>
      <c r="I103" s="17" t="s">
        <v>525</v>
      </c>
    </row>
    <row r="104" customFormat="false" ht="15" hidden="false" customHeight="false" outlineLevel="0" collapsed="false">
      <c r="A104" s="9" t="s">
        <v>572</v>
      </c>
      <c r="B104" s="9" t="s">
        <v>80</v>
      </c>
      <c r="C104" s="9" t="s">
        <v>573</v>
      </c>
      <c r="D104" s="9" t="s">
        <v>358</v>
      </c>
      <c r="E104" s="23" t="n">
        <v>2010</v>
      </c>
      <c r="F104" s="9" t="s">
        <v>362</v>
      </c>
      <c r="G104" s="23" t="n">
        <v>3010</v>
      </c>
      <c r="H104" s="9" t="s">
        <v>360</v>
      </c>
      <c r="I104" s="17" t="s">
        <v>525</v>
      </c>
    </row>
    <row r="105" customFormat="false" ht="15" hidden="false" customHeight="false" outlineLevel="0" collapsed="false">
      <c r="A105" s="9" t="s">
        <v>574</v>
      </c>
      <c r="B105" s="9" t="s">
        <v>80</v>
      </c>
      <c r="C105" s="9" t="s">
        <v>575</v>
      </c>
      <c r="D105" s="9" t="s">
        <v>358</v>
      </c>
      <c r="E105" s="23" t="n">
        <v>2240</v>
      </c>
      <c r="F105" s="9" t="s">
        <v>362</v>
      </c>
      <c r="G105" s="23" t="n">
        <v>3240</v>
      </c>
      <c r="H105" s="9" t="s">
        <v>360</v>
      </c>
      <c r="I105" s="17" t="s">
        <v>525</v>
      </c>
    </row>
    <row r="106" customFormat="false" ht="15" hidden="false" customHeight="false" outlineLevel="0" collapsed="false">
      <c r="A106" s="9" t="s">
        <v>576</v>
      </c>
      <c r="B106" s="9" t="s">
        <v>80</v>
      </c>
      <c r="C106" s="9" t="s">
        <v>577</v>
      </c>
      <c r="D106" s="9" t="s">
        <v>358</v>
      </c>
      <c r="E106" s="23" t="n">
        <v>2240</v>
      </c>
      <c r="F106" s="9" t="s">
        <v>362</v>
      </c>
      <c r="G106" s="23" t="n">
        <v>3240</v>
      </c>
      <c r="H106" s="9" t="s">
        <v>360</v>
      </c>
      <c r="I106" s="17" t="s">
        <v>525</v>
      </c>
    </row>
    <row r="107" customFormat="false" ht="15" hidden="false" customHeight="false" outlineLevel="0" collapsed="false">
      <c r="A107" s="9" t="s">
        <v>578</v>
      </c>
      <c r="B107" s="9" t="s">
        <v>80</v>
      </c>
      <c r="C107" s="9" t="s">
        <v>579</v>
      </c>
      <c r="D107" s="9" t="s">
        <v>358</v>
      </c>
      <c r="E107" s="23" t="n">
        <v>3650</v>
      </c>
      <c r="F107" s="9" t="s">
        <v>362</v>
      </c>
      <c r="G107" s="23" t="n">
        <v>4650</v>
      </c>
      <c r="H107" s="9" t="s">
        <v>360</v>
      </c>
      <c r="I107" s="17" t="s">
        <v>525</v>
      </c>
    </row>
    <row r="108" customFormat="false" ht="15" hidden="false" customHeight="false" outlineLevel="0" collapsed="false">
      <c r="A108" s="9" t="s">
        <v>231</v>
      </c>
      <c r="B108" s="9" t="s">
        <v>80</v>
      </c>
      <c r="C108" s="9" t="s">
        <v>580</v>
      </c>
      <c r="D108" s="9" t="s">
        <v>358</v>
      </c>
      <c r="E108" s="23" t="n">
        <v>3500</v>
      </c>
      <c r="F108" s="9" t="s">
        <v>362</v>
      </c>
      <c r="G108" s="23" t="n">
        <v>4500</v>
      </c>
      <c r="H108" s="9" t="s">
        <v>360</v>
      </c>
      <c r="I108" s="17" t="s">
        <v>525</v>
      </c>
    </row>
    <row r="109" customFormat="false" ht="15" hidden="false" customHeight="false" outlineLevel="0" collapsed="false">
      <c r="A109" s="9" t="s">
        <v>581</v>
      </c>
      <c r="B109" s="9" t="s">
        <v>80</v>
      </c>
      <c r="C109" s="9" t="s">
        <v>582</v>
      </c>
      <c r="D109" s="9" t="s">
        <v>358</v>
      </c>
      <c r="E109" s="23" t="n">
        <v>2960</v>
      </c>
      <c r="F109" s="9" t="s">
        <v>362</v>
      </c>
      <c r="G109" s="23" t="n">
        <v>3960</v>
      </c>
      <c r="H109" s="9" t="s">
        <v>360</v>
      </c>
      <c r="I109" s="17" t="s">
        <v>525</v>
      </c>
    </row>
    <row r="110" customFormat="false" ht="15" hidden="false" customHeight="false" outlineLevel="0" collapsed="false">
      <c r="A110" s="9" t="s">
        <v>228</v>
      </c>
      <c r="B110" s="9" t="s">
        <v>80</v>
      </c>
      <c r="C110" s="9" t="s">
        <v>583</v>
      </c>
      <c r="D110" s="9" t="s">
        <v>358</v>
      </c>
      <c r="E110" s="23" t="n">
        <v>2960</v>
      </c>
      <c r="F110" s="9" t="s">
        <v>362</v>
      </c>
      <c r="G110" s="23" t="n">
        <v>3960</v>
      </c>
      <c r="H110" s="9" t="s">
        <v>360</v>
      </c>
      <c r="I110" s="17" t="s">
        <v>525</v>
      </c>
    </row>
    <row r="111" customFormat="false" ht="15" hidden="false" customHeight="false" outlineLevel="0" collapsed="false">
      <c r="A111" s="9" t="s">
        <v>224</v>
      </c>
      <c r="B111" s="9" t="s">
        <v>80</v>
      </c>
      <c r="C111" s="9" t="s">
        <v>584</v>
      </c>
      <c r="D111" s="9" t="s">
        <v>358</v>
      </c>
      <c r="E111" s="23" t="n">
        <v>3000</v>
      </c>
      <c r="F111" s="9" t="s">
        <v>362</v>
      </c>
      <c r="G111" s="23" t="n">
        <v>4000</v>
      </c>
      <c r="H111" s="9" t="s">
        <v>360</v>
      </c>
      <c r="I111" s="17" t="s">
        <v>525</v>
      </c>
    </row>
    <row r="112" customFormat="false" ht="15" hidden="false" customHeight="false" outlineLevel="0" collapsed="false">
      <c r="A112" s="9" t="s">
        <v>585</v>
      </c>
      <c r="B112" s="9" t="s">
        <v>80</v>
      </c>
      <c r="C112" s="9" t="s">
        <v>586</v>
      </c>
      <c r="D112" s="9" t="s">
        <v>358</v>
      </c>
      <c r="E112" s="23" t="n">
        <v>3000</v>
      </c>
      <c r="F112" s="9" t="s">
        <v>362</v>
      </c>
      <c r="G112" s="23" t="n">
        <v>4000</v>
      </c>
      <c r="H112" s="9" t="s">
        <v>360</v>
      </c>
      <c r="I112" s="17" t="s">
        <v>525</v>
      </c>
    </row>
    <row r="113" customFormat="false" ht="15" hidden="false" customHeight="false" outlineLevel="0" collapsed="false">
      <c r="A113" s="9" t="s">
        <v>587</v>
      </c>
      <c r="B113" s="9" t="s">
        <v>80</v>
      </c>
      <c r="C113" s="9" t="s">
        <v>588</v>
      </c>
      <c r="D113" s="9" t="s">
        <v>358</v>
      </c>
      <c r="E113" s="23" t="n">
        <v>2130</v>
      </c>
      <c r="F113" s="9" t="s">
        <v>362</v>
      </c>
      <c r="G113" s="23" t="n">
        <v>3130</v>
      </c>
      <c r="H113" s="9" t="s">
        <v>360</v>
      </c>
      <c r="I113" s="17" t="s">
        <v>525</v>
      </c>
    </row>
    <row r="114" customFormat="false" ht="15" hidden="false" customHeight="false" outlineLevel="0" collapsed="false">
      <c r="A114" s="9" t="s">
        <v>589</v>
      </c>
      <c r="B114" s="9" t="s">
        <v>80</v>
      </c>
      <c r="C114" s="9" t="s">
        <v>590</v>
      </c>
      <c r="D114" s="9" t="s">
        <v>358</v>
      </c>
      <c r="E114" s="23" t="n">
        <v>2430</v>
      </c>
      <c r="F114" s="9" t="s">
        <v>362</v>
      </c>
      <c r="G114" s="23" t="n">
        <v>3430</v>
      </c>
      <c r="H114" s="9" t="s">
        <v>360</v>
      </c>
      <c r="I114" s="17" t="s">
        <v>525</v>
      </c>
    </row>
    <row r="115" customFormat="false" ht="15" hidden="false" customHeight="false" outlineLevel="0" collapsed="false">
      <c r="A115" s="9" t="s">
        <v>591</v>
      </c>
      <c r="B115" s="9" t="s">
        <v>80</v>
      </c>
      <c r="C115" s="9" t="s">
        <v>592</v>
      </c>
      <c r="D115" s="9" t="s">
        <v>358</v>
      </c>
      <c r="E115" s="23" t="n">
        <v>2960</v>
      </c>
      <c r="F115" s="9" t="s">
        <v>362</v>
      </c>
      <c r="G115" s="23" t="n">
        <v>3960</v>
      </c>
      <c r="H115" s="9" t="s">
        <v>360</v>
      </c>
      <c r="I115" s="17" t="s">
        <v>525</v>
      </c>
    </row>
    <row r="116" customFormat="false" ht="15" hidden="false" customHeight="false" outlineLevel="0" collapsed="false">
      <c r="A116" s="9" t="s">
        <v>593</v>
      </c>
      <c r="B116" s="9" t="s">
        <v>80</v>
      </c>
      <c r="C116" s="9" t="s">
        <v>594</v>
      </c>
      <c r="D116" s="9" t="s">
        <v>358</v>
      </c>
      <c r="E116" s="23" t="n">
        <v>2960</v>
      </c>
      <c r="F116" s="9" t="s">
        <v>362</v>
      </c>
      <c r="G116" s="23" t="n">
        <v>3960</v>
      </c>
      <c r="H116" s="9" t="s">
        <v>360</v>
      </c>
      <c r="I116" s="17" t="s">
        <v>525</v>
      </c>
    </row>
    <row r="117" customFormat="false" ht="15" hidden="false" customHeight="false" outlineLevel="0" collapsed="false">
      <c r="A117" s="9" t="s">
        <v>595</v>
      </c>
      <c r="B117" s="9" t="s">
        <v>80</v>
      </c>
      <c r="C117" s="9" t="s">
        <v>596</v>
      </c>
      <c r="D117" s="9" t="s">
        <v>358</v>
      </c>
      <c r="E117" s="23" t="n">
        <v>3000</v>
      </c>
      <c r="F117" s="9" t="s">
        <v>362</v>
      </c>
      <c r="G117" s="23" t="n">
        <v>4000</v>
      </c>
      <c r="H117" s="9" t="s">
        <v>360</v>
      </c>
      <c r="I117" s="17" t="s">
        <v>525</v>
      </c>
    </row>
    <row r="118" customFormat="false" ht="15" hidden="false" customHeight="false" outlineLevel="0" collapsed="false">
      <c r="A118" s="9" t="s">
        <v>597</v>
      </c>
      <c r="B118" s="9" t="s">
        <v>80</v>
      </c>
      <c r="C118" s="9" t="s">
        <v>598</v>
      </c>
      <c r="D118" s="9" t="s">
        <v>358</v>
      </c>
      <c r="E118" s="23" t="n">
        <v>3000</v>
      </c>
      <c r="F118" s="9" t="s">
        <v>362</v>
      </c>
      <c r="G118" s="23" t="n">
        <v>4000</v>
      </c>
      <c r="H118" s="9" t="s">
        <v>360</v>
      </c>
      <c r="I118" s="17" t="s">
        <v>525</v>
      </c>
    </row>
    <row r="119" customFormat="false" ht="15" hidden="false" customHeight="false" outlineLevel="0" collapsed="false">
      <c r="A119" s="9" t="s">
        <v>599</v>
      </c>
      <c r="B119" s="9" t="s">
        <v>80</v>
      </c>
      <c r="C119" s="9" t="s">
        <v>600</v>
      </c>
      <c r="D119" s="9" t="s">
        <v>358</v>
      </c>
      <c r="E119" s="23" t="n">
        <v>2130</v>
      </c>
      <c r="F119" s="9" t="s">
        <v>362</v>
      </c>
      <c r="G119" s="23" t="n">
        <v>3130</v>
      </c>
      <c r="H119" s="9" t="s">
        <v>360</v>
      </c>
      <c r="I119" s="17" t="s">
        <v>525</v>
      </c>
    </row>
    <row r="120" customFormat="false" ht="15" hidden="false" customHeight="false" outlineLevel="0" collapsed="false">
      <c r="A120" s="9" t="s">
        <v>601</v>
      </c>
      <c r="B120" s="9" t="s">
        <v>80</v>
      </c>
      <c r="C120" s="9" t="s">
        <v>602</v>
      </c>
      <c r="D120" s="9" t="s">
        <v>358</v>
      </c>
      <c r="E120" s="23" t="n">
        <v>2430</v>
      </c>
      <c r="F120" s="9" t="s">
        <v>362</v>
      </c>
      <c r="G120" s="23" t="n">
        <v>3430</v>
      </c>
      <c r="H120" s="9" t="s">
        <v>360</v>
      </c>
      <c r="I120" s="17" t="s">
        <v>525</v>
      </c>
    </row>
    <row r="121" customFormat="false" ht="15" hidden="false" customHeight="false" outlineLevel="0" collapsed="false">
      <c r="A121" s="9" t="s">
        <v>603</v>
      </c>
      <c r="B121" s="9" t="s">
        <v>80</v>
      </c>
      <c r="C121" s="9" t="s">
        <v>604</v>
      </c>
      <c r="D121" s="9" t="s">
        <v>358</v>
      </c>
      <c r="E121" s="23" t="n">
        <v>2960</v>
      </c>
      <c r="F121" s="9" t="s">
        <v>362</v>
      </c>
      <c r="G121" s="23" t="n">
        <v>3960</v>
      </c>
      <c r="H121" s="9" t="s">
        <v>360</v>
      </c>
      <c r="I121" s="17" t="s">
        <v>525</v>
      </c>
    </row>
    <row r="122" customFormat="false" ht="15" hidden="false" customHeight="false" outlineLevel="0" collapsed="false">
      <c r="A122" s="9" t="s">
        <v>605</v>
      </c>
      <c r="B122" s="9" t="s">
        <v>80</v>
      </c>
      <c r="C122" s="9" t="s">
        <v>606</v>
      </c>
      <c r="D122" s="9" t="s">
        <v>358</v>
      </c>
      <c r="E122" s="23" t="n">
        <v>2960</v>
      </c>
      <c r="F122" s="9" t="s">
        <v>362</v>
      </c>
      <c r="G122" s="23" t="n">
        <v>3960</v>
      </c>
      <c r="H122" s="9" t="s">
        <v>360</v>
      </c>
      <c r="I122" s="17" t="s">
        <v>525</v>
      </c>
    </row>
    <row r="123" customFormat="false" ht="15" hidden="false" customHeight="false" outlineLevel="0" collapsed="false">
      <c r="A123" s="9" t="s">
        <v>607</v>
      </c>
      <c r="B123" s="9" t="s">
        <v>80</v>
      </c>
      <c r="C123" s="9" t="s">
        <v>608</v>
      </c>
      <c r="D123" s="9" t="s">
        <v>358</v>
      </c>
      <c r="E123" s="23" t="n">
        <v>2960</v>
      </c>
      <c r="F123" s="9" t="s">
        <v>362</v>
      </c>
      <c r="G123" s="23" t="n">
        <v>3960</v>
      </c>
      <c r="H123" s="9" t="s">
        <v>360</v>
      </c>
      <c r="I123" s="17" t="s">
        <v>525</v>
      </c>
    </row>
    <row r="124" customFormat="false" ht="15" hidden="false" customHeight="false" outlineLevel="0" collapsed="false">
      <c r="A124" s="9" t="s">
        <v>609</v>
      </c>
      <c r="B124" s="9" t="s">
        <v>80</v>
      </c>
      <c r="C124" s="9" t="s">
        <v>610</v>
      </c>
      <c r="D124" s="9" t="s">
        <v>358</v>
      </c>
      <c r="E124" s="23" t="n">
        <v>3000</v>
      </c>
      <c r="F124" s="9" t="s">
        <v>362</v>
      </c>
      <c r="G124" s="23" t="n">
        <v>4000</v>
      </c>
      <c r="H124" s="9" t="s">
        <v>360</v>
      </c>
      <c r="I124" s="17" t="s">
        <v>525</v>
      </c>
    </row>
    <row r="125" customFormat="false" ht="15" hidden="false" customHeight="false" outlineLevel="0" collapsed="false">
      <c r="A125" s="9" t="s">
        <v>611</v>
      </c>
      <c r="B125" s="9" t="s">
        <v>80</v>
      </c>
      <c r="C125" s="9" t="s">
        <v>612</v>
      </c>
      <c r="D125" s="9" t="s">
        <v>358</v>
      </c>
      <c r="E125" s="23" t="n">
        <v>3000</v>
      </c>
      <c r="F125" s="9" t="s">
        <v>362</v>
      </c>
      <c r="G125" s="23" t="n">
        <v>4000</v>
      </c>
      <c r="H125" s="9" t="s">
        <v>360</v>
      </c>
      <c r="I125" s="17" t="s">
        <v>525</v>
      </c>
    </row>
    <row r="126" customFormat="false" ht="15" hidden="false" customHeight="false" outlineLevel="0" collapsed="false">
      <c r="A126" s="9" t="s">
        <v>613</v>
      </c>
      <c r="B126" s="9" t="s">
        <v>80</v>
      </c>
      <c r="C126" s="9" t="s">
        <v>614</v>
      </c>
      <c r="D126" s="9" t="s">
        <v>358</v>
      </c>
      <c r="E126" s="23" t="n">
        <v>2130</v>
      </c>
      <c r="F126" s="9" t="s">
        <v>362</v>
      </c>
      <c r="G126" s="23" t="n">
        <v>3130</v>
      </c>
      <c r="H126" s="9" t="s">
        <v>360</v>
      </c>
      <c r="I126" s="17" t="s">
        <v>525</v>
      </c>
    </row>
    <row r="127" customFormat="false" ht="15" hidden="false" customHeight="false" outlineLevel="0" collapsed="false">
      <c r="A127" s="9" t="s">
        <v>615</v>
      </c>
      <c r="B127" s="9" t="s">
        <v>80</v>
      </c>
      <c r="C127" s="9" t="s">
        <v>616</v>
      </c>
      <c r="D127" s="9" t="s">
        <v>358</v>
      </c>
      <c r="E127" s="23" t="n">
        <v>2430</v>
      </c>
      <c r="F127" s="9" t="s">
        <v>362</v>
      </c>
      <c r="G127" s="23" t="n">
        <v>3430</v>
      </c>
      <c r="H127" s="9" t="s">
        <v>360</v>
      </c>
      <c r="I127" s="17" t="s">
        <v>525</v>
      </c>
    </row>
    <row r="128" customFormat="false" ht="15" hidden="false" customHeight="false" outlineLevel="0" collapsed="false">
      <c r="A128" s="9" t="s">
        <v>617</v>
      </c>
      <c r="B128" s="9" t="s">
        <v>80</v>
      </c>
      <c r="C128" s="9" t="s">
        <v>618</v>
      </c>
      <c r="D128" s="9" t="s">
        <v>358</v>
      </c>
      <c r="E128" s="23" t="n">
        <v>2130</v>
      </c>
      <c r="F128" s="9" t="s">
        <v>362</v>
      </c>
      <c r="G128" s="23" t="n">
        <v>3130</v>
      </c>
      <c r="H128" s="9" t="s">
        <v>360</v>
      </c>
      <c r="I128" s="17" t="s">
        <v>525</v>
      </c>
    </row>
    <row r="129" customFormat="false" ht="15" hidden="false" customHeight="false" outlineLevel="0" collapsed="false">
      <c r="A129" s="9" t="s">
        <v>619</v>
      </c>
      <c r="B129" s="9" t="s">
        <v>80</v>
      </c>
      <c r="C129" s="9" t="s">
        <v>620</v>
      </c>
      <c r="D129" s="9" t="s">
        <v>358</v>
      </c>
      <c r="E129" s="23" t="n">
        <v>2960</v>
      </c>
      <c r="F129" s="9" t="s">
        <v>362</v>
      </c>
      <c r="G129" s="23" t="n">
        <v>3960</v>
      </c>
      <c r="H129" s="9" t="s">
        <v>360</v>
      </c>
      <c r="I129" s="17" t="s">
        <v>525</v>
      </c>
    </row>
    <row r="130" customFormat="false" ht="15" hidden="false" customHeight="false" outlineLevel="0" collapsed="false">
      <c r="A130" s="9" t="s">
        <v>621</v>
      </c>
      <c r="B130" s="9" t="s">
        <v>80</v>
      </c>
      <c r="C130" s="9" t="s">
        <v>622</v>
      </c>
      <c r="D130" s="9" t="s">
        <v>358</v>
      </c>
      <c r="E130" s="23" t="n">
        <v>2960</v>
      </c>
      <c r="F130" s="9" t="s">
        <v>362</v>
      </c>
      <c r="G130" s="23" t="n">
        <v>3960</v>
      </c>
      <c r="H130" s="9" t="s">
        <v>360</v>
      </c>
      <c r="I130" s="17" t="s">
        <v>525</v>
      </c>
    </row>
    <row r="131" customFormat="false" ht="15" hidden="false" customHeight="false" outlineLevel="0" collapsed="false">
      <c r="A131" s="9" t="s">
        <v>623</v>
      </c>
      <c r="B131" s="9" t="s">
        <v>80</v>
      </c>
      <c r="C131" s="9" t="s">
        <v>624</v>
      </c>
      <c r="D131" s="9" t="s">
        <v>358</v>
      </c>
      <c r="E131" s="23" t="n">
        <v>2960</v>
      </c>
      <c r="F131" s="9" t="s">
        <v>362</v>
      </c>
      <c r="G131" s="23" t="n">
        <v>3960</v>
      </c>
      <c r="H131" s="9" t="s">
        <v>360</v>
      </c>
      <c r="I131" s="17" t="s">
        <v>525</v>
      </c>
    </row>
    <row r="132" customFormat="false" ht="15" hidden="false" customHeight="false" outlineLevel="0" collapsed="false">
      <c r="A132" s="9" t="s">
        <v>625</v>
      </c>
      <c r="B132" s="9" t="s">
        <v>80</v>
      </c>
      <c r="C132" s="9" t="s">
        <v>626</v>
      </c>
      <c r="D132" s="9" t="s">
        <v>358</v>
      </c>
      <c r="E132" s="23" t="n">
        <v>3000</v>
      </c>
      <c r="F132" s="9" t="s">
        <v>362</v>
      </c>
      <c r="G132" s="23" t="n">
        <v>4000</v>
      </c>
      <c r="H132" s="9" t="s">
        <v>360</v>
      </c>
      <c r="I132" s="17" t="s">
        <v>525</v>
      </c>
    </row>
    <row r="133" customFormat="false" ht="15" hidden="false" customHeight="false" outlineLevel="0" collapsed="false">
      <c r="A133" s="9" t="s">
        <v>627</v>
      </c>
      <c r="B133" s="9" t="s">
        <v>80</v>
      </c>
      <c r="C133" s="9" t="s">
        <v>628</v>
      </c>
      <c r="D133" s="9" t="s">
        <v>358</v>
      </c>
      <c r="E133" s="23" t="n">
        <v>3000</v>
      </c>
      <c r="F133" s="9" t="s">
        <v>362</v>
      </c>
      <c r="G133" s="23" t="n">
        <v>4000</v>
      </c>
      <c r="H133" s="9" t="s">
        <v>360</v>
      </c>
      <c r="I133" s="17" t="s">
        <v>525</v>
      </c>
    </row>
    <row r="134" customFormat="false" ht="15" hidden="false" customHeight="false" outlineLevel="0" collapsed="false">
      <c r="A134" s="9" t="s">
        <v>629</v>
      </c>
      <c r="B134" s="9" t="s">
        <v>80</v>
      </c>
      <c r="C134" s="9" t="s">
        <v>630</v>
      </c>
      <c r="D134" s="9" t="s">
        <v>358</v>
      </c>
      <c r="E134" s="23" t="n">
        <v>2130</v>
      </c>
      <c r="F134" s="9" t="s">
        <v>362</v>
      </c>
      <c r="G134" s="23" t="n">
        <v>3130</v>
      </c>
      <c r="H134" s="9" t="s">
        <v>360</v>
      </c>
      <c r="I134" s="17" t="s">
        <v>525</v>
      </c>
    </row>
    <row r="135" customFormat="false" ht="15" hidden="false" customHeight="false" outlineLevel="0" collapsed="false">
      <c r="A135" s="9" t="s">
        <v>631</v>
      </c>
      <c r="B135" s="9" t="s">
        <v>80</v>
      </c>
      <c r="C135" s="9" t="s">
        <v>632</v>
      </c>
      <c r="D135" s="9" t="s">
        <v>358</v>
      </c>
      <c r="E135" s="23" t="n">
        <v>2430</v>
      </c>
      <c r="F135" s="9" t="s">
        <v>362</v>
      </c>
      <c r="G135" s="23" t="n">
        <v>3430</v>
      </c>
      <c r="H135" s="9" t="s">
        <v>360</v>
      </c>
      <c r="I135" s="17" t="s">
        <v>525</v>
      </c>
    </row>
    <row r="136" customFormat="false" ht="15" hidden="false" customHeight="false" outlineLevel="0" collapsed="false">
      <c r="A136" s="9" t="s">
        <v>633</v>
      </c>
      <c r="B136" s="9" t="s">
        <v>80</v>
      </c>
      <c r="C136" s="9" t="s">
        <v>634</v>
      </c>
      <c r="D136" s="9" t="s">
        <v>358</v>
      </c>
      <c r="E136" s="23" t="n">
        <v>2130</v>
      </c>
      <c r="F136" s="9" t="s">
        <v>362</v>
      </c>
      <c r="G136" s="23" t="n">
        <v>3130</v>
      </c>
      <c r="H136" s="9" t="s">
        <v>360</v>
      </c>
      <c r="I136" s="17" t="s">
        <v>525</v>
      </c>
    </row>
    <row r="137" customFormat="false" ht="15" hidden="false" customHeight="false" outlineLevel="0" collapsed="false">
      <c r="A137" s="9" t="s">
        <v>635</v>
      </c>
      <c r="B137" s="9" t="s">
        <v>80</v>
      </c>
      <c r="C137" s="9" t="s">
        <v>636</v>
      </c>
      <c r="D137" s="9" t="s">
        <v>358</v>
      </c>
      <c r="E137" s="23" t="n">
        <v>3720</v>
      </c>
      <c r="F137" s="9" t="s">
        <v>362</v>
      </c>
      <c r="G137" s="23" t="n">
        <v>4720</v>
      </c>
      <c r="H137" s="9" t="s">
        <v>360</v>
      </c>
      <c r="I137" s="17" t="s">
        <v>525</v>
      </c>
    </row>
    <row r="138" customFormat="false" ht="15" hidden="false" customHeight="false" outlineLevel="0" collapsed="false">
      <c r="A138" s="9" t="s">
        <v>637</v>
      </c>
      <c r="B138" s="9" t="s">
        <v>80</v>
      </c>
      <c r="C138" s="9" t="s">
        <v>638</v>
      </c>
      <c r="D138" s="9" t="s">
        <v>358</v>
      </c>
      <c r="E138" s="23" t="n">
        <v>2660</v>
      </c>
      <c r="F138" s="9" t="s">
        <v>362</v>
      </c>
      <c r="G138" s="23" t="n">
        <v>3660</v>
      </c>
      <c r="H138" s="9" t="s">
        <v>360</v>
      </c>
      <c r="I138" s="17" t="s">
        <v>525</v>
      </c>
    </row>
    <row r="139" customFormat="false" ht="15" hidden="false" customHeight="false" outlineLevel="0" collapsed="false">
      <c r="A139" s="9" t="s">
        <v>639</v>
      </c>
      <c r="B139" s="9" t="s">
        <v>80</v>
      </c>
      <c r="C139" s="9" t="s">
        <v>640</v>
      </c>
      <c r="D139" s="9" t="s">
        <v>358</v>
      </c>
      <c r="E139" s="23" t="n">
        <v>3720</v>
      </c>
      <c r="F139" s="9" t="s">
        <v>362</v>
      </c>
      <c r="G139" s="23" t="n">
        <v>4720</v>
      </c>
      <c r="H139" s="9" t="s">
        <v>360</v>
      </c>
      <c r="I139" s="17" t="s">
        <v>525</v>
      </c>
    </row>
    <row r="140" customFormat="false" ht="15" hidden="false" customHeight="false" outlineLevel="0" collapsed="false">
      <c r="A140" s="9" t="s">
        <v>641</v>
      </c>
      <c r="B140" s="9" t="s">
        <v>80</v>
      </c>
      <c r="C140" s="9" t="s">
        <v>642</v>
      </c>
      <c r="D140" s="9" t="s">
        <v>358</v>
      </c>
      <c r="E140" s="23" t="n">
        <v>3720</v>
      </c>
      <c r="F140" s="9" t="s">
        <v>362</v>
      </c>
      <c r="G140" s="23" t="n">
        <v>4720</v>
      </c>
      <c r="H140" s="9" t="s">
        <v>360</v>
      </c>
      <c r="I140" s="17" t="s">
        <v>525</v>
      </c>
    </row>
    <row r="141" customFormat="false" ht="15" hidden="false" customHeight="false" outlineLevel="0" collapsed="false">
      <c r="A141" s="9" t="s">
        <v>643</v>
      </c>
      <c r="B141" s="9" t="s">
        <v>80</v>
      </c>
      <c r="C141" s="9" t="s">
        <v>644</v>
      </c>
      <c r="D141" s="9" t="s">
        <v>358</v>
      </c>
      <c r="E141" s="23" t="n">
        <v>3720</v>
      </c>
      <c r="F141" s="9" t="s">
        <v>362</v>
      </c>
      <c r="G141" s="23" t="n">
        <v>4720</v>
      </c>
      <c r="H141" s="9" t="s">
        <v>360</v>
      </c>
      <c r="I141" s="17" t="s">
        <v>525</v>
      </c>
    </row>
    <row r="142" customFormat="false" ht="15" hidden="false" customHeight="false" outlineLevel="0" collapsed="false">
      <c r="A142" s="9" t="s">
        <v>645</v>
      </c>
      <c r="B142" s="9" t="s">
        <v>80</v>
      </c>
      <c r="C142" s="9" t="s">
        <v>646</v>
      </c>
      <c r="D142" s="9" t="s">
        <v>358</v>
      </c>
      <c r="E142" s="23" t="n">
        <v>3720</v>
      </c>
      <c r="F142" s="9" t="s">
        <v>362</v>
      </c>
      <c r="G142" s="23" t="n">
        <v>4720</v>
      </c>
      <c r="H142" s="9" t="s">
        <v>360</v>
      </c>
      <c r="I142" s="17" t="s">
        <v>525</v>
      </c>
    </row>
    <row r="143" customFormat="false" ht="15" hidden="false" customHeight="false" outlineLevel="0" collapsed="false">
      <c r="A143" s="9" t="s">
        <v>647</v>
      </c>
      <c r="B143" s="9" t="s">
        <v>80</v>
      </c>
      <c r="C143" s="9" t="s">
        <v>648</v>
      </c>
      <c r="D143" s="9" t="s">
        <v>358</v>
      </c>
      <c r="E143" s="23" t="n">
        <v>3720</v>
      </c>
      <c r="F143" s="9" t="s">
        <v>362</v>
      </c>
      <c r="G143" s="23" t="n">
        <v>4720</v>
      </c>
      <c r="H143" s="9" t="s">
        <v>360</v>
      </c>
      <c r="I143" s="17" t="s">
        <v>525</v>
      </c>
    </row>
    <row r="144" customFormat="false" ht="15" hidden="false" customHeight="false" outlineLevel="0" collapsed="false">
      <c r="A144" s="9" t="s">
        <v>649</v>
      </c>
      <c r="B144" s="9" t="s">
        <v>80</v>
      </c>
      <c r="C144" s="9" t="s">
        <v>650</v>
      </c>
      <c r="D144" s="9" t="s">
        <v>358</v>
      </c>
      <c r="E144" s="23" t="n">
        <v>3720</v>
      </c>
      <c r="F144" s="9" t="s">
        <v>362</v>
      </c>
      <c r="G144" s="23" t="n">
        <v>4720</v>
      </c>
      <c r="H144" s="9" t="s">
        <v>360</v>
      </c>
      <c r="I144" s="17" t="s">
        <v>525</v>
      </c>
    </row>
    <row r="145" customFormat="false" ht="15" hidden="false" customHeight="false" outlineLevel="0" collapsed="false">
      <c r="A145" s="9" t="s">
        <v>651</v>
      </c>
      <c r="B145" s="9" t="s">
        <v>80</v>
      </c>
      <c r="C145" s="9" t="s">
        <v>652</v>
      </c>
      <c r="D145" s="9" t="s">
        <v>358</v>
      </c>
      <c r="E145" s="23" t="n">
        <v>3720</v>
      </c>
      <c r="F145" s="9" t="s">
        <v>362</v>
      </c>
      <c r="G145" s="23" t="n">
        <v>4720</v>
      </c>
      <c r="H145" s="9" t="s">
        <v>360</v>
      </c>
      <c r="I145" s="17" t="s">
        <v>525</v>
      </c>
    </row>
    <row r="146" customFormat="false" ht="15" hidden="false" customHeight="false" outlineLevel="0" collapsed="false">
      <c r="A146" s="9" t="s">
        <v>653</v>
      </c>
      <c r="B146" s="9" t="s">
        <v>80</v>
      </c>
      <c r="C146" s="9" t="s">
        <v>654</v>
      </c>
      <c r="D146" s="9" t="s">
        <v>358</v>
      </c>
      <c r="E146" s="23" t="n">
        <v>3720</v>
      </c>
      <c r="F146" s="9" t="s">
        <v>362</v>
      </c>
      <c r="G146" s="23" t="n">
        <v>4720</v>
      </c>
      <c r="H146" s="9" t="s">
        <v>360</v>
      </c>
      <c r="I146" s="17" t="s">
        <v>525</v>
      </c>
    </row>
    <row r="147" customFormat="false" ht="15" hidden="false" customHeight="false" outlineLevel="0" collapsed="false">
      <c r="A147" s="9" t="s">
        <v>655</v>
      </c>
      <c r="B147" s="9" t="s">
        <v>80</v>
      </c>
      <c r="C147" s="9" t="s">
        <v>656</v>
      </c>
      <c r="D147" s="9" t="s">
        <v>358</v>
      </c>
      <c r="E147" s="23" t="n">
        <v>6000</v>
      </c>
      <c r="F147" s="9" t="s">
        <v>362</v>
      </c>
      <c r="G147" s="23" t="n">
        <v>7500</v>
      </c>
      <c r="H147" s="9" t="s">
        <v>360</v>
      </c>
      <c r="I147" s="17" t="s">
        <v>657</v>
      </c>
    </row>
    <row r="148" customFormat="false" ht="15" hidden="false" customHeight="false" outlineLevel="0" collapsed="false">
      <c r="A148" s="9" t="s">
        <v>254</v>
      </c>
      <c r="B148" s="9" t="s">
        <v>80</v>
      </c>
      <c r="C148" s="9" t="s">
        <v>658</v>
      </c>
      <c r="D148" s="9" t="s">
        <v>358</v>
      </c>
      <c r="E148" s="23" t="n">
        <v>5500</v>
      </c>
      <c r="F148" s="9" t="s">
        <v>359</v>
      </c>
      <c r="G148" s="23" t="n">
        <v>7000</v>
      </c>
      <c r="H148" s="9" t="s">
        <v>360</v>
      </c>
      <c r="I148" s="17" t="s">
        <v>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660</v>
      </c>
    </row>
    <row r="2" customFormat="false" ht="15" hidden="false" customHeight="false" outlineLevel="0" collapsed="false">
      <c r="A2" s="21" t="s">
        <v>661</v>
      </c>
    </row>
    <row r="4" customFormat="false" ht="15" hidden="false" customHeight="false" outlineLevel="0" collapsed="false">
      <c r="A4" s="28" t="s">
        <v>662</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672</v>
      </c>
      <c r="C6" s="31" t="s">
        <v>203</v>
      </c>
      <c r="D6" s="9" t="str">
        <f aca="false">INDEX(Articles!$C$2:$C$148,MATCH(C6,Articles!$A$2:$A$148,0))</f>
        <v>Cahier L'écolier 48 pages</v>
      </c>
      <c r="E6" s="9" t="str">
        <f aca="false">INDEX(Articles!$B$2:$B$148,MATCH(C6,Articles!$A$2:$A$148,0))</f>
        <v>Papex</v>
      </c>
      <c r="F6" s="31" t="n">
        <v>2</v>
      </c>
      <c r="G6" s="13" t="n">
        <f aca="false">IF(INDEX(Articles!$G$2:$G$148,MATCH(C6,Articles!$A$2:$A$148,0))="","",INDEX(Articles!$G$2:$G$148,MATCH(C6,Articles!$A$2:$A$148,0)))</f>
        <v>275</v>
      </c>
      <c r="H6" s="13" t="n">
        <f aca="false">IF(G6="",0,F6*G6)</f>
        <v>550</v>
      </c>
      <c r="I6" s="13" t="n">
        <f aca="false">IF(INDEX(Articles!$E$2:$E$148,MATCH(C6,Articles!$A$2:$A$148,0))="","",INDEX(Articles!$E$2:$E$148,MATCH(C6,Articles!$A$2:$A$148,0)))</f>
        <v>175</v>
      </c>
      <c r="J6" s="13" t="n">
        <f aca="false">IF(I6="","",F6*I6)</f>
        <v>350</v>
      </c>
      <c r="K6" s="9" t="str">
        <f aca="false">INDEX(Articles!$H$2:$H$148,MATCH(C6,Articles!$A$2:$A$148,0))</f>
        <v>Estimé</v>
      </c>
      <c r="L6" s="9" t="str">
        <f aca="false">INDEX(Articles!$F$2:$F$148,MATCH(C6,Articles!$A$2:$A$148,0))</f>
        <v>Confirmé</v>
      </c>
      <c r="M6" s="17" t="s">
        <v>673</v>
      </c>
      <c r="N6" s="9" t="s">
        <v>167</v>
      </c>
    </row>
    <row r="7" customFormat="false" ht="15" hidden="false" customHeight="false" outlineLevel="0" collapsed="false">
      <c r="A7" s="9" t="s">
        <v>674</v>
      </c>
      <c r="B7" s="9" t="s">
        <v>674</v>
      </c>
      <c r="C7" s="31" t="s">
        <v>165</v>
      </c>
      <c r="D7" s="9" t="str">
        <f aca="false">INDEX(Articles!$C$2:$C$148,MATCH(C7,Articles!$A$2:$A$148,0))</f>
        <v>Ardoise scolaire</v>
      </c>
      <c r="E7" s="9" t="str">
        <f aca="false">INDEX(Articles!$B$2:$B$148,MATCH(C7,Articles!$A$2:$A$148,0))</f>
        <v>LPD</v>
      </c>
      <c r="F7" s="31" t="n">
        <v>1</v>
      </c>
      <c r="G7" s="13" t="n">
        <f aca="false">IF(INDEX(Articles!$G$2:$G$148,MATCH(C7,Articles!$A$2:$A$148,0))="","",INDEX(Articles!$G$2:$G$148,MATCH(C7,Articles!$A$2:$A$148,0)))</f>
        <v>900</v>
      </c>
      <c r="H7" s="13" t="n">
        <f aca="false">IF(G7="",0,F7*G7)</f>
        <v>900</v>
      </c>
      <c r="I7" s="13" t="n">
        <f aca="false">IF(INDEX(Articles!$E$2:$E$148,MATCH(C7,Articles!$A$2:$A$148,0))="","",INDEX(Articles!$E$2:$E$148,MATCH(C7,Articles!$A$2:$A$148,0)))</f>
        <v>600</v>
      </c>
      <c r="J7" s="13" t="n">
        <f aca="false">IF(I7="","",F7*I7)</f>
        <v>600</v>
      </c>
      <c r="K7" s="9" t="str">
        <f aca="false">INDEX(Articles!$H$2:$H$148,MATCH(C7,Articles!$A$2:$A$148,0))</f>
        <v>Fixé</v>
      </c>
      <c r="L7" s="9" t="str">
        <f aca="false">INDEX(Articles!$F$2:$F$148,MATCH(C7,Articles!$A$2:$A$148,0))</f>
        <v>Estimé</v>
      </c>
      <c r="M7" s="17"/>
      <c r="N7" s="9" t="s">
        <v>167</v>
      </c>
    </row>
    <row r="8" customFormat="false" ht="15" hidden="false" customHeight="false" outlineLevel="0" collapsed="false">
      <c r="A8" s="9" t="s">
        <v>675</v>
      </c>
      <c r="B8" s="9" t="s">
        <v>457</v>
      </c>
      <c r="C8" s="31" t="s">
        <v>157</v>
      </c>
      <c r="D8" s="9" t="str">
        <f aca="false">INDEX(Articles!$C$2:$C$148,MATCH(C8,Articles!$A$2:$A$148,0))</f>
        <v>Éponge</v>
      </c>
      <c r="E8" s="9" t="str">
        <f aca="false">INDEX(Articles!$B$2:$B$148,MATCH(C8,Articles!$A$2:$A$148,0))</f>
        <v>LPD</v>
      </c>
      <c r="F8" s="31" t="n">
        <v>1</v>
      </c>
      <c r="G8" s="13" t="n">
        <f aca="false">IF(INDEX(Articles!$G$2:$G$148,MATCH(C8,Articles!$A$2:$A$148,0))="","",INDEX(Articles!$G$2:$G$148,MATCH(C8,Articles!$A$2:$A$148,0)))</f>
        <v>1500</v>
      </c>
      <c r="H8" s="13" t="n">
        <f aca="false">IF(G8="",0,F8*G8)</f>
        <v>1500</v>
      </c>
      <c r="I8" s="13" t="str">
        <f aca="false">IF(INDEX(Articles!$E$2:$E$148,MATCH(C8,Articles!$A$2:$A$148,0))="","",INDEX(Articles!$E$2:$E$148,MATCH(C8,Articles!$A$2:$A$148,0)))</f>
        <v/>
      </c>
      <c r="J8" s="13" t="str">
        <f aca="false">IF(I8="","",F8*I8)</f>
        <v/>
      </c>
      <c r="K8" s="9" t="str">
        <f aca="false">INDEX(Articles!$H$2:$H$148,MATCH(C8,Articles!$A$2:$A$148,0))</f>
        <v>Fixé</v>
      </c>
      <c r="L8" s="9" t="str">
        <f aca="false">INDEX(Articles!$F$2:$F$148,MATCH(C8,Articles!$A$2:$A$148,0))</f>
        <v>Inconnu</v>
      </c>
      <c r="M8" s="17"/>
      <c r="N8" s="9" t="s">
        <v>167</v>
      </c>
    </row>
    <row r="9" customFormat="false" ht="15" hidden="false" customHeight="false" outlineLevel="0" collapsed="false">
      <c r="A9" s="9" t="s">
        <v>676</v>
      </c>
      <c r="B9" s="9" t="s">
        <v>677</v>
      </c>
      <c r="C9" s="31" t="s">
        <v>237</v>
      </c>
      <c r="D9" s="9" t="str">
        <f aca="false">INDEX(Articles!$C$2:$C$148,MATCH(C9,Articles!$A$2:$A$148,0))</f>
        <v>Règle plastique transparente 20 cm</v>
      </c>
      <c r="E9" s="9" t="str">
        <f aca="false">INDEX(Articles!$B$2:$B$148,MATCH(C9,Articles!$A$2:$A$148,0))</f>
        <v>LPD</v>
      </c>
      <c r="F9" s="31" t="n">
        <v>1</v>
      </c>
      <c r="G9" s="13" t="n">
        <f aca="false">IF(INDEX(Articles!$G$2:$G$148,MATCH(C9,Articles!$A$2:$A$148,0))="","",INDEX(Articles!$G$2:$G$148,MATCH(C9,Articles!$A$2:$A$148,0)))</f>
        <v>100</v>
      </c>
      <c r="H9" s="13" t="n">
        <f aca="false">IF(G9="",0,F9*G9)</f>
        <v>100</v>
      </c>
      <c r="I9" s="13" t="str">
        <f aca="false">IF(INDEX(Articles!$E$2:$E$148,MATCH(C9,Articles!$A$2:$A$148,0))="","",INDEX(Articles!$E$2:$E$148,MATCH(C9,Articles!$A$2:$A$148,0)))</f>
        <v/>
      </c>
      <c r="J9" s="13" t="str">
        <f aca="false">IF(I9="","",F9*I9)</f>
        <v/>
      </c>
      <c r="K9" s="9" t="str">
        <f aca="false">INDEX(Articles!$H$2:$H$148,MATCH(C9,Articles!$A$2:$A$148,0))</f>
        <v>Fixé</v>
      </c>
      <c r="L9" s="9" t="str">
        <f aca="false">INDEX(Articles!$F$2:$F$148,MATCH(C9,Articles!$A$2:$A$148,0))</f>
        <v>Inconnu</v>
      </c>
      <c r="M9" s="17"/>
      <c r="N9" s="9" t="s">
        <v>167</v>
      </c>
    </row>
    <row r="10" customFormat="false" ht="15" hidden="false" customHeight="false" outlineLevel="0" collapsed="false">
      <c r="A10" s="9" t="s">
        <v>678</v>
      </c>
      <c r="B10" s="9" t="s">
        <v>679</v>
      </c>
      <c r="C10" s="31" t="s">
        <v>235</v>
      </c>
      <c r="D10" s="9" t="str">
        <f aca="false">INDEX(Articles!$C$2:$C$148,MATCH(C10,Articles!$A$2:$A$148,0))</f>
        <v>Crayon papier (vendu à l'unité)</v>
      </c>
      <c r="E10" s="9" t="str">
        <f aca="false">INDEX(Articles!$B$2:$B$148,MATCH(C10,Articles!$A$2:$A$148,0))</f>
        <v>LPD</v>
      </c>
      <c r="F10" s="31" t="n">
        <v>1</v>
      </c>
      <c r="G10" s="13" t="n">
        <f aca="false">IF(INDEX(Articles!$G$2:$G$148,MATCH(C10,Articles!$A$2:$A$148,0))="","",INDEX(Articles!$G$2:$G$148,MATCH(C10,Articles!$A$2:$A$148,0)))</f>
        <v>75</v>
      </c>
      <c r="H10" s="13" t="n">
        <f aca="false">IF(G10="",0,F10*G10)</f>
        <v>75</v>
      </c>
      <c r="I10" s="13" t="str">
        <f aca="false">IF(INDEX(Articles!$E$2:$E$148,MATCH(C10,Articles!$A$2:$A$148,0))="","",INDEX(Articles!$E$2:$E$148,MATCH(C10,Articles!$A$2:$A$148,0)))</f>
        <v/>
      </c>
      <c r="J10" s="13" t="str">
        <f aca="false">IF(I10="","",F10*I10)</f>
        <v/>
      </c>
      <c r="K10" s="9" t="str">
        <f aca="false">INDEX(Articles!$H$2:$H$148,MATCH(C10,Articles!$A$2:$A$148,0))</f>
        <v>Fixé</v>
      </c>
      <c r="L10" s="9" t="str">
        <f aca="false">INDEX(Articles!$F$2:$F$148,MATCH(C10,Articles!$A$2:$A$148,0))</f>
        <v>Inconnu</v>
      </c>
      <c r="M10" s="17"/>
      <c r="N10" s="9" t="s">
        <v>167</v>
      </c>
    </row>
    <row r="11" customFormat="false" ht="15" hidden="false" customHeight="false" outlineLevel="0" collapsed="false">
      <c r="A11" s="9" t="s">
        <v>678</v>
      </c>
      <c r="B11" s="9" t="s">
        <v>680</v>
      </c>
      <c r="C11" s="31" t="s">
        <v>220</v>
      </c>
      <c r="D11" s="9" t="str">
        <f aca="false">INDEX(Articles!$C$2:$C$148,MATCH(C11,Articles!$A$2:$A$148,0))</f>
        <v>Stylo à bille Schneider Tops 505 M bleu</v>
      </c>
      <c r="E11" s="9" t="str">
        <f aca="false">INDEX(Articles!$B$2:$B$148,MATCH(C11,Articles!$A$2:$A$148,0))</f>
        <v>Papex</v>
      </c>
      <c r="F11" s="31" t="n">
        <v>2</v>
      </c>
      <c r="G11" s="13" t="n">
        <f aca="false">IF(INDEX(Articles!$G$2:$G$148,MATCH(C11,Articles!$A$2:$A$148,0))="","",INDEX(Articles!$G$2:$G$148,MATCH(C11,Articles!$A$2:$A$148,0)))</f>
        <v>100</v>
      </c>
      <c r="H11" s="13" t="n">
        <f aca="false">IF(G11="",0,F11*G11)</f>
        <v>200</v>
      </c>
      <c r="I11" s="13" t="str">
        <f aca="false">IF(INDEX(Articles!$E$2:$E$148,MATCH(C11,Articles!$A$2:$A$148,0))="","",INDEX(Articles!$E$2:$E$148,MATCH(C11,Articles!$A$2:$A$148,0)))</f>
        <v/>
      </c>
      <c r="J11" s="13" t="str">
        <f aca="false">IF(I11="","",F11*I11)</f>
        <v/>
      </c>
      <c r="K11" s="9" t="str">
        <f aca="false">INDEX(Articles!$H$2:$H$148,MATCH(C11,Articles!$A$2:$A$148,0))</f>
        <v>Fixé</v>
      </c>
      <c r="L11" s="9" t="str">
        <f aca="false">INDEX(Articles!$F$2:$F$148,MATCH(C11,Articles!$A$2:$A$148,0))</f>
        <v>Inconnu</v>
      </c>
      <c r="M11" s="17"/>
      <c r="N11" s="9" t="s">
        <v>167</v>
      </c>
    </row>
    <row r="12" customFormat="false" ht="15" hidden="false" customHeight="false" outlineLevel="0" collapsed="false">
      <c r="A12" s="9" t="s">
        <v>681</v>
      </c>
      <c r="B12" s="9" t="s">
        <v>682</v>
      </c>
      <c r="C12" s="31" t="s">
        <v>198</v>
      </c>
      <c r="D12" s="9" t="str">
        <f aca="false">INDEX(Articles!$C$2:$C$148,MATCH(C12,Articles!$A$2:$A$148,0))</f>
        <v>Crayons de couleur Maped, boîte de 12</v>
      </c>
      <c r="E12" s="9" t="str">
        <f aca="false">INDEX(Articles!$B$2:$B$148,MATCH(C12,Articles!$A$2:$A$148,0))</f>
        <v>Papex</v>
      </c>
      <c r="F12" s="31" t="n">
        <v>1</v>
      </c>
      <c r="G12" s="13" t="n">
        <f aca="false">IF(INDEX(Articles!$G$2:$G$148,MATCH(C12,Articles!$A$2:$A$148,0))="","",INDEX(Articles!$G$2:$G$148,MATCH(C12,Articles!$A$2:$A$148,0)))</f>
        <v>900</v>
      </c>
      <c r="H12" s="13" t="n">
        <f aca="false">IF(G12="",0,F12*G12)</f>
        <v>900</v>
      </c>
      <c r="I12" s="13" t="n">
        <f aca="false">IF(INDEX(Articles!$E$2:$E$148,MATCH(C12,Articles!$A$2:$A$148,0))="","",INDEX(Articles!$E$2:$E$148,MATCH(C12,Articles!$A$2:$A$148,0)))</f>
        <v>650</v>
      </c>
      <c r="J12" s="13" t="n">
        <f aca="false">IF(I12="","",F12*I12)</f>
        <v>650</v>
      </c>
      <c r="K12" s="9" t="str">
        <f aca="false">INDEX(Articles!$H$2:$H$148,MATCH(C12,Articles!$A$2:$A$148,0))</f>
        <v>Estimé</v>
      </c>
      <c r="L12" s="9" t="str">
        <f aca="false">INDEX(Articles!$F$2:$F$148,MATCH(C12,Articles!$A$2:$A$148,0))</f>
        <v>Estimé</v>
      </c>
      <c r="M12" s="17"/>
      <c r="N12" s="9" t="s">
        <v>167</v>
      </c>
    </row>
    <row r="13" customFormat="false" ht="15" hidden="false" customHeight="false" outlineLevel="0" collapsed="false">
      <c r="D13" s="32" t="s">
        <v>683</v>
      </c>
      <c r="E13" s="32"/>
      <c r="F13" s="32"/>
      <c r="G13" s="32"/>
      <c r="H13" s="33" t="n">
        <f aca="false">COUNTIF(G6:G12,"")</f>
        <v>0</v>
      </c>
    </row>
    <row r="14" customFormat="false" ht="15" hidden="false" customHeight="false" outlineLevel="0" collapsed="false">
      <c r="D14" s="32" t="s">
        <v>684</v>
      </c>
      <c r="E14" s="32"/>
      <c r="F14" s="32"/>
      <c r="G14" s="32"/>
      <c r="H14" s="33" t="n">
        <f aca="false">SUM(H6:H12)</f>
        <v>4225</v>
      </c>
    </row>
    <row r="15" customFormat="false" ht="15" hidden="false" customHeight="false" outlineLevel="0" collapsed="false">
      <c r="D15" s="32" t="s">
        <v>28</v>
      </c>
      <c r="E15" s="32"/>
      <c r="F15" s="32"/>
      <c r="G15" s="32"/>
      <c r="H15" s="33" t="n">
        <f aca="false">SUM(J6:J12)</f>
        <v>1600</v>
      </c>
    </row>
    <row r="16" customFormat="false" ht="15" hidden="false" customHeight="false" outlineLevel="0" collapsed="false">
      <c r="D16" s="32" t="s">
        <v>685</v>
      </c>
      <c r="E16" s="32"/>
      <c r="F16" s="32"/>
      <c r="G16" s="32"/>
      <c r="H16" s="33" t="n">
        <f aca="false">COUNTIF(I6:I12,"")</f>
        <v>4</v>
      </c>
    </row>
    <row r="17" customFormat="false" ht="15" hidden="false" customHeight="false" outlineLevel="0" collapsed="false">
      <c r="D17" s="32" t="s">
        <v>686</v>
      </c>
      <c r="E17" s="32"/>
      <c r="F17" s="32"/>
      <c r="G17" s="32"/>
      <c r="H17" s="33" t="n">
        <f aca="false">SUMPRODUCT((I6:I12&lt;&gt;"")*H6:H12)-H15</f>
        <v>750</v>
      </c>
    </row>
    <row r="18" customFormat="false" ht="15" hidden="false" customHeight="false" outlineLevel="0" collapsed="false">
      <c r="D18" s="32" t="s">
        <v>687</v>
      </c>
      <c r="E18" s="32"/>
      <c r="F18" s="32"/>
      <c r="G18" s="32"/>
      <c r="H18" s="33" t="n">
        <f aca="false">SUMIF(A6:A12,"Cahiers",F6:F12)</f>
        <v>2</v>
      </c>
    </row>
    <row r="19" customFormat="false" ht="15" hidden="false" customHeight="false" outlineLevel="0" collapsed="false">
      <c r="D19" s="32" t="s">
        <v>688</v>
      </c>
      <c r="E19" s="32"/>
      <c r="F19" s="32"/>
      <c r="G19" s="32"/>
      <c r="H19" s="34" t="n">
        <f aca="false">IF(H14=0,0,SUMIF(K6:K12,"&lt;&gt;Fixé",H6:H12)/H14)</f>
        <v>0.343195266272189</v>
      </c>
    </row>
    <row r="20" customFormat="false" ht="15" hidden="false" customHeight="false" outlineLevel="0" collapsed="false">
      <c r="D20" s="32" t="s">
        <v>689</v>
      </c>
      <c r="E20" s="32"/>
      <c r="F20" s="32"/>
      <c r="G20" s="32"/>
      <c r="H20" s="33" t="str">
        <f aca="false">IF(H13&gt;0,"Total incomplet : "&amp;H13&amp;" prix de vente à fournir",IF(H16&gt;0,"Coût incomplet : "&amp;H16&amp;" ligne(s) sans prix d'achat","Complet"))</f>
        <v>Coût incomplet : 4 ligne(s) sans prix d'achat</v>
      </c>
    </row>
    <row r="22" customFormat="false" ht="15" hidden="false" customHeight="false" outlineLevel="0" collapsed="false">
      <c r="D22" s="35" t="s">
        <v>690</v>
      </c>
    </row>
    <row r="23" customFormat="false" ht="15" hidden="false" customHeight="false" outlineLevel="0" collapsed="false">
      <c r="A23" s="36" t="s">
        <v>691</v>
      </c>
      <c r="B23" s="36" t="s">
        <v>692</v>
      </c>
      <c r="C23" s="31" t="s">
        <v>523</v>
      </c>
      <c r="D23" s="36" t="str">
        <f aca="false">INDEX(Articles!$C$2:$C$148,MATCH(C23,Articles!$A$2:$A$148,0))</f>
        <v>Langue et communication C.I.</v>
      </c>
      <c r="E23" s="37"/>
      <c r="F23" s="37"/>
      <c r="G23" s="38" t="n">
        <f aca="false">INDEX(Articles!$G$2:$G$148,MATCH(C23,Articles!$A$2:$A$148,0))</f>
        <v>3890</v>
      </c>
      <c r="H23" s="37"/>
      <c r="I23" s="37"/>
      <c r="J23" s="37"/>
      <c r="K23" s="37"/>
      <c r="L23" s="37"/>
      <c r="M23" s="37"/>
      <c r="N23" s="39" t="s">
        <v>271</v>
      </c>
    </row>
    <row r="24" customFormat="false" ht="15" hidden="false" customHeight="false" outlineLevel="0" collapsed="false">
      <c r="A24" s="36" t="s">
        <v>691</v>
      </c>
      <c r="B24" s="36" t="s">
        <v>693</v>
      </c>
      <c r="C24" s="31" t="s">
        <v>526</v>
      </c>
      <c r="D24" s="36" t="str">
        <f aca="false">INDEX(Articles!$C$2:$C$148,MATCH(C24,Articles!$A$2:$A$148,0))</f>
        <v>Mathématiques C.I.</v>
      </c>
      <c r="E24" s="37"/>
      <c r="F24" s="37"/>
      <c r="G24" s="38" t="n">
        <f aca="false">INDEX(Articles!$G$2:$G$148,MATCH(C24,Articles!$A$2:$A$148,0))</f>
        <v>3890</v>
      </c>
      <c r="H24" s="37"/>
      <c r="I24" s="37"/>
      <c r="J24" s="37"/>
      <c r="K24" s="37"/>
      <c r="L24" s="37"/>
      <c r="M24" s="37"/>
      <c r="N24" s="39" t="s">
        <v>271</v>
      </c>
    </row>
    <row r="25" customFormat="false" ht="15" hidden="false" customHeight="false" outlineLevel="0" collapsed="false">
      <c r="A25" s="36" t="s">
        <v>691</v>
      </c>
      <c r="B25" s="36" t="s">
        <v>694</v>
      </c>
      <c r="C25" s="31" t="s">
        <v>528</v>
      </c>
      <c r="D25" s="36" t="str">
        <f aca="false">INDEX(Articles!$C$2:$C$148,MATCH(C25,Articles!$A$2:$A$148,0))</f>
        <v>Découverte du monde C.I.</v>
      </c>
      <c r="E25" s="37"/>
      <c r="F25" s="37"/>
      <c r="G25" s="38" t="n">
        <f aca="false">INDEX(Articles!$G$2:$G$148,MATCH(C25,Articles!$A$2:$A$148,0))</f>
        <v>3890</v>
      </c>
      <c r="H25" s="37"/>
      <c r="I25" s="37"/>
      <c r="J25" s="37"/>
      <c r="K25" s="37"/>
      <c r="L25" s="37"/>
      <c r="M25" s="37"/>
      <c r="N25" s="39" t="s">
        <v>271</v>
      </c>
    </row>
    <row r="26" customFormat="false" ht="15" hidden="false" customHeight="false" outlineLevel="0" collapsed="false">
      <c r="D26" s="40" t="s">
        <v>695</v>
      </c>
      <c r="H26" s="33" t="n">
        <f aca="false">H14+SUM(G23:G25)</f>
        <v>15895</v>
      </c>
    </row>
    <row r="27" customFormat="false" ht="15" hidden="false" customHeight="false" outlineLevel="0" collapsed="false">
      <c r="D27" s="21" t="s">
        <v>696</v>
      </c>
      <c r="E27" s="21" t="str">
        <f aca="false">INDEX(Articles!$C$2:$C$148,MATCH("S027",Articles!$A$2:$A$148,0))</f>
        <v>Cartable rigide bleu marine</v>
      </c>
      <c r="H27" s="41" t="n">
        <f aca="false">INDEX(Articles!$G$2:$G$148,MATCH("S027",Articles!$A$2:$A$148,0))</f>
        <v>7500</v>
      </c>
    </row>
    <row r="28" customFormat="false" ht="15" hidden="false" customHeight="false" outlineLevel="0" collapsed="false">
      <c r="D28" s="42" t="s">
        <v>697</v>
      </c>
      <c r="E28" s="43" t="s">
        <v>698</v>
      </c>
    </row>
    <row r="31" customFormat="false" ht="15" hidden="false" customHeight="false" outlineLevel="0" collapsed="false">
      <c r="A31" s="28" t="s">
        <v>699</v>
      </c>
      <c r="B31" s="29"/>
      <c r="C31" s="29"/>
      <c r="D31" s="29"/>
      <c r="E31" s="29"/>
      <c r="F31" s="29"/>
      <c r="G31" s="29"/>
      <c r="H31" s="29"/>
      <c r="I31" s="29"/>
      <c r="J31" s="29"/>
      <c r="K31" s="29"/>
      <c r="L31" s="29"/>
      <c r="M31" s="29"/>
      <c r="N31" s="29"/>
    </row>
    <row r="32" customFormat="false" ht="39.55" hidden="false" customHeight="false" outlineLevel="0" collapsed="false">
      <c r="A32" s="30" t="s">
        <v>663</v>
      </c>
      <c r="B32" s="30" t="s">
        <v>664</v>
      </c>
      <c r="C32" s="30" t="s">
        <v>348</v>
      </c>
      <c r="D32" s="30" t="s">
        <v>350</v>
      </c>
      <c r="E32" s="30" t="s">
        <v>349</v>
      </c>
      <c r="F32" s="30" t="s">
        <v>665</v>
      </c>
      <c r="G32" s="30" t="s">
        <v>666</v>
      </c>
      <c r="H32" s="30" t="s">
        <v>667</v>
      </c>
      <c r="I32" s="30" t="s">
        <v>668</v>
      </c>
      <c r="J32" s="30" t="s">
        <v>669</v>
      </c>
      <c r="K32" s="30" t="s">
        <v>355</v>
      </c>
      <c r="L32" s="30" t="s">
        <v>353</v>
      </c>
      <c r="M32" s="30" t="s">
        <v>356</v>
      </c>
      <c r="N32" s="30" t="s">
        <v>670</v>
      </c>
    </row>
    <row r="33" customFormat="false" ht="15" hidden="false" customHeight="false" outlineLevel="0" collapsed="false">
      <c r="A33" s="9" t="s">
        <v>671</v>
      </c>
      <c r="B33" s="9" t="s">
        <v>672</v>
      </c>
      <c r="C33" s="31" t="s">
        <v>195</v>
      </c>
      <c r="D33" s="9" t="str">
        <f aca="false">INDEX(Articles!$C$2:$C$148,MATCH(C33,Articles!$A$2:$A$148,0))</f>
        <v>Cahier Calligraphe 96 pages 17x22 56 g seyès</v>
      </c>
      <c r="E33" s="9" t="str">
        <f aca="false">INDEX(Articles!$B$2:$B$148,MATCH(C33,Articles!$A$2:$A$148,0))</f>
        <v>Papex</v>
      </c>
      <c r="F33" s="31" t="n">
        <v>2</v>
      </c>
      <c r="G33" s="13" t="n">
        <f aca="false">IF(INDEX(Articles!$G$2:$G$148,MATCH(C33,Articles!$A$2:$A$148,0))="","",INDEX(Articles!$G$2:$G$148,MATCH(C33,Articles!$A$2:$A$148,0)))</f>
        <v>450</v>
      </c>
      <c r="H33" s="13" t="n">
        <f aca="false">IF(G33="",0,F33*G33)</f>
        <v>900</v>
      </c>
      <c r="I33" s="13" t="n">
        <f aca="false">IF(INDEX(Articles!$E$2:$E$148,MATCH(C33,Articles!$A$2:$A$148,0))="","",INDEX(Articles!$E$2:$E$148,MATCH(C33,Articles!$A$2:$A$148,0)))</f>
        <v>350</v>
      </c>
      <c r="J33" s="13" t="n">
        <f aca="false">IF(I33="","",F33*I33)</f>
        <v>700</v>
      </c>
      <c r="K33" s="9" t="str">
        <f aca="false">INDEX(Articles!$H$2:$H$148,MATCH(C33,Articles!$A$2:$A$148,0))</f>
        <v>Fixé</v>
      </c>
      <c r="L33" s="9" t="str">
        <f aca="false">INDEX(Articles!$F$2:$F$148,MATCH(C33,Articles!$A$2:$A$148,0))</f>
        <v>Confirmé</v>
      </c>
      <c r="M33" s="17" t="s">
        <v>700</v>
      </c>
      <c r="N33" s="9" t="s">
        <v>167</v>
      </c>
    </row>
    <row r="34" customFormat="false" ht="15" hidden="false" customHeight="false" outlineLevel="0" collapsed="false">
      <c r="A34" s="9" t="s">
        <v>674</v>
      </c>
      <c r="B34" s="9" t="s">
        <v>674</v>
      </c>
      <c r="C34" s="31" t="s">
        <v>162</v>
      </c>
      <c r="D34" s="9" t="str">
        <f aca="false">INDEX(Articles!$C$2:$C$148,MATCH(C34,Articles!$A$2:$A$148,0))</f>
        <v>Ardoise quadrillée avec poignée</v>
      </c>
      <c r="E34" s="9" t="str">
        <f aca="false">INDEX(Articles!$B$2:$B$148,MATCH(C34,Articles!$A$2:$A$148,0))</f>
        <v>Cissé &amp; Frères</v>
      </c>
      <c r="F34" s="31" t="n">
        <v>1</v>
      </c>
      <c r="G34" s="13" t="n">
        <f aca="false">IF(INDEX(Articles!$G$2:$G$148,MATCH(C34,Articles!$A$2:$A$148,0))="","",INDEX(Articles!$G$2:$G$148,MATCH(C34,Articles!$A$2:$A$148,0)))</f>
        <v>2500</v>
      </c>
      <c r="H34" s="13" t="n">
        <f aca="false">IF(G34="",0,F34*G34)</f>
        <v>2500</v>
      </c>
      <c r="I34" s="13" t="n">
        <f aca="false">IF(INDEX(Articles!$E$2:$E$148,MATCH(C34,Articles!$A$2:$A$148,0))="","",INDEX(Articles!$E$2:$E$148,MATCH(C34,Articles!$A$2:$A$148,0)))</f>
        <v>1500</v>
      </c>
      <c r="J34" s="13" t="n">
        <f aca="false">IF(I34="","",F34*I34)</f>
        <v>1500</v>
      </c>
      <c r="K34" s="9" t="str">
        <f aca="false">INDEX(Articles!$H$2:$H$148,MATCH(C34,Articles!$A$2:$A$148,0))</f>
        <v>Fixé</v>
      </c>
      <c r="L34" s="9" t="str">
        <f aca="false">INDEX(Articles!$F$2:$F$148,MATCH(C34,Articles!$A$2:$A$148,0))</f>
        <v>Confirmé</v>
      </c>
      <c r="M34" s="17"/>
      <c r="N34" s="9" t="s">
        <v>167</v>
      </c>
    </row>
    <row r="35" customFormat="false" ht="15" hidden="false" customHeight="false" outlineLevel="0" collapsed="false">
      <c r="A35" s="9" t="s">
        <v>675</v>
      </c>
      <c r="B35" s="9" t="s">
        <v>457</v>
      </c>
      <c r="C35" s="31" t="s">
        <v>157</v>
      </c>
      <c r="D35" s="9" t="str">
        <f aca="false">INDEX(Articles!$C$2:$C$148,MATCH(C35,Articles!$A$2:$A$148,0))</f>
        <v>Éponge</v>
      </c>
      <c r="E35" s="9" t="str">
        <f aca="false">INDEX(Articles!$B$2:$B$148,MATCH(C35,Articles!$A$2:$A$148,0))</f>
        <v>LPD</v>
      </c>
      <c r="F35" s="31" t="n">
        <v>1</v>
      </c>
      <c r="G35" s="13" t="n">
        <f aca="false">IF(INDEX(Articles!$G$2:$G$148,MATCH(C35,Articles!$A$2:$A$148,0))="","",INDEX(Articles!$G$2:$G$148,MATCH(C35,Articles!$A$2:$A$148,0)))</f>
        <v>1500</v>
      </c>
      <c r="H35" s="13" t="n">
        <f aca="false">IF(G35="",0,F35*G35)</f>
        <v>1500</v>
      </c>
      <c r="I35" s="13" t="str">
        <f aca="false">IF(INDEX(Articles!$E$2:$E$148,MATCH(C35,Articles!$A$2:$A$148,0))="","",INDEX(Articles!$E$2:$E$148,MATCH(C35,Articles!$A$2:$A$148,0)))</f>
        <v/>
      </c>
      <c r="J35" s="13" t="str">
        <f aca="false">IF(I35="","",F35*I35)</f>
        <v/>
      </c>
      <c r="K35" s="9" t="str">
        <f aca="false">INDEX(Articles!$H$2:$H$148,MATCH(C35,Articles!$A$2:$A$148,0))</f>
        <v>Fixé</v>
      </c>
      <c r="L35" s="9" t="str">
        <f aca="false">INDEX(Articles!$F$2:$F$148,MATCH(C35,Articles!$A$2:$A$148,0))</f>
        <v>Inconnu</v>
      </c>
      <c r="M35" s="17"/>
      <c r="N35" s="9" t="s">
        <v>167</v>
      </c>
    </row>
    <row r="36" customFormat="false" ht="15" hidden="false" customHeight="false" outlineLevel="0" collapsed="false">
      <c r="A36" s="9" t="s">
        <v>676</v>
      </c>
      <c r="B36" s="9" t="s">
        <v>677</v>
      </c>
      <c r="C36" s="31" t="s">
        <v>186</v>
      </c>
      <c r="D36" s="9" t="str">
        <f aca="false">INDEX(Articles!$C$2:$C$148,MATCH(C36,Articles!$A$2:$A$148,0))</f>
        <v>Règle métal 30 cm</v>
      </c>
      <c r="E36" s="9" t="str">
        <f aca="false">INDEX(Articles!$B$2:$B$148,MATCH(C36,Articles!$A$2:$A$148,0))</f>
        <v>LPD</v>
      </c>
      <c r="F36" s="31" t="n">
        <v>1</v>
      </c>
      <c r="G36" s="13" t="n">
        <f aca="false">IF(INDEX(Articles!$G$2:$G$148,MATCH(C36,Articles!$A$2:$A$148,0))="","",INDEX(Articles!$G$2:$G$148,MATCH(C36,Articles!$A$2:$A$148,0)))</f>
        <v>550</v>
      </c>
      <c r="H36" s="13" t="n">
        <f aca="false">IF(G36="",0,F36*G36)</f>
        <v>550</v>
      </c>
      <c r="I36" s="13" t="n">
        <f aca="false">IF(INDEX(Articles!$E$2:$E$148,MATCH(C36,Articles!$A$2:$A$148,0))="","",INDEX(Articles!$E$2:$E$148,MATCH(C36,Articles!$A$2:$A$148,0)))</f>
        <v>400</v>
      </c>
      <c r="J36" s="13" t="n">
        <f aca="false">IF(I36="","",F36*I36)</f>
        <v>400</v>
      </c>
      <c r="K36" s="9" t="str">
        <f aca="false">INDEX(Articles!$H$2:$H$148,MATCH(C36,Articles!$A$2:$A$148,0))</f>
        <v>Fixé</v>
      </c>
      <c r="L36" s="9" t="str">
        <f aca="false">INDEX(Articles!$F$2:$F$148,MATCH(C36,Articles!$A$2:$A$148,0))</f>
        <v>Estimé</v>
      </c>
      <c r="M36" s="17"/>
      <c r="N36" s="9" t="s">
        <v>167</v>
      </c>
    </row>
    <row r="37" customFormat="false" ht="15" hidden="false" customHeight="false" outlineLevel="0" collapsed="false">
      <c r="A37" s="9" t="s">
        <v>678</v>
      </c>
      <c r="B37" s="9" t="s">
        <v>679</v>
      </c>
      <c r="C37" s="31" t="s">
        <v>235</v>
      </c>
      <c r="D37" s="9" t="str">
        <f aca="false">INDEX(Articles!$C$2:$C$148,MATCH(C37,Articles!$A$2:$A$148,0))</f>
        <v>Crayon papier (vendu à l'unité)</v>
      </c>
      <c r="E37" s="9" t="str">
        <f aca="false">INDEX(Articles!$B$2:$B$148,MATCH(C37,Articles!$A$2:$A$148,0))</f>
        <v>LPD</v>
      </c>
      <c r="F37" s="31" t="n">
        <v>1</v>
      </c>
      <c r="G37" s="13" t="n">
        <f aca="false">IF(INDEX(Articles!$G$2:$G$148,MATCH(C37,Articles!$A$2:$A$148,0))="","",INDEX(Articles!$G$2:$G$148,MATCH(C37,Articles!$A$2:$A$148,0)))</f>
        <v>75</v>
      </c>
      <c r="H37" s="13" t="n">
        <f aca="false">IF(G37="",0,F37*G37)</f>
        <v>75</v>
      </c>
      <c r="I37" s="13" t="str">
        <f aca="false">IF(INDEX(Articles!$E$2:$E$148,MATCH(C37,Articles!$A$2:$A$148,0))="","",INDEX(Articles!$E$2:$E$148,MATCH(C37,Articles!$A$2:$A$148,0)))</f>
        <v/>
      </c>
      <c r="J37" s="13" t="str">
        <f aca="false">IF(I37="","",F37*I37)</f>
        <v/>
      </c>
      <c r="K37" s="9" t="str">
        <f aca="false">INDEX(Articles!$H$2:$H$148,MATCH(C37,Articles!$A$2:$A$148,0))</f>
        <v>Fixé</v>
      </c>
      <c r="L37" s="9" t="str">
        <f aca="false">INDEX(Articles!$F$2:$F$148,MATCH(C37,Articles!$A$2:$A$148,0))</f>
        <v>Inconnu</v>
      </c>
      <c r="M37" s="17"/>
      <c r="N37" s="9" t="s">
        <v>167</v>
      </c>
    </row>
    <row r="38" customFormat="false" ht="15" hidden="false" customHeight="false" outlineLevel="0" collapsed="false">
      <c r="A38" s="9" t="s">
        <v>678</v>
      </c>
      <c r="B38" s="9" t="s">
        <v>680</v>
      </c>
      <c r="C38" s="31" t="s">
        <v>220</v>
      </c>
      <c r="D38" s="9" t="str">
        <f aca="false">INDEX(Articles!$C$2:$C$148,MATCH(C38,Articles!$A$2:$A$148,0))</f>
        <v>Stylo à bille Schneider Tops 505 M bleu</v>
      </c>
      <c r="E38" s="9" t="str">
        <f aca="false">INDEX(Articles!$B$2:$B$148,MATCH(C38,Articles!$A$2:$A$148,0))</f>
        <v>Papex</v>
      </c>
      <c r="F38" s="31" t="n">
        <v>2</v>
      </c>
      <c r="G38" s="13" t="n">
        <f aca="false">IF(INDEX(Articles!$G$2:$G$148,MATCH(C38,Articles!$A$2:$A$148,0))="","",INDEX(Articles!$G$2:$G$148,MATCH(C38,Articles!$A$2:$A$148,0)))</f>
        <v>100</v>
      </c>
      <c r="H38" s="13" t="n">
        <f aca="false">IF(G38="",0,F38*G38)</f>
        <v>200</v>
      </c>
      <c r="I38" s="13" t="str">
        <f aca="false">IF(INDEX(Articles!$E$2:$E$148,MATCH(C38,Articles!$A$2:$A$148,0))="","",INDEX(Articles!$E$2:$E$148,MATCH(C38,Articles!$A$2:$A$148,0)))</f>
        <v/>
      </c>
      <c r="J38" s="13" t="str">
        <f aca="false">IF(I38="","",F38*I38)</f>
        <v/>
      </c>
      <c r="K38" s="9" t="str">
        <f aca="false">INDEX(Articles!$H$2:$H$148,MATCH(C38,Articles!$A$2:$A$148,0))</f>
        <v>Fixé</v>
      </c>
      <c r="L38" s="9" t="str">
        <f aca="false">INDEX(Articles!$F$2:$F$148,MATCH(C38,Articles!$A$2:$A$148,0))</f>
        <v>Inconnu</v>
      </c>
      <c r="M38" s="17"/>
      <c r="N38" s="9" t="s">
        <v>167</v>
      </c>
    </row>
    <row r="39" customFormat="false" ht="15" hidden="false" customHeight="false" outlineLevel="0" collapsed="false">
      <c r="A39" s="9" t="s">
        <v>681</v>
      </c>
      <c r="B39" s="9" t="s">
        <v>682</v>
      </c>
      <c r="C39" s="31" t="s">
        <v>218</v>
      </c>
      <c r="D39" s="9" t="str">
        <f aca="false">INDEX(Articles!$C$2:$C$148,MATCH(C39,Articles!$A$2:$A$148,0))</f>
        <v>Crayons de couleur Maped Nightfall, boîte de 24</v>
      </c>
      <c r="E39" s="9" t="str">
        <f aca="false">INDEX(Articles!$B$2:$B$148,MATCH(C39,Articles!$A$2:$A$148,0))</f>
        <v>Papex</v>
      </c>
      <c r="F39" s="31" t="n">
        <v>1</v>
      </c>
      <c r="G39" s="13" t="n">
        <f aca="false">IF(INDEX(Articles!$G$2:$G$148,MATCH(C39,Articles!$A$2:$A$148,0))="","",INDEX(Articles!$G$2:$G$148,MATCH(C39,Articles!$A$2:$A$148,0)))</f>
        <v>1600</v>
      </c>
      <c r="H39" s="13" t="n">
        <f aca="false">IF(G39="",0,F39*G39)</f>
        <v>1600</v>
      </c>
      <c r="I39" s="13" t="n">
        <f aca="false">IF(INDEX(Articles!$E$2:$E$148,MATCH(C39,Articles!$A$2:$A$148,0))="","",INDEX(Articles!$E$2:$E$148,MATCH(C39,Articles!$A$2:$A$148,0)))</f>
        <v>1300</v>
      </c>
      <c r="J39" s="13" t="n">
        <f aca="false">IF(I39="","",F39*I39)</f>
        <v>1300</v>
      </c>
      <c r="K39" s="9" t="str">
        <f aca="false">INDEX(Articles!$H$2:$H$148,MATCH(C39,Articles!$A$2:$A$148,0))</f>
        <v>Estimé</v>
      </c>
      <c r="L39" s="9" t="str">
        <f aca="false">INDEX(Articles!$F$2:$F$148,MATCH(C39,Articles!$A$2:$A$148,0))</f>
        <v>Estimé</v>
      </c>
      <c r="M39" s="17"/>
      <c r="N39" s="9" t="s">
        <v>167</v>
      </c>
    </row>
    <row r="40" customFormat="false" ht="26.85" hidden="false" customHeight="false" outlineLevel="0" collapsed="false">
      <c r="A40" s="9" t="s">
        <v>691</v>
      </c>
      <c r="B40" s="9" t="s">
        <v>692</v>
      </c>
      <c r="C40" s="31" t="s">
        <v>523</v>
      </c>
      <c r="D40" s="9" t="str">
        <f aca="false">INDEX(Articles!$C$2:$C$148,MATCH(C40,Articles!$A$2:$A$148,0))</f>
        <v>Langue et communication C.I.</v>
      </c>
      <c r="E40" s="9" t="str">
        <f aca="false">INDEX(Articles!$B$2:$B$148,MATCH(C40,Articles!$A$2:$A$148,0))</f>
        <v>LPD</v>
      </c>
      <c r="F40" s="31" t="n">
        <v>1</v>
      </c>
      <c r="G40" s="13" t="n">
        <f aca="false">IF(INDEX(Articles!$G$2:$G$148,MATCH(C40,Articles!$A$2:$A$148,0))="","",INDEX(Articles!$G$2:$G$148,MATCH(C40,Articles!$A$2:$A$148,0)))</f>
        <v>3890</v>
      </c>
      <c r="H40" s="13" t="n">
        <f aca="false">IF(G40="",0,F40*G40)</f>
        <v>3890</v>
      </c>
      <c r="I40" s="13" t="n">
        <f aca="false">IF(INDEX(Articles!$E$2:$E$148,MATCH(C40,Articles!$A$2:$A$148,0))="","",INDEX(Articles!$E$2:$E$148,MATCH(C40,Articles!$A$2:$A$148,0)))</f>
        <v>2890</v>
      </c>
      <c r="J40" s="13" t="n">
        <f aca="false">IF(I40="","",F40*I40)</f>
        <v>2890</v>
      </c>
      <c r="K40" s="9" t="str">
        <f aca="false">INDEX(Articles!$H$2:$H$148,MATCH(C40,Articles!$A$2:$A$148,0))</f>
        <v>Fixé</v>
      </c>
      <c r="L40" s="9" t="str">
        <f aca="false">INDEX(Articles!$F$2:$F$148,MATCH(C40,Articles!$A$2:$A$148,0))</f>
        <v>Estimé</v>
      </c>
      <c r="M40" s="17" t="s">
        <v>701</v>
      </c>
      <c r="N40" s="9" t="s">
        <v>167</v>
      </c>
    </row>
    <row r="41" customFormat="false" ht="26.85" hidden="false" customHeight="false" outlineLevel="0" collapsed="false">
      <c r="A41" s="9" t="s">
        <v>691</v>
      </c>
      <c r="B41" s="9" t="s">
        <v>693</v>
      </c>
      <c r="C41" s="31" t="s">
        <v>526</v>
      </c>
      <c r="D41" s="9" t="str">
        <f aca="false">INDEX(Articles!$C$2:$C$148,MATCH(C41,Articles!$A$2:$A$148,0))</f>
        <v>Mathématiques C.I.</v>
      </c>
      <c r="E41" s="9" t="str">
        <f aca="false">INDEX(Articles!$B$2:$B$148,MATCH(C41,Articles!$A$2:$A$148,0))</f>
        <v>LPD</v>
      </c>
      <c r="F41" s="31" t="n">
        <v>1</v>
      </c>
      <c r="G41" s="13" t="n">
        <f aca="false">IF(INDEX(Articles!$G$2:$G$148,MATCH(C41,Articles!$A$2:$A$148,0))="","",INDEX(Articles!$G$2:$G$148,MATCH(C41,Articles!$A$2:$A$148,0)))</f>
        <v>3890</v>
      </c>
      <c r="H41" s="13" t="n">
        <f aca="false">IF(G41="",0,F41*G41)</f>
        <v>3890</v>
      </c>
      <c r="I41" s="13" t="n">
        <f aca="false">IF(INDEX(Articles!$E$2:$E$148,MATCH(C41,Articles!$A$2:$A$148,0))="","",INDEX(Articles!$E$2:$E$148,MATCH(C41,Articles!$A$2:$A$148,0)))</f>
        <v>2890</v>
      </c>
      <c r="J41" s="13" t="n">
        <f aca="false">IF(I41="","",F41*I41)</f>
        <v>2890</v>
      </c>
      <c r="K41" s="9" t="str">
        <f aca="false">INDEX(Articles!$H$2:$H$148,MATCH(C41,Articles!$A$2:$A$148,0))</f>
        <v>Fixé</v>
      </c>
      <c r="L41" s="9" t="str">
        <f aca="false">INDEX(Articles!$F$2:$F$148,MATCH(C41,Articles!$A$2:$A$148,0))</f>
        <v>Estimé</v>
      </c>
      <c r="M41" s="17" t="s">
        <v>701</v>
      </c>
      <c r="N41" s="9" t="s">
        <v>167</v>
      </c>
    </row>
    <row r="42" customFormat="false" ht="26.85" hidden="false" customHeight="false" outlineLevel="0" collapsed="false">
      <c r="A42" s="9" t="s">
        <v>691</v>
      </c>
      <c r="B42" s="9" t="s">
        <v>694</v>
      </c>
      <c r="C42" s="31" t="s">
        <v>528</v>
      </c>
      <c r="D42" s="9" t="str">
        <f aca="false">INDEX(Articles!$C$2:$C$148,MATCH(C42,Articles!$A$2:$A$148,0))</f>
        <v>Découverte du monde C.I.</v>
      </c>
      <c r="E42" s="9" t="str">
        <f aca="false">INDEX(Articles!$B$2:$B$148,MATCH(C42,Articles!$A$2:$A$148,0))</f>
        <v>LPD</v>
      </c>
      <c r="F42" s="31" t="n">
        <v>1</v>
      </c>
      <c r="G42" s="13" t="n">
        <f aca="false">IF(INDEX(Articles!$G$2:$G$148,MATCH(C42,Articles!$A$2:$A$148,0))="","",INDEX(Articles!$G$2:$G$148,MATCH(C42,Articles!$A$2:$A$148,0)))</f>
        <v>3890</v>
      </c>
      <c r="H42" s="13" t="n">
        <f aca="false">IF(G42="",0,F42*G42)</f>
        <v>3890</v>
      </c>
      <c r="I42" s="13" t="n">
        <f aca="false">IF(INDEX(Articles!$E$2:$E$148,MATCH(C42,Articles!$A$2:$A$148,0))="","",INDEX(Articles!$E$2:$E$148,MATCH(C42,Articles!$A$2:$A$148,0)))</f>
        <v>2890</v>
      </c>
      <c r="J42" s="13" t="n">
        <f aca="false">IF(I42="","",F42*I42)</f>
        <v>2890</v>
      </c>
      <c r="K42" s="9" t="str">
        <f aca="false">INDEX(Articles!$H$2:$H$148,MATCH(C42,Articles!$A$2:$A$148,0))</f>
        <v>Fixé</v>
      </c>
      <c r="L42" s="9" t="str">
        <f aca="false">INDEX(Articles!$F$2:$F$148,MATCH(C42,Articles!$A$2:$A$148,0))</f>
        <v>Estimé</v>
      </c>
      <c r="M42" s="17" t="s">
        <v>701</v>
      </c>
      <c r="N42" s="9" t="s">
        <v>167</v>
      </c>
    </row>
    <row r="43" customFormat="false" ht="15" hidden="false" customHeight="false" outlineLevel="0" collapsed="false">
      <c r="D43" s="32" t="s">
        <v>683</v>
      </c>
      <c r="E43" s="32"/>
      <c r="F43" s="32"/>
      <c r="G43" s="32"/>
      <c r="H43" s="33" t="n">
        <f aca="false">COUNTIF(G33:G42,"")</f>
        <v>0</v>
      </c>
    </row>
    <row r="44" customFormat="false" ht="15" hidden="false" customHeight="false" outlineLevel="0" collapsed="false">
      <c r="D44" s="32" t="s">
        <v>684</v>
      </c>
      <c r="E44" s="32"/>
      <c r="F44" s="32"/>
      <c r="G44" s="32"/>
      <c r="H44" s="33" t="n">
        <f aca="false">SUM(H33:H42)</f>
        <v>18995</v>
      </c>
    </row>
    <row r="45" customFormat="false" ht="15" hidden="false" customHeight="false" outlineLevel="0" collapsed="false">
      <c r="D45" s="32" t="s">
        <v>28</v>
      </c>
      <c r="E45" s="32"/>
      <c r="F45" s="32"/>
      <c r="G45" s="32"/>
      <c r="H45" s="33" t="n">
        <f aca="false">SUM(J33:J42)</f>
        <v>12570</v>
      </c>
    </row>
    <row r="46" customFormat="false" ht="15" hidden="false" customHeight="false" outlineLevel="0" collapsed="false">
      <c r="D46" s="32" t="s">
        <v>685</v>
      </c>
      <c r="E46" s="32"/>
      <c r="F46" s="32"/>
      <c r="G46" s="32"/>
      <c r="H46" s="33" t="n">
        <f aca="false">COUNTIF(I33:I42,"")</f>
        <v>3</v>
      </c>
    </row>
    <row r="47" customFormat="false" ht="15" hidden="false" customHeight="false" outlineLevel="0" collapsed="false">
      <c r="D47" s="32" t="s">
        <v>686</v>
      </c>
      <c r="E47" s="32"/>
      <c r="F47" s="32"/>
      <c r="G47" s="32"/>
      <c r="H47" s="33" t="n">
        <f aca="false">SUMPRODUCT((I33:I42&lt;&gt;"")*H33:H42)-H45</f>
        <v>4650</v>
      </c>
    </row>
    <row r="48" customFormat="false" ht="15" hidden="false" customHeight="false" outlineLevel="0" collapsed="false">
      <c r="D48" s="32" t="s">
        <v>687</v>
      </c>
      <c r="E48" s="32"/>
      <c r="F48" s="32"/>
      <c r="G48" s="32"/>
      <c r="H48" s="33" t="n">
        <f aca="false">SUMIF(A33:A42,"Cahiers",F33:F42)</f>
        <v>2</v>
      </c>
    </row>
    <row r="49" customFormat="false" ht="15" hidden="false" customHeight="false" outlineLevel="0" collapsed="false">
      <c r="D49" s="32" t="s">
        <v>688</v>
      </c>
      <c r="E49" s="32"/>
      <c r="F49" s="32"/>
      <c r="G49" s="32"/>
      <c r="H49" s="34" t="n">
        <f aca="false">IF(H44=0,0,SUMIF(K33:K42,"&lt;&gt;Fixé",H33:H42)/H44)</f>
        <v>0.0842326928138984</v>
      </c>
    </row>
    <row r="50" customFormat="false" ht="15" hidden="false" customHeight="false" outlineLevel="0" collapsed="false">
      <c r="D50" s="32" t="s">
        <v>689</v>
      </c>
      <c r="E50" s="32"/>
      <c r="F50" s="32"/>
      <c r="G50" s="32"/>
      <c r="H50" s="33" t="str">
        <f aca="false">IF(H43&gt;0,"Total incomplet : "&amp;H43&amp;" prix de vente à fournir",IF(H46&gt;0,"Coût incomplet : "&amp;H46&amp;" ligne(s) sans prix d'achat","Complet"))</f>
        <v>Coût incomplet : 3 ligne(s) sans prix d'achat</v>
      </c>
    </row>
    <row r="51" customFormat="false" ht="15" hidden="false" customHeight="false" outlineLevel="0" collapsed="false">
      <c r="D51" s="21" t="s">
        <v>696</v>
      </c>
      <c r="E51" s="21" t="str">
        <f aca="false">INDEX(Articles!$C$2:$C$148,MATCH("S027",Articles!$A$2:$A$148,0))</f>
        <v>Cartable rigide bleu marine</v>
      </c>
      <c r="H51" s="41" t="n">
        <f aca="false">INDEX(Articles!$G$2:$G$148,MATCH("S027",Articles!$A$2:$A$148,0))</f>
        <v>7500</v>
      </c>
    </row>
    <row r="52" customFormat="false" ht="15" hidden="false" customHeight="false" outlineLevel="0" collapsed="false">
      <c r="D52" s="42" t="s">
        <v>697</v>
      </c>
      <c r="E52" s="43" t="s">
        <v>698</v>
      </c>
    </row>
    <row r="55" customFormat="false" ht="15" hidden="false" customHeight="false" outlineLevel="0" collapsed="false">
      <c r="A55" s="28" t="s">
        <v>702</v>
      </c>
      <c r="B55" s="29"/>
      <c r="C55" s="29"/>
      <c r="D55" s="29"/>
      <c r="E55" s="29"/>
      <c r="F55" s="29"/>
      <c r="G55" s="29"/>
      <c r="H55" s="29"/>
      <c r="I55" s="29"/>
      <c r="J55" s="29"/>
      <c r="K55" s="29"/>
      <c r="L55" s="29"/>
      <c r="M55" s="29"/>
      <c r="N55" s="29"/>
    </row>
    <row r="56" customFormat="false" ht="39.55" hidden="false" customHeight="false" outlineLevel="0" collapsed="false">
      <c r="A56" s="30" t="s">
        <v>663</v>
      </c>
      <c r="B56" s="30" t="s">
        <v>664</v>
      </c>
      <c r="C56" s="30" t="s">
        <v>348</v>
      </c>
      <c r="D56" s="30" t="s">
        <v>350</v>
      </c>
      <c r="E56" s="30" t="s">
        <v>349</v>
      </c>
      <c r="F56" s="30" t="s">
        <v>665</v>
      </c>
      <c r="G56" s="30" t="s">
        <v>666</v>
      </c>
      <c r="H56" s="30" t="s">
        <v>667</v>
      </c>
      <c r="I56" s="30" t="s">
        <v>668</v>
      </c>
      <c r="J56" s="30" t="s">
        <v>669</v>
      </c>
      <c r="K56" s="30" t="s">
        <v>355</v>
      </c>
      <c r="L56" s="30" t="s">
        <v>353</v>
      </c>
      <c r="M56" s="30" t="s">
        <v>356</v>
      </c>
      <c r="N56" s="30" t="s">
        <v>670</v>
      </c>
    </row>
    <row r="57" customFormat="false" ht="15" hidden="false" customHeight="false" outlineLevel="0" collapsed="false">
      <c r="A57" s="9" t="s">
        <v>671</v>
      </c>
      <c r="B57" s="9" t="s">
        <v>672</v>
      </c>
      <c r="C57" s="31" t="s">
        <v>195</v>
      </c>
      <c r="D57" s="9" t="str">
        <f aca="false">INDEX(Articles!$C$2:$C$148,MATCH(C57,Articles!$A$2:$A$148,0))</f>
        <v>Cahier Calligraphe 96 pages 17x22 56 g seyès</v>
      </c>
      <c r="E57" s="9" t="str">
        <f aca="false">INDEX(Articles!$B$2:$B$148,MATCH(C57,Articles!$A$2:$A$148,0))</f>
        <v>Papex</v>
      </c>
      <c r="F57" s="31" t="n">
        <v>2</v>
      </c>
      <c r="G57" s="13" t="n">
        <f aca="false">IF(INDEX(Articles!$G$2:$G$148,MATCH(C57,Articles!$A$2:$A$148,0))="","",INDEX(Articles!$G$2:$G$148,MATCH(C57,Articles!$A$2:$A$148,0)))</f>
        <v>450</v>
      </c>
      <c r="H57" s="13" t="n">
        <f aca="false">IF(G57="",0,F57*G57)</f>
        <v>900</v>
      </c>
      <c r="I57" s="13" t="n">
        <f aca="false">IF(INDEX(Articles!$E$2:$E$148,MATCH(C57,Articles!$A$2:$A$148,0))="","",INDEX(Articles!$E$2:$E$148,MATCH(C57,Articles!$A$2:$A$148,0)))</f>
        <v>350</v>
      </c>
      <c r="J57" s="13" t="n">
        <f aca="false">IF(I57="","",F57*I57)</f>
        <v>700</v>
      </c>
      <c r="K57" s="9" t="str">
        <f aca="false">INDEX(Articles!$H$2:$H$148,MATCH(C57,Articles!$A$2:$A$148,0))</f>
        <v>Fixé</v>
      </c>
      <c r="L57" s="9" t="str">
        <f aca="false">INDEX(Articles!$F$2:$F$148,MATCH(C57,Articles!$A$2:$A$148,0))</f>
        <v>Confirmé</v>
      </c>
      <c r="M57" s="17" t="s">
        <v>700</v>
      </c>
      <c r="N57" s="9" t="s">
        <v>167</v>
      </c>
    </row>
    <row r="58" customFormat="false" ht="15" hidden="false" customHeight="false" outlineLevel="0" collapsed="false">
      <c r="A58" s="9" t="s">
        <v>674</v>
      </c>
      <c r="B58" s="9" t="s">
        <v>674</v>
      </c>
      <c r="C58" s="31" t="s">
        <v>162</v>
      </c>
      <c r="D58" s="9" t="str">
        <f aca="false">INDEX(Articles!$C$2:$C$148,MATCH(C58,Articles!$A$2:$A$148,0))</f>
        <v>Ardoise quadrillée avec poignée</v>
      </c>
      <c r="E58" s="9" t="str">
        <f aca="false">INDEX(Articles!$B$2:$B$148,MATCH(C58,Articles!$A$2:$A$148,0))</f>
        <v>Cissé &amp; Frères</v>
      </c>
      <c r="F58" s="31" t="n">
        <v>1</v>
      </c>
      <c r="G58" s="13" t="n">
        <f aca="false">IF(INDEX(Articles!$G$2:$G$148,MATCH(C58,Articles!$A$2:$A$148,0))="","",INDEX(Articles!$G$2:$G$148,MATCH(C58,Articles!$A$2:$A$148,0)))</f>
        <v>2500</v>
      </c>
      <c r="H58" s="13" t="n">
        <f aca="false">IF(G58="",0,F58*G58)</f>
        <v>2500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675</v>
      </c>
      <c r="B59" s="9" t="s">
        <v>457</v>
      </c>
      <c r="C59" s="31" t="s">
        <v>157</v>
      </c>
      <c r="D59" s="9" t="str">
        <f aca="false">INDEX(Articles!$C$2:$C$148,MATCH(C59,Articles!$A$2:$A$148,0))</f>
        <v>Éponge</v>
      </c>
      <c r="E59" s="9" t="str">
        <f aca="false">INDEX(Articles!$B$2:$B$148,MATCH(C59,Articles!$A$2:$A$148,0))</f>
        <v>LPD</v>
      </c>
      <c r="F59" s="31" t="n">
        <v>1</v>
      </c>
      <c r="G59" s="13" t="n">
        <f aca="false">IF(INDEX(Articles!$G$2:$G$148,MATCH(C59,Articles!$A$2:$A$148,0))="","",INDEX(Articles!$G$2:$G$148,MATCH(C59,Articles!$A$2:$A$148,0)))</f>
        <v>1500</v>
      </c>
      <c r="H59" s="13" t="n">
        <f aca="false">IF(G59="",0,F59*G59)</f>
        <v>1500</v>
      </c>
      <c r="I59" s="13" t="str">
        <f aca="false">IF(INDEX(Articles!$E$2:$E$148,MATCH(C59,Articles!$A$2:$A$148,0))="","",INDEX(Articles!$E$2:$E$148,MATCH(C59,Articles!$A$2:$A$148,0)))</f>
        <v/>
      </c>
      <c r="J59" s="13" t="str">
        <f aca="false">IF(I59="","",F59*I59)</f>
        <v/>
      </c>
      <c r="K59" s="9" t="str">
        <f aca="false">INDEX(Articles!$H$2:$H$148,MATCH(C59,Articles!$A$2:$A$148,0))</f>
        <v>Fixé</v>
      </c>
      <c r="L59" s="9" t="str">
        <f aca="false">INDEX(Articles!$F$2:$F$148,MATCH(C59,Articles!$A$2:$A$148,0))</f>
        <v>Inconnu</v>
      </c>
      <c r="M59" s="17"/>
      <c r="N59" s="9" t="s">
        <v>167</v>
      </c>
    </row>
    <row r="60" customFormat="false" ht="15" hidden="false" customHeight="false" outlineLevel="0" collapsed="false">
      <c r="A60" s="9" t="s">
        <v>676</v>
      </c>
      <c r="B60" s="9" t="s">
        <v>677</v>
      </c>
      <c r="C60" s="31" t="s">
        <v>186</v>
      </c>
      <c r="D60" s="9" t="str">
        <f aca="false">INDEX(Articles!$C$2:$C$148,MATCH(C60,Articles!$A$2:$A$148,0))</f>
        <v>Règle métal 30 cm</v>
      </c>
      <c r="E60" s="9" t="str">
        <f aca="false">INDEX(Articles!$B$2:$B$148,MATCH(C60,Articles!$A$2:$A$148,0))</f>
        <v>LPD</v>
      </c>
      <c r="F60" s="31" t="n">
        <v>1</v>
      </c>
      <c r="G60" s="13" t="n">
        <f aca="false">IF(INDEX(Articles!$G$2:$G$148,MATCH(C60,Articles!$A$2:$A$148,0))="","",INDEX(Articles!$G$2:$G$148,MATCH(C60,Articles!$A$2:$A$148,0)))</f>
        <v>550</v>
      </c>
      <c r="H60" s="13" t="n">
        <f aca="false">IF(G60="",0,F60*G60)</f>
        <v>550</v>
      </c>
      <c r="I60" s="13" t="n">
        <f aca="false">IF(INDEX(Articles!$E$2:$E$148,MATCH(C60,Articles!$A$2:$A$148,0))="","",INDEX(Articles!$E$2:$E$148,MATCH(C60,Articles!$A$2:$A$148,0)))</f>
        <v>400</v>
      </c>
      <c r="J60" s="13" t="n">
        <f aca="false">IF(I60="","",F60*I60)</f>
        <v>400</v>
      </c>
      <c r="K60" s="9" t="str">
        <f aca="false">INDEX(Articles!$H$2:$H$148,MATCH(C60,Articles!$A$2:$A$148,0))</f>
        <v>Fixé</v>
      </c>
      <c r="L60" s="9" t="str">
        <f aca="false">INDEX(Articles!$F$2:$F$148,MATCH(C60,Articles!$A$2:$A$148,0))</f>
        <v>Estimé</v>
      </c>
      <c r="M60" s="17"/>
      <c r="N60" s="9" t="s">
        <v>167</v>
      </c>
    </row>
    <row r="61" customFormat="false" ht="15" hidden="false" customHeight="false" outlineLevel="0" collapsed="false">
      <c r="A61" s="9" t="s">
        <v>678</v>
      </c>
      <c r="B61" s="9" t="s">
        <v>679</v>
      </c>
      <c r="C61" s="31" t="s">
        <v>235</v>
      </c>
      <c r="D61" s="9" t="str">
        <f aca="false">INDEX(Articles!$C$2:$C$148,MATCH(C61,Articles!$A$2:$A$148,0))</f>
        <v>Crayon papier (vendu à l'unité)</v>
      </c>
      <c r="E61" s="9" t="str">
        <f aca="false">INDEX(Articles!$B$2:$B$148,MATCH(C61,Articles!$A$2:$A$148,0))</f>
        <v>LPD</v>
      </c>
      <c r="F61" s="31" t="n">
        <v>1</v>
      </c>
      <c r="G61" s="13" t="n">
        <f aca="false">IF(INDEX(Articles!$G$2:$G$148,MATCH(C61,Articles!$A$2:$A$148,0))="","",INDEX(Articles!$G$2:$G$148,MATCH(C61,Articles!$A$2:$A$148,0)))</f>
        <v>75</v>
      </c>
      <c r="H61" s="13" t="n">
        <f aca="false">IF(G61="",0,F61*G61)</f>
        <v>75</v>
      </c>
      <c r="I61" s="13" t="str">
        <f aca="false">IF(INDEX(Articles!$E$2:$E$148,MATCH(C61,Articles!$A$2:$A$148,0))="","",INDEX(Articles!$E$2:$E$148,MATCH(C61,Articles!$A$2:$A$148,0)))</f>
        <v/>
      </c>
      <c r="J61" s="13" t="str">
        <f aca="false">IF(I61="","",F61*I61)</f>
        <v/>
      </c>
      <c r="K61" s="9" t="str">
        <f aca="false">INDEX(Articles!$H$2:$H$148,MATCH(C61,Articles!$A$2:$A$148,0))</f>
        <v>Fixé</v>
      </c>
      <c r="L61" s="9" t="str">
        <f aca="false">INDEX(Articles!$F$2:$F$148,MATCH(C61,Articles!$A$2:$A$148,0))</f>
        <v>Inconnu</v>
      </c>
      <c r="M61" s="17"/>
      <c r="N61" s="9" t="s">
        <v>167</v>
      </c>
    </row>
    <row r="62" customFormat="false" ht="15" hidden="false" customHeight="false" outlineLevel="0" collapsed="false">
      <c r="A62" s="9" t="s">
        <v>678</v>
      </c>
      <c r="B62" s="9" t="s">
        <v>680</v>
      </c>
      <c r="C62" s="31" t="s">
        <v>220</v>
      </c>
      <c r="D62" s="9" t="str">
        <f aca="false">INDEX(Articles!$C$2:$C$148,MATCH(C62,Articles!$A$2:$A$148,0))</f>
        <v>Stylo à bille Schneider Tops 505 M bleu</v>
      </c>
      <c r="E62" s="9" t="str">
        <f aca="false">INDEX(Articles!$B$2:$B$148,MATCH(C62,Articles!$A$2:$A$148,0))</f>
        <v>Papex</v>
      </c>
      <c r="F62" s="31" t="n">
        <v>2</v>
      </c>
      <c r="G62" s="13" t="n">
        <f aca="false">IF(INDEX(Articles!$G$2:$G$148,MATCH(C62,Articles!$A$2:$A$148,0))="","",INDEX(Articles!$G$2:$G$148,MATCH(C62,Articles!$A$2:$A$148,0)))</f>
        <v>100</v>
      </c>
      <c r="H62" s="13" t="n">
        <f aca="false">IF(G62="",0,F62*G62)</f>
        <v>200</v>
      </c>
      <c r="I62" s="13" t="str">
        <f aca="false">IF(INDEX(Articles!$E$2:$E$148,MATCH(C62,Articles!$A$2:$A$148,0))="","",INDEX(Articles!$E$2:$E$148,MATCH(C62,Articles!$A$2:$A$148,0)))</f>
        <v/>
      </c>
      <c r="J62" s="13" t="str">
        <f aca="false">IF(I62="","",F62*I62)</f>
        <v/>
      </c>
      <c r="K62" s="9" t="str">
        <f aca="false">INDEX(Articles!$H$2:$H$148,MATCH(C62,Articles!$A$2:$A$148,0))</f>
        <v>Fixé</v>
      </c>
      <c r="L62" s="9" t="str">
        <f aca="false">INDEX(Articles!$F$2:$F$148,MATCH(C62,Articles!$A$2:$A$148,0))</f>
        <v>Inconnu</v>
      </c>
      <c r="M62" s="17"/>
      <c r="N62" s="9" t="s">
        <v>167</v>
      </c>
    </row>
    <row r="63" customFormat="false" ht="15" hidden="false" customHeight="false" outlineLevel="0" collapsed="false">
      <c r="A63" s="9" t="s">
        <v>681</v>
      </c>
      <c r="B63" s="9" t="s">
        <v>682</v>
      </c>
      <c r="C63" s="31" t="s">
        <v>218</v>
      </c>
      <c r="D63" s="9" t="str">
        <f aca="false">INDEX(Articles!$C$2:$C$148,MATCH(C63,Articles!$A$2:$A$148,0))</f>
        <v>Crayons de couleur Maped Nightfall, boîte de 24</v>
      </c>
      <c r="E63" s="9" t="str">
        <f aca="false">INDEX(Articles!$B$2:$B$148,MATCH(C63,Articles!$A$2:$A$148,0))</f>
        <v>Papex</v>
      </c>
      <c r="F63" s="31" t="n">
        <v>1</v>
      </c>
      <c r="G63" s="13" t="n">
        <f aca="false">IF(INDEX(Articles!$G$2:$G$148,MATCH(C63,Articles!$A$2:$A$148,0))="","",INDEX(Articles!$G$2:$G$148,MATCH(C63,Articles!$A$2:$A$148,0)))</f>
        <v>1600</v>
      </c>
      <c r="H63" s="13" t="n">
        <f aca="false">IF(G63="",0,F63*G63)</f>
        <v>1600</v>
      </c>
      <c r="I63" s="13" t="n">
        <f aca="false">IF(INDEX(Articles!$E$2:$E$148,MATCH(C63,Articles!$A$2:$A$148,0))="","",INDEX(Articles!$E$2:$E$148,MATCH(C63,Articles!$A$2:$A$148,0)))</f>
        <v>1300</v>
      </c>
      <c r="J63" s="13" t="n">
        <f aca="false">IF(I63="","",F63*I63)</f>
        <v>1300</v>
      </c>
      <c r="K63" s="9" t="str">
        <f aca="false">INDEX(Articles!$H$2:$H$148,MATCH(C63,Articles!$A$2:$A$148,0))</f>
        <v>Estimé</v>
      </c>
      <c r="L63" s="9" t="str">
        <f aca="false">INDEX(Articles!$F$2:$F$148,MATCH(C63,Articles!$A$2:$A$148,0))</f>
        <v>Estimé</v>
      </c>
      <c r="M63" s="17"/>
      <c r="N63" s="9" t="s">
        <v>167</v>
      </c>
    </row>
    <row r="64" customFormat="false" ht="26.85" hidden="false" customHeight="false" outlineLevel="0" collapsed="false">
      <c r="A64" s="9" t="s">
        <v>691</v>
      </c>
      <c r="B64" s="9" t="s">
        <v>692</v>
      </c>
      <c r="C64" s="31" t="s">
        <v>523</v>
      </c>
      <c r="D64" s="9" t="str">
        <f aca="false">INDEX(Articles!$C$2:$C$148,MATCH(C64,Articles!$A$2:$A$148,0))</f>
        <v>Langue et communication C.I.</v>
      </c>
      <c r="E64" s="9" t="str">
        <f aca="false">INDEX(Articles!$B$2:$B$148,MATCH(C64,Articles!$A$2:$A$148,0))</f>
        <v>LPD</v>
      </c>
      <c r="F64" s="31" t="n">
        <v>1</v>
      </c>
      <c r="G64" s="13" t="n">
        <f aca="false">IF(INDEX(Articles!$G$2:$G$148,MATCH(C64,Articles!$A$2:$A$148,0))="","",INDEX(Articles!$G$2:$G$148,MATCH(C64,Articles!$A$2:$A$148,0)))</f>
        <v>3890</v>
      </c>
      <c r="H64" s="13" t="n">
        <f aca="false">IF(G64="",0,F64*G64)</f>
        <v>3890</v>
      </c>
      <c r="I64" s="13" t="n">
        <f aca="false">IF(INDEX(Articles!$E$2:$E$148,MATCH(C64,Articles!$A$2:$A$148,0))="","",INDEX(Articles!$E$2:$E$148,MATCH(C64,Articles!$A$2:$A$148,0)))</f>
        <v>2890</v>
      </c>
      <c r="J64" s="13" t="n">
        <f aca="false">IF(I64="","",F64*I64)</f>
        <v>2890</v>
      </c>
      <c r="K64" s="9" t="str">
        <f aca="false">INDEX(Articles!$H$2:$H$148,MATCH(C64,Articles!$A$2:$A$148,0))</f>
        <v>Fixé</v>
      </c>
      <c r="L64" s="9" t="str">
        <f aca="false">INDEX(Articles!$F$2:$F$148,MATCH(C64,Articles!$A$2:$A$148,0))</f>
        <v>Estimé</v>
      </c>
      <c r="M64" s="17" t="s">
        <v>701</v>
      </c>
      <c r="N64" s="9" t="s">
        <v>167</v>
      </c>
    </row>
    <row r="65" customFormat="false" ht="26.85" hidden="false" customHeight="false" outlineLevel="0" collapsed="false">
      <c r="A65" s="9" t="s">
        <v>691</v>
      </c>
      <c r="B65" s="9" t="s">
        <v>693</v>
      </c>
      <c r="C65" s="31" t="s">
        <v>526</v>
      </c>
      <c r="D65" s="9" t="str">
        <f aca="false">INDEX(Articles!$C$2:$C$148,MATCH(C65,Articles!$A$2:$A$148,0))</f>
        <v>Mathématiques C.I.</v>
      </c>
      <c r="E65" s="9" t="str">
        <f aca="false">INDEX(Articles!$B$2:$B$148,MATCH(C65,Articles!$A$2:$A$148,0))</f>
        <v>LPD</v>
      </c>
      <c r="F65" s="31" t="n">
        <v>1</v>
      </c>
      <c r="G65" s="13" t="n">
        <f aca="false">IF(INDEX(Articles!$G$2:$G$148,MATCH(C65,Articles!$A$2:$A$148,0))="","",INDEX(Articles!$G$2:$G$148,MATCH(C65,Articles!$A$2:$A$148,0)))</f>
        <v>3890</v>
      </c>
      <c r="H65" s="13" t="n">
        <f aca="false">IF(G65="",0,F65*G65)</f>
        <v>3890</v>
      </c>
      <c r="I65" s="13" t="n">
        <f aca="false">IF(INDEX(Articles!$E$2:$E$148,MATCH(C65,Articles!$A$2:$A$148,0))="","",INDEX(Articles!$E$2:$E$148,MATCH(C65,Articles!$A$2:$A$148,0)))</f>
        <v>2890</v>
      </c>
      <c r="J65" s="13" t="n">
        <f aca="false">IF(I65="","",F65*I65)</f>
        <v>2890</v>
      </c>
      <c r="K65" s="9" t="str">
        <f aca="false">INDEX(Articles!$H$2:$H$148,MATCH(C65,Articles!$A$2:$A$148,0))</f>
        <v>Fixé</v>
      </c>
      <c r="L65" s="9" t="str">
        <f aca="false">INDEX(Articles!$F$2:$F$148,MATCH(C65,Articles!$A$2:$A$148,0))</f>
        <v>Estimé</v>
      </c>
      <c r="M65" s="17" t="s">
        <v>701</v>
      </c>
      <c r="N65" s="9" t="s">
        <v>167</v>
      </c>
    </row>
    <row r="66" customFormat="false" ht="26.85" hidden="false" customHeight="false" outlineLevel="0" collapsed="false">
      <c r="A66" s="9" t="s">
        <v>691</v>
      </c>
      <c r="B66" s="9" t="s">
        <v>694</v>
      </c>
      <c r="C66" s="31" t="s">
        <v>528</v>
      </c>
      <c r="D66" s="9" t="str">
        <f aca="false">INDEX(Articles!$C$2:$C$148,MATCH(C66,Articles!$A$2:$A$148,0))</f>
        <v>Découverte du monde C.I.</v>
      </c>
      <c r="E66" s="9" t="str">
        <f aca="false">INDEX(Articles!$B$2:$B$148,MATCH(C66,Articles!$A$2:$A$148,0))</f>
        <v>LPD</v>
      </c>
      <c r="F66" s="31" t="n">
        <v>1</v>
      </c>
      <c r="G66" s="13" t="n">
        <f aca="false">IF(INDEX(Articles!$G$2:$G$148,MATCH(C66,Articles!$A$2:$A$148,0))="","",INDEX(Articles!$G$2:$G$148,MATCH(C66,Articles!$A$2:$A$148,0)))</f>
        <v>3890</v>
      </c>
      <c r="H66" s="13" t="n">
        <f aca="false">IF(G66="",0,F66*G66)</f>
        <v>3890</v>
      </c>
      <c r="I66" s="13" t="n">
        <f aca="false">IF(INDEX(Articles!$E$2:$E$148,MATCH(C66,Articles!$A$2:$A$148,0))="","",INDEX(Articles!$E$2:$E$148,MATCH(C66,Articles!$A$2:$A$148,0)))</f>
        <v>2890</v>
      </c>
      <c r="J66" s="13" t="n">
        <f aca="false">IF(I66="","",F66*I66)</f>
        <v>2890</v>
      </c>
      <c r="K66" s="9" t="str">
        <f aca="false">INDEX(Articles!$H$2:$H$148,MATCH(C66,Articles!$A$2:$A$148,0))</f>
        <v>Fixé</v>
      </c>
      <c r="L66" s="9" t="str">
        <f aca="false">INDEX(Articles!$F$2:$F$148,MATCH(C66,Articles!$A$2:$A$148,0))</f>
        <v>Estimé</v>
      </c>
      <c r="M66" s="17" t="s">
        <v>701</v>
      </c>
      <c r="N66" s="9" t="s">
        <v>167</v>
      </c>
    </row>
    <row r="67" customFormat="false" ht="15" hidden="false" customHeight="false" outlineLevel="0" collapsed="false">
      <c r="A67" s="9" t="s">
        <v>703</v>
      </c>
      <c r="B67" s="9" t="s">
        <v>704</v>
      </c>
      <c r="C67" s="31" t="s">
        <v>559</v>
      </c>
      <c r="D67" s="9" t="str">
        <f aca="false">INDEX(Articles!$C$2:$C$148,MATCH(C67,Articles!$A$2:$A$148,0))</f>
        <v>Cahier d’activités fongible LC C.I.</v>
      </c>
      <c r="E67" s="9" t="str">
        <f aca="false">INDEX(Articles!$B$2:$B$148,MATCH(C67,Articles!$A$2:$A$148,0))</f>
        <v>LPD</v>
      </c>
      <c r="F67" s="31" t="n">
        <v>1</v>
      </c>
      <c r="G67" s="13" t="n">
        <f aca="false">IF(INDEX(Articles!$G$2:$G$148,MATCH(C67,Articles!$A$2:$A$148,0))="","",INDEX(Articles!$G$2:$G$148,MATCH(C67,Articles!$A$2:$A$148,0)))</f>
        <v>2790</v>
      </c>
      <c r="H67" s="13" t="n">
        <f aca="false">IF(G67="",0,F67*G67)</f>
        <v>2790</v>
      </c>
      <c r="I67" s="13" t="n">
        <f aca="false">IF(INDEX(Articles!$E$2:$E$148,MATCH(C67,Articles!$A$2:$A$148,0))="","",INDEX(Articles!$E$2:$E$148,MATCH(C67,Articles!$A$2:$A$148,0)))</f>
        <v>1790</v>
      </c>
      <c r="J67" s="13" t="n">
        <f aca="false">IF(I67="","",F67*I67)</f>
        <v>1790</v>
      </c>
      <c r="K67" s="9" t="str">
        <f aca="false">INDEX(Articles!$H$2:$H$148,MATCH(C67,Articles!$A$2:$A$148,0))</f>
        <v>Fixé</v>
      </c>
      <c r="L67" s="9" t="str">
        <f aca="false">INDEX(Articles!$F$2:$F$148,MATCH(C67,Articles!$A$2:$A$148,0))</f>
        <v>Estimé</v>
      </c>
      <c r="M67" s="17"/>
      <c r="N67" s="9" t="s">
        <v>167</v>
      </c>
    </row>
    <row r="68" customFormat="false" ht="15" hidden="false" customHeight="false" outlineLevel="0" collapsed="false">
      <c r="A68" s="9" t="s">
        <v>703</v>
      </c>
      <c r="B68" s="9" t="s">
        <v>705</v>
      </c>
      <c r="C68" s="31" t="s">
        <v>561</v>
      </c>
      <c r="D68" s="9" t="str">
        <f aca="false">INDEX(Articles!$C$2:$C$148,MATCH(C68,Articles!$A$2:$A$148,0))</f>
        <v>Cahier d’activités mathématiques C.I.</v>
      </c>
      <c r="E68" s="9" t="str">
        <f aca="false">INDEX(Articles!$B$2:$B$148,MATCH(C68,Articles!$A$2:$A$148,0))</f>
        <v>LPD</v>
      </c>
      <c r="F68" s="31" t="n">
        <v>1</v>
      </c>
      <c r="G68" s="13" t="n">
        <f aca="false">IF(INDEX(Articles!$G$2:$G$148,MATCH(C68,Articles!$A$2:$A$148,0))="","",INDEX(Articles!$G$2:$G$148,MATCH(C68,Articles!$A$2:$A$148,0)))</f>
        <v>2790</v>
      </c>
      <c r="H68" s="13" t="n">
        <f aca="false">IF(G68="",0,F68*G68)</f>
        <v>2790</v>
      </c>
      <c r="I68" s="13" t="n">
        <f aca="false">IF(INDEX(Articles!$E$2:$E$148,MATCH(C68,Articles!$A$2:$A$148,0))="","",INDEX(Articles!$E$2:$E$148,MATCH(C68,Articles!$A$2:$A$148,0)))</f>
        <v>1790</v>
      </c>
      <c r="J68" s="13" t="n">
        <f aca="false">IF(I68="","",F68*I68)</f>
        <v>1790</v>
      </c>
      <c r="K68" s="9" t="str">
        <f aca="false">INDEX(Articles!$H$2:$H$148,MATCH(C68,Articles!$A$2:$A$148,0))</f>
        <v>Fixé</v>
      </c>
      <c r="L68" s="9" t="str">
        <f aca="false">INDEX(Articles!$F$2:$F$148,MATCH(C68,Articles!$A$2:$A$148,0))</f>
        <v>Estimé</v>
      </c>
      <c r="M68" s="17"/>
      <c r="N68" s="9" t="s">
        <v>167</v>
      </c>
    </row>
    <row r="69" customFormat="false" ht="15" hidden="false" customHeight="false" outlineLevel="0" collapsed="false">
      <c r="D69" s="32" t="s">
        <v>683</v>
      </c>
      <c r="E69" s="32"/>
      <c r="F69" s="32"/>
      <c r="G69" s="32"/>
      <c r="H69" s="33" t="n">
        <f aca="false">COUNTIF(G57:G68,"")</f>
        <v>0</v>
      </c>
    </row>
    <row r="70" customFormat="false" ht="15" hidden="false" customHeight="false" outlineLevel="0" collapsed="false">
      <c r="D70" s="32" t="s">
        <v>684</v>
      </c>
      <c r="E70" s="32"/>
      <c r="F70" s="32"/>
      <c r="G70" s="32"/>
      <c r="H70" s="33" t="n">
        <f aca="false">SUM(H57:H68)</f>
        <v>24575</v>
      </c>
    </row>
    <row r="71" customFormat="false" ht="15" hidden="false" customHeight="false" outlineLevel="0" collapsed="false">
      <c r="D71" s="32" t="s">
        <v>28</v>
      </c>
      <c r="E71" s="32"/>
      <c r="F71" s="32"/>
      <c r="G71" s="32"/>
      <c r="H71" s="33" t="n">
        <f aca="false">SUM(J57:J68)</f>
        <v>16150</v>
      </c>
    </row>
    <row r="72" customFormat="false" ht="15" hidden="false" customHeight="false" outlineLevel="0" collapsed="false">
      <c r="D72" s="32" t="s">
        <v>685</v>
      </c>
      <c r="E72" s="32"/>
      <c r="F72" s="32"/>
      <c r="G72" s="32"/>
      <c r="H72" s="33" t="n">
        <f aca="false">COUNTIF(I57:I68,"")</f>
        <v>3</v>
      </c>
    </row>
    <row r="73" customFormat="false" ht="15" hidden="false" customHeight="false" outlineLevel="0" collapsed="false">
      <c r="D73" s="32" t="s">
        <v>686</v>
      </c>
      <c r="E73" s="32"/>
      <c r="F73" s="32"/>
      <c r="G73" s="32"/>
      <c r="H73" s="33" t="n">
        <f aca="false">SUMPRODUCT((I57:I68&lt;&gt;"")*H57:H68)-H71</f>
        <v>6650</v>
      </c>
    </row>
    <row r="74" customFormat="false" ht="15" hidden="false" customHeight="false" outlineLevel="0" collapsed="false">
      <c r="D74" s="32" t="s">
        <v>687</v>
      </c>
      <c r="E74" s="32"/>
      <c r="F74" s="32"/>
      <c r="G74" s="32"/>
      <c r="H74" s="33" t="n">
        <f aca="false">SUMIF(A57:A68,"Cahiers",F57:F68)</f>
        <v>2</v>
      </c>
    </row>
    <row r="75" customFormat="false" ht="15" hidden="false" customHeight="false" outlineLevel="0" collapsed="false">
      <c r="D75" s="32" t="s">
        <v>688</v>
      </c>
      <c r="E75" s="32"/>
      <c r="F75" s="32"/>
      <c r="G75" s="32"/>
      <c r="H75" s="34" t="n">
        <f aca="false">IF(H70=0,0,SUMIF(K57:K68,"&lt;&gt;Fixé",H57:H68)/H70)</f>
        <v>0.0651068158697864</v>
      </c>
    </row>
    <row r="76" customFormat="false" ht="15" hidden="false" customHeight="false" outlineLevel="0" collapsed="false">
      <c r="D76" s="32" t="s">
        <v>689</v>
      </c>
      <c r="E76" s="32"/>
      <c r="F76" s="32"/>
      <c r="G76" s="32"/>
      <c r="H76" s="33" t="str">
        <f aca="false">IF(H69&gt;0,"Total incomplet : "&amp;H69&amp;" prix de vente à fournir",IF(H72&gt;0,"Coût incomplet : "&amp;H72&amp;" ligne(s) sans prix d'achat","Complet"))</f>
        <v>Coût incomplet : 3 ligne(s) sans prix d'achat</v>
      </c>
    </row>
    <row r="77" customFormat="false" ht="15" hidden="false" customHeight="false" outlineLevel="0" collapsed="false">
      <c r="D77" s="21" t="s">
        <v>696</v>
      </c>
      <c r="E77" s="21" t="str">
        <f aca="false">INDEX(Articles!$C$2:$C$148,MATCH("S027",Articles!$A$2:$A$148,0))</f>
        <v>Cartable rigide bleu marine</v>
      </c>
      <c r="H77" s="41" t="n">
        <f aca="false">INDEX(Articles!$G$2:$G$148,MATCH("S027",Articles!$A$2:$A$148,0))</f>
        <v>7500</v>
      </c>
    </row>
    <row r="78" customFormat="false" ht="15" hidden="false" customHeight="false" outlineLevel="0" collapsed="false">
      <c r="D78" s="42" t="s">
        <v>697</v>
      </c>
      <c r="E78" s="43" t="s">
        <v>698</v>
      </c>
    </row>
  </sheetData>
  <mergeCells count="24">
    <mergeCell ref="D13:G13"/>
    <mergeCell ref="D14:G14"/>
    <mergeCell ref="D15:G15"/>
    <mergeCell ref="D16:G16"/>
    <mergeCell ref="D17:G17"/>
    <mergeCell ref="D18:G18"/>
    <mergeCell ref="D19:G19"/>
    <mergeCell ref="D20:G20"/>
    <mergeCell ref="D43:G43"/>
    <mergeCell ref="D44:G44"/>
    <mergeCell ref="D45:G45"/>
    <mergeCell ref="D46:G46"/>
    <mergeCell ref="D47:G47"/>
    <mergeCell ref="D48:G48"/>
    <mergeCell ref="D49:G49"/>
    <mergeCell ref="D50:G50"/>
    <mergeCell ref="D69:G69"/>
    <mergeCell ref="D70:G70"/>
    <mergeCell ref="D71:G71"/>
    <mergeCell ref="D72:G72"/>
    <mergeCell ref="D73:G73"/>
    <mergeCell ref="D74:G74"/>
    <mergeCell ref="D75:G75"/>
    <mergeCell ref="D76:G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706</v>
      </c>
    </row>
    <row r="2" customFormat="false" ht="15" hidden="false" customHeight="false" outlineLevel="0" collapsed="false">
      <c r="A2" s="21" t="s">
        <v>661</v>
      </c>
    </row>
    <row r="4" customFormat="false" ht="15" hidden="false" customHeight="false" outlineLevel="0" collapsed="false">
      <c r="A4" s="28" t="s">
        <v>707</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708</v>
      </c>
      <c r="C6" s="31" t="s">
        <v>195</v>
      </c>
      <c r="D6" s="9" t="str">
        <f aca="false">INDEX(Articles!$C$2:$C$148,MATCH(C6,Articles!$A$2:$A$148,0))</f>
        <v>Cahier Calligraphe 96 pages 17x22 56 g seyès</v>
      </c>
      <c r="E6" s="9" t="str">
        <f aca="false">INDEX(Articles!$B$2:$B$148,MATCH(C6,Articles!$A$2:$A$148,0))</f>
        <v>Papex</v>
      </c>
      <c r="F6" s="31" t="n">
        <v>2</v>
      </c>
      <c r="G6" s="13" t="n">
        <f aca="false">IF(INDEX(Articles!$G$2:$G$148,MATCH(C6,Articles!$A$2:$A$148,0))="","",INDEX(Articles!$G$2:$G$148,MATCH(C6,Articles!$A$2:$A$148,0)))</f>
        <v>450</v>
      </c>
      <c r="H6" s="13" t="n">
        <f aca="false">IF(G6="",0,F6*G6)</f>
        <v>900</v>
      </c>
      <c r="I6" s="13" t="n">
        <f aca="false">IF(INDEX(Articles!$E$2:$E$148,MATCH(C6,Articles!$A$2:$A$148,0))="","",INDEX(Articles!$E$2:$E$148,MATCH(C6,Articles!$A$2:$A$148,0)))</f>
        <v>350</v>
      </c>
      <c r="J6" s="13" t="n">
        <f aca="false">IF(I6="","",F6*I6)</f>
        <v>700</v>
      </c>
      <c r="K6" s="9" t="str">
        <f aca="false">INDEX(Articles!$H$2:$H$148,MATCH(C6,Articles!$A$2:$A$148,0))</f>
        <v>Fixé</v>
      </c>
      <c r="L6" s="9" t="str">
        <f aca="false">INDEX(Articles!$F$2:$F$148,MATCH(C6,Articles!$A$2:$A$148,0))</f>
        <v>Confirmé</v>
      </c>
      <c r="M6" s="17"/>
      <c r="N6" s="9" t="s">
        <v>167</v>
      </c>
    </row>
    <row r="7" customFormat="false" ht="15" hidden="false" customHeight="false" outlineLevel="0" collapsed="false">
      <c r="A7" s="9" t="s">
        <v>674</v>
      </c>
      <c r="B7" s="9" t="s">
        <v>674</v>
      </c>
      <c r="C7" s="31" t="s">
        <v>165</v>
      </c>
      <c r="D7" s="9" t="str">
        <f aca="false">INDEX(Articles!$C$2:$C$148,MATCH(C7,Articles!$A$2:$A$148,0))</f>
        <v>Ardoise scolaire</v>
      </c>
      <c r="E7" s="9" t="str">
        <f aca="false">INDEX(Articles!$B$2:$B$148,MATCH(C7,Articles!$A$2:$A$148,0))</f>
        <v>LPD</v>
      </c>
      <c r="F7" s="31" t="n">
        <v>1</v>
      </c>
      <c r="G7" s="13" t="n">
        <f aca="false">IF(INDEX(Articles!$G$2:$G$148,MATCH(C7,Articles!$A$2:$A$148,0))="","",INDEX(Articles!$G$2:$G$148,MATCH(C7,Articles!$A$2:$A$148,0)))</f>
        <v>900</v>
      </c>
      <c r="H7" s="13" t="n">
        <f aca="false">IF(G7="",0,F7*G7)</f>
        <v>900</v>
      </c>
      <c r="I7" s="13" t="n">
        <f aca="false">IF(INDEX(Articles!$E$2:$E$148,MATCH(C7,Articles!$A$2:$A$148,0))="","",INDEX(Articles!$E$2:$E$148,MATCH(C7,Articles!$A$2:$A$148,0)))</f>
        <v>600</v>
      </c>
      <c r="J7" s="13" t="n">
        <f aca="false">IF(I7="","",F7*I7)</f>
        <v>600</v>
      </c>
      <c r="K7" s="9" t="str">
        <f aca="false">INDEX(Articles!$H$2:$H$148,MATCH(C7,Articles!$A$2:$A$148,0))</f>
        <v>Fixé</v>
      </c>
      <c r="L7" s="9" t="str">
        <f aca="false">INDEX(Articles!$F$2:$F$148,MATCH(C7,Articles!$A$2:$A$148,0))</f>
        <v>Estimé</v>
      </c>
      <c r="M7" s="17"/>
      <c r="N7" s="9" t="s">
        <v>167</v>
      </c>
    </row>
    <row r="8" customFormat="false" ht="15" hidden="false" customHeight="false" outlineLevel="0" collapsed="false">
      <c r="A8" s="9" t="s">
        <v>676</v>
      </c>
      <c r="B8" s="9" t="s">
        <v>677</v>
      </c>
      <c r="C8" s="31" t="s">
        <v>237</v>
      </c>
      <c r="D8" s="9" t="str">
        <f aca="false">INDEX(Articles!$C$2:$C$148,MATCH(C8,Articles!$A$2:$A$148,0))</f>
        <v>Règle plastique transparente 20 cm</v>
      </c>
      <c r="E8" s="9" t="str">
        <f aca="false">INDEX(Articles!$B$2:$B$148,MATCH(C8,Articles!$A$2:$A$148,0))</f>
        <v>LPD</v>
      </c>
      <c r="F8" s="31" t="n">
        <v>1</v>
      </c>
      <c r="G8" s="13" t="n">
        <f aca="false">IF(INDEX(Articles!$G$2:$G$148,MATCH(C8,Articles!$A$2:$A$148,0))="","",INDEX(Articles!$G$2:$G$148,MATCH(C8,Articles!$A$2:$A$148,0)))</f>
        <v>100</v>
      </c>
      <c r="H8" s="13" t="n">
        <f aca="false">IF(G8="",0,F8*G8)</f>
        <v>100</v>
      </c>
      <c r="I8" s="13" t="str">
        <f aca="false">IF(INDEX(Articles!$E$2:$E$148,MATCH(C8,Articles!$A$2:$A$148,0))="","",INDEX(Articles!$E$2:$E$148,MATCH(C8,Articles!$A$2:$A$148,0)))</f>
        <v/>
      </c>
      <c r="J8" s="13" t="str">
        <f aca="false">IF(I8="","",F8*I8)</f>
        <v/>
      </c>
      <c r="K8" s="9" t="str">
        <f aca="false">INDEX(Articles!$H$2:$H$148,MATCH(C8,Articles!$A$2:$A$148,0))</f>
        <v>Fixé</v>
      </c>
      <c r="L8" s="9" t="str">
        <f aca="false">INDEX(Articles!$F$2:$F$148,MATCH(C8,Articles!$A$2:$A$148,0))</f>
        <v>Inconnu</v>
      </c>
      <c r="M8" s="17"/>
      <c r="N8" s="9" t="s">
        <v>167</v>
      </c>
    </row>
    <row r="9" customFormat="false" ht="15" hidden="false" customHeight="false" outlineLevel="0" collapsed="false">
      <c r="A9" s="9" t="s">
        <v>676</v>
      </c>
      <c r="B9" s="9" t="s">
        <v>709</v>
      </c>
      <c r="C9" s="31" t="s">
        <v>239</v>
      </c>
      <c r="D9" s="9" t="str">
        <f aca="false">INDEX(Articles!$C$2:$C$148,MATCH(C9,Articles!$A$2:$A$148,0))</f>
        <v>Kit de traçage 30 cm, 4 pièces L'écolier</v>
      </c>
      <c r="E9" s="9" t="str">
        <f aca="false">INDEX(Articles!$B$2:$B$148,MATCH(C9,Articles!$A$2:$A$148,0))</f>
        <v>Papex</v>
      </c>
      <c r="F9" s="31" t="n">
        <v>1</v>
      </c>
      <c r="G9" s="13" t="n">
        <f aca="false">IF(INDEX(Articles!$G$2:$G$148,MATCH(C9,Articles!$A$2:$A$148,0))="","",INDEX(Articles!$G$2:$G$148,MATCH(C9,Articles!$A$2:$A$148,0)))</f>
        <v>900</v>
      </c>
      <c r="H9" s="13" t="n">
        <f aca="false">IF(G9="",0,F9*G9)</f>
        <v>900</v>
      </c>
      <c r="I9" s="13" t="n">
        <f aca="false">IF(INDEX(Articles!$E$2:$E$148,MATCH(C9,Articles!$A$2:$A$148,0))="","",INDEX(Articles!$E$2:$E$148,MATCH(C9,Articles!$A$2:$A$148,0)))</f>
        <v>650</v>
      </c>
      <c r="J9" s="13" t="n">
        <f aca="false">IF(I9="","",F9*I9)</f>
        <v>650</v>
      </c>
      <c r="K9" s="9" t="str">
        <f aca="false">INDEX(Articles!$H$2:$H$148,MATCH(C9,Articles!$A$2:$A$148,0))</f>
        <v>Estimé</v>
      </c>
      <c r="L9" s="9" t="str">
        <f aca="false">INDEX(Articles!$F$2:$F$148,MATCH(C9,Articles!$A$2:$A$148,0))</f>
        <v>Confirmé</v>
      </c>
      <c r="M9" s="17"/>
      <c r="N9" s="9" t="s">
        <v>167</v>
      </c>
    </row>
    <row r="10" customFormat="false" ht="15" hidden="false" customHeight="false" outlineLevel="0" collapsed="false">
      <c r="A10" s="9" t="s">
        <v>678</v>
      </c>
      <c r="B10" s="9" t="s">
        <v>680</v>
      </c>
      <c r="C10" s="31" t="s">
        <v>220</v>
      </c>
      <c r="D10" s="9" t="str">
        <f aca="false">INDEX(Articles!$C$2:$C$148,MATCH(C10,Articles!$A$2:$A$148,0))</f>
        <v>Stylo à bille Schneider Tops 505 M bleu</v>
      </c>
      <c r="E10" s="9" t="str">
        <f aca="false">INDEX(Articles!$B$2:$B$148,MATCH(C10,Articles!$A$2:$A$148,0))</f>
        <v>Papex</v>
      </c>
      <c r="F10" s="31" t="n">
        <v>2</v>
      </c>
      <c r="G10" s="13" t="n">
        <f aca="false">IF(INDEX(Articles!$G$2:$G$148,MATCH(C10,Articles!$A$2:$A$148,0))="","",INDEX(Articles!$G$2:$G$148,MATCH(C10,Articles!$A$2:$A$148,0)))</f>
        <v>100</v>
      </c>
      <c r="H10" s="13" t="n">
        <f aca="false">IF(G10="",0,F10*G10)</f>
        <v>200</v>
      </c>
      <c r="I10" s="13" t="str">
        <f aca="false">IF(INDEX(Articles!$E$2:$E$148,MATCH(C10,Articles!$A$2:$A$148,0))="","",INDEX(Articles!$E$2:$E$148,MATCH(C10,Articles!$A$2:$A$148,0)))</f>
        <v/>
      </c>
      <c r="J10" s="13" t="str">
        <f aca="false">IF(I10="","",F10*I10)</f>
        <v/>
      </c>
      <c r="K10" s="9" t="str">
        <f aca="false">INDEX(Articles!$H$2:$H$148,MATCH(C10,Articles!$A$2:$A$148,0))</f>
        <v>Fixé</v>
      </c>
      <c r="L10" s="9" t="str">
        <f aca="false">INDEX(Articles!$F$2:$F$148,MATCH(C10,Articles!$A$2:$A$148,0))</f>
        <v>Inconnu</v>
      </c>
      <c r="M10" s="17"/>
      <c r="N10" s="9" t="s">
        <v>167</v>
      </c>
    </row>
    <row r="11" customFormat="false" ht="15" hidden="false" customHeight="false" outlineLevel="0" collapsed="false">
      <c r="A11" s="9" t="s">
        <v>678</v>
      </c>
      <c r="B11" s="9" t="s">
        <v>710</v>
      </c>
      <c r="C11" s="31" t="s">
        <v>429</v>
      </c>
      <c r="D11" s="9" t="str">
        <f aca="false">INDEX(Articles!$C$2:$C$148,MATCH(C11,Articles!$A$2:$A$148,0))</f>
        <v>Stylo à bille Schneider Tops 505 M vert</v>
      </c>
      <c r="E11" s="9" t="str">
        <f aca="false">INDEX(Articles!$B$2:$B$148,MATCH(C11,Articles!$A$2:$A$148,0))</f>
        <v>Papex</v>
      </c>
      <c r="F11" s="31" t="n">
        <v>1</v>
      </c>
      <c r="G11" s="13" t="n">
        <f aca="false">IF(INDEX(Articles!$G$2:$G$148,MATCH(C11,Articles!$A$2:$A$148,0))="","",INDEX(Articles!$G$2:$G$148,MATCH(C11,Articles!$A$2:$A$148,0)))</f>
        <v>100</v>
      </c>
      <c r="H11" s="13" t="n">
        <f aca="false">IF(G11="",0,F11*G11)</f>
        <v>100</v>
      </c>
      <c r="I11" s="13" t="str">
        <f aca="false">IF(INDEX(Articles!$E$2:$E$148,MATCH(C11,Articles!$A$2:$A$148,0))="","",INDEX(Articles!$E$2:$E$148,MATCH(C11,Articles!$A$2:$A$148,0)))</f>
        <v/>
      </c>
      <c r="J11" s="13" t="str">
        <f aca="false">IF(I11="","",F11*I11)</f>
        <v/>
      </c>
      <c r="K11" s="9" t="str">
        <f aca="false">INDEX(Articles!$H$2:$H$148,MATCH(C11,Articles!$A$2:$A$148,0))</f>
        <v>Fixé</v>
      </c>
      <c r="L11" s="9" t="str">
        <f aca="false">INDEX(Articles!$F$2:$F$148,MATCH(C11,Articles!$A$2:$A$148,0))</f>
        <v>Inconnu</v>
      </c>
      <c r="M11" s="17"/>
      <c r="N11" s="9" t="s">
        <v>167</v>
      </c>
    </row>
    <row r="12" customFormat="false" ht="15" hidden="false" customHeight="false" outlineLevel="0" collapsed="false">
      <c r="A12" s="9" t="s">
        <v>681</v>
      </c>
      <c r="B12" s="9" t="s">
        <v>682</v>
      </c>
      <c r="C12" s="31" t="s">
        <v>198</v>
      </c>
      <c r="D12" s="9" t="str">
        <f aca="false">INDEX(Articles!$C$2:$C$148,MATCH(C12,Articles!$A$2:$A$148,0))</f>
        <v>Crayons de couleur Maped, boîte de 12</v>
      </c>
      <c r="E12" s="9" t="str">
        <f aca="false">INDEX(Articles!$B$2:$B$148,MATCH(C12,Articles!$A$2:$A$148,0))</f>
        <v>Papex</v>
      </c>
      <c r="F12" s="31" t="n">
        <v>1</v>
      </c>
      <c r="G12" s="13" t="n">
        <f aca="false">IF(INDEX(Articles!$G$2:$G$148,MATCH(C12,Articles!$A$2:$A$148,0))="","",INDEX(Articles!$G$2:$G$148,MATCH(C12,Articles!$A$2:$A$148,0)))</f>
        <v>900</v>
      </c>
      <c r="H12" s="13" t="n">
        <f aca="false">IF(G12="",0,F12*G12)</f>
        <v>900</v>
      </c>
      <c r="I12" s="13" t="n">
        <f aca="false">IF(INDEX(Articles!$E$2:$E$148,MATCH(C12,Articles!$A$2:$A$148,0))="","",INDEX(Articles!$E$2:$E$148,MATCH(C12,Articles!$A$2:$A$148,0)))</f>
        <v>650</v>
      </c>
      <c r="J12" s="13" t="n">
        <f aca="false">IF(I12="","",F12*I12)</f>
        <v>650</v>
      </c>
      <c r="K12" s="9" t="str">
        <f aca="false">INDEX(Articles!$H$2:$H$148,MATCH(C12,Articles!$A$2:$A$148,0))</f>
        <v>Estimé</v>
      </c>
      <c r="L12" s="9" t="str">
        <f aca="false">INDEX(Articles!$F$2:$F$148,MATCH(C12,Articles!$A$2:$A$148,0))</f>
        <v>Estimé</v>
      </c>
      <c r="M12" s="17"/>
      <c r="N12" s="9" t="s">
        <v>167</v>
      </c>
    </row>
    <row r="13" customFormat="false" ht="15" hidden="false" customHeight="false" outlineLevel="0" collapsed="false">
      <c r="D13" s="32" t="s">
        <v>683</v>
      </c>
      <c r="E13" s="32"/>
      <c r="F13" s="32"/>
      <c r="G13" s="32"/>
      <c r="H13" s="33" t="n">
        <f aca="false">COUNTIF(G6:G12,"")</f>
        <v>0</v>
      </c>
    </row>
    <row r="14" customFormat="false" ht="15" hidden="false" customHeight="false" outlineLevel="0" collapsed="false">
      <c r="D14" s="32" t="s">
        <v>684</v>
      </c>
      <c r="E14" s="32"/>
      <c r="F14" s="32"/>
      <c r="G14" s="32"/>
      <c r="H14" s="33" t="n">
        <f aca="false">SUM(H6:H12)</f>
        <v>4000</v>
      </c>
    </row>
    <row r="15" customFormat="false" ht="15" hidden="false" customHeight="false" outlineLevel="0" collapsed="false">
      <c r="D15" s="32" t="s">
        <v>28</v>
      </c>
      <c r="E15" s="32"/>
      <c r="F15" s="32"/>
      <c r="G15" s="32"/>
      <c r="H15" s="33" t="n">
        <f aca="false">SUM(J6:J12)</f>
        <v>2600</v>
      </c>
    </row>
    <row r="16" customFormat="false" ht="15" hidden="false" customHeight="false" outlineLevel="0" collapsed="false">
      <c r="D16" s="32" t="s">
        <v>685</v>
      </c>
      <c r="E16" s="32"/>
      <c r="F16" s="32"/>
      <c r="G16" s="32"/>
      <c r="H16" s="33" t="n">
        <f aca="false">COUNTIF(I6:I12,"")</f>
        <v>3</v>
      </c>
    </row>
    <row r="17" customFormat="false" ht="15" hidden="false" customHeight="false" outlineLevel="0" collapsed="false">
      <c r="D17" s="32" t="s">
        <v>686</v>
      </c>
      <c r="E17" s="32"/>
      <c r="F17" s="32"/>
      <c r="G17" s="32"/>
      <c r="H17" s="33" t="n">
        <f aca="false">SUMPRODUCT((I6:I12&lt;&gt;"")*H6:H12)-H15</f>
        <v>1000</v>
      </c>
    </row>
    <row r="18" customFormat="false" ht="15" hidden="false" customHeight="false" outlineLevel="0" collapsed="false">
      <c r="D18" s="32" t="s">
        <v>687</v>
      </c>
      <c r="E18" s="32"/>
      <c r="F18" s="32"/>
      <c r="G18" s="32"/>
      <c r="H18" s="33" t="n">
        <f aca="false">SUMIF(A6:A12,"Cahiers",F6:F12)</f>
        <v>2</v>
      </c>
    </row>
    <row r="19" customFormat="false" ht="15" hidden="false" customHeight="false" outlineLevel="0" collapsed="false">
      <c r="D19" s="32" t="s">
        <v>688</v>
      </c>
      <c r="E19" s="32"/>
      <c r="F19" s="32"/>
      <c r="G19" s="32"/>
      <c r="H19" s="34" t="n">
        <f aca="false">IF(H14=0,0,SUMIF(K6:K12,"&lt;&gt;Fixé",H6:H12)/H14)</f>
        <v>0.45</v>
      </c>
    </row>
    <row r="20" customFormat="false" ht="15" hidden="false" customHeight="false" outlineLevel="0" collapsed="false">
      <c r="D20" s="32" t="s">
        <v>689</v>
      </c>
      <c r="E20" s="32"/>
      <c r="F20" s="32"/>
      <c r="G20" s="32"/>
      <c r="H20" s="33" t="str">
        <f aca="false">IF(H13&gt;0,"Total incomplet : "&amp;H13&amp;" prix de vente à fournir",IF(H16&gt;0,"Coût incomplet : "&amp;H16&amp;" ligne(s) sans prix d'achat","Complet"))</f>
        <v>Coût incomplet : 3 ligne(s) sans prix d'achat</v>
      </c>
    </row>
    <row r="22" customFormat="false" ht="15" hidden="false" customHeight="false" outlineLevel="0" collapsed="false">
      <c r="D22" s="35" t="s">
        <v>690</v>
      </c>
    </row>
    <row r="23" customFormat="false" ht="15" hidden="false" customHeight="false" outlineLevel="0" collapsed="false">
      <c r="A23" s="36" t="s">
        <v>691</v>
      </c>
      <c r="B23" s="36" t="s">
        <v>692</v>
      </c>
      <c r="C23" s="31" t="s">
        <v>226</v>
      </c>
      <c r="D23" s="36" t="str">
        <f aca="false">INDEX(Articles!$C$2:$C$148,MATCH(C23,Articles!$A$2:$A$148,0))</f>
        <v>Langue et communication C.P.</v>
      </c>
      <c r="E23" s="37"/>
      <c r="F23" s="37"/>
      <c r="G23" s="38" t="n">
        <f aca="false">INDEX(Articles!$G$2:$G$148,MATCH(C23,Articles!$A$2:$A$148,0))</f>
        <v>3890</v>
      </c>
      <c r="H23" s="37"/>
      <c r="I23" s="37"/>
      <c r="J23" s="37"/>
      <c r="K23" s="37"/>
      <c r="L23" s="37"/>
      <c r="M23" s="37"/>
      <c r="N23" s="39" t="s">
        <v>271</v>
      </c>
    </row>
    <row r="24" customFormat="false" ht="15" hidden="false" customHeight="false" outlineLevel="0" collapsed="false">
      <c r="A24" s="36" t="s">
        <v>691</v>
      </c>
      <c r="B24" s="36" t="s">
        <v>693</v>
      </c>
      <c r="C24" s="31" t="s">
        <v>531</v>
      </c>
      <c r="D24" s="36" t="str">
        <f aca="false">INDEX(Articles!$C$2:$C$148,MATCH(C24,Articles!$A$2:$A$148,0))</f>
        <v>Mathématiques C.P.</v>
      </c>
      <c r="E24" s="37"/>
      <c r="F24" s="37"/>
      <c r="G24" s="38" t="n">
        <f aca="false">INDEX(Articles!$G$2:$G$148,MATCH(C24,Articles!$A$2:$A$148,0))</f>
        <v>3890</v>
      </c>
      <c r="H24" s="37"/>
      <c r="I24" s="37"/>
      <c r="J24" s="37"/>
      <c r="K24" s="37"/>
      <c r="L24" s="37"/>
      <c r="M24" s="37"/>
      <c r="N24" s="39" t="s">
        <v>271</v>
      </c>
    </row>
    <row r="25" customFormat="false" ht="15" hidden="false" customHeight="false" outlineLevel="0" collapsed="false">
      <c r="A25" s="36" t="s">
        <v>691</v>
      </c>
      <c r="B25" s="36" t="s">
        <v>694</v>
      </c>
      <c r="C25" s="31" t="s">
        <v>533</v>
      </c>
      <c r="D25" s="36" t="str">
        <f aca="false">INDEX(Articles!$C$2:$C$148,MATCH(C25,Articles!$A$2:$A$148,0))</f>
        <v>Découverte du monde C.P.</v>
      </c>
      <c r="E25" s="37"/>
      <c r="F25" s="37"/>
      <c r="G25" s="38" t="n">
        <f aca="false">INDEX(Articles!$G$2:$G$148,MATCH(C25,Articles!$A$2:$A$148,0))</f>
        <v>3890</v>
      </c>
      <c r="H25" s="37"/>
      <c r="I25" s="37"/>
      <c r="J25" s="37"/>
      <c r="K25" s="37"/>
      <c r="L25" s="37"/>
      <c r="M25" s="37"/>
      <c r="N25" s="39" t="s">
        <v>271</v>
      </c>
    </row>
    <row r="26" customFormat="false" ht="15" hidden="false" customHeight="false" outlineLevel="0" collapsed="false">
      <c r="D26" s="40" t="s">
        <v>695</v>
      </c>
      <c r="H26" s="33" t="n">
        <f aca="false">H14+SUM(G23:G25)</f>
        <v>15670</v>
      </c>
    </row>
    <row r="27" customFormat="false" ht="15" hidden="false" customHeight="false" outlineLevel="0" collapsed="false">
      <c r="D27" s="21" t="s">
        <v>696</v>
      </c>
      <c r="E27" s="21" t="str">
        <f aca="false">INDEX(Articles!$C$2:$C$148,MATCH("S027",Articles!$A$2:$A$148,0))</f>
        <v>Cartable rigide bleu marine</v>
      </c>
      <c r="H27" s="41" t="n">
        <f aca="false">INDEX(Articles!$G$2:$G$148,MATCH("S027",Articles!$A$2:$A$148,0))</f>
        <v>7500</v>
      </c>
    </row>
    <row r="28" customFormat="false" ht="15" hidden="false" customHeight="false" outlineLevel="0" collapsed="false">
      <c r="D28" s="42" t="s">
        <v>697</v>
      </c>
      <c r="E28" s="44" t="s">
        <v>711</v>
      </c>
    </row>
    <row r="31" customFormat="false" ht="15" hidden="false" customHeight="false" outlineLevel="0" collapsed="false">
      <c r="A31" s="28" t="s">
        <v>712</v>
      </c>
      <c r="B31" s="29"/>
      <c r="C31" s="29"/>
      <c r="D31" s="29"/>
      <c r="E31" s="29"/>
      <c r="F31" s="29"/>
      <c r="G31" s="29"/>
      <c r="H31" s="29"/>
      <c r="I31" s="29"/>
      <c r="J31" s="29"/>
      <c r="K31" s="29"/>
      <c r="L31" s="29"/>
      <c r="M31" s="29"/>
      <c r="N31" s="29"/>
    </row>
    <row r="32" customFormat="false" ht="39.55" hidden="false" customHeight="false" outlineLevel="0" collapsed="false">
      <c r="A32" s="30" t="s">
        <v>663</v>
      </c>
      <c r="B32" s="30" t="s">
        <v>664</v>
      </c>
      <c r="C32" s="30" t="s">
        <v>348</v>
      </c>
      <c r="D32" s="30" t="s">
        <v>350</v>
      </c>
      <c r="E32" s="30" t="s">
        <v>349</v>
      </c>
      <c r="F32" s="30" t="s">
        <v>665</v>
      </c>
      <c r="G32" s="30" t="s">
        <v>666</v>
      </c>
      <c r="H32" s="30" t="s">
        <v>667</v>
      </c>
      <c r="I32" s="30" t="s">
        <v>668</v>
      </c>
      <c r="J32" s="30" t="s">
        <v>669</v>
      </c>
      <c r="K32" s="30" t="s">
        <v>355</v>
      </c>
      <c r="L32" s="30" t="s">
        <v>353</v>
      </c>
      <c r="M32" s="30" t="s">
        <v>356</v>
      </c>
      <c r="N32" s="30" t="s">
        <v>670</v>
      </c>
    </row>
    <row r="33" customFormat="false" ht="15" hidden="false" customHeight="false" outlineLevel="0" collapsed="false">
      <c r="A33" s="9" t="s">
        <v>671</v>
      </c>
      <c r="B33" s="9" t="s">
        <v>708</v>
      </c>
      <c r="C33" s="31" t="s">
        <v>366</v>
      </c>
      <c r="D33" s="9" t="str">
        <f aca="false">INDEX(Articles!$C$2:$C$148,MATCH(C33,Articles!$A$2:$A$148,0))</f>
        <v>Cahier Calligraphe 140 pages 17x22 90 g seyès</v>
      </c>
      <c r="E33" s="9" t="str">
        <f aca="false">INDEX(Articles!$B$2:$B$148,MATCH(C33,Articles!$A$2:$A$148,0))</f>
        <v>Papex</v>
      </c>
      <c r="F33" s="31" t="n">
        <v>2</v>
      </c>
      <c r="G33" s="13" t="n">
        <f aca="false">IF(INDEX(Articles!$G$2:$G$148,MATCH(C33,Articles!$A$2:$A$148,0))="","",INDEX(Articles!$G$2:$G$148,MATCH(C33,Articles!$A$2:$A$148,0)))</f>
        <v>750</v>
      </c>
      <c r="H33" s="13" t="n">
        <f aca="false">IF(G33="",0,F33*G33)</f>
        <v>1500</v>
      </c>
      <c r="I33" s="13" t="n">
        <f aca="false">IF(INDEX(Articles!$E$2:$E$148,MATCH(C33,Articles!$A$2:$A$148,0))="","",INDEX(Articles!$E$2:$E$148,MATCH(C33,Articles!$A$2:$A$148,0)))</f>
        <v>650</v>
      </c>
      <c r="J33" s="13" t="n">
        <f aca="false">IF(I33="","",F33*I33)</f>
        <v>1300</v>
      </c>
      <c r="K33" s="9" t="str">
        <f aca="false">INDEX(Articles!$H$2:$H$148,MATCH(C33,Articles!$A$2:$A$148,0))</f>
        <v>Fixé</v>
      </c>
      <c r="L33" s="9" t="str">
        <f aca="false">INDEX(Articles!$F$2:$F$148,MATCH(C33,Articles!$A$2:$A$148,0))</f>
        <v>Estimé</v>
      </c>
      <c r="M33" s="17" t="s">
        <v>713</v>
      </c>
      <c r="N33" s="9" t="s">
        <v>167</v>
      </c>
    </row>
    <row r="34" customFormat="false" ht="15" hidden="false" customHeight="false" outlineLevel="0" collapsed="false">
      <c r="A34" s="9" t="s">
        <v>674</v>
      </c>
      <c r="B34" s="9" t="s">
        <v>674</v>
      </c>
      <c r="C34" s="31" t="s">
        <v>162</v>
      </c>
      <c r="D34" s="9" t="str">
        <f aca="false">INDEX(Articles!$C$2:$C$148,MATCH(C34,Articles!$A$2:$A$148,0))</f>
        <v>Ardoise quadrillée avec poignée</v>
      </c>
      <c r="E34" s="9" t="str">
        <f aca="false">INDEX(Articles!$B$2:$B$148,MATCH(C34,Articles!$A$2:$A$148,0))</f>
        <v>Cissé &amp; Frères</v>
      </c>
      <c r="F34" s="31" t="n">
        <v>1</v>
      </c>
      <c r="G34" s="13" t="n">
        <f aca="false">IF(INDEX(Articles!$G$2:$G$148,MATCH(C34,Articles!$A$2:$A$148,0))="","",INDEX(Articles!$G$2:$G$148,MATCH(C34,Articles!$A$2:$A$148,0)))</f>
        <v>2500</v>
      </c>
      <c r="H34" s="13" t="n">
        <f aca="false">IF(G34="",0,F34*G34)</f>
        <v>2500</v>
      </c>
      <c r="I34" s="13" t="n">
        <f aca="false">IF(INDEX(Articles!$E$2:$E$148,MATCH(C34,Articles!$A$2:$A$148,0))="","",INDEX(Articles!$E$2:$E$148,MATCH(C34,Articles!$A$2:$A$148,0)))</f>
        <v>1500</v>
      </c>
      <c r="J34" s="13" t="n">
        <f aca="false">IF(I34="","",F34*I34)</f>
        <v>1500</v>
      </c>
      <c r="K34" s="9" t="str">
        <f aca="false">INDEX(Articles!$H$2:$H$148,MATCH(C34,Articles!$A$2:$A$148,0))</f>
        <v>Fixé</v>
      </c>
      <c r="L34" s="9" t="str">
        <f aca="false">INDEX(Articles!$F$2:$F$148,MATCH(C34,Articles!$A$2:$A$148,0))</f>
        <v>Confirmé</v>
      </c>
      <c r="M34" s="17"/>
      <c r="N34" s="9" t="s">
        <v>167</v>
      </c>
    </row>
    <row r="35" customFormat="false" ht="15" hidden="false" customHeight="false" outlineLevel="0" collapsed="false">
      <c r="A35" s="9" t="s">
        <v>676</v>
      </c>
      <c r="B35" s="9" t="s">
        <v>677</v>
      </c>
      <c r="C35" s="31" t="s">
        <v>186</v>
      </c>
      <c r="D35" s="9" t="str">
        <f aca="false">INDEX(Articles!$C$2:$C$148,MATCH(C35,Articles!$A$2:$A$148,0))</f>
        <v>Règle métal 30 cm</v>
      </c>
      <c r="E35" s="9" t="str">
        <f aca="false">INDEX(Articles!$B$2:$B$148,MATCH(C35,Articles!$A$2:$A$148,0))</f>
        <v>LPD</v>
      </c>
      <c r="F35" s="31" t="n">
        <v>1</v>
      </c>
      <c r="G35" s="13" t="n">
        <f aca="false">IF(INDEX(Articles!$G$2:$G$148,MATCH(C35,Articles!$A$2:$A$148,0))="","",INDEX(Articles!$G$2:$G$148,MATCH(C35,Articles!$A$2:$A$148,0)))</f>
        <v>550</v>
      </c>
      <c r="H35" s="13" t="n">
        <f aca="false">IF(G35="",0,F35*G35)</f>
        <v>550</v>
      </c>
      <c r="I35" s="13" t="n">
        <f aca="false">IF(INDEX(Articles!$E$2:$E$148,MATCH(C35,Articles!$A$2:$A$148,0))="","",INDEX(Articles!$E$2:$E$148,MATCH(C35,Articles!$A$2:$A$148,0)))</f>
        <v>400</v>
      </c>
      <c r="J35" s="13" t="n">
        <f aca="false">IF(I35="","",F35*I35)</f>
        <v>400</v>
      </c>
      <c r="K35" s="9" t="str">
        <f aca="false">INDEX(Articles!$H$2:$H$148,MATCH(C35,Articles!$A$2:$A$148,0))</f>
        <v>Fixé</v>
      </c>
      <c r="L35" s="9" t="str">
        <f aca="false">INDEX(Articles!$F$2:$F$148,MATCH(C35,Articles!$A$2:$A$148,0))</f>
        <v>Estimé</v>
      </c>
      <c r="M35" s="17"/>
      <c r="N35" s="9" t="s">
        <v>167</v>
      </c>
    </row>
    <row r="36" customFormat="false" ht="15" hidden="false" customHeight="false" outlineLevel="0" collapsed="false">
      <c r="A36" s="9" t="s">
        <v>676</v>
      </c>
      <c r="B36" s="9" t="s">
        <v>709</v>
      </c>
      <c r="C36" s="31" t="s">
        <v>215</v>
      </c>
      <c r="D36" s="9" t="str">
        <f aca="false">INDEX(Articles!$C$2:$C$148,MATCH(C36,Articles!$A$2:$A$148,0))</f>
        <v>Kit géométrie Maped 30 cm (réf. 1930)</v>
      </c>
      <c r="E36" s="9" t="str">
        <f aca="false">INDEX(Articles!$B$2:$B$148,MATCH(C36,Articles!$A$2:$A$148,0))</f>
        <v>LPD</v>
      </c>
      <c r="F36" s="31" t="n">
        <v>1</v>
      </c>
      <c r="G36" s="13" t="n">
        <f aca="false">IF(INDEX(Articles!$G$2:$G$148,MATCH(C36,Articles!$A$2:$A$148,0))="","",INDEX(Articles!$G$2:$G$148,MATCH(C36,Articles!$A$2:$A$148,0)))</f>
        <v>1800</v>
      </c>
      <c r="H36" s="13" t="n">
        <f aca="false">IF(G36="",0,F36*G36)</f>
        <v>1800</v>
      </c>
      <c r="I36" s="13" t="n">
        <f aca="false">IF(INDEX(Articles!$E$2:$E$148,MATCH(C36,Articles!$A$2:$A$148,0))="","",INDEX(Articles!$E$2:$E$148,MATCH(C36,Articles!$A$2:$A$148,0)))</f>
        <v>1500</v>
      </c>
      <c r="J36" s="13" t="n">
        <f aca="false">IF(I36="","",F36*I36)</f>
        <v>1500</v>
      </c>
      <c r="K36" s="9" t="str">
        <f aca="false">INDEX(Articles!$H$2:$H$148,MATCH(C36,Articles!$A$2:$A$148,0))</f>
        <v>À trancher</v>
      </c>
      <c r="L36" s="9" t="str">
        <f aca="false">INDEX(Articles!$F$2:$F$148,MATCH(C36,Articles!$A$2:$A$148,0))</f>
        <v>Confirmé</v>
      </c>
      <c r="M36" s="17"/>
      <c r="N36" s="9" t="s">
        <v>167</v>
      </c>
    </row>
    <row r="37" customFormat="false" ht="15" hidden="false" customHeight="false" outlineLevel="0" collapsed="false">
      <c r="A37" s="9" t="s">
        <v>678</v>
      </c>
      <c r="B37" s="9" t="s">
        <v>680</v>
      </c>
      <c r="C37" s="31" t="s">
        <v>220</v>
      </c>
      <c r="D37" s="9" t="str">
        <f aca="false">INDEX(Articles!$C$2:$C$148,MATCH(C37,Articles!$A$2:$A$148,0))</f>
        <v>Stylo à bille Schneider Tops 505 M bleu</v>
      </c>
      <c r="E37" s="9" t="str">
        <f aca="false">INDEX(Articles!$B$2:$B$148,MATCH(C37,Articles!$A$2:$A$148,0))</f>
        <v>Papex</v>
      </c>
      <c r="F37" s="31" t="n">
        <v>2</v>
      </c>
      <c r="G37" s="13" t="n">
        <f aca="false">IF(INDEX(Articles!$G$2:$G$148,MATCH(C37,Articles!$A$2:$A$148,0))="","",INDEX(Articles!$G$2:$G$148,MATCH(C37,Articles!$A$2:$A$148,0)))</f>
        <v>100</v>
      </c>
      <c r="H37" s="13" t="n">
        <f aca="false">IF(G37="",0,F37*G37)</f>
        <v>200</v>
      </c>
      <c r="I37" s="13" t="str">
        <f aca="false">IF(INDEX(Articles!$E$2:$E$148,MATCH(C37,Articles!$A$2:$A$148,0))="","",INDEX(Articles!$E$2:$E$148,MATCH(C37,Articles!$A$2:$A$148,0)))</f>
        <v/>
      </c>
      <c r="J37" s="13" t="str">
        <f aca="false">IF(I37="","",F37*I37)</f>
        <v/>
      </c>
      <c r="K37" s="9" t="str">
        <f aca="false">INDEX(Articles!$H$2:$H$148,MATCH(C37,Articles!$A$2:$A$148,0))</f>
        <v>Fixé</v>
      </c>
      <c r="L37" s="9" t="str">
        <f aca="false">INDEX(Articles!$F$2:$F$148,MATCH(C37,Articles!$A$2:$A$148,0))</f>
        <v>Inconnu</v>
      </c>
      <c r="M37" s="17"/>
      <c r="N37" s="9" t="s">
        <v>167</v>
      </c>
    </row>
    <row r="38" customFormat="false" ht="15" hidden="false" customHeight="false" outlineLevel="0" collapsed="false">
      <c r="A38" s="9" t="s">
        <v>678</v>
      </c>
      <c r="B38" s="9" t="s">
        <v>710</v>
      </c>
      <c r="C38" s="31" t="s">
        <v>429</v>
      </c>
      <c r="D38" s="9" t="str">
        <f aca="false">INDEX(Articles!$C$2:$C$148,MATCH(C38,Articles!$A$2:$A$148,0))</f>
        <v>Stylo à bille Schneider Tops 505 M vert</v>
      </c>
      <c r="E38" s="9" t="str">
        <f aca="false">INDEX(Articles!$B$2:$B$148,MATCH(C38,Articles!$A$2:$A$148,0))</f>
        <v>Papex</v>
      </c>
      <c r="F38" s="31" t="n">
        <v>1</v>
      </c>
      <c r="G38" s="13" t="n">
        <f aca="false">IF(INDEX(Articles!$G$2:$G$148,MATCH(C38,Articles!$A$2:$A$148,0))="","",INDEX(Articles!$G$2:$G$148,MATCH(C38,Articles!$A$2:$A$148,0)))</f>
        <v>100</v>
      </c>
      <c r="H38" s="13" t="n">
        <f aca="false">IF(G38="",0,F38*G38)</f>
        <v>100</v>
      </c>
      <c r="I38" s="13" t="str">
        <f aca="false">IF(INDEX(Articles!$E$2:$E$148,MATCH(C38,Articles!$A$2:$A$148,0))="","",INDEX(Articles!$E$2:$E$148,MATCH(C38,Articles!$A$2:$A$148,0)))</f>
        <v/>
      </c>
      <c r="J38" s="13" t="str">
        <f aca="false">IF(I38="","",F38*I38)</f>
        <v/>
      </c>
      <c r="K38" s="9" t="str">
        <f aca="false">INDEX(Articles!$H$2:$H$148,MATCH(C38,Articles!$A$2:$A$148,0))</f>
        <v>Fixé</v>
      </c>
      <c r="L38" s="9" t="str">
        <f aca="false">INDEX(Articles!$F$2:$F$148,MATCH(C38,Articles!$A$2:$A$148,0))</f>
        <v>Inconnu</v>
      </c>
      <c r="M38" s="17"/>
      <c r="N38" s="9" t="s">
        <v>167</v>
      </c>
    </row>
    <row r="39" customFormat="false" ht="15" hidden="false" customHeight="false" outlineLevel="0" collapsed="false">
      <c r="A39" s="9" t="s">
        <v>681</v>
      </c>
      <c r="B39" s="9" t="s">
        <v>682</v>
      </c>
      <c r="C39" s="31" t="s">
        <v>218</v>
      </c>
      <c r="D39" s="9" t="str">
        <f aca="false">INDEX(Articles!$C$2:$C$148,MATCH(C39,Articles!$A$2:$A$148,0))</f>
        <v>Crayons de couleur Maped Nightfall, boîte de 24</v>
      </c>
      <c r="E39" s="9" t="str">
        <f aca="false">INDEX(Articles!$B$2:$B$148,MATCH(C39,Articles!$A$2:$A$148,0))</f>
        <v>Papex</v>
      </c>
      <c r="F39" s="31" t="n">
        <v>1</v>
      </c>
      <c r="G39" s="13" t="n">
        <f aca="false">IF(INDEX(Articles!$G$2:$G$148,MATCH(C39,Articles!$A$2:$A$148,0))="","",INDEX(Articles!$G$2:$G$148,MATCH(C39,Articles!$A$2:$A$148,0)))</f>
        <v>1600</v>
      </c>
      <c r="H39" s="13" t="n">
        <f aca="false">IF(G39="",0,F39*G39)</f>
        <v>1600</v>
      </c>
      <c r="I39" s="13" t="n">
        <f aca="false">IF(INDEX(Articles!$E$2:$E$148,MATCH(C39,Articles!$A$2:$A$148,0))="","",INDEX(Articles!$E$2:$E$148,MATCH(C39,Articles!$A$2:$A$148,0)))</f>
        <v>1300</v>
      </c>
      <c r="J39" s="13" t="n">
        <f aca="false">IF(I39="","",F39*I39)</f>
        <v>1300</v>
      </c>
      <c r="K39" s="9" t="str">
        <f aca="false">INDEX(Articles!$H$2:$H$148,MATCH(C39,Articles!$A$2:$A$148,0))</f>
        <v>Estimé</v>
      </c>
      <c r="L39" s="9" t="str">
        <f aca="false">INDEX(Articles!$F$2:$F$148,MATCH(C39,Articles!$A$2:$A$148,0))</f>
        <v>Estimé</v>
      </c>
      <c r="M39" s="17"/>
      <c r="N39" s="9" t="s">
        <v>167</v>
      </c>
    </row>
    <row r="40" customFormat="false" ht="26.85" hidden="false" customHeight="false" outlineLevel="0" collapsed="false">
      <c r="A40" s="9" t="s">
        <v>691</v>
      </c>
      <c r="B40" s="9" t="s">
        <v>692</v>
      </c>
      <c r="C40" s="31" t="s">
        <v>226</v>
      </c>
      <c r="D40" s="9" t="str">
        <f aca="false">INDEX(Articles!$C$2:$C$148,MATCH(C40,Articles!$A$2:$A$148,0))</f>
        <v>Langue et communication C.P.</v>
      </c>
      <c r="E40" s="9" t="str">
        <f aca="false">INDEX(Articles!$B$2:$B$148,MATCH(C40,Articles!$A$2:$A$148,0))</f>
        <v>LPD</v>
      </c>
      <c r="F40" s="31" t="n">
        <v>1</v>
      </c>
      <c r="G40" s="13" t="n">
        <f aca="false">IF(INDEX(Articles!$G$2:$G$148,MATCH(C40,Articles!$A$2:$A$148,0))="","",INDEX(Articles!$G$2:$G$148,MATCH(C40,Articles!$A$2:$A$148,0)))</f>
        <v>3890</v>
      </c>
      <c r="H40" s="13" t="n">
        <f aca="false">IF(G40="",0,F40*G40)</f>
        <v>3890</v>
      </c>
      <c r="I40" s="13" t="n">
        <f aca="false">IF(INDEX(Articles!$E$2:$E$148,MATCH(C40,Articles!$A$2:$A$148,0))="","",INDEX(Articles!$E$2:$E$148,MATCH(C40,Articles!$A$2:$A$148,0)))</f>
        <v>2890</v>
      </c>
      <c r="J40" s="13" t="n">
        <f aca="false">IF(I40="","",F40*I40)</f>
        <v>2890</v>
      </c>
      <c r="K40" s="9" t="str">
        <f aca="false">INDEX(Articles!$H$2:$H$148,MATCH(C40,Articles!$A$2:$A$148,0))</f>
        <v>Fixé</v>
      </c>
      <c r="L40" s="9" t="str">
        <f aca="false">INDEX(Articles!$F$2:$F$148,MATCH(C40,Articles!$A$2:$A$148,0))</f>
        <v>Estimé</v>
      </c>
      <c r="M40" s="17" t="s">
        <v>701</v>
      </c>
      <c r="N40" s="9" t="s">
        <v>167</v>
      </c>
    </row>
    <row r="41" customFormat="false" ht="26.85" hidden="false" customHeight="false" outlineLevel="0" collapsed="false">
      <c r="A41" s="9" t="s">
        <v>691</v>
      </c>
      <c r="B41" s="9" t="s">
        <v>693</v>
      </c>
      <c r="C41" s="31" t="s">
        <v>531</v>
      </c>
      <c r="D41" s="9" t="str">
        <f aca="false">INDEX(Articles!$C$2:$C$148,MATCH(C41,Articles!$A$2:$A$148,0))</f>
        <v>Mathématiques C.P.</v>
      </c>
      <c r="E41" s="9" t="str">
        <f aca="false">INDEX(Articles!$B$2:$B$148,MATCH(C41,Articles!$A$2:$A$148,0))</f>
        <v>LPD</v>
      </c>
      <c r="F41" s="31" t="n">
        <v>1</v>
      </c>
      <c r="G41" s="13" t="n">
        <f aca="false">IF(INDEX(Articles!$G$2:$G$148,MATCH(C41,Articles!$A$2:$A$148,0))="","",INDEX(Articles!$G$2:$G$148,MATCH(C41,Articles!$A$2:$A$148,0)))</f>
        <v>3890</v>
      </c>
      <c r="H41" s="13" t="n">
        <f aca="false">IF(G41="",0,F41*G41)</f>
        <v>3890</v>
      </c>
      <c r="I41" s="13" t="n">
        <f aca="false">IF(INDEX(Articles!$E$2:$E$148,MATCH(C41,Articles!$A$2:$A$148,0))="","",INDEX(Articles!$E$2:$E$148,MATCH(C41,Articles!$A$2:$A$148,0)))</f>
        <v>2890</v>
      </c>
      <c r="J41" s="13" t="n">
        <f aca="false">IF(I41="","",F41*I41)</f>
        <v>2890</v>
      </c>
      <c r="K41" s="9" t="str">
        <f aca="false">INDEX(Articles!$H$2:$H$148,MATCH(C41,Articles!$A$2:$A$148,0))</f>
        <v>Fixé</v>
      </c>
      <c r="L41" s="9" t="str">
        <f aca="false">INDEX(Articles!$F$2:$F$148,MATCH(C41,Articles!$A$2:$A$148,0))</f>
        <v>Estimé</v>
      </c>
      <c r="M41" s="17" t="s">
        <v>701</v>
      </c>
      <c r="N41" s="9" t="s">
        <v>167</v>
      </c>
    </row>
    <row r="42" customFormat="false" ht="26.85" hidden="false" customHeight="false" outlineLevel="0" collapsed="false">
      <c r="A42" s="9" t="s">
        <v>691</v>
      </c>
      <c r="B42" s="9" t="s">
        <v>694</v>
      </c>
      <c r="C42" s="31" t="s">
        <v>533</v>
      </c>
      <c r="D42" s="9" t="str">
        <f aca="false">INDEX(Articles!$C$2:$C$148,MATCH(C42,Articles!$A$2:$A$148,0))</f>
        <v>Découverte du monde C.P.</v>
      </c>
      <c r="E42" s="9" t="str">
        <f aca="false">INDEX(Articles!$B$2:$B$148,MATCH(C42,Articles!$A$2:$A$148,0))</f>
        <v>LPD</v>
      </c>
      <c r="F42" s="31" t="n">
        <v>1</v>
      </c>
      <c r="G42" s="13" t="n">
        <f aca="false">IF(INDEX(Articles!$G$2:$G$148,MATCH(C42,Articles!$A$2:$A$148,0))="","",INDEX(Articles!$G$2:$G$148,MATCH(C42,Articles!$A$2:$A$148,0)))</f>
        <v>3890</v>
      </c>
      <c r="H42" s="13" t="n">
        <f aca="false">IF(G42="",0,F42*G42)</f>
        <v>3890</v>
      </c>
      <c r="I42" s="13" t="n">
        <f aca="false">IF(INDEX(Articles!$E$2:$E$148,MATCH(C42,Articles!$A$2:$A$148,0))="","",INDEX(Articles!$E$2:$E$148,MATCH(C42,Articles!$A$2:$A$148,0)))</f>
        <v>2890</v>
      </c>
      <c r="J42" s="13" t="n">
        <f aca="false">IF(I42="","",F42*I42)</f>
        <v>2890</v>
      </c>
      <c r="K42" s="9" t="str">
        <f aca="false">INDEX(Articles!$H$2:$H$148,MATCH(C42,Articles!$A$2:$A$148,0))</f>
        <v>Fixé</v>
      </c>
      <c r="L42" s="9" t="str">
        <f aca="false">INDEX(Articles!$F$2:$F$148,MATCH(C42,Articles!$A$2:$A$148,0))</f>
        <v>Estimé</v>
      </c>
      <c r="M42" s="17" t="s">
        <v>701</v>
      </c>
      <c r="N42" s="9" t="s">
        <v>167</v>
      </c>
    </row>
    <row r="43" customFormat="false" ht="15" hidden="false" customHeight="false" outlineLevel="0" collapsed="false">
      <c r="D43" s="32" t="s">
        <v>683</v>
      </c>
      <c r="E43" s="32"/>
      <c r="F43" s="32"/>
      <c r="G43" s="32"/>
      <c r="H43" s="33" t="n">
        <f aca="false">COUNTIF(G33:G42,"")</f>
        <v>0</v>
      </c>
    </row>
    <row r="44" customFormat="false" ht="15" hidden="false" customHeight="false" outlineLevel="0" collapsed="false">
      <c r="D44" s="32" t="s">
        <v>684</v>
      </c>
      <c r="E44" s="32"/>
      <c r="F44" s="32"/>
      <c r="G44" s="32"/>
      <c r="H44" s="33" t="n">
        <f aca="false">SUM(H33:H42)</f>
        <v>19920</v>
      </c>
    </row>
    <row r="45" customFormat="false" ht="15" hidden="false" customHeight="false" outlineLevel="0" collapsed="false">
      <c r="D45" s="32" t="s">
        <v>28</v>
      </c>
      <c r="E45" s="32"/>
      <c r="F45" s="32"/>
      <c r="G45" s="32"/>
      <c r="H45" s="33" t="n">
        <f aca="false">SUM(J33:J42)</f>
        <v>14670</v>
      </c>
    </row>
    <row r="46" customFormat="false" ht="15" hidden="false" customHeight="false" outlineLevel="0" collapsed="false">
      <c r="D46" s="32" t="s">
        <v>685</v>
      </c>
      <c r="E46" s="32"/>
      <c r="F46" s="32"/>
      <c r="G46" s="32"/>
      <c r="H46" s="33" t="n">
        <f aca="false">COUNTIF(I33:I42,"")</f>
        <v>2</v>
      </c>
    </row>
    <row r="47" customFormat="false" ht="15" hidden="false" customHeight="false" outlineLevel="0" collapsed="false">
      <c r="D47" s="32" t="s">
        <v>686</v>
      </c>
      <c r="E47" s="32"/>
      <c r="F47" s="32"/>
      <c r="G47" s="32"/>
      <c r="H47" s="33" t="n">
        <f aca="false">SUMPRODUCT((I33:I42&lt;&gt;"")*H33:H42)-H45</f>
        <v>4950</v>
      </c>
    </row>
    <row r="48" customFormat="false" ht="15" hidden="false" customHeight="false" outlineLevel="0" collapsed="false">
      <c r="D48" s="32" t="s">
        <v>687</v>
      </c>
      <c r="E48" s="32"/>
      <c r="F48" s="32"/>
      <c r="G48" s="32"/>
      <c r="H48" s="33" t="n">
        <f aca="false">SUMIF(A33:A42,"Cahiers",F33:F42)</f>
        <v>2</v>
      </c>
    </row>
    <row r="49" customFormat="false" ht="15" hidden="false" customHeight="false" outlineLevel="0" collapsed="false">
      <c r="D49" s="32" t="s">
        <v>688</v>
      </c>
      <c r="E49" s="32"/>
      <c r="F49" s="32"/>
      <c r="G49" s="32"/>
      <c r="H49" s="34" t="n">
        <f aca="false">IF(H44=0,0,SUMIF(K33:K42,"&lt;&gt;Fixé",H33:H42)/H44)</f>
        <v>0.170682730923695</v>
      </c>
    </row>
    <row r="50" customFormat="false" ht="15" hidden="false" customHeight="false" outlineLevel="0" collapsed="false">
      <c r="D50" s="32" t="s">
        <v>689</v>
      </c>
      <c r="E50" s="32"/>
      <c r="F50" s="32"/>
      <c r="G50" s="32"/>
      <c r="H50" s="33" t="str">
        <f aca="false">IF(H43&gt;0,"Total incomplet : "&amp;H43&amp;" prix de vente à fournir",IF(H46&gt;0,"Coût incomplet : "&amp;H46&amp;" ligne(s) sans prix d'achat","Complet"))</f>
        <v>Coût incomplet : 2 ligne(s) sans prix d'achat</v>
      </c>
    </row>
    <row r="51" customFormat="false" ht="15" hidden="false" customHeight="false" outlineLevel="0" collapsed="false">
      <c r="D51" s="21" t="s">
        <v>696</v>
      </c>
      <c r="E51" s="21" t="str">
        <f aca="false">INDEX(Articles!$C$2:$C$148,MATCH("S027",Articles!$A$2:$A$148,0))</f>
        <v>Cartable rigide bleu marine</v>
      </c>
      <c r="H51" s="41" t="n">
        <f aca="false">INDEX(Articles!$G$2:$G$148,MATCH("S027",Articles!$A$2:$A$148,0))</f>
        <v>7500</v>
      </c>
    </row>
    <row r="52" customFormat="false" ht="15" hidden="false" customHeight="false" outlineLevel="0" collapsed="false">
      <c r="D52" s="42" t="s">
        <v>697</v>
      </c>
      <c r="E52" s="44" t="s">
        <v>711</v>
      </c>
    </row>
    <row r="55" customFormat="false" ht="15" hidden="false" customHeight="false" outlineLevel="0" collapsed="false">
      <c r="A55" s="28" t="s">
        <v>714</v>
      </c>
      <c r="B55" s="29"/>
      <c r="C55" s="29"/>
      <c r="D55" s="29"/>
      <c r="E55" s="29"/>
      <c r="F55" s="29"/>
      <c r="G55" s="29"/>
      <c r="H55" s="29"/>
      <c r="I55" s="29"/>
      <c r="J55" s="29"/>
      <c r="K55" s="29"/>
      <c r="L55" s="29"/>
      <c r="M55" s="29"/>
      <c r="N55" s="29"/>
    </row>
    <row r="56" customFormat="false" ht="39.55" hidden="false" customHeight="false" outlineLevel="0" collapsed="false">
      <c r="A56" s="30" t="s">
        <v>663</v>
      </c>
      <c r="B56" s="30" t="s">
        <v>664</v>
      </c>
      <c r="C56" s="30" t="s">
        <v>348</v>
      </c>
      <c r="D56" s="30" t="s">
        <v>350</v>
      </c>
      <c r="E56" s="30" t="s">
        <v>349</v>
      </c>
      <c r="F56" s="30" t="s">
        <v>665</v>
      </c>
      <c r="G56" s="30" t="s">
        <v>666</v>
      </c>
      <c r="H56" s="30" t="s">
        <v>667</v>
      </c>
      <c r="I56" s="30" t="s">
        <v>668</v>
      </c>
      <c r="J56" s="30" t="s">
        <v>669</v>
      </c>
      <c r="K56" s="30" t="s">
        <v>355</v>
      </c>
      <c r="L56" s="30" t="s">
        <v>353</v>
      </c>
      <c r="M56" s="30" t="s">
        <v>356</v>
      </c>
      <c r="N56" s="30" t="s">
        <v>670</v>
      </c>
    </row>
    <row r="57" customFormat="false" ht="15" hidden="false" customHeight="false" outlineLevel="0" collapsed="false">
      <c r="A57" s="9" t="s">
        <v>671</v>
      </c>
      <c r="B57" s="9" t="s">
        <v>708</v>
      </c>
      <c r="C57" s="31" t="s">
        <v>366</v>
      </c>
      <c r="D57" s="9" t="str">
        <f aca="false">INDEX(Articles!$C$2:$C$148,MATCH(C57,Articles!$A$2:$A$148,0))</f>
        <v>Cahier Calligraphe 140 pages 17x22 90 g seyès</v>
      </c>
      <c r="E57" s="9" t="str">
        <f aca="false">INDEX(Articles!$B$2:$B$148,MATCH(C57,Articles!$A$2:$A$148,0))</f>
        <v>Papex</v>
      </c>
      <c r="F57" s="31" t="n">
        <v>2</v>
      </c>
      <c r="G57" s="13" t="n">
        <f aca="false">IF(INDEX(Articles!$G$2:$G$148,MATCH(C57,Articles!$A$2:$A$148,0))="","",INDEX(Articles!$G$2:$G$148,MATCH(C57,Articles!$A$2:$A$148,0)))</f>
        <v>750</v>
      </c>
      <c r="H57" s="13" t="n">
        <f aca="false">IF(G57="",0,F57*G57)</f>
        <v>1500</v>
      </c>
      <c r="I57" s="13" t="n">
        <f aca="false">IF(INDEX(Articles!$E$2:$E$148,MATCH(C57,Articles!$A$2:$A$148,0))="","",INDEX(Articles!$E$2:$E$148,MATCH(C57,Articles!$A$2:$A$148,0)))</f>
        <v>650</v>
      </c>
      <c r="J57" s="13" t="n">
        <f aca="false">IF(I57="","",F57*I57)</f>
        <v>1300</v>
      </c>
      <c r="K57" s="9" t="str">
        <f aca="false">INDEX(Articles!$H$2:$H$148,MATCH(C57,Articles!$A$2:$A$148,0))</f>
        <v>Fixé</v>
      </c>
      <c r="L57" s="9" t="str">
        <f aca="false">INDEX(Articles!$F$2:$F$148,MATCH(C57,Articles!$A$2:$A$148,0))</f>
        <v>Estimé</v>
      </c>
      <c r="M57" s="17" t="s">
        <v>713</v>
      </c>
      <c r="N57" s="9" t="s">
        <v>167</v>
      </c>
    </row>
    <row r="58" customFormat="false" ht="15" hidden="false" customHeight="false" outlineLevel="0" collapsed="false">
      <c r="A58" s="9" t="s">
        <v>674</v>
      </c>
      <c r="B58" s="9" t="s">
        <v>674</v>
      </c>
      <c r="C58" s="31" t="s">
        <v>162</v>
      </c>
      <c r="D58" s="9" t="str">
        <f aca="false">INDEX(Articles!$C$2:$C$148,MATCH(C58,Articles!$A$2:$A$148,0))</f>
        <v>Ardoise quadrillée avec poignée</v>
      </c>
      <c r="E58" s="9" t="str">
        <f aca="false">INDEX(Articles!$B$2:$B$148,MATCH(C58,Articles!$A$2:$A$148,0))</f>
        <v>Cissé &amp; Frères</v>
      </c>
      <c r="F58" s="31" t="n">
        <v>1</v>
      </c>
      <c r="G58" s="13" t="n">
        <f aca="false">IF(INDEX(Articles!$G$2:$G$148,MATCH(C58,Articles!$A$2:$A$148,0))="","",INDEX(Articles!$G$2:$G$148,MATCH(C58,Articles!$A$2:$A$148,0)))</f>
        <v>2500</v>
      </c>
      <c r="H58" s="13" t="n">
        <f aca="false">IF(G58="",0,F58*G58)</f>
        <v>2500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676</v>
      </c>
      <c r="B59" s="9" t="s">
        <v>677</v>
      </c>
      <c r="C59" s="31" t="s">
        <v>186</v>
      </c>
      <c r="D59" s="9" t="str">
        <f aca="false">INDEX(Articles!$C$2:$C$148,MATCH(C59,Articles!$A$2:$A$148,0))</f>
        <v>Règle métal 30 cm</v>
      </c>
      <c r="E59" s="9" t="str">
        <f aca="false">INDEX(Articles!$B$2:$B$148,MATCH(C59,Articles!$A$2:$A$148,0))</f>
        <v>LPD</v>
      </c>
      <c r="F59" s="31" t="n">
        <v>1</v>
      </c>
      <c r="G59" s="13" t="n">
        <f aca="false">IF(INDEX(Articles!$G$2:$G$148,MATCH(C59,Articles!$A$2:$A$148,0))="","",INDEX(Articles!$G$2:$G$148,MATCH(C59,Articles!$A$2:$A$148,0)))</f>
        <v>550</v>
      </c>
      <c r="H59" s="13" t="n">
        <f aca="false">IF(G59="",0,F59*G59)</f>
        <v>550</v>
      </c>
      <c r="I59" s="13" t="n">
        <f aca="false">IF(INDEX(Articles!$E$2:$E$148,MATCH(C59,Articles!$A$2:$A$148,0))="","",INDEX(Articles!$E$2:$E$148,MATCH(C59,Articles!$A$2:$A$148,0)))</f>
        <v>400</v>
      </c>
      <c r="J59" s="13" t="n">
        <f aca="false">IF(I59="","",F59*I59)</f>
        <v>400</v>
      </c>
      <c r="K59" s="9" t="str">
        <f aca="false">INDEX(Articles!$H$2:$H$148,MATCH(C59,Articles!$A$2:$A$148,0))</f>
        <v>Fixé</v>
      </c>
      <c r="L59" s="9" t="str">
        <f aca="false">INDEX(Articles!$F$2:$F$148,MATCH(C59,Articles!$A$2:$A$148,0))</f>
        <v>Estimé</v>
      </c>
      <c r="M59" s="17"/>
      <c r="N59" s="9" t="s">
        <v>167</v>
      </c>
    </row>
    <row r="60" customFormat="false" ht="15" hidden="false" customHeight="false" outlineLevel="0" collapsed="false">
      <c r="A60" s="9" t="s">
        <v>676</v>
      </c>
      <c r="B60" s="9" t="s">
        <v>709</v>
      </c>
      <c r="C60" s="31" t="s">
        <v>215</v>
      </c>
      <c r="D60" s="9" t="str">
        <f aca="false">INDEX(Articles!$C$2:$C$148,MATCH(C60,Articles!$A$2:$A$148,0))</f>
        <v>Kit géométrie Maped 30 cm (réf. 1930)</v>
      </c>
      <c r="E60" s="9" t="str">
        <f aca="false">INDEX(Articles!$B$2:$B$148,MATCH(C60,Articles!$A$2:$A$148,0))</f>
        <v>LPD</v>
      </c>
      <c r="F60" s="31" t="n">
        <v>1</v>
      </c>
      <c r="G60" s="13" t="n">
        <f aca="false">IF(INDEX(Articles!$G$2:$G$148,MATCH(C60,Articles!$A$2:$A$148,0))="","",INDEX(Articles!$G$2:$G$148,MATCH(C60,Articles!$A$2:$A$148,0)))</f>
        <v>1800</v>
      </c>
      <c r="H60" s="13" t="n">
        <f aca="false">IF(G60="",0,F60*G60)</f>
        <v>1800</v>
      </c>
      <c r="I60" s="13" t="n">
        <f aca="false">IF(INDEX(Articles!$E$2:$E$148,MATCH(C60,Articles!$A$2:$A$148,0))="","",INDEX(Articles!$E$2:$E$148,MATCH(C60,Articles!$A$2:$A$148,0)))</f>
        <v>1500</v>
      </c>
      <c r="J60" s="13" t="n">
        <f aca="false">IF(I60="","",F60*I60)</f>
        <v>1500</v>
      </c>
      <c r="K60" s="9" t="str">
        <f aca="false">INDEX(Articles!$H$2:$H$148,MATCH(C60,Articles!$A$2:$A$148,0))</f>
        <v>À trancher</v>
      </c>
      <c r="L60" s="9" t="str">
        <f aca="false">INDEX(Articles!$F$2:$F$148,MATCH(C60,Articles!$A$2:$A$148,0))</f>
        <v>Confirmé</v>
      </c>
      <c r="M60" s="17"/>
      <c r="N60" s="9" t="s">
        <v>167</v>
      </c>
    </row>
    <row r="61" customFormat="false" ht="15" hidden="false" customHeight="false" outlineLevel="0" collapsed="false">
      <c r="A61" s="9" t="s">
        <v>678</v>
      </c>
      <c r="B61" s="9" t="s">
        <v>680</v>
      </c>
      <c r="C61" s="31" t="s">
        <v>220</v>
      </c>
      <c r="D61" s="9" t="str">
        <f aca="false">INDEX(Articles!$C$2:$C$148,MATCH(C61,Articles!$A$2:$A$148,0))</f>
        <v>Stylo à bille Schneider Tops 505 M bleu</v>
      </c>
      <c r="E61" s="9" t="str">
        <f aca="false">INDEX(Articles!$B$2:$B$148,MATCH(C61,Articles!$A$2:$A$148,0))</f>
        <v>Papex</v>
      </c>
      <c r="F61" s="31" t="n">
        <v>2</v>
      </c>
      <c r="G61" s="13" t="n">
        <f aca="false">IF(INDEX(Articles!$G$2:$G$148,MATCH(C61,Articles!$A$2:$A$148,0))="","",INDEX(Articles!$G$2:$G$148,MATCH(C61,Articles!$A$2:$A$148,0)))</f>
        <v>100</v>
      </c>
      <c r="H61" s="13" t="n">
        <f aca="false">IF(G61="",0,F61*G61)</f>
        <v>200</v>
      </c>
      <c r="I61" s="13" t="str">
        <f aca="false">IF(INDEX(Articles!$E$2:$E$148,MATCH(C61,Articles!$A$2:$A$148,0))="","",INDEX(Articles!$E$2:$E$148,MATCH(C61,Articles!$A$2:$A$148,0)))</f>
        <v/>
      </c>
      <c r="J61" s="13" t="str">
        <f aca="false">IF(I61="","",F61*I61)</f>
        <v/>
      </c>
      <c r="K61" s="9" t="str">
        <f aca="false">INDEX(Articles!$H$2:$H$148,MATCH(C61,Articles!$A$2:$A$148,0))</f>
        <v>Fixé</v>
      </c>
      <c r="L61" s="9" t="str">
        <f aca="false">INDEX(Articles!$F$2:$F$148,MATCH(C61,Articles!$A$2:$A$148,0))</f>
        <v>Inconnu</v>
      </c>
      <c r="M61" s="17"/>
      <c r="N61" s="9" t="s">
        <v>167</v>
      </c>
    </row>
    <row r="62" customFormat="false" ht="15" hidden="false" customHeight="false" outlineLevel="0" collapsed="false">
      <c r="A62" s="9" t="s">
        <v>678</v>
      </c>
      <c r="B62" s="9" t="s">
        <v>710</v>
      </c>
      <c r="C62" s="31" t="s">
        <v>429</v>
      </c>
      <c r="D62" s="9" t="str">
        <f aca="false">INDEX(Articles!$C$2:$C$148,MATCH(C62,Articles!$A$2:$A$148,0))</f>
        <v>Stylo à bille Schneider Tops 505 M vert</v>
      </c>
      <c r="E62" s="9" t="str">
        <f aca="false">INDEX(Articles!$B$2:$B$148,MATCH(C62,Articles!$A$2:$A$148,0))</f>
        <v>Papex</v>
      </c>
      <c r="F62" s="31" t="n">
        <v>1</v>
      </c>
      <c r="G62" s="13" t="n">
        <f aca="false">IF(INDEX(Articles!$G$2:$G$148,MATCH(C62,Articles!$A$2:$A$148,0))="","",INDEX(Articles!$G$2:$G$148,MATCH(C62,Articles!$A$2:$A$148,0)))</f>
        <v>100</v>
      </c>
      <c r="H62" s="13" t="n">
        <f aca="false">IF(G62="",0,F62*G62)</f>
        <v>100</v>
      </c>
      <c r="I62" s="13" t="str">
        <f aca="false">IF(INDEX(Articles!$E$2:$E$148,MATCH(C62,Articles!$A$2:$A$148,0))="","",INDEX(Articles!$E$2:$E$148,MATCH(C62,Articles!$A$2:$A$148,0)))</f>
        <v/>
      </c>
      <c r="J62" s="13" t="str">
        <f aca="false">IF(I62="","",F62*I62)</f>
        <v/>
      </c>
      <c r="K62" s="9" t="str">
        <f aca="false">INDEX(Articles!$H$2:$H$148,MATCH(C62,Articles!$A$2:$A$148,0))</f>
        <v>Fixé</v>
      </c>
      <c r="L62" s="9" t="str">
        <f aca="false">INDEX(Articles!$F$2:$F$148,MATCH(C62,Articles!$A$2:$A$148,0))</f>
        <v>Inconnu</v>
      </c>
      <c r="M62" s="17"/>
      <c r="N62" s="9" t="s">
        <v>167</v>
      </c>
    </row>
    <row r="63" customFormat="false" ht="15" hidden="false" customHeight="false" outlineLevel="0" collapsed="false">
      <c r="A63" s="9" t="s">
        <v>681</v>
      </c>
      <c r="B63" s="9" t="s">
        <v>682</v>
      </c>
      <c r="C63" s="31" t="s">
        <v>218</v>
      </c>
      <c r="D63" s="9" t="str">
        <f aca="false">INDEX(Articles!$C$2:$C$148,MATCH(C63,Articles!$A$2:$A$148,0))</f>
        <v>Crayons de couleur Maped Nightfall, boîte de 24</v>
      </c>
      <c r="E63" s="9" t="str">
        <f aca="false">INDEX(Articles!$B$2:$B$148,MATCH(C63,Articles!$A$2:$A$148,0))</f>
        <v>Papex</v>
      </c>
      <c r="F63" s="31" t="n">
        <v>1</v>
      </c>
      <c r="G63" s="13" t="n">
        <f aca="false">IF(INDEX(Articles!$G$2:$G$148,MATCH(C63,Articles!$A$2:$A$148,0))="","",INDEX(Articles!$G$2:$G$148,MATCH(C63,Articles!$A$2:$A$148,0)))</f>
        <v>1600</v>
      </c>
      <c r="H63" s="13" t="n">
        <f aca="false">IF(G63="",0,F63*G63)</f>
        <v>1600</v>
      </c>
      <c r="I63" s="13" t="n">
        <f aca="false">IF(INDEX(Articles!$E$2:$E$148,MATCH(C63,Articles!$A$2:$A$148,0))="","",INDEX(Articles!$E$2:$E$148,MATCH(C63,Articles!$A$2:$A$148,0)))</f>
        <v>1300</v>
      </c>
      <c r="J63" s="13" t="n">
        <f aca="false">IF(I63="","",F63*I63)</f>
        <v>1300</v>
      </c>
      <c r="K63" s="9" t="str">
        <f aca="false">INDEX(Articles!$H$2:$H$148,MATCH(C63,Articles!$A$2:$A$148,0))</f>
        <v>Estimé</v>
      </c>
      <c r="L63" s="9" t="str">
        <f aca="false">INDEX(Articles!$F$2:$F$148,MATCH(C63,Articles!$A$2:$A$148,0))</f>
        <v>Estimé</v>
      </c>
      <c r="M63" s="17"/>
      <c r="N63" s="9" t="s">
        <v>167</v>
      </c>
    </row>
    <row r="64" customFormat="false" ht="26.85" hidden="false" customHeight="false" outlineLevel="0" collapsed="false">
      <c r="A64" s="9" t="s">
        <v>691</v>
      </c>
      <c r="B64" s="9" t="s">
        <v>692</v>
      </c>
      <c r="C64" s="31" t="s">
        <v>226</v>
      </c>
      <c r="D64" s="9" t="str">
        <f aca="false">INDEX(Articles!$C$2:$C$148,MATCH(C64,Articles!$A$2:$A$148,0))</f>
        <v>Langue et communication C.P.</v>
      </c>
      <c r="E64" s="9" t="str">
        <f aca="false">INDEX(Articles!$B$2:$B$148,MATCH(C64,Articles!$A$2:$A$148,0))</f>
        <v>LPD</v>
      </c>
      <c r="F64" s="31" t="n">
        <v>1</v>
      </c>
      <c r="G64" s="13" t="n">
        <f aca="false">IF(INDEX(Articles!$G$2:$G$148,MATCH(C64,Articles!$A$2:$A$148,0))="","",INDEX(Articles!$G$2:$G$148,MATCH(C64,Articles!$A$2:$A$148,0)))</f>
        <v>3890</v>
      </c>
      <c r="H64" s="13" t="n">
        <f aca="false">IF(G64="",0,F64*G64)</f>
        <v>3890</v>
      </c>
      <c r="I64" s="13" t="n">
        <f aca="false">IF(INDEX(Articles!$E$2:$E$148,MATCH(C64,Articles!$A$2:$A$148,0))="","",INDEX(Articles!$E$2:$E$148,MATCH(C64,Articles!$A$2:$A$148,0)))</f>
        <v>2890</v>
      </c>
      <c r="J64" s="13" t="n">
        <f aca="false">IF(I64="","",F64*I64)</f>
        <v>2890</v>
      </c>
      <c r="K64" s="9" t="str">
        <f aca="false">INDEX(Articles!$H$2:$H$148,MATCH(C64,Articles!$A$2:$A$148,0))</f>
        <v>Fixé</v>
      </c>
      <c r="L64" s="9" t="str">
        <f aca="false">INDEX(Articles!$F$2:$F$148,MATCH(C64,Articles!$A$2:$A$148,0))</f>
        <v>Estimé</v>
      </c>
      <c r="M64" s="17" t="s">
        <v>701</v>
      </c>
      <c r="N64" s="9" t="s">
        <v>167</v>
      </c>
    </row>
    <row r="65" customFormat="false" ht="26.85" hidden="false" customHeight="false" outlineLevel="0" collapsed="false">
      <c r="A65" s="9" t="s">
        <v>691</v>
      </c>
      <c r="B65" s="9" t="s">
        <v>693</v>
      </c>
      <c r="C65" s="31" t="s">
        <v>531</v>
      </c>
      <c r="D65" s="9" t="str">
        <f aca="false">INDEX(Articles!$C$2:$C$148,MATCH(C65,Articles!$A$2:$A$148,0))</f>
        <v>Mathématiques C.P.</v>
      </c>
      <c r="E65" s="9" t="str">
        <f aca="false">INDEX(Articles!$B$2:$B$148,MATCH(C65,Articles!$A$2:$A$148,0))</f>
        <v>LPD</v>
      </c>
      <c r="F65" s="31" t="n">
        <v>1</v>
      </c>
      <c r="G65" s="13" t="n">
        <f aca="false">IF(INDEX(Articles!$G$2:$G$148,MATCH(C65,Articles!$A$2:$A$148,0))="","",INDEX(Articles!$G$2:$G$148,MATCH(C65,Articles!$A$2:$A$148,0)))</f>
        <v>3890</v>
      </c>
      <c r="H65" s="13" t="n">
        <f aca="false">IF(G65="",0,F65*G65)</f>
        <v>3890</v>
      </c>
      <c r="I65" s="13" t="n">
        <f aca="false">IF(INDEX(Articles!$E$2:$E$148,MATCH(C65,Articles!$A$2:$A$148,0))="","",INDEX(Articles!$E$2:$E$148,MATCH(C65,Articles!$A$2:$A$148,0)))</f>
        <v>2890</v>
      </c>
      <c r="J65" s="13" t="n">
        <f aca="false">IF(I65="","",F65*I65)</f>
        <v>2890</v>
      </c>
      <c r="K65" s="9" t="str">
        <f aca="false">INDEX(Articles!$H$2:$H$148,MATCH(C65,Articles!$A$2:$A$148,0))</f>
        <v>Fixé</v>
      </c>
      <c r="L65" s="9" t="str">
        <f aca="false">INDEX(Articles!$F$2:$F$148,MATCH(C65,Articles!$A$2:$A$148,0))</f>
        <v>Estimé</v>
      </c>
      <c r="M65" s="17" t="s">
        <v>701</v>
      </c>
      <c r="N65" s="9" t="s">
        <v>167</v>
      </c>
    </row>
    <row r="66" customFormat="false" ht="26.85" hidden="false" customHeight="false" outlineLevel="0" collapsed="false">
      <c r="A66" s="9" t="s">
        <v>691</v>
      </c>
      <c r="B66" s="9" t="s">
        <v>694</v>
      </c>
      <c r="C66" s="31" t="s">
        <v>533</v>
      </c>
      <c r="D66" s="9" t="str">
        <f aca="false">INDEX(Articles!$C$2:$C$148,MATCH(C66,Articles!$A$2:$A$148,0))</f>
        <v>Découverte du monde C.P.</v>
      </c>
      <c r="E66" s="9" t="str">
        <f aca="false">INDEX(Articles!$B$2:$B$148,MATCH(C66,Articles!$A$2:$A$148,0))</f>
        <v>LPD</v>
      </c>
      <c r="F66" s="31" t="n">
        <v>1</v>
      </c>
      <c r="G66" s="13" t="n">
        <f aca="false">IF(INDEX(Articles!$G$2:$G$148,MATCH(C66,Articles!$A$2:$A$148,0))="","",INDEX(Articles!$G$2:$G$148,MATCH(C66,Articles!$A$2:$A$148,0)))</f>
        <v>3890</v>
      </c>
      <c r="H66" s="13" t="n">
        <f aca="false">IF(G66="",0,F66*G66)</f>
        <v>3890</v>
      </c>
      <c r="I66" s="13" t="n">
        <f aca="false">IF(INDEX(Articles!$E$2:$E$148,MATCH(C66,Articles!$A$2:$A$148,0))="","",INDEX(Articles!$E$2:$E$148,MATCH(C66,Articles!$A$2:$A$148,0)))</f>
        <v>2890</v>
      </c>
      <c r="J66" s="13" t="n">
        <f aca="false">IF(I66="","",F66*I66)</f>
        <v>2890</v>
      </c>
      <c r="K66" s="9" t="str">
        <f aca="false">INDEX(Articles!$H$2:$H$148,MATCH(C66,Articles!$A$2:$A$148,0))</f>
        <v>Fixé</v>
      </c>
      <c r="L66" s="9" t="str">
        <f aca="false">INDEX(Articles!$F$2:$F$148,MATCH(C66,Articles!$A$2:$A$148,0))</f>
        <v>Estimé</v>
      </c>
      <c r="M66" s="17" t="s">
        <v>701</v>
      </c>
      <c r="N66" s="9" t="s">
        <v>167</v>
      </c>
    </row>
    <row r="67" customFormat="false" ht="15" hidden="false" customHeight="false" outlineLevel="0" collapsed="false">
      <c r="A67" s="9" t="s">
        <v>703</v>
      </c>
      <c r="B67" s="9" t="s">
        <v>704</v>
      </c>
      <c r="C67" s="31" t="s">
        <v>563</v>
      </c>
      <c r="D67" s="9" t="str">
        <f aca="false">INDEX(Articles!$C$2:$C$148,MATCH(C67,Articles!$A$2:$A$148,0))</f>
        <v>Cahier d’activités fongible LC C.P.</v>
      </c>
      <c r="E67" s="9" t="str">
        <f aca="false">INDEX(Articles!$B$2:$B$148,MATCH(C67,Articles!$A$2:$A$148,0))</f>
        <v>LPD</v>
      </c>
      <c r="F67" s="31" t="n">
        <v>1</v>
      </c>
      <c r="G67" s="13" t="n">
        <f aca="false">IF(INDEX(Articles!$G$2:$G$148,MATCH(C67,Articles!$A$2:$A$148,0))="","",INDEX(Articles!$G$2:$G$148,MATCH(C67,Articles!$A$2:$A$148,0)))</f>
        <v>2790</v>
      </c>
      <c r="H67" s="13" t="n">
        <f aca="false">IF(G67="",0,F67*G67)</f>
        <v>2790</v>
      </c>
      <c r="I67" s="13" t="n">
        <f aca="false">IF(INDEX(Articles!$E$2:$E$148,MATCH(C67,Articles!$A$2:$A$148,0))="","",INDEX(Articles!$E$2:$E$148,MATCH(C67,Articles!$A$2:$A$148,0)))</f>
        <v>1790</v>
      </c>
      <c r="J67" s="13" t="n">
        <f aca="false">IF(I67="","",F67*I67)</f>
        <v>1790</v>
      </c>
      <c r="K67" s="9" t="str">
        <f aca="false">INDEX(Articles!$H$2:$H$148,MATCH(C67,Articles!$A$2:$A$148,0))</f>
        <v>Fixé</v>
      </c>
      <c r="L67" s="9" t="str">
        <f aca="false">INDEX(Articles!$F$2:$F$148,MATCH(C67,Articles!$A$2:$A$148,0))</f>
        <v>Estimé</v>
      </c>
      <c r="M67" s="17"/>
      <c r="N67" s="9" t="s">
        <v>167</v>
      </c>
    </row>
    <row r="68" customFormat="false" ht="15" hidden="false" customHeight="false" outlineLevel="0" collapsed="false">
      <c r="A68" s="9" t="s">
        <v>703</v>
      </c>
      <c r="B68" s="9" t="s">
        <v>705</v>
      </c>
      <c r="C68" s="31" t="s">
        <v>244</v>
      </c>
      <c r="D68" s="9" t="str">
        <f aca="false">INDEX(Articles!$C$2:$C$148,MATCH(C68,Articles!$A$2:$A$148,0))</f>
        <v>Cahier d’activités mathématiques C.P.</v>
      </c>
      <c r="E68" s="9" t="str">
        <f aca="false">INDEX(Articles!$B$2:$B$148,MATCH(C68,Articles!$A$2:$A$148,0))</f>
        <v>LPD</v>
      </c>
      <c r="F68" s="31" t="n">
        <v>1</v>
      </c>
      <c r="G68" s="13" t="n">
        <f aca="false">IF(INDEX(Articles!$G$2:$G$148,MATCH(C68,Articles!$A$2:$A$148,0))="","",INDEX(Articles!$G$2:$G$148,MATCH(C68,Articles!$A$2:$A$148,0)))</f>
        <v>2790</v>
      </c>
      <c r="H68" s="13" t="n">
        <f aca="false">IF(G68="",0,F68*G68)</f>
        <v>2790</v>
      </c>
      <c r="I68" s="13" t="n">
        <f aca="false">IF(INDEX(Articles!$E$2:$E$148,MATCH(C68,Articles!$A$2:$A$148,0))="","",INDEX(Articles!$E$2:$E$148,MATCH(C68,Articles!$A$2:$A$148,0)))</f>
        <v>1790</v>
      </c>
      <c r="J68" s="13" t="n">
        <f aca="false">IF(I68="","",F68*I68)</f>
        <v>1790</v>
      </c>
      <c r="K68" s="9" t="str">
        <f aca="false">INDEX(Articles!$H$2:$H$148,MATCH(C68,Articles!$A$2:$A$148,0))</f>
        <v>Fixé</v>
      </c>
      <c r="L68" s="9" t="str">
        <f aca="false">INDEX(Articles!$F$2:$F$148,MATCH(C68,Articles!$A$2:$A$148,0))</f>
        <v>Estimé</v>
      </c>
      <c r="M68" s="17"/>
      <c r="N68" s="9" t="s">
        <v>167</v>
      </c>
    </row>
    <row r="69" customFormat="false" ht="15" hidden="false" customHeight="false" outlineLevel="0" collapsed="false">
      <c r="D69" s="32" t="s">
        <v>683</v>
      </c>
      <c r="E69" s="32"/>
      <c r="F69" s="32"/>
      <c r="G69" s="32"/>
      <c r="H69" s="33" t="n">
        <f aca="false">COUNTIF(G57:G68,"")</f>
        <v>0</v>
      </c>
    </row>
    <row r="70" customFormat="false" ht="15" hidden="false" customHeight="false" outlineLevel="0" collapsed="false">
      <c r="D70" s="32" t="s">
        <v>684</v>
      </c>
      <c r="E70" s="32"/>
      <c r="F70" s="32"/>
      <c r="G70" s="32"/>
      <c r="H70" s="33" t="n">
        <f aca="false">SUM(H57:H68)</f>
        <v>25500</v>
      </c>
    </row>
    <row r="71" customFormat="false" ht="15" hidden="false" customHeight="false" outlineLevel="0" collapsed="false">
      <c r="D71" s="32" t="s">
        <v>28</v>
      </c>
      <c r="E71" s="32"/>
      <c r="F71" s="32"/>
      <c r="G71" s="32"/>
      <c r="H71" s="33" t="n">
        <f aca="false">SUM(J57:J68)</f>
        <v>18250</v>
      </c>
    </row>
    <row r="72" customFormat="false" ht="15" hidden="false" customHeight="false" outlineLevel="0" collapsed="false">
      <c r="D72" s="32" t="s">
        <v>685</v>
      </c>
      <c r="E72" s="32"/>
      <c r="F72" s="32"/>
      <c r="G72" s="32"/>
      <c r="H72" s="33" t="n">
        <f aca="false">COUNTIF(I57:I68,"")</f>
        <v>2</v>
      </c>
    </row>
    <row r="73" customFormat="false" ht="15" hidden="false" customHeight="false" outlineLevel="0" collapsed="false">
      <c r="D73" s="32" t="s">
        <v>686</v>
      </c>
      <c r="E73" s="32"/>
      <c r="F73" s="32"/>
      <c r="G73" s="32"/>
      <c r="H73" s="33" t="n">
        <f aca="false">SUMPRODUCT((I57:I68&lt;&gt;"")*H57:H68)-H71</f>
        <v>6950</v>
      </c>
    </row>
    <row r="74" customFormat="false" ht="15" hidden="false" customHeight="false" outlineLevel="0" collapsed="false">
      <c r="D74" s="32" t="s">
        <v>687</v>
      </c>
      <c r="E74" s="32"/>
      <c r="F74" s="32"/>
      <c r="G74" s="32"/>
      <c r="H74" s="33" t="n">
        <f aca="false">SUMIF(A57:A68,"Cahiers",F57:F68)</f>
        <v>2</v>
      </c>
    </row>
    <row r="75" customFormat="false" ht="15" hidden="false" customHeight="false" outlineLevel="0" collapsed="false">
      <c r="D75" s="32" t="s">
        <v>688</v>
      </c>
      <c r="E75" s="32"/>
      <c r="F75" s="32"/>
      <c r="G75" s="32"/>
      <c r="H75" s="34" t="n">
        <f aca="false">IF(H70=0,0,SUMIF(K57:K68,"&lt;&gt;Fixé",H57:H68)/H70)</f>
        <v>0.133333333333333</v>
      </c>
    </row>
    <row r="76" customFormat="false" ht="15" hidden="false" customHeight="false" outlineLevel="0" collapsed="false">
      <c r="D76" s="32" t="s">
        <v>689</v>
      </c>
      <c r="E76" s="32"/>
      <c r="F76" s="32"/>
      <c r="G76" s="32"/>
      <c r="H76" s="33" t="str">
        <f aca="false">IF(H69&gt;0,"Total incomplet : "&amp;H69&amp;" prix de vente à fournir",IF(H72&gt;0,"Coût incomplet : "&amp;H72&amp;" ligne(s) sans prix d'achat","Complet"))</f>
        <v>Coût incomplet : 2 ligne(s) sans prix d'achat</v>
      </c>
    </row>
    <row r="77" customFormat="false" ht="15" hidden="false" customHeight="false" outlineLevel="0" collapsed="false">
      <c r="D77" s="21" t="s">
        <v>696</v>
      </c>
      <c r="E77" s="21" t="str">
        <f aca="false">INDEX(Articles!$C$2:$C$148,MATCH("S027",Articles!$A$2:$A$148,0))</f>
        <v>Cartable rigide bleu marine</v>
      </c>
      <c r="H77" s="41" t="n">
        <f aca="false">INDEX(Articles!$G$2:$G$148,MATCH("S027",Articles!$A$2:$A$148,0))</f>
        <v>7500</v>
      </c>
    </row>
    <row r="78" customFormat="false" ht="15" hidden="false" customHeight="false" outlineLevel="0" collapsed="false">
      <c r="D78" s="42" t="s">
        <v>697</v>
      </c>
      <c r="E78" s="44" t="s">
        <v>711</v>
      </c>
    </row>
  </sheetData>
  <mergeCells count="24">
    <mergeCell ref="D13:G13"/>
    <mergeCell ref="D14:G14"/>
    <mergeCell ref="D15:G15"/>
    <mergeCell ref="D16:G16"/>
    <mergeCell ref="D17:G17"/>
    <mergeCell ref="D18:G18"/>
    <mergeCell ref="D19:G19"/>
    <mergeCell ref="D20:G20"/>
    <mergeCell ref="D43:G43"/>
    <mergeCell ref="D44:G44"/>
    <mergeCell ref="D45:G45"/>
    <mergeCell ref="D46:G46"/>
    <mergeCell ref="D47:G47"/>
    <mergeCell ref="D48:G48"/>
    <mergeCell ref="D49:G49"/>
    <mergeCell ref="D50:G50"/>
    <mergeCell ref="D69:G69"/>
    <mergeCell ref="D70:G70"/>
    <mergeCell ref="D71:G71"/>
    <mergeCell ref="D72:G72"/>
    <mergeCell ref="D73:G73"/>
    <mergeCell ref="D74:G74"/>
    <mergeCell ref="D75:G75"/>
    <mergeCell ref="D76:G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715</v>
      </c>
    </row>
    <row r="2" customFormat="false" ht="15" hidden="false" customHeight="false" outlineLevel="0" collapsed="false">
      <c r="A2" s="21" t="s">
        <v>661</v>
      </c>
    </row>
    <row r="4" customFormat="false" ht="15" hidden="false" customHeight="false" outlineLevel="0" collapsed="false">
      <c r="A4" s="28" t="s">
        <v>716</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708</v>
      </c>
      <c r="C6" s="31" t="s">
        <v>195</v>
      </c>
      <c r="D6" s="9" t="str">
        <f aca="false">INDEX(Articles!$C$2:$C$148,MATCH(C6,Articles!$A$2:$A$148,0))</f>
        <v>Cahier Calligraphe 96 pages 17x22 56 g seyès</v>
      </c>
      <c r="E6" s="9" t="str">
        <f aca="false">INDEX(Articles!$B$2:$B$148,MATCH(C6,Articles!$A$2:$A$148,0))</f>
        <v>Papex</v>
      </c>
      <c r="F6" s="31" t="n">
        <v>4</v>
      </c>
      <c r="G6" s="13" t="n">
        <f aca="false">IF(INDEX(Articles!$G$2:$G$148,MATCH(C6,Articles!$A$2:$A$148,0))="","",INDEX(Articles!$G$2:$G$148,MATCH(C6,Articles!$A$2:$A$148,0)))</f>
        <v>450</v>
      </c>
      <c r="H6" s="13" t="n">
        <f aca="false">IF(G6="",0,F6*G6)</f>
        <v>1800</v>
      </c>
      <c r="I6" s="13" t="n">
        <f aca="false">IF(INDEX(Articles!$E$2:$E$148,MATCH(C6,Articles!$A$2:$A$148,0))="","",INDEX(Articles!$E$2:$E$148,MATCH(C6,Articles!$A$2:$A$148,0)))</f>
        <v>350</v>
      </c>
      <c r="J6" s="13" t="n">
        <f aca="false">IF(I6="","",F6*I6)</f>
        <v>1400</v>
      </c>
      <c r="K6" s="9" t="str">
        <f aca="false">INDEX(Articles!$H$2:$H$148,MATCH(C6,Articles!$A$2:$A$148,0))</f>
        <v>Fixé</v>
      </c>
      <c r="L6" s="9" t="str">
        <f aca="false">INDEX(Articles!$F$2:$F$148,MATCH(C6,Articles!$A$2:$A$148,0))</f>
        <v>Confirmé</v>
      </c>
      <c r="M6" s="17"/>
      <c r="N6" s="9" t="s">
        <v>167</v>
      </c>
    </row>
    <row r="7" customFormat="false" ht="15" hidden="false" customHeight="false" outlineLevel="0" collapsed="false">
      <c r="A7" s="9" t="s">
        <v>676</v>
      </c>
      <c r="B7" s="9" t="s">
        <v>709</v>
      </c>
      <c r="C7" s="31" t="s">
        <v>239</v>
      </c>
      <c r="D7" s="9" t="str">
        <f aca="false">INDEX(Articles!$C$2:$C$148,MATCH(C7,Articles!$A$2:$A$148,0))</f>
        <v>Kit de traçage 30 cm, 4 pièces L'écolier</v>
      </c>
      <c r="E7" s="9" t="str">
        <f aca="false">INDEX(Articles!$B$2:$B$148,MATCH(C7,Articles!$A$2:$A$148,0))</f>
        <v>Papex</v>
      </c>
      <c r="F7" s="31" t="n">
        <v>1</v>
      </c>
      <c r="G7" s="13" t="n">
        <f aca="false">IF(INDEX(Articles!$G$2:$G$148,MATCH(C7,Articles!$A$2:$A$148,0))="","",INDEX(Articles!$G$2:$G$148,MATCH(C7,Articles!$A$2:$A$148,0)))</f>
        <v>900</v>
      </c>
      <c r="H7" s="13" t="n">
        <f aca="false">IF(G7="",0,F7*G7)</f>
        <v>900</v>
      </c>
      <c r="I7" s="13" t="n">
        <f aca="false">IF(INDEX(Articles!$E$2:$E$148,MATCH(C7,Articles!$A$2:$A$148,0))="","",INDEX(Articles!$E$2:$E$148,MATCH(C7,Articles!$A$2:$A$148,0)))</f>
        <v>650</v>
      </c>
      <c r="J7" s="13" t="n">
        <f aca="false">IF(I7="","",F7*I7)</f>
        <v>650</v>
      </c>
      <c r="K7" s="9" t="str">
        <f aca="false">INDEX(Articles!$H$2:$H$148,MATCH(C7,Articles!$A$2:$A$148,0))</f>
        <v>Estimé</v>
      </c>
      <c r="L7" s="9" t="str">
        <f aca="false">INDEX(Articles!$F$2:$F$148,MATCH(C7,Articles!$A$2:$A$148,0))</f>
        <v>Confirmé</v>
      </c>
      <c r="M7" s="17"/>
      <c r="N7" s="9" t="s">
        <v>167</v>
      </c>
    </row>
    <row r="8" customFormat="false" ht="15" hidden="false" customHeight="false" outlineLevel="0" collapsed="false">
      <c r="A8" s="9" t="s">
        <v>674</v>
      </c>
      <c r="B8" s="9" t="s">
        <v>674</v>
      </c>
      <c r="C8" s="31" t="s">
        <v>165</v>
      </c>
      <c r="D8" s="9" t="str">
        <f aca="false">INDEX(Articles!$C$2:$C$148,MATCH(C8,Articles!$A$2:$A$148,0))</f>
        <v>Ardoise scolaire</v>
      </c>
      <c r="E8" s="9" t="str">
        <f aca="false">INDEX(Articles!$B$2:$B$148,MATCH(C8,Articles!$A$2:$A$148,0))</f>
        <v>LPD</v>
      </c>
      <c r="F8" s="31" t="n">
        <v>1</v>
      </c>
      <c r="G8" s="13" t="n">
        <f aca="false">IF(INDEX(Articles!$G$2:$G$148,MATCH(C8,Articles!$A$2:$A$148,0))="","",INDEX(Articles!$G$2:$G$148,MATCH(C8,Articles!$A$2:$A$148,0)))</f>
        <v>900</v>
      </c>
      <c r="H8" s="13" t="n">
        <f aca="false">IF(G8="",0,F8*G8)</f>
        <v>900</v>
      </c>
      <c r="I8" s="13" t="n">
        <f aca="false">IF(INDEX(Articles!$E$2:$E$148,MATCH(C8,Articles!$A$2:$A$148,0))="","",INDEX(Articles!$E$2:$E$148,MATCH(C8,Articles!$A$2:$A$148,0)))</f>
        <v>600</v>
      </c>
      <c r="J8" s="13" t="n">
        <f aca="false">IF(I8="","",F8*I8)</f>
        <v>600</v>
      </c>
      <c r="K8" s="9" t="str">
        <f aca="false">INDEX(Articles!$H$2:$H$148,MATCH(C8,Articles!$A$2:$A$148,0))</f>
        <v>Fixé</v>
      </c>
      <c r="L8" s="9" t="str">
        <f aca="false">INDEX(Articles!$F$2:$F$148,MATCH(C8,Articles!$A$2:$A$148,0))</f>
        <v>Estimé</v>
      </c>
      <c r="M8" s="17"/>
      <c r="N8" s="9" t="s">
        <v>167</v>
      </c>
    </row>
    <row r="9" customFormat="false" ht="15" hidden="false" customHeight="false" outlineLevel="0" collapsed="false">
      <c r="A9" s="9" t="s">
        <v>681</v>
      </c>
      <c r="B9" s="9" t="s">
        <v>682</v>
      </c>
      <c r="C9" s="31" t="s">
        <v>198</v>
      </c>
      <c r="D9" s="9" t="str">
        <f aca="false">INDEX(Articles!$C$2:$C$148,MATCH(C9,Articles!$A$2:$A$148,0))</f>
        <v>Crayons de couleur Maped, boîte de 12</v>
      </c>
      <c r="E9" s="9" t="str">
        <f aca="false">INDEX(Articles!$B$2:$B$148,MATCH(C9,Articles!$A$2:$A$148,0))</f>
        <v>Papex</v>
      </c>
      <c r="F9" s="31" t="n">
        <v>1</v>
      </c>
      <c r="G9" s="13" t="n">
        <f aca="false">IF(INDEX(Articles!$G$2:$G$148,MATCH(C9,Articles!$A$2:$A$148,0))="","",INDEX(Articles!$G$2:$G$148,MATCH(C9,Articles!$A$2:$A$148,0)))</f>
        <v>900</v>
      </c>
      <c r="H9" s="13" t="n">
        <f aca="false">IF(G9="",0,F9*G9)</f>
        <v>900</v>
      </c>
      <c r="I9" s="13" t="n">
        <f aca="false">IF(INDEX(Articles!$E$2:$E$148,MATCH(C9,Articles!$A$2:$A$148,0))="","",INDEX(Articles!$E$2:$E$148,MATCH(C9,Articles!$A$2:$A$148,0)))</f>
        <v>650</v>
      </c>
      <c r="J9" s="13" t="n">
        <f aca="false">IF(I9="","",F9*I9)</f>
        <v>650</v>
      </c>
      <c r="K9" s="9" t="str">
        <f aca="false">INDEX(Articles!$H$2:$H$148,MATCH(C9,Articles!$A$2:$A$148,0))</f>
        <v>Estimé</v>
      </c>
      <c r="L9" s="9" t="str">
        <f aca="false">INDEX(Articles!$F$2:$F$148,MATCH(C9,Articles!$A$2:$A$148,0))</f>
        <v>Estimé</v>
      </c>
      <c r="M9" s="17"/>
      <c r="N9" s="9" t="s">
        <v>167</v>
      </c>
    </row>
    <row r="10" customFormat="false" ht="15" hidden="false" customHeight="false" outlineLevel="0" collapsed="false">
      <c r="A10" s="9" t="s">
        <v>678</v>
      </c>
      <c r="B10" s="9" t="s">
        <v>680</v>
      </c>
      <c r="C10" s="31" t="s">
        <v>220</v>
      </c>
      <c r="D10" s="9" t="str">
        <f aca="false">INDEX(Articles!$C$2:$C$148,MATCH(C10,Articles!$A$2:$A$148,0))</f>
        <v>Stylo à bille Schneider Tops 505 M bleu</v>
      </c>
      <c r="E10" s="9" t="str">
        <f aca="false">INDEX(Articles!$B$2:$B$148,MATCH(C10,Articles!$A$2:$A$148,0))</f>
        <v>Papex</v>
      </c>
      <c r="F10" s="31" t="n">
        <v>1</v>
      </c>
      <c r="G10" s="13" t="n">
        <f aca="false">IF(INDEX(Articles!$G$2:$G$148,MATCH(C10,Articles!$A$2:$A$148,0))="","",INDEX(Articles!$G$2:$G$148,MATCH(C10,Articles!$A$2:$A$148,0)))</f>
        <v>100</v>
      </c>
      <c r="H10" s="13" t="n">
        <f aca="false">IF(G10="",0,F10*G10)</f>
        <v>100</v>
      </c>
      <c r="I10" s="13" t="str">
        <f aca="false">IF(INDEX(Articles!$E$2:$E$148,MATCH(C10,Articles!$A$2:$A$148,0))="","",INDEX(Articles!$E$2:$E$148,MATCH(C10,Articles!$A$2:$A$148,0)))</f>
        <v/>
      </c>
      <c r="J10" s="13" t="str">
        <f aca="false">IF(I10="","",F10*I10)</f>
        <v/>
      </c>
      <c r="K10" s="9" t="str">
        <f aca="false">INDEX(Articles!$H$2:$H$148,MATCH(C10,Articles!$A$2:$A$148,0))</f>
        <v>Fixé</v>
      </c>
      <c r="L10" s="9" t="str">
        <f aca="false">INDEX(Articles!$F$2:$F$148,MATCH(C10,Articles!$A$2:$A$148,0))</f>
        <v>Inconnu</v>
      </c>
      <c r="M10" s="17"/>
      <c r="N10" s="9" t="s">
        <v>167</v>
      </c>
    </row>
    <row r="11" customFormat="false" ht="15" hidden="false" customHeight="false" outlineLevel="0" collapsed="false">
      <c r="A11" s="9" t="s">
        <v>678</v>
      </c>
      <c r="B11" s="9" t="s">
        <v>710</v>
      </c>
      <c r="C11" s="31" t="s">
        <v>429</v>
      </c>
      <c r="D11" s="9" t="str">
        <f aca="false">INDEX(Articles!$C$2:$C$148,MATCH(C11,Articles!$A$2:$A$148,0))</f>
        <v>Stylo à bille Schneider Tops 505 M vert</v>
      </c>
      <c r="E11" s="9" t="str">
        <f aca="false">INDEX(Articles!$B$2:$B$148,MATCH(C11,Articles!$A$2:$A$148,0))</f>
        <v>Papex</v>
      </c>
      <c r="F11" s="31" t="n">
        <v>1</v>
      </c>
      <c r="G11" s="13" t="n">
        <f aca="false">IF(INDEX(Articles!$G$2:$G$148,MATCH(C11,Articles!$A$2:$A$148,0))="","",INDEX(Articles!$G$2:$G$148,MATCH(C11,Articles!$A$2:$A$148,0)))</f>
        <v>100</v>
      </c>
      <c r="H11" s="13" t="n">
        <f aca="false">IF(G11="",0,F11*G11)</f>
        <v>100</v>
      </c>
      <c r="I11" s="13" t="str">
        <f aca="false">IF(INDEX(Articles!$E$2:$E$148,MATCH(C11,Articles!$A$2:$A$148,0))="","",INDEX(Articles!$E$2:$E$148,MATCH(C11,Articles!$A$2:$A$148,0)))</f>
        <v/>
      </c>
      <c r="J11" s="13" t="str">
        <f aca="false">IF(I11="","",F11*I11)</f>
        <v/>
      </c>
      <c r="K11" s="9" t="str">
        <f aca="false">INDEX(Articles!$H$2:$H$148,MATCH(C11,Articles!$A$2:$A$148,0))</f>
        <v>Fixé</v>
      </c>
      <c r="L11" s="9" t="str">
        <f aca="false">INDEX(Articles!$F$2:$F$148,MATCH(C11,Articles!$A$2:$A$148,0))</f>
        <v>Inconnu</v>
      </c>
      <c r="M11" s="17"/>
      <c r="N11" s="9" t="s">
        <v>167</v>
      </c>
    </row>
    <row r="12" customFormat="false" ht="15" hidden="false" customHeight="false" outlineLevel="0" collapsed="false">
      <c r="A12" s="9" t="s">
        <v>678</v>
      </c>
      <c r="B12" s="9" t="s">
        <v>679</v>
      </c>
      <c r="C12" s="31" t="s">
        <v>235</v>
      </c>
      <c r="D12" s="9" t="str">
        <f aca="false">INDEX(Articles!$C$2:$C$148,MATCH(C12,Articles!$A$2:$A$148,0))</f>
        <v>Crayon papier (vendu à l'unité)</v>
      </c>
      <c r="E12" s="9" t="str">
        <f aca="false">INDEX(Articles!$B$2:$B$148,MATCH(C12,Articles!$A$2:$A$148,0))</f>
        <v>LPD</v>
      </c>
      <c r="F12" s="31" t="n">
        <v>1</v>
      </c>
      <c r="G12" s="13" t="n">
        <f aca="false">IF(INDEX(Articles!$G$2:$G$148,MATCH(C12,Articles!$A$2:$A$148,0))="","",INDEX(Articles!$G$2:$G$148,MATCH(C12,Articles!$A$2:$A$148,0)))</f>
        <v>75</v>
      </c>
      <c r="H12" s="13" t="n">
        <f aca="false">IF(G12="",0,F12*G12)</f>
        <v>75</v>
      </c>
      <c r="I12" s="13" t="str">
        <f aca="false">IF(INDEX(Articles!$E$2:$E$148,MATCH(C12,Articles!$A$2:$A$148,0))="","",INDEX(Articles!$E$2:$E$148,MATCH(C12,Articles!$A$2:$A$148,0)))</f>
        <v/>
      </c>
      <c r="J12" s="13" t="str">
        <f aca="false">IF(I12="","",F12*I12)</f>
        <v/>
      </c>
      <c r="K12" s="9" t="str">
        <f aca="false">INDEX(Articles!$H$2:$H$148,MATCH(C12,Articles!$A$2:$A$148,0))</f>
        <v>Fixé</v>
      </c>
      <c r="L12" s="9" t="str">
        <f aca="false">INDEX(Articles!$F$2:$F$148,MATCH(C12,Articles!$A$2:$A$148,0))</f>
        <v>Inconnu</v>
      </c>
      <c r="M12" s="17"/>
      <c r="N12" s="9" t="s">
        <v>167</v>
      </c>
    </row>
    <row r="13" customFormat="false" ht="15" hidden="false" customHeight="false" outlineLevel="0" collapsed="false">
      <c r="A13" s="9" t="s">
        <v>675</v>
      </c>
      <c r="B13" s="9" t="s">
        <v>717</v>
      </c>
      <c r="C13" s="31" t="s">
        <v>180</v>
      </c>
      <c r="D13" s="9" t="str">
        <f aca="false">INDEX(Articles!$C$2:$C$148,MATCH(C13,Articles!$A$2:$A$148,0))</f>
        <v>Gomme Staedtler Mars Plastic</v>
      </c>
      <c r="E13" s="9" t="str">
        <f aca="false">INDEX(Articles!$B$2:$B$148,MATCH(C13,Articles!$A$2:$A$148,0))</f>
        <v>LPD</v>
      </c>
      <c r="F13" s="31" t="n">
        <v>1</v>
      </c>
      <c r="G13" s="13" t="n">
        <f aca="false">IF(INDEX(Articles!$G$2:$G$148,MATCH(C13,Articles!$A$2:$A$148,0))="","",INDEX(Articles!$G$2:$G$148,MATCH(C13,Articles!$A$2:$A$148,0)))</f>
        <v>250</v>
      </c>
      <c r="H13" s="13" t="n">
        <f aca="false">IF(G13="",0,F13*G13)</f>
        <v>250</v>
      </c>
      <c r="I13" s="13" t="n">
        <f aca="false">IF(INDEX(Articles!$E$2:$E$148,MATCH(C13,Articles!$A$2:$A$148,0))="","",INDEX(Articles!$E$2:$E$148,MATCH(C13,Articles!$A$2:$A$148,0)))</f>
        <v>110</v>
      </c>
      <c r="J13" s="13" t="n">
        <f aca="false">IF(I13="","",F13*I13)</f>
        <v>110</v>
      </c>
      <c r="K13" s="9" t="str">
        <f aca="false">INDEX(Articles!$H$2:$H$148,MATCH(C13,Articles!$A$2:$A$148,0))</f>
        <v>Fixé</v>
      </c>
      <c r="L13" s="9" t="str">
        <f aca="false">INDEX(Articles!$F$2:$F$148,MATCH(C13,Articles!$A$2:$A$148,0))</f>
        <v>Estimé</v>
      </c>
      <c r="M13" s="17"/>
      <c r="N13" s="9" t="s">
        <v>167</v>
      </c>
    </row>
    <row r="14" customFormat="false" ht="15" hidden="false" customHeight="false" outlineLevel="0" collapsed="false">
      <c r="D14" s="32" t="s">
        <v>683</v>
      </c>
      <c r="E14" s="32"/>
      <c r="F14" s="32"/>
      <c r="G14" s="32"/>
      <c r="H14" s="33" t="n">
        <f aca="false">COUNTIF(G6:G13,"")</f>
        <v>0</v>
      </c>
    </row>
    <row r="15" customFormat="false" ht="15" hidden="false" customHeight="false" outlineLevel="0" collapsed="false">
      <c r="D15" s="32" t="s">
        <v>684</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685</v>
      </c>
      <c r="E17" s="32"/>
      <c r="F17" s="32"/>
      <c r="G17" s="32"/>
      <c r="H17" s="33" t="n">
        <f aca="false">COUNTIF(I6:I13,"")</f>
        <v>3</v>
      </c>
    </row>
    <row r="18" customFormat="false" ht="15" hidden="false" customHeight="false" outlineLevel="0" collapsed="false">
      <c r="D18" s="32" t="s">
        <v>686</v>
      </c>
      <c r="E18" s="32"/>
      <c r="F18" s="32"/>
      <c r="G18" s="32"/>
      <c r="H18" s="33" t="n">
        <f aca="false">SUMPRODUCT((I6:I13&lt;&gt;"")*H6:H13)-H16</f>
        <v>1340</v>
      </c>
    </row>
    <row r="19" customFormat="false" ht="15" hidden="false" customHeight="false" outlineLevel="0" collapsed="false">
      <c r="D19" s="32" t="s">
        <v>687</v>
      </c>
      <c r="E19" s="32"/>
      <c r="F19" s="32"/>
      <c r="G19" s="32"/>
      <c r="H19" s="33" t="n">
        <f aca="false">SUMIF(A6:A13,"Cahiers",F6:F13)</f>
        <v>4</v>
      </c>
    </row>
    <row r="20" customFormat="false" ht="15" hidden="false" customHeight="false" outlineLevel="0" collapsed="false">
      <c r="D20" s="32" t="s">
        <v>688</v>
      </c>
      <c r="E20" s="32"/>
      <c r="F20" s="32"/>
      <c r="G20" s="32"/>
      <c r="H20" s="34" t="n">
        <f aca="false">IF(H15=0,0,SUMIF(K6:K13,"&lt;&gt;Fixé",H6:H13)/H15)</f>
        <v>0.358208955223881</v>
      </c>
    </row>
    <row r="21" customFormat="false" ht="15" hidden="false" customHeight="false" outlineLevel="0" collapsed="false">
      <c r="D21" s="32" t="s">
        <v>689</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690</v>
      </c>
    </row>
    <row r="24" customFormat="false" ht="15" hidden="false" customHeight="false" outlineLevel="0" collapsed="false">
      <c r="A24" s="36" t="s">
        <v>691</v>
      </c>
      <c r="B24" s="36" t="s">
        <v>692</v>
      </c>
      <c r="C24" s="31" t="s">
        <v>535</v>
      </c>
      <c r="D24" s="36" t="str">
        <f aca="false">INDEX(Articles!$C$2:$C$148,MATCH(C24,Articles!$A$2:$A$148,0))</f>
        <v>Langue et communication C.E.1</v>
      </c>
      <c r="E24" s="37"/>
      <c r="F24" s="37"/>
      <c r="G24" s="38" t="n">
        <f aca="false">INDEX(Articles!$G$2:$G$148,MATCH(C24,Articles!$A$2:$A$148,0))</f>
        <v>4000</v>
      </c>
      <c r="H24" s="37"/>
      <c r="I24" s="37"/>
      <c r="J24" s="37"/>
      <c r="K24" s="37"/>
      <c r="L24" s="37"/>
      <c r="M24" s="37"/>
      <c r="N24" s="39" t="s">
        <v>271</v>
      </c>
    </row>
    <row r="25" customFormat="false" ht="15" hidden="false" customHeight="false" outlineLevel="0" collapsed="false">
      <c r="A25" s="36" t="s">
        <v>691</v>
      </c>
      <c r="B25" s="36" t="s">
        <v>693</v>
      </c>
      <c r="C25" s="31" t="s">
        <v>537</v>
      </c>
      <c r="D25" s="36" t="str">
        <f aca="false">INDEX(Articles!$C$2:$C$148,MATCH(C25,Articles!$A$2:$A$148,0))</f>
        <v>Mathématiques C.E.1</v>
      </c>
      <c r="E25" s="37"/>
      <c r="F25" s="37"/>
      <c r="G25" s="38" t="n">
        <f aca="false">INDEX(Articles!$G$2:$G$148,MATCH(C25,Articles!$A$2:$A$148,0))</f>
        <v>4000</v>
      </c>
      <c r="H25" s="37"/>
      <c r="I25" s="37"/>
      <c r="J25" s="37"/>
      <c r="K25" s="37"/>
      <c r="L25" s="37"/>
      <c r="M25" s="37"/>
      <c r="N25" s="39" t="s">
        <v>271</v>
      </c>
    </row>
    <row r="26" customFormat="false" ht="15" hidden="false" customHeight="false" outlineLevel="0" collapsed="false">
      <c r="A26" s="36" t="s">
        <v>691</v>
      </c>
      <c r="B26" s="36" t="s">
        <v>694</v>
      </c>
      <c r="C26" s="31" t="s">
        <v>539</v>
      </c>
      <c r="D26" s="36" t="str">
        <f aca="false">INDEX(Articles!$C$2:$C$148,MATCH(C26,Articles!$A$2:$A$148,0))</f>
        <v>Découverte du monde C.E.1</v>
      </c>
      <c r="E26" s="37"/>
      <c r="F26" s="37"/>
      <c r="G26" s="38" t="n">
        <f aca="false">INDEX(Articles!$G$2:$G$148,MATCH(C26,Articles!$A$2:$A$148,0))</f>
        <v>4000</v>
      </c>
      <c r="H26" s="37"/>
      <c r="I26" s="37"/>
      <c r="J26" s="37"/>
      <c r="K26" s="37"/>
      <c r="L26" s="37"/>
      <c r="M26" s="37"/>
      <c r="N26" s="39" t="s">
        <v>271</v>
      </c>
    </row>
    <row r="27" customFormat="false" ht="15" hidden="false" customHeight="false" outlineLevel="0" collapsed="false">
      <c r="D27" s="40" t="s">
        <v>695</v>
      </c>
      <c r="H27" s="33" t="n">
        <f aca="false">H15+SUM(G24:G26)</f>
        <v>17025</v>
      </c>
    </row>
    <row r="28" customFormat="false" ht="15" hidden="false" customHeight="false" outlineLevel="0" collapsed="false">
      <c r="D28" s="21" t="s">
        <v>696</v>
      </c>
      <c r="E28" s="21" t="str">
        <f aca="false">INDEX(Articles!$C$2:$C$148,MATCH("S027",Articles!$A$2:$A$148,0))</f>
        <v>Cartable rigide bleu marine</v>
      </c>
      <c r="H28" s="41" t="n">
        <f aca="false">INDEX(Articles!$G$2:$G$148,MATCH("S027",Articles!$A$2:$A$148,0))</f>
        <v>7500</v>
      </c>
    </row>
    <row r="29" customFormat="false" ht="15" hidden="false" customHeight="false" outlineLevel="0" collapsed="false">
      <c r="D29" s="42" t="s">
        <v>697</v>
      </c>
      <c r="E29" s="44" t="s">
        <v>711</v>
      </c>
    </row>
    <row r="32" customFormat="false" ht="15" hidden="false" customHeight="false" outlineLevel="0" collapsed="false">
      <c r="A32" s="28" t="s">
        <v>718</v>
      </c>
      <c r="B32" s="29"/>
      <c r="C32" s="29"/>
      <c r="D32" s="29"/>
      <c r="E32" s="29"/>
      <c r="F32" s="29"/>
      <c r="G32" s="29"/>
      <c r="H32" s="29"/>
      <c r="I32" s="29"/>
      <c r="J32" s="29"/>
      <c r="K32" s="29"/>
      <c r="L32" s="29"/>
      <c r="M32" s="29"/>
      <c r="N32" s="29"/>
    </row>
    <row r="33" customFormat="false" ht="39.55" hidden="false" customHeight="false" outlineLevel="0" collapsed="false">
      <c r="A33" s="30" t="s">
        <v>663</v>
      </c>
      <c r="B33" s="30" t="s">
        <v>664</v>
      </c>
      <c r="C33" s="30" t="s">
        <v>348</v>
      </c>
      <c r="D33" s="30" t="s">
        <v>350</v>
      </c>
      <c r="E33" s="30" t="s">
        <v>349</v>
      </c>
      <c r="F33" s="30" t="s">
        <v>665</v>
      </c>
      <c r="G33" s="30" t="s">
        <v>666</v>
      </c>
      <c r="H33" s="30" t="s">
        <v>667</v>
      </c>
      <c r="I33" s="30" t="s">
        <v>668</v>
      </c>
      <c r="J33" s="30" t="s">
        <v>669</v>
      </c>
      <c r="K33" s="30" t="s">
        <v>355</v>
      </c>
      <c r="L33" s="30" t="s">
        <v>353</v>
      </c>
      <c r="M33" s="30" t="s">
        <v>356</v>
      </c>
      <c r="N33" s="30" t="s">
        <v>670</v>
      </c>
    </row>
    <row r="34" customFormat="false" ht="15" hidden="false" customHeight="false" outlineLevel="0" collapsed="false">
      <c r="A34" s="9" t="s">
        <v>671</v>
      </c>
      <c r="B34" s="9" t="s">
        <v>708</v>
      </c>
      <c r="C34" s="31" t="s">
        <v>366</v>
      </c>
      <c r="D34" s="9" t="str">
        <f aca="false">INDEX(Articles!$C$2:$C$148,MATCH(C34,Articles!$A$2:$A$148,0))</f>
        <v>Cahier Calligraphe 140 pages 17x22 90 g seyès</v>
      </c>
      <c r="E34" s="9" t="str">
        <f aca="false">INDEX(Articles!$B$2:$B$148,MATCH(C34,Articles!$A$2:$A$148,0))</f>
        <v>Papex</v>
      </c>
      <c r="F34" s="31" t="n">
        <v>4</v>
      </c>
      <c r="G34" s="13" t="n">
        <f aca="false">IF(INDEX(Articles!$G$2:$G$148,MATCH(C34,Articles!$A$2:$A$148,0))="","",INDEX(Articles!$G$2:$G$148,MATCH(C34,Articles!$A$2:$A$148,0)))</f>
        <v>750</v>
      </c>
      <c r="H34" s="13" t="n">
        <f aca="false">IF(G34="",0,F34*G34)</f>
        <v>3000</v>
      </c>
      <c r="I34" s="13" t="n">
        <f aca="false">IF(INDEX(Articles!$E$2:$E$148,MATCH(C34,Articles!$A$2:$A$148,0))="","",INDEX(Articles!$E$2:$E$148,MATCH(C34,Articles!$A$2:$A$148,0)))</f>
        <v>650</v>
      </c>
      <c r="J34" s="13" t="n">
        <f aca="false">IF(I34="","",F34*I34)</f>
        <v>2600</v>
      </c>
      <c r="K34" s="9" t="str">
        <f aca="false">INDEX(Articles!$H$2:$H$148,MATCH(C34,Articles!$A$2:$A$148,0))</f>
        <v>Fixé</v>
      </c>
      <c r="L34" s="9" t="str">
        <f aca="false">INDEX(Articles!$F$2:$F$148,MATCH(C34,Articles!$A$2:$A$148,0))</f>
        <v>Estimé</v>
      </c>
      <c r="M34" s="17" t="s">
        <v>713</v>
      </c>
      <c r="N34" s="9" t="s">
        <v>167</v>
      </c>
    </row>
    <row r="35" customFormat="false" ht="15" hidden="false" customHeight="false" outlineLevel="0" collapsed="false">
      <c r="A35" s="9" t="s">
        <v>676</v>
      </c>
      <c r="B35" s="9" t="s">
        <v>709</v>
      </c>
      <c r="C35" s="31" t="s">
        <v>215</v>
      </c>
      <c r="D35" s="9" t="str">
        <f aca="false">INDEX(Articles!$C$2:$C$148,MATCH(C35,Articles!$A$2:$A$148,0))</f>
        <v>Kit géométrie Maped 30 cm (réf. 1930)</v>
      </c>
      <c r="E35" s="9" t="str">
        <f aca="false">INDEX(Articles!$B$2:$B$148,MATCH(C35,Articles!$A$2:$A$148,0))</f>
        <v>LPD</v>
      </c>
      <c r="F35" s="31" t="n">
        <v>1</v>
      </c>
      <c r="G35" s="13" t="n">
        <f aca="false">IF(INDEX(Articles!$G$2:$G$148,MATCH(C35,Articles!$A$2:$A$148,0))="","",INDEX(Articles!$G$2:$G$148,MATCH(C35,Articles!$A$2:$A$148,0)))</f>
        <v>1800</v>
      </c>
      <c r="H35" s="13" t="n">
        <f aca="false">IF(G35="",0,F35*G35)</f>
        <v>1800</v>
      </c>
      <c r="I35" s="13" t="n">
        <f aca="false">IF(INDEX(Articles!$E$2:$E$148,MATCH(C35,Articles!$A$2:$A$148,0))="","",INDEX(Articles!$E$2:$E$148,MATCH(C35,Articles!$A$2:$A$148,0)))</f>
        <v>1500</v>
      </c>
      <c r="J35" s="13" t="n">
        <f aca="false">IF(I35="","",F35*I35)</f>
        <v>1500</v>
      </c>
      <c r="K35" s="9" t="str">
        <f aca="false">INDEX(Articles!$H$2:$H$148,MATCH(C35,Articles!$A$2:$A$148,0))</f>
        <v>À trancher</v>
      </c>
      <c r="L35" s="9" t="str">
        <f aca="false">INDEX(Articles!$F$2:$F$148,MATCH(C35,Articles!$A$2:$A$148,0))</f>
        <v>Confirmé</v>
      </c>
      <c r="M35" s="17"/>
      <c r="N35" s="9" t="s">
        <v>167</v>
      </c>
    </row>
    <row r="36" customFormat="false" ht="15" hidden="false" customHeight="false" outlineLevel="0" collapsed="false">
      <c r="A36" s="9" t="s">
        <v>674</v>
      </c>
      <c r="B36" s="9" t="s">
        <v>674</v>
      </c>
      <c r="C36" s="31" t="s">
        <v>162</v>
      </c>
      <c r="D36" s="9" t="str">
        <f aca="false">INDEX(Articles!$C$2:$C$148,MATCH(C36,Articles!$A$2:$A$148,0))</f>
        <v>Ardoise quadrillée avec poignée</v>
      </c>
      <c r="E36" s="9" t="str">
        <f aca="false">INDEX(Articles!$B$2:$B$148,MATCH(C36,Articles!$A$2:$A$148,0))</f>
        <v>Cissé &amp; Frères</v>
      </c>
      <c r="F36" s="31" t="n">
        <v>1</v>
      </c>
      <c r="G36" s="13" t="n">
        <f aca="false">IF(INDEX(Articles!$G$2:$G$148,MATCH(C36,Articles!$A$2:$A$148,0))="","",INDEX(Articles!$G$2:$G$148,MATCH(C36,Articles!$A$2:$A$148,0)))</f>
        <v>2500</v>
      </c>
      <c r="H36" s="13" t="n">
        <f aca="false">IF(G36="",0,F36*G36)</f>
        <v>2500</v>
      </c>
      <c r="I36" s="13" t="n">
        <f aca="false">IF(INDEX(Articles!$E$2:$E$148,MATCH(C36,Articles!$A$2:$A$148,0))="","",INDEX(Articles!$E$2:$E$148,MATCH(C36,Articles!$A$2:$A$148,0)))</f>
        <v>1500</v>
      </c>
      <c r="J36" s="13" t="n">
        <f aca="false">IF(I36="","",F36*I36)</f>
        <v>1500</v>
      </c>
      <c r="K36" s="9" t="str">
        <f aca="false">INDEX(Articles!$H$2:$H$148,MATCH(C36,Articles!$A$2:$A$148,0))</f>
        <v>Fixé</v>
      </c>
      <c r="L36" s="9" t="str">
        <f aca="false">INDEX(Articles!$F$2:$F$148,MATCH(C36,Articles!$A$2:$A$148,0))</f>
        <v>Confirmé</v>
      </c>
      <c r="M36" s="17"/>
      <c r="N36" s="9" t="s">
        <v>167</v>
      </c>
    </row>
    <row r="37" customFormat="false" ht="15" hidden="false" customHeight="false" outlineLevel="0" collapsed="false">
      <c r="A37" s="9" t="s">
        <v>681</v>
      </c>
      <c r="B37" s="9" t="s">
        <v>682</v>
      </c>
      <c r="C37" s="31" t="s">
        <v>218</v>
      </c>
      <c r="D37" s="9" t="str">
        <f aca="false">INDEX(Articles!$C$2:$C$148,MATCH(C37,Articles!$A$2:$A$148,0))</f>
        <v>Crayons de couleur Maped Nightfall, boîte de 24</v>
      </c>
      <c r="E37" s="9" t="str">
        <f aca="false">INDEX(Articles!$B$2:$B$148,MATCH(C37,Articles!$A$2:$A$148,0))</f>
        <v>Papex</v>
      </c>
      <c r="F37" s="31" t="n">
        <v>1</v>
      </c>
      <c r="G37" s="13" t="n">
        <f aca="false">IF(INDEX(Articles!$G$2:$G$148,MATCH(C37,Articles!$A$2:$A$148,0))="","",INDEX(Articles!$G$2:$G$148,MATCH(C37,Articles!$A$2:$A$148,0)))</f>
        <v>1600</v>
      </c>
      <c r="H37" s="13" t="n">
        <f aca="false">IF(G37="",0,F37*G37)</f>
        <v>1600</v>
      </c>
      <c r="I37" s="13" t="n">
        <f aca="false">IF(INDEX(Articles!$E$2:$E$148,MATCH(C37,Articles!$A$2:$A$148,0))="","",INDEX(Articles!$E$2:$E$148,MATCH(C37,Articles!$A$2:$A$148,0)))</f>
        <v>1300</v>
      </c>
      <c r="J37" s="13" t="n">
        <f aca="false">IF(I37="","",F37*I37)</f>
        <v>1300</v>
      </c>
      <c r="K37" s="9" t="str">
        <f aca="false">INDEX(Articles!$H$2:$H$148,MATCH(C37,Articles!$A$2:$A$148,0))</f>
        <v>Estimé</v>
      </c>
      <c r="L37" s="9" t="str">
        <f aca="false">INDEX(Articles!$F$2:$F$148,MATCH(C37,Articles!$A$2:$A$148,0))</f>
        <v>Estimé</v>
      </c>
      <c r="M37" s="17"/>
      <c r="N37" s="9" t="s">
        <v>167</v>
      </c>
    </row>
    <row r="38" customFormat="false" ht="15" hidden="false" customHeight="false" outlineLevel="0" collapsed="false">
      <c r="A38" s="9" t="s">
        <v>678</v>
      </c>
      <c r="B38" s="9" t="s">
        <v>680</v>
      </c>
      <c r="C38" s="31" t="s">
        <v>220</v>
      </c>
      <c r="D38" s="9" t="str">
        <f aca="false">INDEX(Articles!$C$2:$C$148,MATCH(C38,Articles!$A$2:$A$148,0))</f>
        <v>Stylo à bille Schneider Tops 505 M bleu</v>
      </c>
      <c r="E38" s="9" t="str">
        <f aca="false">INDEX(Articles!$B$2:$B$148,MATCH(C38,Articles!$A$2:$A$148,0))</f>
        <v>Papex</v>
      </c>
      <c r="F38" s="31" t="n">
        <v>1</v>
      </c>
      <c r="G38" s="13" t="n">
        <f aca="false">IF(INDEX(Articles!$G$2:$G$148,MATCH(C38,Articles!$A$2:$A$148,0))="","",INDEX(Articles!$G$2:$G$148,MATCH(C38,Articles!$A$2:$A$148,0)))</f>
        <v>100</v>
      </c>
      <c r="H38" s="13" t="n">
        <f aca="false">IF(G38="",0,F38*G38)</f>
        <v>100</v>
      </c>
      <c r="I38" s="13" t="str">
        <f aca="false">IF(INDEX(Articles!$E$2:$E$148,MATCH(C38,Articles!$A$2:$A$148,0))="","",INDEX(Articles!$E$2:$E$148,MATCH(C38,Articles!$A$2:$A$148,0)))</f>
        <v/>
      </c>
      <c r="J38" s="13" t="str">
        <f aca="false">IF(I38="","",F38*I38)</f>
        <v/>
      </c>
      <c r="K38" s="9" t="str">
        <f aca="false">INDEX(Articles!$H$2:$H$148,MATCH(C38,Articles!$A$2:$A$148,0))</f>
        <v>Fixé</v>
      </c>
      <c r="L38" s="9" t="str">
        <f aca="false">INDEX(Articles!$F$2:$F$148,MATCH(C38,Articles!$A$2:$A$148,0))</f>
        <v>Inconnu</v>
      </c>
      <c r="M38" s="17"/>
      <c r="N38" s="9" t="s">
        <v>167</v>
      </c>
    </row>
    <row r="39" customFormat="false" ht="15" hidden="false" customHeight="false" outlineLevel="0" collapsed="false">
      <c r="A39" s="9" t="s">
        <v>678</v>
      </c>
      <c r="B39" s="9" t="s">
        <v>710</v>
      </c>
      <c r="C39" s="31" t="s">
        <v>429</v>
      </c>
      <c r="D39" s="9" t="str">
        <f aca="false">INDEX(Articles!$C$2:$C$148,MATCH(C39,Articles!$A$2:$A$148,0))</f>
        <v>Stylo à bille Schneider Tops 505 M vert</v>
      </c>
      <c r="E39" s="9" t="str">
        <f aca="false">INDEX(Articles!$B$2:$B$148,MATCH(C39,Articles!$A$2:$A$148,0))</f>
        <v>Papex</v>
      </c>
      <c r="F39" s="31" t="n">
        <v>1</v>
      </c>
      <c r="G39" s="13" t="n">
        <f aca="false">IF(INDEX(Articles!$G$2:$G$148,MATCH(C39,Articles!$A$2:$A$148,0))="","",INDEX(Articles!$G$2:$G$148,MATCH(C39,Articles!$A$2:$A$148,0)))</f>
        <v>100</v>
      </c>
      <c r="H39" s="13" t="n">
        <f aca="false">IF(G39="",0,F39*G39)</f>
        <v>100</v>
      </c>
      <c r="I39" s="13" t="str">
        <f aca="false">IF(INDEX(Articles!$E$2:$E$148,MATCH(C39,Articles!$A$2:$A$148,0))="","",INDEX(Articles!$E$2:$E$148,MATCH(C39,Articles!$A$2:$A$148,0)))</f>
        <v/>
      </c>
      <c r="J39" s="13" t="str">
        <f aca="false">IF(I39="","",F39*I39)</f>
        <v/>
      </c>
      <c r="K39" s="9" t="str">
        <f aca="false">INDEX(Articles!$H$2:$H$148,MATCH(C39,Articles!$A$2:$A$148,0))</f>
        <v>Fixé</v>
      </c>
      <c r="L39" s="9" t="str">
        <f aca="false">INDEX(Articles!$F$2:$F$148,MATCH(C39,Articles!$A$2:$A$148,0))</f>
        <v>Inconnu</v>
      </c>
      <c r="M39" s="17"/>
      <c r="N39" s="9" t="s">
        <v>167</v>
      </c>
    </row>
    <row r="40" customFormat="false" ht="15" hidden="false" customHeight="false" outlineLevel="0" collapsed="false">
      <c r="A40" s="9" t="s">
        <v>678</v>
      </c>
      <c r="B40" s="9" t="s">
        <v>679</v>
      </c>
      <c r="C40" s="31" t="s">
        <v>235</v>
      </c>
      <c r="D40" s="9" t="str">
        <f aca="false">INDEX(Articles!$C$2:$C$148,MATCH(C40,Articles!$A$2:$A$148,0))</f>
        <v>Crayon papier (vendu à l'unité)</v>
      </c>
      <c r="E40" s="9" t="str">
        <f aca="false">INDEX(Articles!$B$2:$B$148,MATCH(C40,Articles!$A$2:$A$148,0))</f>
        <v>LPD</v>
      </c>
      <c r="F40" s="31" t="n">
        <v>1</v>
      </c>
      <c r="G40" s="13" t="n">
        <f aca="false">IF(INDEX(Articles!$G$2:$G$148,MATCH(C40,Articles!$A$2:$A$148,0))="","",INDEX(Articles!$G$2:$G$148,MATCH(C40,Articles!$A$2:$A$148,0)))</f>
        <v>75</v>
      </c>
      <c r="H40" s="13" t="n">
        <f aca="false">IF(G40="",0,F40*G40)</f>
        <v>75</v>
      </c>
      <c r="I40" s="13" t="str">
        <f aca="false">IF(INDEX(Articles!$E$2:$E$148,MATCH(C40,Articles!$A$2:$A$148,0))="","",INDEX(Articles!$E$2:$E$148,MATCH(C40,Articles!$A$2:$A$148,0)))</f>
        <v/>
      </c>
      <c r="J40" s="13" t="str">
        <f aca="false">IF(I40="","",F40*I40)</f>
        <v/>
      </c>
      <c r="K40" s="9" t="str">
        <f aca="false">INDEX(Articles!$H$2:$H$148,MATCH(C40,Articles!$A$2:$A$148,0))</f>
        <v>Fixé</v>
      </c>
      <c r="L40" s="9" t="str">
        <f aca="false">INDEX(Articles!$F$2:$F$148,MATCH(C40,Articles!$A$2:$A$148,0))</f>
        <v>Inconnu</v>
      </c>
      <c r="M40" s="17"/>
      <c r="N40" s="9" t="s">
        <v>167</v>
      </c>
    </row>
    <row r="41" customFormat="false" ht="15" hidden="false" customHeight="false" outlineLevel="0" collapsed="false">
      <c r="A41" s="9" t="s">
        <v>675</v>
      </c>
      <c r="B41" s="9" t="s">
        <v>717</v>
      </c>
      <c r="C41" s="31" t="s">
        <v>180</v>
      </c>
      <c r="D41" s="9" t="str">
        <f aca="false">INDEX(Articles!$C$2:$C$148,MATCH(C41,Articles!$A$2:$A$148,0))</f>
        <v>Gomme Staedtler Mars Plastic</v>
      </c>
      <c r="E41" s="9" t="str">
        <f aca="false">INDEX(Articles!$B$2:$B$148,MATCH(C41,Articles!$A$2:$A$148,0))</f>
        <v>LPD</v>
      </c>
      <c r="F41" s="31" t="n">
        <v>1</v>
      </c>
      <c r="G41" s="13" t="n">
        <f aca="false">IF(INDEX(Articles!$G$2:$G$148,MATCH(C41,Articles!$A$2:$A$148,0))="","",INDEX(Articles!$G$2:$G$148,MATCH(C41,Articles!$A$2:$A$148,0)))</f>
        <v>250</v>
      </c>
      <c r="H41" s="13" t="n">
        <f aca="false">IF(G41="",0,F41*G41)</f>
        <v>250</v>
      </c>
      <c r="I41" s="13" t="n">
        <f aca="false">IF(INDEX(Articles!$E$2:$E$148,MATCH(C41,Articles!$A$2:$A$148,0))="","",INDEX(Articles!$E$2:$E$148,MATCH(C41,Articles!$A$2:$A$148,0)))</f>
        <v>110</v>
      </c>
      <c r="J41" s="13" t="n">
        <f aca="false">IF(I41="","",F41*I41)</f>
        <v>110</v>
      </c>
      <c r="K41" s="9" t="str">
        <f aca="false">INDEX(Articles!$H$2:$H$148,MATCH(C41,Articles!$A$2:$A$148,0))</f>
        <v>Fixé</v>
      </c>
      <c r="L41" s="9" t="str">
        <f aca="false">INDEX(Articles!$F$2:$F$148,MATCH(C41,Articles!$A$2:$A$148,0))</f>
        <v>Estimé</v>
      </c>
      <c r="M41" s="17"/>
      <c r="N41" s="9" t="s">
        <v>167</v>
      </c>
    </row>
    <row r="42" customFormat="false" ht="26.85" hidden="false" customHeight="false" outlineLevel="0" collapsed="false">
      <c r="A42" s="9" t="s">
        <v>691</v>
      </c>
      <c r="B42" s="9" t="s">
        <v>692</v>
      </c>
      <c r="C42" s="31" t="s">
        <v>535</v>
      </c>
      <c r="D42" s="9" t="str">
        <f aca="false">INDEX(Articles!$C$2:$C$148,MATCH(C42,Articles!$A$2:$A$148,0))</f>
        <v>Langue et communication C.E.1</v>
      </c>
      <c r="E42" s="9" t="str">
        <f aca="false">INDEX(Articles!$B$2:$B$148,MATCH(C42,Articles!$A$2:$A$148,0))</f>
        <v>LPD</v>
      </c>
      <c r="F42" s="31" t="n">
        <v>1</v>
      </c>
      <c r="G42" s="13" t="n">
        <f aca="false">IF(INDEX(Articles!$G$2:$G$148,MATCH(C42,Articles!$A$2:$A$148,0))="","",INDEX(Articles!$G$2:$G$148,MATCH(C42,Articles!$A$2:$A$148,0)))</f>
        <v>4000</v>
      </c>
      <c r="H42" s="13" t="n">
        <f aca="false">IF(G42="",0,F42*G42)</f>
        <v>4000</v>
      </c>
      <c r="I42" s="13" t="n">
        <f aca="false">IF(INDEX(Articles!$E$2:$E$148,MATCH(C42,Articles!$A$2:$A$148,0))="","",INDEX(Articles!$E$2:$E$148,MATCH(C42,Articles!$A$2:$A$148,0)))</f>
        <v>3000</v>
      </c>
      <c r="J42" s="13" t="n">
        <f aca="false">IF(I42="","",F42*I42)</f>
        <v>3000</v>
      </c>
      <c r="K42" s="9" t="str">
        <f aca="false">INDEX(Articles!$H$2:$H$148,MATCH(C42,Articles!$A$2:$A$148,0))</f>
        <v>Fixé</v>
      </c>
      <c r="L42" s="9" t="str">
        <f aca="false">INDEX(Articles!$F$2:$F$148,MATCH(C42,Articles!$A$2:$A$148,0))</f>
        <v>Estimé</v>
      </c>
      <c r="M42" s="17" t="s">
        <v>701</v>
      </c>
      <c r="N42" s="9" t="s">
        <v>167</v>
      </c>
    </row>
    <row r="43" customFormat="false" ht="26.85" hidden="false" customHeight="false" outlineLevel="0" collapsed="false">
      <c r="A43" s="9" t="s">
        <v>691</v>
      </c>
      <c r="B43" s="9" t="s">
        <v>693</v>
      </c>
      <c r="C43" s="31" t="s">
        <v>537</v>
      </c>
      <c r="D43" s="9" t="str">
        <f aca="false">INDEX(Articles!$C$2:$C$148,MATCH(C43,Articles!$A$2:$A$148,0))</f>
        <v>Mathématiques C.E.1</v>
      </c>
      <c r="E43" s="9" t="str">
        <f aca="false">INDEX(Articles!$B$2:$B$148,MATCH(C43,Articles!$A$2:$A$148,0))</f>
        <v>LPD</v>
      </c>
      <c r="F43" s="31" t="n">
        <v>1</v>
      </c>
      <c r="G43" s="13" t="n">
        <f aca="false">IF(INDEX(Articles!$G$2:$G$148,MATCH(C43,Articles!$A$2:$A$148,0))="","",INDEX(Articles!$G$2:$G$148,MATCH(C43,Articles!$A$2:$A$148,0)))</f>
        <v>4000</v>
      </c>
      <c r="H43" s="13" t="n">
        <f aca="false">IF(G43="",0,F43*G43)</f>
        <v>4000</v>
      </c>
      <c r="I43" s="13" t="n">
        <f aca="false">IF(INDEX(Articles!$E$2:$E$148,MATCH(C43,Articles!$A$2:$A$148,0))="","",INDEX(Articles!$E$2:$E$148,MATCH(C43,Articles!$A$2:$A$148,0)))</f>
        <v>3000</v>
      </c>
      <c r="J43" s="13" t="n">
        <f aca="false">IF(I43="","",F43*I43)</f>
        <v>3000</v>
      </c>
      <c r="K43" s="9" t="str">
        <f aca="false">INDEX(Articles!$H$2:$H$148,MATCH(C43,Articles!$A$2:$A$148,0))</f>
        <v>Fixé</v>
      </c>
      <c r="L43" s="9" t="str">
        <f aca="false">INDEX(Articles!$F$2:$F$148,MATCH(C43,Articles!$A$2:$A$148,0))</f>
        <v>Estimé</v>
      </c>
      <c r="M43" s="17" t="s">
        <v>701</v>
      </c>
      <c r="N43" s="9" t="s">
        <v>167</v>
      </c>
    </row>
    <row r="44" customFormat="false" ht="26.85" hidden="false" customHeight="false" outlineLevel="0" collapsed="false">
      <c r="A44" s="9" t="s">
        <v>691</v>
      </c>
      <c r="B44" s="9" t="s">
        <v>694</v>
      </c>
      <c r="C44" s="31" t="s">
        <v>539</v>
      </c>
      <c r="D44" s="9" t="str">
        <f aca="false">INDEX(Articles!$C$2:$C$148,MATCH(C44,Articles!$A$2:$A$148,0))</f>
        <v>Découverte du monde C.E.1</v>
      </c>
      <c r="E44" s="9" t="str">
        <f aca="false">INDEX(Articles!$B$2:$B$148,MATCH(C44,Articles!$A$2:$A$148,0))</f>
        <v>LPD</v>
      </c>
      <c r="F44" s="31" t="n">
        <v>1</v>
      </c>
      <c r="G44" s="13" t="n">
        <f aca="false">IF(INDEX(Articles!$G$2:$G$148,MATCH(C44,Articles!$A$2:$A$148,0))="","",INDEX(Articles!$G$2:$G$148,MATCH(C44,Articles!$A$2:$A$148,0)))</f>
        <v>4000</v>
      </c>
      <c r="H44" s="13" t="n">
        <f aca="false">IF(G44="",0,F44*G44)</f>
        <v>4000</v>
      </c>
      <c r="I44" s="13" t="n">
        <f aca="false">IF(INDEX(Articles!$E$2:$E$148,MATCH(C44,Articles!$A$2:$A$148,0))="","",INDEX(Articles!$E$2:$E$148,MATCH(C44,Articles!$A$2:$A$148,0)))</f>
        <v>3000</v>
      </c>
      <c r="J44" s="13" t="n">
        <f aca="false">IF(I44="","",F44*I44)</f>
        <v>3000</v>
      </c>
      <c r="K44" s="9" t="str">
        <f aca="false">INDEX(Articles!$H$2:$H$148,MATCH(C44,Articles!$A$2:$A$148,0))</f>
        <v>Fixé</v>
      </c>
      <c r="L44" s="9" t="str">
        <f aca="false">INDEX(Articles!$F$2:$F$148,MATCH(C44,Articles!$A$2:$A$148,0))</f>
        <v>Estimé</v>
      </c>
      <c r="M44" s="17" t="s">
        <v>701</v>
      </c>
      <c r="N44" s="9" t="s">
        <v>167</v>
      </c>
    </row>
    <row r="45" customFormat="false" ht="15" hidden="false" customHeight="false" outlineLevel="0" collapsed="false">
      <c r="D45" s="32" t="s">
        <v>683</v>
      </c>
      <c r="E45" s="32"/>
      <c r="F45" s="32"/>
      <c r="G45" s="32"/>
      <c r="H45" s="33" t="n">
        <f aca="false">COUNTIF(G34:G44,"")</f>
        <v>0</v>
      </c>
    </row>
    <row r="46" customFormat="false" ht="15" hidden="false" customHeight="false" outlineLevel="0" collapsed="false">
      <c r="D46" s="32" t="s">
        <v>684</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685</v>
      </c>
      <c r="E48" s="32"/>
      <c r="F48" s="32"/>
      <c r="G48" s="32"/>
      <c r="H48" s="33" t="n">
        <f aca="false">COUNTIF(I34:I44,"")</f>
        <v>3</v>
      </c>
    </row>
    <row r="49" customFormat="false" ht="15" hidden="false" customHeight="false" outlineLevel="0" collapsed="false">
      <c r="D49" s="32" t="s">
        <v>686</v>
      </c>
      <c r="E49" s="32"/>
      <c r="F49" s="32"/>
      <c r="G49" s="32"/>
      <c r="H49" s="33" t="n">
        <f aca="false">SUMPRODUCT((I34:I44&lt;&gt;"")*H34:H44)-H47</f>
        <v>5140</v>
      </c>
    </row>
    <row r="50" customFormat="false" ht="15" hidden="false" customHeight="false" outlineLevel="0" collapsed="false">
      <c r="D50" s="32" t="s">
        <v>687</v>
      </c>
      <c r="E50" s="32"/>
      <c r="F50" s="32"/>
      <c r="G50" s="32"/>
      <c r="H50" s="33" t="n">
        <f aca="false">SUMIF(A34:A44,"Cahiers",F34:F44)</f>
        <v>4</v>
      </c>
    </row>
    <row r="51" customFormat="false" ht="15" hidden="false" customHeight="false" outlineLevel="0" collapsed="false">
      <c r="D51" s="32" t="s">
        <v>688</v>
      </c>
      <c r="E51" s="32"/>
      <c r="F51" s="32"/>
      <c r="G51" s="32"/>
      <c r="H51" s="34" t="n">
        <f aca="false">IF(H46=0,0,SUMIF(K34:K44,"&lt;&gt;Fixé",H34:H44)/H46)</f>
        <v>0.158693115519253</v>
      </c>
    </row>
    <row r="52" customFormat="false" ht="15" hidden="false" customHeight="false" outlineLevel="0" collapsed="false">
      <c r="D52" s="32" t="s">
        <v>689</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696</v>
      </c>
      <c r="E53" s="21" t="str">
        <f aca="false">INDEX(Articles!$C$2:$C$148,MATCH("S027",Articles!$A$2:$A$148,0))</f>
        <v>Cartable rigide bleu marine</v>
      </c>
      <c r="H53" s="41" t="n">
        <f aca="false">INDEX(Articles!$G$2:$G$148,MATCH("S027",Articles!$A$2:$A$148,0))</f>
        <v>7500</v>
      </c>
    </row>
    <row r="54" customFormat="false" ht="15" hidden="false" customHeight="false" outlineLevel="0" collapsed="false">
      <c r="D54" s="42" t="s">
        <v>697</v>
      </c>
      <c r="E54" s="44" t="s">
        <v>711</v>
      </c>
    </row>
    <row r="57" customFormat="false" ht="15" hidden="false" customHeight="false" outlineLevel="0" collapsed="false">
      <c r="A57" s="28" t="s">
        <v>719</v>
      </c>
      <c r="B57" s="29"/>
      <c r="C57" s="29"/>
      <c r="D57" s="29"/>
      <c r="E57" s="29"/>
      <c r="F57" s="29"/>
      <c r="G57" s="29"/>
      <c r="H57" s="29"/>
      <c r="I57" s="29"/>
      <c r="J57" s="29"/>
      <c r="K57" s="29"/>
      <c r="L57" s="29"/>
      <c r="M57" s="29"/>
      <c r="N57" s="29"/>
    </row>
    <row r="58" customFormat="false" ht="39.55" hidden="false" customHeight="false" outlineLevel="0" collapsed="false">
      <c r="A58" s="30" t="s">
        <v>663</v>
      </c>
      <c r="B58" s="30" t="s">
        <v>664</v>
      </c>
      <c r="C58" s="30" t="s">
        <v>348</v>
      </c>
      <c r="D58" s="30" t="s">
        <v>350</v>
      </c>
      <c r="E58" s="30" t="s">
        <v>349</v>
      </c>
      <c r="F58" s="30" t="s">
        <v>665</v>
      </c>
      <c r="G58" s="30" t="s">
        <v>666</v>
      </c>
      <c r="H58" s="30" t="s">
        <v>667</v>
      </c>
      <c r="I58" s="30" t="s">
        <v>668</v>
      </c>
      <c r="J58" s="30" t="s">
        <v>669</v>
      </c>
      <c r="K58" s="30" t="s">
        <v>355</v>
      </c>
      <c r="L58" s="30" t="s">
        <v>353</v>
      </c>
      <c r="M58" s="30" t="s">
        <v>356</v>
      </c>
      <c r="N58" s="30" t="s">
        <v>670</v>
      </c>
    </row>
    <row r="59" customFormat="false" ht="15" hidden="false" customHeight="false" outlineLevel="0" collapsed="false">
      <c r="A59" s="9" t="s">
        <v>671</v>
      </c>
      <c r="B59" s="9" t="s">
        <v>708</v>
      </c>
      <c r="C59" s="31" t="s">
        <v>366</v>
      </c>
      <c r="D59" s="9" t="str">
        <f aca="false">INDEX(Articles!$C$2:$C$148,MATCH(C59,Articles!$A$2:$A$148,0))</f>
        <v>Cahier Calligraphe 140 pages 17x22 90 g seyès</v>
      </c>
      <c r="E59" s="9" t="str">
        <f aca="false">INDEX(Articles!$B$2:$B$148,MATCH(C59,Articles!$A$2:$A$148,0))</f>
        <v>Papex</v>
      </c>
      <c r="F59" s="31" t="n">
        <v>4</v>
      </c>
      <c r="G59" s="13" t="n">
        <f aca="false">IF(INDEX(Articles!$G$2:$G$148,MATCH(C59,Articles!$A$2:$A$148,0))="","",INDEX(Articles!$G$2:$G$148,MATCH(C59,Articles!$A$2:$A$148,0)))</f>
        <v>750</v>
      </c>
      <c r="H59" s="13" t="n">
        <f aca="false">IF(G59="",0,F59*G59)</f>
        <v>3000</v>
      </c>
      <c r="I59" s="13" t="n">
        <f aca="false">IF(INDEX(Articles!$E$2:$E$148,MATCH(C59,Articles!$A$2:$A$148,0))="","",INDEX(Articles!$E$2:$E$148,MATCH(C59,Articles!$A$2:$A$148,0)))</f>
        <v>650</v>
      </c>
      <c r="J59" s="13" t="n">
        <f aca="false">IF(I59="","",F59*I59)</f>
        <v>2600</v>
      </c>
      <c r="K59" s="9" t="str">
        <f aca="false">INDEX(Articles!$H$2:$H$148,MATCH(C59,Articles!$A$2:$A$148,0))</f>
        <v>Fixé</v>
      </c>
      <c r="L59" s="9" t="str">
        <f aca="false">INDEX(Articles!$F$2:$F$148,MATCH(C59,Articles!$A$2:$A$148,0))</f>
        <v>Estimé</v>
      </c>
      <c r="M59" s="17" t="s">
        <v>713</v>
      </c>
      <c r="N59" s="9" t="s">
        <v>167</v>
      </c>
    </row>
    <row r="60" customFormat="false" ht="15" hidden="false" customHeight="false" outlineLevel="0" collapsed="false">
      <c r="A60" s="9" t="s">
        <v>676</v>
      </c>
      <c r="B60" s="9" t="s">
        <v>709</v>
      </c>
      <c r="C60" s="31" t="s">
        <v>215</v>
      </c>
      <c r="D60" s="9" t="str">
        <f aca="false">INDEX(Articles!$C$2:$C$148,MATCH(C60,Articles!$A$2:$A$148,0))</f>
        <v>Kit géométrie Maped 30 cm (réf. 1930)</v>
      </c>
      <c r="E60" s="9" t="str">
        <f aca="false">INDEX(Articles!$B$2:$B$148,MATCH(C60,Articles!$A$2:$A$148,0))</f>
        <v>LPD</v>
      </c>
      <c r="F60" s="31" t="n">
        <v>1</v>
      </c>
      <c r="G60" s="13" t="n">
        <f aca="false">IF(INDEX(Articles!$G$2:$G$148,MATCH(C60,Articles!$A$2:$A$148,0))="","",INDEX(Articles!$G$2:$G$148,MATCH(C60,Articles!$A$2:$A$148,0)))</f>
        <v>1800</v>
      </c>
      <c r="H60" s="13" t="n">
        <f aca="false">IF(G60="",0,F60*G60)</f>
        <v>1800</v>
      </c>
      <c r="I60" s="13" t="n">
        <f aca="false">IF(INDEX(Articles!$E$2:$E$148,MATCH(C60,Articles!$A$2:$A$148,0))="","",INDEX(Articles!$E$2:$E$148,MATCH(C60,Articles!$A$2:$A$148,0)))</f>
        <v>1500</v>
      </c>
      <c r="J60" s="13" t="n">
        <f aca="false">IF(I60="","",F60*I60)</f>
        <v>1500</v>
      </c>
      <c r="K60" s="9" t="str">
        <f aca="false">INDEX(Articles!$H$2:$H$148,MATCH(C60,Articles!$A$2:$A$148,0))</f>
        <v>À trancher</v>
      </c>
      <c r="L60" s="9" t="str">
        <f aca="false">INDEX(Articles!$F$2:$F$148,MATCH(C60,Articles!$A$2:$A$148,0))</f>
        <v>Confirmé</v>
      </c>
      <c r="M60" s="17"/>
      <c r="N60" s="9" t="s">
        <v>167</v>
      </c>
    </row>
    <row r="61" customFormat="false" ht="15" hidden="false" customHeight="false" outlineLevel="0" collapsed="false">
      <c r="A61" s="9" t="s">
        <v>674</v>
      </c>
      <c r="B61" s="9" t="s">
        <v>674</v>
      </c>
      <c r="C61" s="31" t="s">
        <v>162</v>
      </c>
      <c r="D61" s="9" t="str">
        <f aca="false">INDEX(Articles!$C$2:$C$148,MATCH(C61,Articles!$A$2:$A$148,0))</f>
        <v>Ardoise quadrillée avec poignée</v>
      </c>
      <c r="E61" s="9" t="str">
        <f aca="false">INDEX(Articles!$B$2:$B$148,MATCH(C61,Articles!$A$2:$A$148,0))</f>
        <v>Cissé &amp; Frères</v>
      </c>
      <c r="F61" s="31" t="n">
        <v>1</v>
      </c>
      <c r="G61" s="13" t="n">
        <f aca="false">IF(INDEX(Articles!$G$2:$G$148,MATCH(C61,Articles!$A$2:$A$148,0))="","",INDEX(Articles!$G$2:$G$148,MATCH(C61,Articles!$A$2:$A$148,0)))</f>
        <v>2500</v>
      </c>
      <c r="H61" s="13" t="n">
        <f aca="false">IF(G61="",0,F61*G61)</f>
        <v>2500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681</v>
      </c>
      <c r="B62" s="9" t="s">
        <v>682</v>
      </c>
      <c r="C62" s="31" t="s">
        <v>218</v>
      </c>
      <c r="D62" s="9" t="str">
        <f aca="false">INDEX(Articles!$C$2:$C$148,MATCH(C62,Articles!$A$2:$A$148,0))</f>
        <v>Crayons de couleur Maped Nightfall, boîte de 24</v>
      </c>
      <c r="E62" s="9" t="str">
        <f aca="false">INDEX(Articles!$B$2:$B$148,MATCH(C62,Articles!$A$2:$A$148,0))</f>
        <v>Papex</v>
      </c>
      <c r="F62" s="31" t="n">
        <v>1</v>
      </c>
      <c r="G62" s="13" t="n">
        <f aca="false">IF(INDEX(Articles!$G$2:$G$148,MATCH(C62,Articles!$A$2:$A$148,0))="","",INDEX(Articles!$G$2:$G$148,MATCH(C62,Articles!$A$2:$A$148,0)))</f>
        <v>1600</v>
      </c>
      <c r="H62" s="13" t="n">
        <f aca="false">IF(G62="",0,F62*G62)</f>
        <v>1600</v>
      </c>
      <c r="I62" s="13" t="n">
        <f aca="false">IF(INDEX(Articles!$E$2:$E$148,MATCH(C62,Articles!$A$2:$A$148,0))="","",INDEX(Articles!$E$2:$E$148,MATCH(C62,Articles!$A$2:$A$148,0)))</f>
        <v>1300</v>
      </c>
      <c r="J62" s="13" t="n">
        <f aca="false">IF(I62="","",F62*I62)</f>
        <v>1300</v>
      </c>
      <c r="K62" s="9" t="str">
        <f aca="false">INDEX(Articles!$H$2:$H$148,MATCH(C62,Articles!$A$2:$A$148,0))</f>
        <v>Estimé</v>
      </c>
      <c r="L62" s="9" t="str">
        <f aca="false">INDEX(Articles!$F$2:$F$148,MATCH(C62,Articles!$A$2:$A$148,0))</f>
        <v>Estimé</v>
      </c>
      <c r="M62" s="17"/>
      <c r="N62" s="9" t="s">
        <v>167</v>
      </c>
    </row>
    <row r="63" customFormat="false" ht="15" hidden="false" customHeight="false" outlineLevel="0" collapsed="false">
      <c r="A63" s="9" t="s">
        <v>678</v>
      </c>
      <c r="B63" s="9" t="s">
        <v>680</v>
      </c>
      <c r="C63" s="31" t="s">
        <v>220</v>
      </c>
      <c r="D63" s="9" t="str">
        <f aca="false">INDEX(Articles!$C$2:$C$148,MATCH(C63,Articles!$A$2:$A$148,0))</f>
        <v>Stylo à bille Schneider Tops 505 M bleu</v>
      </c>
      <c r="E63" s="9" t="str">
        <f aca="false">INDEX(Articles!$B$2:$B$148,MATCH(C63,Articles!$A$2:$A$148,0))</f>
        <v>Papex</v>
      </c>
      <c r="F63" s="31" t="n">
        <v>1</v>
      </c>
      <c r="G63" s="13" t="n">
        <f aca="false">IF(INDEX(Articles!$G$2:$G$148,MATCH(C63,Articles!$A$2:$A$148,0))="","",INDEX(Articles!$G$2:$G$148,MATCH(C63,Articles!$A$2:$A$148,0)))</f>
        <v>100</v>
      </c>
      <c r="H63" s="13" t="n">
        <f aca="false">IF(G63="",0,F63*G63)</f>
        <v>100</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c r="N63" s="9" t="s">
        <v>167</v>
      </c>
    </row>
    <row r="64" customFormat="false" ht="15" hidden="false" customHeight="false" outlineLevel="0" collapsed="false">
      <c r="A64" s="9" t="s">
        <v>678</v>
      </c>
      <c r="B64" s="9" t="s">
        <v>710</v>
      </c>
      <c r="C64" s="31" t="s">
        <v>429</v>
      </c>
      <c r="D64" s="9" t="str">
        <f aca="false">INDEX(Articles!$C$2:$C$148,MATCH(C64,Articles!$A$2:$A$148,0))</f>
        <v>Stylo à bille Schneider Tops 505 M vert</v>
      </c>
      <c r="E64" s="9" t="str">
        <f aca="false">INDEX(Articles!$B$2:$B$148,MATCH(C64,Articles!$A$2:$A$148,0))</f>
        <v>Papex</v>
      </c>
      <c r="F64" s="31" t="n">
        <v>1</v>
      </c>
      <c r="G64" s="13" t="n">
        <f aca="false">IF(INDEX(Articles!$G$2:$G$148,MATCH(C64,Articles!$A$2:$A$148,0))="","",INDEX(Articles!$G$2:$G$148,MATCH(C64,Articles!$A$2:$A$148,0)))</f>
        <v>100</v>
      </c>
      <c r="H64" s="13" t="n">
        <f aca="false">IF(G64="",0,F64*G64)</f>
        <v>100</v>
      </c>
      <c r="I64" s="13" t="str">
        <f aca="false">IF(INDEX(Articles!$E$2:$E$148,MATCH(C64,Articles!$A$2:$A$148,0))="","",INDEX(Articles!$E$2:$E$148,MATCH(C64,Articles!$A$2:$A$148,0)))</f>
        <v/>
      </c>
      <c r="J64" s="13" t="str">
        <f aca="false">IF(I64="","",F64*I64)</f>
        <v/>
      </c>
      <c r="K64" s="9" t="str">
        <f aca="false">INDEX(Articles!$H$2:$H$148,MATCH(C64,Articles!$A$2:$A$148,0))</f>
        <v>Fixé</v>
      </c>
      <c r="L64" s="9" t="str">
        <f aca="false">INDEX(Articles!$F$2:$F$148,MATCH(C64,Articles!$A$2:$A$148,0))</f>
        <v>Inconnu</v>
      </c>
      <c r="M64" s="17"/>
      <c r="N64" s="9" t="s">
        <v>167</v>
      </c>
    </row>
    <row r="65" customFormat="false" ht="15" hidden="false" customHeight="false" outlineLevel="0" collapsed="false">
      <c r="A65" s="9" t="s">
        <v>678</v>
      </c>
      <c r="B65" s="9" t="s">
        <v>679</v>
      </c>
      <c r="C65" s="31" t="s">
        <v>235</v>
      </c>
      <c r="D65" s="9" t="str">
        <f aca="false">INDEX(Articles!$C$2:$C$148,MATCH(C65,Articles!$A$2:$A$148,0))</f>
        <v>Crayon papier (vendu à l'unité)</v>
      </c>
      <c r="E65" s="9" t="str">
        <f aca="false">INDEX(Articles!$B$2:$B$148,MATCH(C65,Articles!$A$2:$A$148,0))</f>
        <v>LPD</v>
      </c>
      <c r="F65" s="31" t="n">
        <v>1</v>
      </c>
      <c r="G65" s="13" t="n">
        <f aca="false">IF(INDEX(Articles!$G$2:$G$148,MATCH(C65,Articles!$A$2:$A$148,0))="","",INDEX(Articles!$G$2:$G$148,MATCH(C65,Articles!$A$2:$A$148,0)))</f>
        <v>75</v>
      </c>
      <c r="H65" s="13" t="n">
        <f aca="false">IF(G65="",0,F65*G65)</f>
        <v>75</v>
      </c>
      <c r="I65" s="13" t="str">
        <f aca="false">IF(INDEX(Articles!$E$2:$E$148,MATCH(C65,Articles!$A$2:$A$148,0))="","",INDEX(Articles!$E$2:$E$148,MATCH(C65,Articles!$A$2:$A$148,0)))</f>
        <v/>
      </c>
      <c r="J65" s="13" t="str">
        <f aca="false">IF(I65="","",F65*I65)</f>
        <v/>
      </c>
      <c r="K65" s="9" t="str">
        <f aca="false">INDEX(Articles!$H$2:$H$148,MATCH(C65,Articles!$A$2:$A$148,0))</f>
        <v>Fixé</v>
      </c>
      <c r="L65" s="9" t="str">
        <f aca="false">INDEX(Articles!$F$2:$F$148,MATCH(C65,Articles!$A$2:$A$148,0))</f>
        <v>Inconnu</v>
      </c>
      <c r="M65" s="17"/>
      <c r="N65" s="9" t="s">
        <v>167</v>
      </c>
    </row>
    <row r="66" customFormat="false" ht="15" hidden="false" customHeight="false" outlineLevel="0" collapsed="false">
      <c r="A66" s="9" t="s">
        <v>675</v>
      </c>
      <c r="B66" s="9" t="s">
        <v>717</v>
      </c>
      <c r="C66" s="31" t="s">
        <v>180</v>
      </c>
      <c r="D66" s="9" t="str">
        <f aca="false">INDEX(Articles!$C$2:$C$148,MATCH(C66,Articles!$A$2:$A$148,0))</f>
        <v>Gomme Staedtler Mars Plastic</v>
      </c>
      <c r="E66" s="9" t="str">
        <f aca="false">INDEX(Articles!$B$2:$B$148,MATCH(C66,Articles!$A$2:$A$148,0))</f>
        <v>LPD</v>
      </c>
      <c r="F66" s="31" t="n">
        <v>1</v>
      </c>
      <c r="G66" s="13" t="n">
        <f aca="false">IF(INDEX(Articles!$G$2:$G$148,MATCH(C66,Articles!$A$2:$A$148,0))="","",INDEX(Articles!$G$2:$G$148,MATCH(C66,Articles!$A$2:$A$148,0)))</f>
        <v>250</v>
      </c>
      <c r="H66" s="13" t="n">
        <f aca="false">IF(G66="",0,F66*G66)</f>
        <v>250</v>
      </c>
      <c r="I66" s="13" t="n">
        <f aca="false">IF(INDEX(Articles!$E$2:$E$148,MATCH(C66,Articles!$A$2:$A$148,0))="","",INDEX(Articles!$E$2:$E$148,MATCH(C66,Articles!$A$2:$A$148,0)))</f>
        <v>110</v>
      </c>
      <c r="J66" s="13" t="n">
        <f aca="false">IF(I66="","",F66*I66)</f>
        <v>110</v>
      </c>
      <c r="K66" s="9" t="str">
        <f aca="false">INDEX(Articles!$H$2:$H$148,MATCH(C66,Articles!$A$2:$A$148,0))</f>
        <v>Fixé</v>
      </c>
      <c r="L66" s="9" t="str">
        <f aca="false">INDEX(Articles!$F$2:$F$148,MATCH(C66,Articles!$A$2:$A$148,0))</f>
        <v>Estimé</v>
      </c>
      <c r="M66" s="17"/>
      <c r="N66" s="9" t="s">
        <v>167</v>
      </c>
    </row>
    <row r="67" customFormat="false" ht="26.85" hidden="false" customHeight="false" outlineLevel="0" collapsed="false">
      <c r="A67" s="9" t="s">
        <v>691</v>
      </c>
      <c r="B67" s="9" t="s">
        <v>692</v>
      </c>
      <c r="C67" s="31" t="s">
        <v>535</v>
      </c>
      <c r="D67" s="9" t="str">
        <f aca="false">INDEX(Articles!$C$2:$C$148,MATCH(C67,Articles!$A$2:$A$148,0))</f>
        <v>Langue et communication C.E.1</v>
      </c>
      <c r="E67" s="9" t="str">
        <f aca="false">INDEX(Articles!$B$2:$B$148,MATCH(C67,Articles!$A$2:$A$148,0))</f>
        <v>LPD</v>
      </c>
      <c r="F67" s="31" t="n">
        <v>1</v>
      </c>
      <c r="G67" s="13" t="n">
        <f aca="false">IF(INDEX(Articles!$G$2:$G$148,MATCH(C67,Articles!$A$2:$A$148,0))="","",INDEX(Articles!$G$2:$G$148,MATCH(C67,Articles!$A$2:$A$148,0)))</f>
        <v>4000</v>
      </c>
      <c r="H67" s="13" t="n">
        <f aca="false">IF(G67="",0,F67*G67)</f>
        <v>4000</v>
      </c>
      <c r="I67" s="13" t="n">
        <f aca="false">IF(INDEX(Articles!$E$2:$E$148,MATCH(C67,Articles!$A$2:$A$148,0))="","",INDEX(Articles!$E$2:$E$148,MATCH(C67,Articles!$A$2:$A$148,0)))</f>
        <v>3000</v>
      </c>
      <c r="J67" s="13" t="n">
        <f aca="false">IF(I67="","",F67*I67)</f>
        <v>3000</v>
      </c>
      <c r="K67" s="9" t="str">
        <f aca="false">INDEX(Articles!$H$2:$H$148,MATCH(C67,Articles!$A$2:$A$148,0))</f>
        <v>Fixé</v>
      </c>
      <c r="L67" s="9" t="str">
        <f aca="false">INDEX(Articles!$F$2:$F$148,MATCH(C67,Articles!$A$2:$A$148,0))</f>
        <v>Estimé</v>
      </c>
      <c r="M67" s="17" t="s">
        <v>701</v>
      </c>
      <c r="N67" s="9" t="s">
        <v>167</v>
      </c>
    </row>
    <row r="68" customFormat="false" ht="26.85" hidden="false" customHeight="false" outlineLevel="0" collapsed="false">
      <c r="A68" s="9" t="s">
        <v>691</v>
      </c>
      <c r="B68" s="9" t="s">
        <v>693</v>
      </c>
      <c r="C68" s="31" t="s">
        <v>537</v>
      </c>
      <c r="D68" s="9" t="str">
        <f aca="false">INDEX(Articles!$C$2:$C$148,MATCH(C68,Articles!$A$2:$A$148,0))</f>
        <v>Mathématiques C.E.1</v>
      </c>
      <c r="E68" s="9" t="str">
        <f aca="false">INDEX(Articles!$B$2:$B$148,MATCH(C68,Articles!$A$2:$A$148,0))</f>
        <v>LPD</v>
      </c>
      <c r="F68" s="31" t="n">
        <v>1</v>
      </c>
      <c r="G68" s="13" t="n">
        <f aca="false">IF(INDEX(Articles!$G$2:$G$148,MATCH(C68,Articles!$A$2:$A$148,0))="","",INDEX(Articles!$G$2:$G$148,MATCH(C68,Articles!$A$2:$A$148,0)))</f>
        <v>4000</v>
      </c>
      <c r="H68" s="13" t="n">
        <f aca="false">IF(G68="",0,F68*G68)</f>
        <v>4000</v>
      </c>
      <c r="I68" s="13" t="n">
        <f aca="false">IF(INDEX(Articles!$E$2:$E$148,MATCH(C68,Articles!$A$2:$A$148,0))="","",INDEX(Articles!$E$2:$E$148,MATCH(C68,Articles!$A$2:$A$148,0)))</f>
        <v>3000</v>
      </c>
      <c r="J68" s="13" t="n">
        <f aca="false">IF(I68="","",F68*I68)</f>
        <v>3000</v>
      </c>
      <c r="K68" s="9" t="str">
        <f aca="false">INDEX(Articles!$H$2:$H$148,MATCH(C68,Articles!$A$2:$A$148,0))</f>
        <v>Fixé</v>
      </c>
      <c r="L68" s="9" t="str">
        <f aca="false">INDEX(Articles!$F$2:$F$148,MATCH(C68,Articles!$A$2:$A$148,0))</f>
        <v>Estimé</v>
      </c>
      <c r="M68" s="17" t="s">
        <v>701</v>
      </c>
      <c r="N68" s="9" t="s">
        <v>167</v>
      </c>
    </row>
    <row r="69" customFormat="false" ht="26.85" hidden="false" customHeight="false" outlineLevel="0" collapsed="false">
      <c r="A69" s="9" t="s">
        <v>691</v>
      </c>
      <c r="B69" s="9" t="s">
        <v>694</v>
      </c>
      <c r="C69" s="31" t="s">
        <v>539</v>
      </c>
      <c r="D69" s="9" t="str">
        <f aca="false">INDEX(Articles!$C$2:$C$148,MATCH(C69,Articles!$A$2:$A$148,0))</f>
        <v>Découverte du monde C.E.1</v>
      </c>
      <c r="E69" s="9" t="str">
        <f aca="false">INDEX(Articles!$B$2:$B$148,MATCH(C69,Articles!$A$2:$A$148,0))</f>
        <v>LPD</v>
      </c>
      <c r="F69" s="31" t="n">
        <v>1</v>
      </c>
      <c r="G69" s="13" t="n">
        <f aca="false">IF(INDEX(Articles!$G$2:$G$148,MATCH(C69,Articles!$A$2:$A$148,0))="","",INDEX(Articles!$G$2:$G$148,MATCH(C69,Articles!$A$2:$A$148,0)))</f>
        <v>4000</v>
      </c>
      <c r="H69" s="13" t="n">
        <f aca="false">IF(G69="",0,F69*G69)</f>
        <v>4000</v>
      </c>
      <c r="I69" s="13" t="n">
        <f aca="false">IF(INDEX(Articles!$E$2:$E$148,MATCH(C69,Articles!$A$2:$A$148,0))="","",INDEX(Articles!$E$2:$E$148,MATCH(C69,Articles!$A$2:$A$148,0)))</f>
        <v>3000</v>
      </c>
      <c r="J69" s="13" t="n">
        <f aca="false">IF(I69="","",F69*I69)</f>
        <v>3000</v>
      </c>
      <c r="K69" s="9" t="str">
        <f aca="false">INDEX(Articles!$H$2:$H$148,MATCH(C69,Articles!$A$2:$A$148,0))</f>
        <v>Fixé</v>
      </c>
      <c r="L69" s="9" t="str">
        <f aca="false">INDEX(Articles!$F$2:$F$148,MATCH(C69,Articles!$A$2:$A$148,0))</f>
        <v>Estimé</v>
      </c>
      <c r="M69" s="17" t="s">
        <v>701</v>
      </c>
      <c r="N69" s="9" t="s">
        <v>167</v>
      </c>
    </row>
    <row r="70" customFormat="false" ht="15" hidden="false" customHeight="false" outlineLevel="0" collapsed="false">
      <c r="A70" s="9" t="s">
        <v>703</v>
      </c>
      <c r="B70" s="9" t="s">
        <v>704</v>
      </c>
      <c r="C70" s="31" t="s">
        <v>566</v>
      </c>
      <c r="D70" s="9" t="str">
        <f aca="false">INDEX(Articles!$C$2:$C$148,MATCH(C70,Articles!$A$2:$A$148,0))</f>
        <v>Cahier d’activités fongible LC C.E.1</v>
      </c>
      <c r="E70" s="9" t="str">
        <f aca="false">INDEX(Articles!$B$2:$B$148,MATCH(C70,Articles!$A$2:$A$148,0))</f>
        <v>LPD</v>
      </c>
      <c r="F70" s="31" t="n">
        <v>1</v>
      </c>
      <c r="G70" s="13" t="n">
        <f aca="false">IF(INDEX(Articles!$G$2:$G$148,MATCH(C70,Articles!$A$2:$A$148,0))="","",INDEX(Articles!$G$2:$G$148,MATCH(C70,Articles!$A$2:$A$148,0)))</f>
        <v>3010</v>
      </c>
      <c r="H70" s="13" t="n">
        <f aca="false">IF(G70="",0,F70*G70)</f>
        <v>3010</v>
      </c>
      <c r="I70" s="13" t="n">
        <f aca="false">IF(INDEX(Articles!$E$2:$E$148,MATCH(C70,Articles!$A$2:$A$148,0))="","",INDEX(Articles!$E$2:$E$148,MATCH(C70,Articles!$A$2:$A$148,0)))</f>
        <v>2010</v>
      </c>
      <c r="J70" s="13" t="n">
        <f aca="false">IF(I70="","",F70*I70)</f>
        <v>2010</v>
      </c>
      <c r="K70" s="9" t="str">
        <f aca="false">INDEX(Articles!$H$2:$H$148,MATCH(C70,Articles!$A$2:$A$148,0))</f>
        <v>Fixé</v>
      </c>
      <c r="L70" s="9" t="str">
        <f aca="false">INDEX(Articles!$F$2:$F$148,MATCH(C70,Articles!$A$2:$A$148,0))</f>
        <v>Estimé</v>
      </c>
      <c r="M70" s="17"/>
      <c r="N70" s="9" t="s">
        <v>167</v>
      </c>
    </row>
    <row r="71" customFormat="false" ht="15" hidden="false" customHeight="false" outlineLevel="0" collapsed="false">
      <c r="A71" s="9" t="s">
        <v>703</v>
      </c>
      <c r="B71" s="9" t="s">
        <v>705</v>
      </c>
      <c r="C71" s="31" t="s">
        <v>568</v>
      </c>
      <c r="D71" s="9" t="str">
        <f aca="false">INDEX(Articles!$C$2:$C$148,MATCH(C71,Articles!$A$2:$A$148,0))</f>
        <v>Cahier d’activités mathématiques C.E.1</v>
      </c>
      <c r="E71" s="9" t="str">
        <f aca="false">INDEX(Articles!$B$2:$B$148,MATCH(C71,Articles!$A$2:$A$148,0))</f>
        <v>LPD</v>
      </c>
      <c r="F71" s="31" t="n">
        <v>1</v>
      </c>
      <c r="G71" s="13" t="n">
        <f aca="false">IF(INDEX(Articles!$G$2:$G$148,MATCH(C71,Articles!$A$2:$A$148,0))="","",INDEX(Articles!$G$2:$G$148,MATCH(C71,Articles!$A$2:$A$148,0)))</f>
        <v>3010</v>
      </c>
      <c r="H71" s="13" t="n">
        <f aca="false">IF(G71="",0,F71*G71)</f>
        <v>3010</v>
      </c>
      <c r="I71" s="13" t="n">
        <f aca="false">IF(INDEX(Articles!$E$2:$E$148,MATCH(C71,Articles!$A$2:$A$148,0))="","",INDEX(Articles!$E$2:$E$148,MATCH(C71,Articles!$A$2:$A$148,0)))</f>
        <v>2010</v>
      </c>
      <c r="J71" s="13" t="n">
        <f aca="false">IF(I71="","",F71*I71)</f>
        <v>2010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D72" s="32" t="s">
        <v>683</v>
      </c>
      <c r="E72" s="32"/>
      <c r="F72" s="32"/>
      <c r="G72" s="32"/>
      <c r="H72" s="33" t="n">
        <f aca="false">COUNTIF(G59:G71,"")</f>
        <v>0</v>
      </c>
    </row>
    <row r="73" customFormat="false" ht="15" hidden="false" customHeight="false" outlineLevel="0" collapsed="false">
      <c r="D73" s="32" t="s">
        <v>684</v>
      </c>
      <c r="E73" s="32"/>
      <c r="F73" s="32"/>
      <c r="G73" s="32"/>
      <c r="H73" s="33" t="n">
        <f aca="false">SUM(H59:H71)</f>
        <v>27445</v>
      </c>
    </row>
    <row r="74" customFormat="false" ht="15" hidden="false" customHeight="false" outlineLevel="0" collapsed="false">
      <c r="D74" s="32" t="s">
        <v>28</v>
      </c>
      <c r="E74" s="32"/>
      <c r="F74" s="32"/>
      <c r="G74" s="32"/>
      <c r="H74" s="33" t="n">
        <f aca="false">SUM(J59:J71)</f>
        <v>20030</v>
      </c>
    </row>
    <row r="75" customFormat="false" ht="15" hidden="false" customHeight="false" outlineLevel="0" collapsed="false">
      <c r="D75" s="32" t="s">
        <v>685</v>
      </c>
      <c r="E75" s="32"/>
      <c r="F75" s="32"/>
      <c r="G75" s="32"/>
      <c r="H75" s="33" t="n">
        <f aca="false">COUNTIF(I59:I71,"")</f>
        <v>3</v>
      </c>
    </row>
    <row r="76" customFormat="false" ht="15" hidden="false" customHeight="false" outlineLevel="0" collapsed="false">
      <c r="D76" s="32" t="s">
        <v>686</v>
      </c>
      <c r="E76" s="32"/>
      <c r="F76" s="32"/>
      <c r="G76" s="32"/>
      <c r="H76" s="33" t="n">
        <f aca="false">SUMPRODUCT((I59:I71&lt;&gt;"")*H59:H71)-H74</f>
        <v>7140</v>
      </c>
    </row>
    <row r="77" customFormat="false" ht="15" hidden="false" customHeight="false" outlineLevel="0" collapsed="false">
      <c r="D77" s="32" t="s">
        <v>687</v>
      </c>
      <c r="E77" s="32"/>
      <c r="F77" s="32"/>
      <c r="G77" s="32"/>
      <c r="H77" s="33" t="n">
        <f aca="false">SUMIF(A59:A71,"Cahiers",F59:F71)</f>
        <v>4</v>
      </c>
    </row>
    <row r="78" customFormat="false" ht="15" hidden="false" customHeight="false" outlineLevel="0" collapsed="false">
      <c r="D78" s="32" t="s">
        <v>688</v>
      </c>
      <c r="E78" s="32"/>
      <c r="F78" s="32"/>
      <c r="G78" s="32"/>
      <c r="H78" s="34" t="n">
        <f aca="false">IF(H73=0,0,SUMIF(K59:K71,"&lt;&gt;Fixé",H59:H71)/H73)</f>
        <v>0.123884131900164</v>
      </c>
    </row>
    <row r="79" customFormat="false" ht="15" hidden="false" customHeight="false" outlineLevel="0" collapsed="false">
      <c r="D79" s="32" t="s">
        <v>689</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696</v>
      </c>
      <c r="E80" s="21" t="str">
        <f aca="false">INDEX(Articles!$C$2:$C$148,MATCH("S027",Articles!$A$2:$A$148,0))</f>
        <v>Cartable rigide bleu marine</v>
      </c>
      <c r="H80" s="41" t="n">
        <f aca="false">INDEX(Articles!$G$2:$G$148,MATCH("S027",Articles!$A$2:$A$148,0))</f>
        <v>7500</v>
      </c>
    </row>
    <row r="81" customFormat="false" ht="15" hidden="false" customHeight="false" outlineLevel="0" collapsed="false">
      <c r="D81" s="42" t="s">
        <v>697</v>
      </c>
      <c r="E81" s="44" t="s">
        <v>711</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720</v>
      </c>
    </row>
    <row r="2" customFormat="false" ht="15" hidden="false" customHeight="false" outlineLevel="0" collapsed="false">
      <c r="A2" s="21" t="s">
        <v>661</v>
      </c>
    </row>
    <row r="4" customFormat="false" ht="15" hidden="false" customHeight="false" outlineLevel="0" collapsed="false">
      <c r="A4" s="28" t="s">
        <v>721</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708</v>
      </c>
      <c r="C6" s="31" t="s">
        <v>195</v>
      </c>
      <c r="D6" s="9" t="str">
        <f aca="false">INDEX(Articles!$C$2:$C$148,MATCH(C6,Articles!$A$2:$A$148,0))</f>
        <v>Cahier Calligraphe 96 pages 17x22 56 g seyès</v>
      </c>
      <c r="E6" s="9" t="str">
        <f aca="false">INDEX(Articles!$B$2:$B$148,MATCH(C6,Articles!$A$2:$A$148,0))</f>
        <v>Papex</v>
      </c>
      <c r="F6" s="31" t="n">
        <v>4</v>
      </c>
      <c r="G6" s="13" t="n">
        <f aca="false">IF(INDEX(Articles!$G$2:$G$148,MATCH(C6,Articles!$A$2:$A$148,0))="","",INDEX(Articles!$G$2:$G$148,MATCH(C6,Articles!$A$2:$A$148,0)))</f>
        <v>450</v>
      </c>
      <c r="H6" s="13" t="n">
        <f aca="false">IF(G6="",0,F6*G6)</f>
        <v>1800</v>
      </c>
      <c r="I6" s="13" t="n">
        <f aca="false">IF(INDEX(Articles!$E$2:$E$148,MATCH(C6,Articles!$A$2:$A$148,0))="","",INDEX(Articles!$E$2:$E$148,MATCH(C6,Articles!$A$2:$A$148,0)))</f>
        <v>350</v>
      </c>
      <c r="J6" s="13" t="n">
        <f aca="false">IF(I6="","",F6*I6)</f>
        <v>1400</v>
      </c>
      <c r="K6" s="9" t="str">
        <f aca="false">INDEX(Articles!$H$2:$H$148,MATCH(C6,Articles!$A$2:$A$148,0))</f>
        <v>Fixé</v>
      </c>
      <c r="L6" s="9" t="str">
        <f aca="false">INDEX(Articles!$F$2:$F$148,MATCH(C6,Articles!$A$2:$A$148,0))</f>
        <v>Confirmé</v>
      </c>
      <c r="M6" s="17"/>
      <c r="N6" s="9" t="s">
        <v>167</v>
      </c>
    </row>
    <row r="7" customFormat="false" ht="15" hidden="false" customHeight="false" outlineLevel="0" collapsed="false">
      <c r="A7" s="9" t="s">
        <v>676</v>
      </c>
      <c r="B7" s="9" t="s">
        <v>709</v>
      </c>
      <c r="C7" s="31" t="s">
        <v>239</v>
      </c>
      <c r="D7" s="9" t="str">
        <f aca="false">INDEX(Articles!$C$2:$C$148,MATCH(C7,Articles!$A$2:$A$148,0))</f>
        <v>Kit de traçage 30 cm, 4 pièces L'écolier</v>
      </c>
      <c r="E7" s="9" t="str">
        <f aca="false">INDEX(Articles!$B$2:$B$148,MATCH(C7,Articles!$A$2:$A$148,0))</f>
        <v>Papex</v>
      </c>
      <c r="F7" s="31" t="n">
        <v>1</v>
      </c>
      <c r="G7" s="13" t="n">
        <f aca="false">IF(INDEX(Articles!$G$2:$G$148,MATCH(C7,Articles!$A$2:$A$148,0))="","",INDEX(Articles!$G$2:$G$148,MATCH(C7,Articles!$A$2:$A$148,0)))</f>
        <v>900</v>
      </c>
      <c r="H7" s="13" t="n">
        <f aca="false">IF(G7="",0,F7*G7)</f>
        <v>900</v>
      </c>
      <c r="I7" s="13" t="n">
        <f aca="false">IF(INDEX(Articles!$E$2:$E$148,MATCH(C7,Articles!$A$2:$A$148,0))="","",INDEX(Articles!$E$2:$E$148,MATCH(C7,Articles!$A$2:$A$148,0)))</f>
        <v>650</v>
      </c>
      <c r="J7" s="13" t="n">
        <f aca="false">IF(I7="","",F7*I7)</f>
        <v>650</v>
      </c>
      <c r="K7" s="9" t="str">
        <f aca="false">INDEX(Articles!$H$2:$H$148,MATCH(C7,Articles!$A$2:$A$148,0))</f>
        <v>Estimé</v>
      </c>
      <c r="L7" s="9" t="str">
        <f aca="false">INDEX(Articles!$F$2:$F$148,MATCH(C7,Articles!$A$2:$A$148,0))</f>
        <v>Confirmé</v>
      </c>
      <c r="M7" s="17"/>
      <c r="N7" s="9" t="s">
        <v>167</v>
      </c>
    </row>
    <row r="8" customFormat="false" ht="15" hidden="false" customHeight="false" outlineLevel="0" collapsed="false">
      <c r="A8" s="9" t="s">
        <v>674</v>
      </c>
      <c r="B8" s="9" t="s">
        <v>674</v>
      </c>
      <c r="C8" s="31" t="s">
        <v>165</v>
      </c>
      <c r="D8" s="9" t="str">
        <f aca="false">INDEX(Articles!$C$2:$C$148,MATCH(C8,Articles!$A$2:$A$148,0))</f>
        <v>Ardoise scolaire</v>
      </c>
      <c r="E8" s="9" t="str">
        <f aca="false">INDEX(Articles!$B$2:$B$148,MATCH(C8,Articles!$A$2:$A$148,0))</f>
        <v>LPD</v>
      </c>
      <c r="F8" s="31" t="n">
        <v>1</v>
      </c>
      <c r="G8" s="13" t="n">
        <f aca="false">IF(INDEX(Articles!$G$2:$G$148,MATCH(C8,Articles!$A$2:$A$148,0))="","",INDEX(Articles!$G$2:$G$148,MATCH(C8,Articles!$A$2:$A$148,0)))</f>
        <v>900</v>
      </c>
      <c r="H8" s="13" t="n">
        <f aca="false">IF(G8="",0,F8*G8)</f>
        <v>900</v>
      </c>
      <c r="I8" s="13" t="n">
        <f aca="false">IF(INDEX(Articles!$E$2:$E$148,MATCH(C8,Articles!$A$2:$A$148,0))="","",INDEX(Articles!$E$2:$E$148,MATCH(C8,Articles!$A$2:$A$148,0)))</f>
        <v>600</v>
      </c>
      <c r="J8" s="13" t="n">
        <f aca="false">IF(I8="","",F8*I8)</f>
        <v>600</v>
      </c>
      <c r="K8" s="9" t="str">
        <f aca="false">INDEX(Articles!$H$2:$H$148,MATCH(C8,Articles!$A$2:$A$148,0))</f>
        <v>Fixé</v>
      </c>
      <c r="L8" s="9" t="str">
        <f aca="false">INDEX(Articles!$F$2:$F$148,MATCH(C8,Articles!$A$2:$A$148,0))</f>
        <v>Estimé</v>
      </c>
      <c r="M8" s="17"/>
      <c r="N8" s="9" t="s">
        <v>167</v>
      </c>
    </row>
    <row r="9" customFormat="false" ht="15" hidden="false" customHeight="false" outlineLevel="0" collapsed="false">
      <c r="A9" s="9" t="s">
        <v>681</v>
      </c>
      <c r="B9" s="9" t="s">
        <v>682</v>
      </c>
      <c r="C9" s="31" t="s">
        <v>198</v>
      </c>
      <c r="D9" s="9" t="str">
        <f aca="false">INDEX(Articles!$C$2:$C$148,MATCH(C9,Articles!$A$2:$A$148,0))</f>
        <v>Crayons de couleur Maped, boîte de 12</v>
      </c>
      <c r="E9" s="9" t="str">
        <f aca="false">INDEX(Articles!$B$2:$B$148,MATCH(C9,Articles!$A$2:$A$148,0))</f>
        <v>Papex</v>
      </c>
      <c r="F9" s="31" t="n">
        <v>1</v>
      </c>
      <c r="G9" s="13" t="n">
        <f aca="false">IF(INDEX(Articles!$G$2:$G$148,MATCH(C9,Articles!$A$2:$A$148,0))="","",INDEX(Articles!$G$2:$G$148,MATCH(C9,Articles!$A$2:$A$148,0)))</f>
        <v>900</v>
      </c>
      <c r="H9" s="13" t="n">
        <f aca="false">IF(G9="",0,F9*G9)</f>
        <v>900</v>
      </c>
      <c r="I9" s="13" t="n">
        <f aca="false">IF(INDEX(Articles!$E$2:$E$148,MATCH(C9,Articles!$A$2:$A$148,0))="","",INDEX(Articles!$E$2:$E$148,MATCH(C9,Articles!$A$2:$A$148,0)))</f>
        <v>650</v>
      </c>
      <c r="J9" s="13" t="n">
        <f aca="false">IF(I9="","",F9*I9)</f>
        <v>650</v>
      </c>
      <c r="K9" s="9" t="str">
        <f aca="false">INDEX(Articles!$H$2:$H$148,MATCH(C9,Articles!$A$2:$A$148,0))</f>
        <v>Estimé</v>
      </c>
      <c r="L9" s="9" t="str">
        <f aca="false">INDEX(Articles!$F$2:$F$148,MATCH(C9,Articles!$A$2:$A$148,0))</f>
        <v>Estimé</v>
      </c>
      <c r="M9" s="17"/>
      <c r="N9" s="9" t="s">
        <v>167</v>
      </c>
    </row>
    <row r="10" customFormat="false" ht="15" hidden="false" customHeight="false" outlineLevel="0" collapsed="false">
      <c r="A10" s="9" t="s">
        <v>678</v>
      </c>
      <c r="B10" s="9" t="s">
        <v>680</v>
      </c>
      <c r="C10" s="31" t="s">
        <v>220</v>
      </c>
      <c r="D10" s="9" t="str">
        <f aca="false">INDEX(Articles!$C$2:$C$148,MATCH(C10,Articles!$A$2:$A$148,0))</f>
        <v>Stylo à bille Schneider Tops 505 M bleu</v>
      </c>
      <c r="E10" s="9" t="str">
        <f aca="false">INDEX(Articles!$B$2:$B$148,MATCH(C10,Articles!$A$2:$A$148,0))</f>
        <v>Papex</v>
      </c>
      <c r="F10" s="31" t="n">
        <v>1</v>
      </c>
      <c r="G10" s="13" t="n">
        <f aca="false">IF(INDEX(Articles!$G$2:$G$148,MATCH(C10,Articles!$A$2:$A$148,0))="","",INDEX(Articles!$G$2:$G$148,MATCH(C10,Articles!$A$2:$A$148,0)))</f>
        <v>100</v>
      </c>
      <c r="H10" s="13" t="n">
        <f aca="false">IF(G10="",0,F10*G10)</f>
        <v>100</v>
      </c>
      <c r="I10" s="13" t="str">
        <f aca="false">IF(INDEX(Articles!$E$2:$E$148,MATCH(C10,Articles!$A$2:$A$148,0))="","",INDEX(Articles!$E$2:$E$148,MATCH(C10,Articles!$A$2:$A$148,0)))</f>
        <v/>
      </c>
      <c r="J10" s="13" t="str">
        <f aca="false">IF(I10="","",F10*I10)</f>
        <v/>
      </c>
      <c r="K10" s="9" t="str">
        <f aca="false">INDEX(Articles!$H$2:$H$148,MATCH(C10,Articles!$A$2:$A$148,0))</f>
        <v>Fixé</v>
      </c>
      <c r="L10" s="9" t="str">
        <f aca="false">INDEX(Articles!$F$2:$F$148,MATCH(C10,Articles!$A$2:$A$148,0))</f>
        <v>Inconnu</v>
      </c>
      <c r="M10" s="17"/>
      <c r="N10" s="9" t="s">
        <v>167</v>
      </c>
    </row>
    <row r="11" customFormat="false" ht="15" hidden="false" customHeight="false" outlineLevel="0" collapsed="false">
      <c r="A11" s="9" t="s">
        <v>678</v>
      </c>
      <c r="B11" s="9" t="s">
        <v>710</v>
      </c>
      <c r="C11" s="31" t="s">
        <v>429</v>
      </c>
      <c r="D11" s="9" t="str">
        <f aca="false">INDEX(Articles!$C$2:$C$148,MATCH(C11,Articles!$A$2:$A$148,0))</f>
        <v>Stylo à bille Schneider Tops 505 M vert</v>
      </c>
      <c r="E11" s="9" t="str">
        <f aca="false">INDEX(Articles!$B$2:$B$148,MATCH(C11,Articles!$A$2:$A$148,0))</f>
        <v>Papex</v>
      </c>
      <c r="F11" s="31" t="n">
        <v>1</v>
      </c>
      <c r="G11" s="13" t="n">
        <f aca="false">IF(INDEX(Articles!$G$2:$G$148,MATCH(C11,Articles!$A$2:$A$148,0))="","",INDEX(Articles!$G$2:$G$148,MATCH(C11,Articles!$A$2:$A$148,0)))</f>
        <v>100</v>
      </c>
      <c r="H11" s="13" t="n">
        <f aca="false">IF(G11="",0,F11*G11)</f>
        <v>100</v>
      </c>
      <c r="I11" s="13" t="str">
        <f aca="false">IF(INDEX(Articles!$E$2:$E$148,MATCH(C11,Articles!$A$2:$A$148,0))="","",INDEX(Articles!$E$2:$E$148,MATCH(C11,Articles!$A$2:$A$148,0)))</f>
        <v/>
      </c>
      <c r="J11" s="13" t="str">
        <f aca="false">IF(I11="","",F11*I11)</f>
        <v/>
      </c>
      <c r="K11" s="9" t="str">
        <f aca="false">INDEX(Articles!$H$2:$H$148,MATCH(C11,Articles!$A$2:$A$148,0))</f>
        <v>Fixé</v>
      </c>
      <c r="L11" s="9" t="str">
        <f aca="false">INDEX(Articles!$F$2:$F$148,MATCH(C11,Articles!$A$2:$A$148,0))</f>
        <v>Inconnu</v>
      </c>
      <c r="M11" s="17"/>
      <c r="N11" s="9" t="s">
        <v>167</v>
      </c>
    </row>
    <row r="12" customFormat="false" ht="15" hidden="false" customHeight="false" outlineLevel="0" collapsed="false">
      <c r="A12" s="9" t="s">
        <v>678</v>
      </c>
      <c r="B12" s="9" t="s">
        <v>679</v>
      </c>
      <c r="C12" s="31" t="s">
        <v>235</v>
      </c>
      <c r="D12" s="9" t="str">
        <f aca="false">INDEX(Articles!$C$2:$C$148,MATCH(C12,Articles!$A$2:$A$148,0))</f>
        <v>Crayon papier (vendu à l'unité)</v>
      </c>
      <c r="E12" s="9" t="str">
        <f aca="false">INDEX(Articles!$B$2:$B$148,MATCH(C12,Articles!$A$2:$A$148,0))</f>
        <v>LPD</v>
      </c>
      <c r="F12" s="31" t="n">
        <v>1</v>
      </c>
      <c r="G12" s="13" t="n">
        <f aca="false">IF(INDEX(Articles!$G$2:$G$148,MATCH(C12,Articles!$A$2:$A$148,0))="","",INDEX(Articles!$G$2:$G$148,MATCH(C12,Articles!$A$2:$A$148,0)))</f>
        <v>75</v>
      </c>
      <c r="H12" s="13" t="n">
        <f aca="false">IF(G12="",0,F12*G12)</f>
        <v>75</v>
      </c>
      <c r="I12" s="13" t="str">
        <f aca="false">IF(INDEX(Articles!$E$2:$E$148,MATCH(C12,Articles!$A$2:$A$148,0))="","",INDEX(Articles!$E$2:$E$148,MATCH(C12,Articles!$A$2:$A$148,0)))</f>
        <v/>
      </c>
      <c r="J12" s="13" t="str">
        <f aca="false">IF(I12="","",F12*I12)</f>
        <v/>
      </c>
      <c r="K12" s="9" t="str">
        <f aca="false">INDEX(Articles!$H$2:$H$148,MATCH(C12,Articles!$A$2:$A$148,0))</f>
        <v>Fixé</v>
      </c>
      <c r="L12" s="9" t="str">
        <f aca="false">INDEX(Articles!$F$2:$F$148,MATCH(C12,Articles!$A$2:$A$148,0))</f>
        <v>Inconnu</v>
      </c>
      <c r="M12" s="17"/>
      <c r="N12" s="9" t="s">
        <v>167</v>
      </c>
    </row>
    <row r="13" customFormat="false" ht="15" hidden="false" customHeight="false" outlineLevel="0" collapsed="false">
      <c r="A13" s="9" t="s">
        <v>675</v>
      </c>
      <c r="B13" s="9" t="s">
        <v>717</v>
      </c>
      <c r="C13" s="31" t="s">
        <v>180</v>
      </c>
      <c r="D13" s="9" t="str">
        <f aca="false">INDEX(Articles!$C$2:$C$148,MATCH(C13,Articles!$A$2:$A$148,0))</f>
        <v>Gomme Staedtler Mars Plastic</v>
      </c>
      <c r="E13" s="9" t="str">
        <f aca="false">INDEX(Articles!$B$2:$B$148,MATCH(C13,Articles!$A$2:$A$148,0))</f>
        <v>LPD</v>
      </c>
      <c r="F13" s="31" t="n">
        <v>1</v>
      </c>
      <c r="G13" s="13" t="n">
        <f aca="false">IF(INDEX(Articles!$G$2:$G$148,MATCH(C13,Articles!$A$2:$A$148,0))="","",INDEX(Articles!$G$2:$G$148,MATCH(C13,Articles!$A$2:$A$148,0)))</f>
        <v>250</v>
      </c>
      <c r="H13" s="13" t="n">
        <f aca="false">IF(G13="",0,F13*G13)</f>
        <v>250</v>
      </c>
      <c r="I13" s="13" t="n">
        <f aca="false">IF(INDEX(Articles!$E$2:$E$148,MATCH(C13,Articles!$A$2:$A$148,0))="","",INDEX(Articles!$E$2:$E$148,MATCH(C13,Articles!$A$2:$A$148,0)))</f>
        <v>110</v>
      </c>
      <c r="J13" s="13" t="n">
        <f aca="false">IF(I13="","",F13*I13)</f>
        <v>110</v>
      </c>
      <c r="K13" s="9" t="str">
        <f aca="false">INDEX(Articles!$H$2:$H$148,MATCH(C13,Articles!$A$2:$A$148,0))</f>
        <v>Fixé</v>
      </c>
      <c r="L13" s="9" t="str">
        <f aca="false">INDEX(Articles!$F$2:$F$148,MATCH(C13,Articles!$A$2:$A$148,0))</f>
        <v>Estimé</v>
      </c>
      <c r="M13" s="17"/>
      <c r="N13" s="9" t="s">
        <v>167</v>
      </c>
    </row>
    <row r="14" customFormat="false" ht="15" hidden="false" customHeight="false" outlineLevel="0" collapsed="false">
      <c r="D14" s="32" t="s">
        <v>683</v>
      </c>
      <c r="E14" s="32"/>
      <c r="F14" s="32"/>
      <c r="G14" s="32"/>
      <c r="H14" s="33" t="n">
        <f aca="false">COUNTIF(G6:G13,"")</f>
        <v>0</v>
      </c>
    </row>
    <row r="15" customFormat="false" ht="15" hidden="false" customHeight="false" outlineLevel="0" collapsed="false">
      <c r="D15" s="32" t="s">
        <v>684</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685</v>
      </c>
      <c r="E17" s="32"/>
      <c r="F17" s="32"/>
      <c r="G17" s="32"/>
      <c r="H17" s="33" t="n">
        <f aca="false">COUNTIF(I6:I13,"")</f>
        <v>3</v>
      </c>
    </row>
    <row r="18" customFormat="false" ht="15" hidden="false" customHeight="false" outlineLevel="0" collapsed="false">
      <c r="D18" s="32" t="s">
        <v>686</v>
      </c>
      <c r="E18" s="32"/>
      <c r="F18" s="32"/>
      <c r="G18" s="32"/>
      <c r="H18" s="33" t="n">
        <f aca="false">SUMPRODUCT((I6:I13&lt;&gt;"")*H6:H13)-H16</f>
        <v>1340</v>
      </c>
    </row>
    <row r="19" customFormat="false" ht="15" hidden="false" customHeight="false" outlineLevel="0" collapsed="false">
      <c r="D19" s="32" t="s">
        <v>687</v>
      </c>
      <c r="E19" s="32"/>
      <c r="F19" s="32"/>
      <c r="G19" s="32"/>
      <c r="H19" s="33" t="n">
        <f aca="false">SUMIF(A6:A13,"Cahiers",F6:F13)</f>
        <v>4</v>
      </c>
    </row>
    <row r="20" customFormat="false" ht="15" hidden="false" customHeight="false" outlineLevel="0" collapsed="false">
      <c r="D20" s="32" t="s">
        <v>688</v>
      </c>
      <c r="E20" s="32"/>
      <c r="F20" s="32"/>
      <c r="G20" s="32"/>
      <c r="H20" s="34" t="n">
        <f aca="false">IF(H15=0,0,SUMIF(K6:K13,"&lt;&gt;Fixé",H6:H13)/H15)</f>
        <v>0.358208955223881</v>
      </c>
    </row>
    <row r="21" customFormat="false" ht="15" hidden="false" customHeight="false" outlineLevel="0" collapsed="false">
      <c r="D21" s="32" t="s">
        <v>689</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690</v>
      </c>
    </row>
    <row r="24" customFormat="false" ht="15" hidden="false" customHeight="false" outlineLevel="0" collapsed="false">
      <c r="A24" s="36" t="s">
        <v>691</v>
      </c>
      <c r="B24" s="36" t="s">
        <v>692</v>
      </c>
      <c r="C24" s="31" t="s">
        <v>541</v>
      </c>
      <c r="D24" s="36" t="str">
        <f aca="false">INDEX(Articles!$C$2:$C$148,MATCH(C24,Articles!$A$2:$A$148,0))</f>
        <v>Langue et communication C.E.2</v>
      </c>
      <c r="E24" s="37"/>
      <c r="F24" s="37"/>
      <c r="G24" s="38" t="n">
        <f aca="false">INDEX(Articles!$G$2:$G$148,MATCH(C24,Articles!$A$2:$A$148,0))</f>
        <v>4000</v>
      </c>
      <c r="H24" s="37"/>
      <c r="I24" s="37"/>
      <c r="J24" s="37"/>
      <c r="K24" s="37"/>
      <c r="L24" s="37"/>
      <c r="M24" s="37"/>
      <c r="N24" s="39" t="s">
        <v>271</v>
      </c>
    </row>
    <row r="25" customFormat="false" ht="15" hidden="false" customHeight="false" outlineLevel="0" collapsed="false">
      <c r="A25" s="36" t="s">
        <v>691</v>
      </c>
      <c r="B25" s="36" t="s">
        <v>693</v>
      </c>
      <c r="C25" s="31" t="s">
        <v>543</v>
      </c>
      <c r="D25" s="36" t="str">
        <f aca="false">INDEX(Articles!$C$2:$C$148,MATCH(C25,Articles!$A$2:$A$148,0))</f>
        <v>Mathématiques C.E.2</v>
      </c>
      <c r="E25" s="37"/>
      <c r="F25" s="37"/>
      <c r="G25" s="38" t="n">
        <f aca="false">INDEX(Articles!$G$2:$G$148,MATCH(C25,Articles!$A$2:$A$148,0))</f>
        <v>4000</v>
      </c>
      <c r="H25" s="37"/>
      <c r="I25" s="37"/>
      <c r="J25" s="37"/>
      <c r="K25" s="37"/>
      <c r="L25" s="37"/>
      <c r="M25" s="37"/>
      <c r="N25" s="39" t="s">
        <v>271</v>
      </c>
    </row>
    <row r="26" customFormat="false" ht="15" hidden="false" customHeight="false" outlineLevel="0" collapsed="false">
      <c r="A26" s="36" t="s">
        <v>691</v>
      </c>
      <c r="B26" s="36" t="s">
        <v>694</v>
      </c>
      <c r="C26" s="31" t="s">
        <v>545</v>
      </c>
      <c r="D26" s="36" t="str">
        <f aca="false">INDEX(Articles!$C$2:$C$148,MATCH(C26,Articles!$A$2:$A$148,0))</f>
        <v>Découverte du monde C.E.2</v>
      </c>
      <c r="E26" s="37"/>
      <c r="F26" s="37"/>
      <c r="G26" s="38" t="n">
        <f aca="false">INDEX(Articles!$G$2:$G$148,MATCH(C26,Articles!$A$2:$A$148,0))</f>
        <v>4000</v>
      </c>
      <c r="H26" s="37"/>
      <c r="I26" s="37"/>
      <c r="J26" s="37"/>
      <c r="K26" s="37"/>
      <c r="L26" s="37"/>
      <c r="M26" s="37"/>
      <c r="N26" s="39" t="s">
        <v>271</v>
      </c>
    </row>
    <row r="27" customFormat="false" ht="15" hidden="false" customHeight="false" outlineLevel="0" collapsed="false">
      <c r="D27" s="40" t="s">
        <v>695</v>
      </c>
      <c r="H27" s="33" t="n">
        <f aca="false">H15+SUM(G24:G26)</f>
        <v>17025</v>
      </c>
    </row>
    <row r="28" customFormat="false" ht="15" hidden="false" customHeight="false" outlineLevel="0" collapsed="false">
      <c r="D28" s="21" t="s">
        <v>696</v>
      </c>
      <c r="E28" s="21" t="str">
        <f aca="false">INDEX(Articles!$C$2:$C$148,MATCH("S027",Articles!$A$2:$A$148,0))</f>
        <v>Cartable rigide bleu marine</v>
      </c>
      <c r="H28" s="41" t="n">
        <f aca="false">INDEX(Articles!$G$2:$G$148,MATCH("S027",Articles!$A$2:$A$148,0))</f>
        <v>7500</v>
      </c>
    </row>
    <row r="29" customFormat="false" ht="15" hidden="false" customHeight="false" outlineLevel="0" collapsed="false">
      <c r="D29" s="42" t="s">
        <v>697</v>
      </c>
      <c r="E29" s="44" t="s">
        <v>711</v>
      </c>
    </row>
    <row r="32" customFormat="false" ht="15" hidden="false" customHeight="false" outlineLevel="0" collapsed="false">
      <c r="A32" s="28" t="s">
        <v>722</v>
      </c>
      <c r="B32" s="29"/>
      <c r="C32" s="29"/>
      <c r="D32" s="29"/>
      <c r="E32" s="29"/>
      <c r="F32" s="29"/>
      <c r="G32" s="29"/>
      <c r="H32" s="29"/>
      <c r="I32" s="29"/>
      <c r="J32" s="29"/>
      <c r="K32" s="29"/>
      <c r="L32" s="29"/>
      <c r="M32" s="29"/>
      <c r="N32" s="29"/>
    </row>
    <row r="33" customFormat="false" ht="39.55" hidden="false" customHeight="false" outlineLevel="0" collapsed="false">
      <c r="A33" s="30" t="s">
        <v>663</v>
      </c>
      <c r="B33" s="30" t="s">
        <v>664</v>
      </c>
      <c r="C33" s="30" t="s">
        <v>348</v>
      </c>
      <c r="D33" s="30" t="s">
        <v>350</v>
      </c>
      <c r="E33" s="30" t="s">
        <v>349</v>
      </c>
      <c r="F33" s="30" t="s">
        <v>665</v>
      </c>
      <c r="G33" s="30" t="s">
        <v>666</v>
      </c>
      <c r="H33" s="30" t="s">
        <v>667</v>
      </c>
      <c r="I33" s="30" t="s">
        <v>668</v>
      </c>
      <c r="J33" s="30" t="s">
        <v>669</v>
      </c>
      <c r="K33" s="30" t="s">
        <v>355</v>
      </c>
      <c r="L33" s="30" t="s">
        <v>353</v>
      </c>
      <c r="M33" s="30" t="s">
        <v>356</v>
      </c>
      <c r="N33" s="30" t="s">
        <v>670</v>
      </c>
    </row>
    <row r="34" customFormat="false" ht="15" hidden="false" customHeight="false" outlineLevel="0" collapsed="false">
      <c r="A34" s="9" t="s">
        <v>671</v>
      </c>
      <c r="B34" s="9" t="s">
        <v>708</v>
      </c>
      <c r="C34" s="31" t="s">
        <v>366</v>
      </c>
      <c r="D34" s="9" t="str">
        <f aca="false">INDEX(Articles!$C$2:$C$148,MATCH(C34,Articles!$A$2:$A$148,0))</f>
        <v>Cahier Calligraphe 140 pages 17x22 90 g seyès</v>
      </c>
      <c r="E34" s="9" t="str">
        <f aca="false">INDEX(Articles!$B$2:$B$148,MATCH(C34,Articles!$A$2:$A$148,0))</f>
        <v>Papex</v>
      </c>
      <c r="F34" s="31" t="n">
        <v>4</v>
      </c>
      <c r="G34" s="13" t="n">
        <f aca="false">IF(INDEX(Articles!$G$2:$G$148,MATCH(C34,Articles!$A$2:$A$148,0))="","",INDEX(Articles!$G$2:$G$148,MATCH(C34,Articles!$A$2:$A$148,0)))</f>
        <v>750</v>
      </c>
      <c r="H34" s="13" t="n">
        <f aca="false">IF(G34="",0,F34*G34)</f>
        <v>3000</v>
      </c>
      <c r="I34" s="13" t="n">
        <f aca="false">IF(INDEX(Articles!$E$2:$E$148,MATCH(C34,Articles!$A$2:$A$148,0))="","",INDEX(Articles!$E$2:$E$148,MATCH(C34,Articles!$A$2:$A$148,0)))</f>
        <v>650</v>
      </c>
      <c r="J34" s="13" t="n">
        <f aca="false">IF(I34="","",F34*I34)</f>
        <v>2600</v>
      </c>
      <c r="K34" s="9" t="str">
        <f aca="false">INDEX(Articles!$H$2:$H$148,MATCH(C34,Articles!$A$2:$A$148,0))</f>
        <v>Fixé</v>
      </c>
      <c r="L34" s="9" t="str">
        <f aca="false">INDEX(Articles!$F$2:$F$148,MATCH(C34,Articles!$A$2:$A$148,0))</f>
        <v>Estimé</v>
      </c>
      <c r="M34" s="17" t="s">
        <v>713</v>
      </c>
      <c r="N34" s="9" t="s">
        <v>167</v>
      </c>
    </row>
    <row r="35" customFormat="false" ht="15" hidden="false" customHeight="false" outlineLevel="0" collapsed="false">
      <c r="A35" s="9" t="s">
        <v>676</v>
      </c>
      <c r="B35" s="9" t="s">
        <v>709</v>
      </c>
      <c r="C35" s="31" t="s">
        <v>215</v>
      </c>
      <c r="D35" s="9" t="str">
        <f aca="false">INDEX(Articles!$C$2:$C$148,MATCH(C35,Articles!$A$2:$A$148,0))</f>
        <v>Kit géométrie Maped 30 cm (réf. 1930)</v>
      </c>
      <c r="E35" s="9" t="str">
        <f aca="false">INDEX(Articles!$B$2:$B$148,MATCH(C35,Articles!$A$2:$A$148,0))</f>
        <v>LPD</v>
      </c>
      <c r="F35" s="31" t="n">
        <v>1</v>
      </c>
      <c r="G35" s="13" t="n">
        <f aca="false">IF(INDEX(Articles!$G$2:$G$148,MATCH(C35,Articles!$A$2:$A$148,0))="","",INDEX(Articles!$G$2:$G$148,MATCH(C35,Articles!$A$2:$A$148,0)))</f>
        <v>1800</v>
      </c>
      <c r="H35" s="13" t="n">
        <f aca="false">IF(G35="",0,F35*G35)</f>
        <v>1800</v>
      </c>
      <c r="I35" s="13" t="n">
        <f aca="false">IF(INDEX(Articles!$E$2:$E$148,MATCH(C35,Articles!$A$2:$A$148,0))="","",INDEX(Articles!$E$2:$E$148,MATCH(C35,Articles!$A$2:$A$148,0)))</f>
        <v>1500</v>
      </c>
      <c r="J35" s="13" t="n">
        <f aca="false">IF(I35="","",F35*I35)</f>
        <v>1500</v>
      </c>
      <c r="K35" s="9" t="str">
        <f aca="false">INDEX(Articles!$H$2:$H$148,MATCH(C35,Articles!$A$2:$A$148,0))</f>
        <v>À trancher</v>
      </c>
      <c r="L35" s="9" t="str">
        <f aca="false">INDEX(Articles!$F$2:$F$148,MATCH(C35,Articles!$A$2:$A$148,0))</f>
        <v>Confirmé</v>
      </c>
      <c r="M35" s="17"/>
      <c r="N35" s="9" t="s">
        <v>167</v>
      </c>
    </row>
    <row r="36" customFormat="false" ht="15" hidden="false" customHeight="false" outlineLevel="0" collapsed="false">
      <c r="A36" s="9" t="s">
        <v>674</v>
      </c>
      <c r="B36" s="9" t="s">
        <v>674</v>
      </c>
      <c r="C36" s="31" t="s">
        <v>162</v>
      </c>
      <c r="D36" s="9" t="str">
        <f aca="false">INDEX(Articles!$C$2:$C$148,MATCH(C36,Articles!$A$2:$A$148,0))</f>
        <v>Ardoise quadrillée avec poignée</v>
      </c>
      <c r="E36" s="9" t="str">
        <f aca="false">INDEX(Articles!$B$2:$B$148,MATCH(C36,Articles!$A$2:$A$148,0))</f>
        <v>Cissé &amp; Frères</v>
      </c>
      <c r="F36" s="31" t="n">
        <v>1</v>
      </c>
      <c r="G36" s="13" t="n">
        <f aca="false">IF(INDEX(Articles!$G$2:$G$148,MATCH(C36,Articles!$A$2:$A$148,0))="","",INDEX(Articles!$G$2:$G$148,MATCH(C36,Articles!$A$2:$A$148,0)))</f>
        <v>2500</v>
      </c>
      <c r="H36" s="13" t="n">
        <f aca="false">IF(G36="",0,F36*G36)</f>
        <v>2500</v>
      </c>
      <c r="I36" s="13" t="n">
        <f aca="false">IF(INDEX(Articles!$E$2:$E$148,MATCH(C36,Articles!$A$2:$A$148,0))="","",INDEX(Articles!$E$2:$E$148,MATCH(C36,Articles!$A$2:$A$148,0)))</f>
        <v>1500</v>
      </c>
      <c r="J36" s="13" t="n">
        <f aca="false">IF(I36="","",F36*I36)</f>
        <v>1500</v>
      </c>
      <c r="K36" s="9" t="str">
        <f aca="false">INDEX(Articles!$H$2:$H$148,MATCH(C36,Articles!$A$2:$A$148,0))</f>
        <v>Fixé</v>
      </c>
      <c r="L36" s="9" t="str">
        <f aca="false">INDEX(Articles!$F$2:$F$148,MATCH(C36,Articles!$A$2:$A$148,0))</f>
        <v>Confirmé</v>
      </c>
      <c r="M36" s="17"/>
      <c r="N36" s="9" t="s">
        <v>167</v>
      </c>
    </row>
    <row r="37" customFormat="false" ht="15" hidden="false" customHeight="false" outlineLevel="0" collapsed="false">
      <c r="A37" s="9" t="s">
        <v>681</v>
      </c>
      <c r="B37" s="9" t="s">
        <v>682</v>
      </c>
      <c r="C37" s="31" t="s">
        <v>218</v>
      </c>
      <c r="D37" s="9" t="str">
        <f aca="false">INDEX(Articles!$C$2:$C$148,MATCH(C37,Articles!$A$2:$A$148,0))</f>
        <v>Crayons de couleur Maped Nightfall, boîte de 24</v>
      </c>
      <c r="E37" s="9" t="str">
        <f aca="false">INDEX(Articles!$B$2:$B$148,MATCH(C37,Articles!$A$2:$A$148,0))</f>
        <v>Papex</v>
      </c>
      <c r="F37" s="31" t="n">
        <v>1</v>
      </c>
      <c r="G37" s="13" t="n">
        <f aca="false">IF(INDEX(Articles!$G$2:$G$148,MATCH(C37,Articles!$A$2:$A$148,0))="","",INDEX(Articles!$G$2:$G$148,MATCH(C37,Articles!$A$2:$A$148,0)))</f>
        <v>1600</v>
      </c>
      <c r="H37" s="13" t="n">
        <f aca="false">IF(G37="",0,F37*G37)</f>
        <v>1600</v>
      </c>
      <c r="I37" s="13" t="n">
        <f aca="false">IF(INDEX(Articles!$E$2:$E$148,MATCH(C37,Articles!$A$2:$A$148,0))="","",INDEX(Articles!$E$2:$E$148,MATCH(C37,Articles!$A$2:$A$148,0)))</f>
        <v>1300</v>
      </c>
      <c r="J37" s="13" t="n">
        <f aca="false">IF(I37="","",F37*I37)</f>
        <v>1300</v>
      </c>
      <c r="K37" s="9" t="str">
        <f aca="false">INDEX(Articles!$H$2:$H$148,MATCH(C37,Articles!$A$2:$A$148,0))</f>
        <v>Estimé</v>
      </c>
      <c r="L37" s="9" t="str">
        <f aca="false">INDEX(Articles!$F$2:$F$148,MATCH(C37,Articles!$A$2:$A$148,0))</f>
        <v>Estimé</v>
      </c>
      <c r="M37" s="17"/>
      <c r="N37" s="9" t="s">
        <v>167</v>
      </c>
    </row>
    <row r="38" customFormat="false" ht="15" hidden="false" customHeight="false" outlineLevel="0" collapsed="false">
      <c r="A38" s="9" t="s">
        <v>678</v>
      </c>
      <c r="B38" s="9" t="s">
        <v>680</v>
      </c>
      <c r="C38" s="31" t="s">
        <v>220</v>
      </c>
      <c r="D38" s="9" t="str">
        <f aca="false">INDEX(Articles!$C$2:$C$148,MATCH(C38,Articles!$A$2:$A$148,0))</f>
        <v>Stylo à bille Schneider Tops 505 M bleu</v>
      </c>
      <c r="E38" s="9" t="str">
        <f aca="false">INDEX(Articles!$B$2:$B$148,MATCH(C38,Articles!$A$2:$A$148,0))</f>
        <v>Papex</v>
      </c>
      <c r="F38" s="31" t="n">
        <v>1</v>
      </c>
      <c r="G38" s="13" t="n">
        <f aca="false">IF(INDEX(Articles!$G$2:$G$148,MATCH(C38,Articles!$A$2:$A$148,0))="","",INDEX(Articles!$G$2:$G$148,MATCH(C38,Articles!$A$2:$A$148,0)))</f>
        <v>100</v>
      </c>
      <c r="H38" s="13" t="n">
        <f aca="false">IF(G38="",0,F38*G38)</f>
        <v>100</v>
      </c>
      <c r="I38" s="13" t="str">
        <f aca="false">IF(INDEX(Articles!$E$2:$E$148,MATCH(C38,Articles!$A$2:$A$148,0))="","",INDEX(Articles!$E$2:$E$148,MATCH(C38,Articles!$A$2:$A$148,0)))</f>
        <v/>
      </c>
      <c r="J38" s="13" t="str">
        <f aca="false">IF(I38="","",F38*I38)</f>
        <v/>
      </c>
      <c r="K38" s="9" t="str">
        <f aca="false">INDEX(Articles!$H$2:$H$148,MATCH(C38,Articles!$A$2:$A$148,0))</f>
        <v>Fixé</v>
      </c>
      <c r="L38" s="9" t="str">
        <f aca="false">INDEX(Articles!$F$2:$F$148,MATCH(C38,Articles!$A$2:$A$148,0))</f>
        <v>Inconnu</v>
      </c>
      <c r="M38" s="17"/>
      <c r="N38" s="9" t="s">
        <v>167</v>
      </c>
    </row>
    <row r="39" customFormat="false" ht="15" hidden="false" customHeight="false" outlineLevel="0" collapsed="false">
      <c r="A39" s="9" t="s">
        <v>678</v>
      </c>
      <c r="B39" s="9" t="s">
        <v>710</v>
      </c>
      <c r="C39" s="31" t="s">
        <v>429</v>
      </c>
      <c r="D39" s="9" t="str">
        <f aca="false">INDEX(Articles!$C$2:$C$148,MATCH(C39,Articles!$A$2:$A$148,0))</f>
        <v>Stylo à bille Schneider Tops 505 M vert</v>
      </c>
      <c r="E39" s="9" t="str">
        <f aca="false">INDEX(Articles!$B$2:$B$148,MATCH(C39,Articles!$A$2:$A$148,0))</f>
        <v>Papex</v>
      </c>
      <c r="F39" s="31" t="n">
        <v>1</v>
      </c>
      <c r="G39" s="13" t="n">
        <f aca="false">IF(INDEX(Articles!$G$2:$G$148,MATCH(C39,Articles!$A$2:$A$148,0))="","",INDEX(Articles!$G$2:$G$148,MATCH(C39,Articles!$A$2:$A$148,0)))</f>
        <v>100</v>
      </c>
      <c r="H39" s="13" t="n">
        <f aca="false">IF(G39="",0,F39*G39)</f>
        <v>100</v>
      </c>
      <c r="I39" s="13" t="str">
        <f aca="false">IF(INDEX(Articles!$E$2:$E$148,MATCH(C39,Articles!$A$2:$A$148,0))="","",INDEX(Articles!$E$2:$E$148,MATCH(C39,Articles!$A$2:$A$148,0)))</f>
        <v/>
      </c>
      <c r="J39" s="13" t="str">
        <f aca="false">IF(I39="","",F39*I39)</f>
        <v/>
      </c>
      <c r="K39" s="9" t="str">
        <f aca="false">INDEX(Articles!$H$2:$H$148,MATCH(C39,Articles!$A$2:$A$148,0))</f>
        <v>Fixé</v>
      </c>
      <c r="L39" s="9" t="str">
        <f aca="false">INDEX(Articles!$F$2:$F$148,MATCH(C39,Articles!$A$2:$A$148,0))</f>
        <v>Inconnu</v>
      </c>
      <c r="M39" s="17"/>
      <c r="N39" s="9" t="s">
        <v>167</v>
      </c>
    </row>
    <row r="40" customFormat="false" ht="15" hidden="false" customHeight="false" outlineLevel="0" collapsed="false">
      <c r="A40" s="9" t="s">
        <v>678</v>
      </c>
      <c r="B40" s="9" t="s">
        <v>679</v>
      </c>
      <c r="C40" s="31" t="s">
        <v>235</v>
      </c>
      <c r="D40" s="9" t="str">
        <f aca="false">INDEX(Articles!$C$2:$C$148,MATCH(C40,Articles!$A$2:$A$148,0))</f>
        <v>Crayon papier (vendu à l'unité)</v>
      </c>
      <c r="E40" s="9" t="str">
        <f aca="false">INDEX(Articles!$B$2:$B$148,MATCH(C40,Articles!$A$2:$A$148,0))</f>
        <v>LPD</v>
      </c>
      <c r="F40" s="31" t="n">
        <v>1</v>
      </c>
      <c r="G40" s="13" t="n">
        <f aca="false">IF(INDEX(Articles!$G$2:$G$148,MATCH(C40,Articles!$A$2:$A$148,0))="","",INDEX(Articles!$G$2:$G$148,MATCH(C40,Articles!$A$2:$A$148,0)))</f>
        <v>75</v>
      </c>
      <c r="H40" s="13" t="n">
        <f aca="false">IF(G40="",0,F40*G40)</f>
        <v>75</v>
      </c>
      <c r="I40" s="13" t="str">
        <f aca="false">IF(INDEX(Articles!$E$2:$E$148,MATCH(C40,Articles!$A$2:$A$148,0))="","",INDEX(Articles!$E$2:$E$148,MATCH(C40,Articles!$A$2:$A$148,0)))</f>
        <v/>
      </c>
      <c r="J40" s="13" t="str">
        <f aca="false">IF(I40="","",F40*I40)</f>
        <v/>
      </c>
      <c r="K40" s="9" t="str">
        <f aca="false">INDEX(Articles!$H$2:$H$148,MATCH(C40,Articles!$A$2:$A$148,0))</f>
        <v>Fixé</v>
      </c>
      <c r="L40" s="9" t="str">
        <f aca="false">INDEX(Articles!$F$2:$F$148,MATCH(C40,Articles!$A$2:$A$148,0))</f>
        <v>Inconnu</v>
      </c>
      <c r="M40" s="17"/>
      <c r="N40" s="9" t="s">
        <v>167</v>
      </c>
    </row>
    <row r="41" customFormat="false" ht="15" hidden="false" customHeight="false" outlineLevel="0" collapsed="false">
      <c r="A41" s="9" t="s">
        <v>675</v>
      </c>
      <c r="B41" s="9" t="s">
        <v>717</v>
      </c>
      <c r="C41" s="31" t="s">
        <v>180</v>
      </c>
      <c r="D41" s="9" t="str">
        <f aca="false">INDEX(Articles!$C$2:$C$148,MATCH(C41,Articles!$A$2:$A$148,0))</f>
        <v>Gomme Staedtler Mars Plastic</v>
      </c>
      <c r="E41" s="9" t="str">
        <f aca="false">INDEX(Articles!$B$2:$B$148,MATCH(C41,Articles!$A$2:$A$148,0))</f>
        <v>LPD</v>
      </c>
      <c r="F41" s="31" t="n">
        <v>1</v>
      </c>
      <c r="G41" s="13" t="n">
        <f aca="false">IF(INDEX(Articles!$G$2:$G$148,MATCH(C41,Articles!$A$2:$A$148,0))="","",INDEX(Articles!$G$2:$G$148,MATCH(C41,Articles!$A$2:$A$148,0)))</f>
        <v>250</v>
      </c>
      <c r="H41" s="13" t="n">
        <f aca="false">IF(G41="",0,F41*G41)</f>
        <v>250</v>
      </c>
      <c r="I41" s="13" t="n">
        <f aca="false">IF(INDEX(Articles!$E$2:$E$148,MATCH(C41,Articles!$A$2:$A$148,0))="","",INDEX(Articles!$E$2:$E$148,MATCH(C41,Articles!$A$2:$A$148,0)))</f>
        <v>110</v>
      </c>
      <c r="J41" s="13" t="n">
        <f aca="false">IF(I41="","",F41*I41)</f>
        <v>110</v>
      </c>
      <c r="K41" s="9" t="str">
        <f aca="false">INDEX(Articles!$H$2:$H$148,MATCH(C41,Articles!$A$2:$A$148,0))</f>
        <v>Fixé</v>
      </c>
      <c r="L41" s="9" t="str">
        <f aca="false">INDEX(Articles!$F$2:$F$148,MATCH(C41,Articles!$A$2:$A$148,0))</f>
        <v>Estimé</v>
      </c>
      <c r="M41" s="17"/>
      <c r="N41" s="9" t="s">
        <v>167</v>
      </c>
    </row>
    <row r="42" customFormat="false" ht="26.85" hidden="false" customHeight="false" outlineLevel="0" collapsed="false">
      <c r="A42" s="9" t="s">
        <v>691</v>
      </c>
      <c r="B42" s="9" t="s">
        <v>692</v>
      </c>
      <c r="C42" s="31" t="s">
        <v>541</v>
      </c>
      <c r="D42" s="9" t="str">
        <f aca="false">INDEX(Articles!$C$2:$C$148,MATCH(C42,Articles!$A$2:$A$148,0))</f>
        <v>Langue et communication C.E.2</v>
      </c>
      <c r="E42" s="9" t="str">
        <f aca="false">INDEX(Articles!$B$2:$B$148,MATCH(C42,Articles!$A$2:$A$148,0))</f>
        <v>LPD</v>
      </c>
      <c r="F42" s="31" t="n">
        <v>1</v>
      </c>
      <c r="G42" s="13" t="n">
        <f aca="false">IF(INDEX(Articles!$G$2:$G$148,MATCH(C42,Articles!$A$2:$A$148,0))="","",INDEX(Articles!$G$2:$G$148,MATCH(C42,Articles!$A$2:$A$148,0)))</f>
        <v>4000</v>
      </c>
      <c r="H42" s="13" t="n">
        <f aca="false">IF(G42="",0,F42*G42)</f>
        <v>4000</v>
      </c>
      <c r="I42" s="13" t="n">
        <f aca="false">IF(INDEX(Articles!$E$2:$E$148,MATCH(C42,Articles!$A$2:$A$148,0))="","",INDEX(Articles!$E$2:$E$148,MATCH(C42,Articles!$A$2:$A$148,0)))</f>
        <v>3000</v>
      </c>
      <c r="J42" s="13" t="n">
        <f aca="false">IF(I42="","",F42*I42)</f>
        <v>3000</v>
      </c>
      <c r="K42" s="9" t="str">
        <f aca="false">INDEX(Articles!$H$2:$H$148,MATCH(C42,Articles!$A$2:$A$148,0))</f>
        <v>Fixé</v>
      </c>
      <c r="L42" s="9" t="str">
        <f aca="false">INDEX(Articles!$F$2:$F$148,MATCH(C42,Articles!$A$2:$A$148,0))</f>
        <v>Estimé</v>
      </c>
      <c r="M42" s="17" t="s">
        <v>701</v>
      </c>
      <c r="N42" s="9" t="s">
        <v>167</v>
      </c>
    </row>
    <row r="43" customFormat="false" ht="26.85" hidden="false" customHeight="false" outlineLevel="0" collapsed="false">
      <c r="A43" s="9" t="s">
        <v>691</v>
      </c>
      <c r="B43" s="9" t="s">
        <v>693</v>
      </c>
      <c r="C43" s="31" t="s">
        <v>543</v>
      </c>
      <c r="D43" s="9" t="str">
        <f aca="false">INDEX(Articles!$C$2:$C$148,MATCH(C43,Articles!$A$2:$A$148,0))</f>
        <v>Mathématiques C.E.2</v>
      </c>
      <c r="E43" s="9" t="str">
        <f aca="false">INDEX(Articles!$B$2:$B$148,MATCH(C43,Articles!$A$2:$A$148,0))</f>
        <v>LPD</v>
      </c>
      <c r="F43" s="31" t="n">
        <v>1</v>
      </c>
      <c r="G43" s="13" t="n">
        <f aca="false">IF(INDEX(Articles!$G$2:$G$148,MATCH(C43,Articles!$A$2:$A$148,0))="","",INDEX(Articles!$G$2:$G$148,MATCH(C43,Articles!$A$2:$A$148,0)))</f>
        <v>4000</v>
      </c>
      <c r="H43" s="13" t="n">
        <f aca="false">IF(G43="",0,F43*G43)</f>
        <v>4000</v>
      </c>
      <c r="I43" s="13" t="n">
        <f aca="false">IF(INDEX(Articles!$E$2:$E$148,MATCH(C43,Articles!$A$2:$A$148,0))="","",INDEX(Articles!$E$2:$E$148,MATCH(C43,Articles!$A$2:$A$148,0)))</f>
        <v>3000</v>
      </c>
      <c r="J43" s="13" t="n">
        <f aca="false">IF(I43="","",F43*I43)</f>
        <v>3000</v>
      </c>
      <c r="K43" s="9" t="str">
        <f aca="false">INDEX(Articles!$H$2:$H$148,MATCH(C43,Articles!$A$2:$A$148,0))</f>
        <v>Fixé</v>
      </c>
      <c r="L43" s="9" t="str">
        <f aca="false">INDEX(Articles!$F$2:$F$148,MATCH(C43,Articles!$A$2:$A$148,0))</f>
        <v>Estimé</v>
      </c>
      <c r="M43" s="17" t="s">
        <v>701</v>
      </c>
      <c r="N43" s="9" t="s">
        <v>167</v>
      </c>
    </row>
    <row r="44" customFormat="false" ht="26.85" hidden="false" customHeight="false" outlineLevel="0" collapsed="false">
      <c r="A44" s="9" t="s">
        <v>691</v>
      </c>
      <c r="B44" s="9" t="s">
        <v>694</v>
      </c>
      <c r="C44" s="31" t="s">
        <v>545</v>
      </c>
      <c r="D44" s="9" t="str">
        <f aca="false">INDEX(Articles!$C$2:$C$148,MATCH(C44,Articles!$A$2:$A$148,0))</f>
        <v>Découverte du monde C.E.2</v>
      </c>
      <c r="E44" s="9" t="str">
        <f aca="false">INDEX(Articles!$B$2:$B$148,MATCH(C44,Articles!$A$2:$A$148,0))</f>
        <v>LPD</v>
      </c>
      <c r="F44" s="31" t="n">
        <v>1</v>
      </c>
      <c r="G44" s="13" t="n">
        <f aca="false">IF(INDEX(Articles!$G$2:$G$148,MATCH(C44,Articles!$A$2:$A$148,0))="","",INDEX(Articles!$G$2:$G$148,MATCH(C44,Articles!$A$2:$A$148,0)))</f>
        <v>4000</v>
      </c>
      <c r="H44" s="13" t="n">
        <f aca="false">IF(G44="",0,F44*G44)</f>
        <v>4000</v>
      </c>
      <c r="I44" s="13" t="n">
        <f aca="false">IF(INDEX(Articles!$E$2:$E$148,MATCH(C44,Articles!$A$2:$A$148,0))="","",INDEX(Articles!$E$2:$E$148,MATCH(C44,Articles!$A$2:$A$148,0)))</f>
        <v>3000</v>
      </c>
      <c r="J44" s="13" t="n">
        <f aca="false">IF(I44="","",F44*I44)</f>
        <v>3000</v>
      </c>
      <c r="K44" s="9" t="str">
        <f aca="false">INDEX(Articles!$H$2:$H$148,MATCH(C44,Articles!$A$2:$A$148,0))</f>
        <v>Fixé</v>
      </c>
      <c r="L44" s="9" t="str">
        <f aca="false">INDEX(Articles!$F$2:$F$148,MATCH(C44,Articles!$A$2:$A$148,0))</f>
        <v>Estimé</v>
      </c>
      <c r="M44" s="17" t="s">
        <v>701</v>
      </c>
      <c r="N44" s="9" t="s">
        <v>167</v>
      </c>
    </row>
    <row r="45" customFormat="false" ht="15" hidden="false" customHeight="false" outlineLevel="0" collapsed="false">
      <c r="D45" s="32" t="s">
        <v>683</v>
      </c>
      <c r="E45" s="32"/>
      <c r="F45" s="32"/>
      <c r="G45" s="32"/>
      <c r="H45" s="33" t="n">
        <f aca="false">COUNTIF(G34:G44,"")</f>
        <v>0</v>
      </c>
    </row>
    <row r="46" customFormat="false" ht="15" hidden="false" customHeight="false" outlineLevel="0" collapsed="false">
      <c r="D46" s="32" t="s">
        <v>684</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685</v>
      </c>
      <c r="E48" s="32"/>
      <c r="F48" s="32"/>
      <c r="G48" s="32"/>
      <c r="H48" s="33" t="n">
        <f aca="false">COUNTIF(I34:I44,"")</f>
        <v>3</v>
      </c>
    </row>
    <row r="49" customFormat="false" ht="15" hidden="false" customHeight="false" outlineLevel="0" collapsed="false">
      <c r="D49" s="32" t="s">
        <v>686</v>
      </c>
      <c r="E49" s="32"/>
      <c r="F49" s="32"/>
      <c r="G49" s="32"/>
      <c r="H49" s="33" t="n">
        <f aca="false">SUMPRODUCT((I34:I44&lt;&gt;"")*H34:H44)-H47</f>
        <v>5140</v>
      </c>
    </row>
    <row r="50" customFormat="false" ht="15" hidden="false" customHeight="false" outlineLevel="0" collapsed="false">
      <c r="D50" s="32" t="s">
        <v>687</v>
      </c>
      <c r="E50" s="32"/>
      <c r="F50" s="32"/>
      <c r="G50" s="32"/>
      <c r="H50" s="33" t="n">
        <f aca="false">SUMIF(A34:A44,"Cahiers",F34:F44)</f>
        <v>4</v>
      </c>
    </row>
    <row r="51" customFormat="false" ht="15" hidden="false" customHeight="false" outlineLevel="0" collapsed="false">
      <c r="D51" s="32" t="s">
        <v>688</v>
      </c>
      <c r="E51" s="32"/>
      <c r="F51" s="32"/>
      <c r="G51" s="32"/>
      <c r="H51" s="34" t="n">
        <f aca="false">IF(H46=0,0,SUMIF(K34:K44,"&lt;&gt;Fixé",H34:H44)/H46)</f>
        <v>0.158693115519253</v>
      </c>
    </row>
    <row r="52" customFormat="false" ht="15" hidden="false" customHeight="false" outlineLevel="0" collapsed="false">
      <c r="D52" s="32" t="s">
        <v>689</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696</v>
      </c>
      <c r="E53" s="21" t="str">
        <f aca="false">INDEX(Articles!$C$2:$C$148,MATCH("S027",Articles!$A$2:$A$148,0))</f>
        <v>Cartable rigide bleu marine</v>
      </c>
      <c r="H53" s="41" t="n">
        <f aca="false">INDEX(Articles!$G$2:$G$148,MATCH("S027",Articles!$A$2:$A$148,0))</f>
        <v>7500</v>
      </c>
    </row>
    <row r="54" customFormat="false" ht="15" hidden="false" customHeight="false" outlineLevel="0" collapsed="false">
      <c r="D54" s="42" t="s">
        <v>697</v>
      </c>
      <c r="E54" s="44" t="s">
        <v>711</v>
      </c>
    </row>
    <row r="57" customFormat="false" ht="15" hidden="false" customHeight="false" outlineLevel="0" collapsed="false">
      <c r="A57" s="28" t="s">
        <v>723</v>
      </c>
      <c r="B57" s="29"/>
      <c r="C57" s="29"/>
      <c r="D57" s="29"/>
      <c r="E57" s="29"/>
      <c r="F57" s="29"/>
      <c r="G57" s="29"/>
      <c r="H57" s="29"/>
      <c r="I57" s="29"/>
      <c r="J57" s="29"/>
      <c r="K57" s="29"/>
      <c r="L57" s="29"/>
      <c r="M57" s="29"/>
      <c r="N57" s="29"/>
    </row>
    <row r="58" customFormat="false" ht="39.55" hidden="false" customHeight="false" outlineLevel="0" collapsed="false">
      <c r="A58" s="30" t="s">
        <v>663</v>
      </c>
      <c r="B58" s="30" t="s">
        <v>664</v>
      </c>
      <c r="C58" s="30" t="s">
        <v>348</v>
      </c>
      <c r="D58" s="30" t="s">
        <v>350</v>
      </c>
      <c r="E58" s="30" t="s">
        <v>349</v>
      </c>
      <c r="F58" s="30" t="s">
        <v>665</v>
      </c>
      <c r="G58" s="30" t="s">
        <v>666</v>
      </c>
      <c r="H58" s="30" t="s">
        <v>667</v>
      </c>
      <c r="I58" s="30" t="s">
        <v>668</v>
      </c>
      <c r="J58" s="30" t="s">
        <v>669</v>
      </c>
      <c r="K58" s="30" t="s">
        <v>355</v>
      </c>
      <c r="L58" s="30" t="s">
        <v>353</v>
      </c>
      <c r="M58" s="30" t="s">
        <v>356</v>
      </c>
      <c r="N58" s="30" t="s">
        <v>670</v>
      </c>
    </row>
    <row r="59" customFormat="false" ht="15" hidden="false" customHeight="false" outlineLevel="0" collapsed="false">
      <c r="A59" s="9" t="s">
        <v>671</v>
      </c>
      <c r="B59" s="9" t="s">
        <v>708</v>
      </c>
      <c r="C59" s="31" t="s">
        <v>366</v>
      </c>
      <c r="D59" s="9" t="str">
        <f aca="false">INDEX(Articles!$C$2:$C$148,MATCH(C59,Articles!$A$2:$A$148,0))</f>
        <v>Cahier Calligraphe 140 pages 17x22 90 g seyès</v>
      </c>
      <c r="E59" s="9" t="str">
        <f aca="false">INDEX(Articles!$B$2:$B$148,MATCH(C59,Articles!$A$2:$A$148,0))</f>
        <v>Papex</v>
      </c>
      <c r="F59" s="31" t="n">
        <v>4</v>
      </c>
      <c r="G59" s="13" t="n">
        <f aca="false">IF(INDEX(Articles!$G$2:$G$148,MATCH(C59,Articles!$A$2:$A$148,0))="","",INDEX(Articles!$G$2:$G$148,MATCH(C59,Articles!$A$2:$A$148,0)))</f>
        <v>750</v>
      </c>
      <c r="H59" s="13" t="n">
        <f aca="false">IF(G59="",0,F59*G59)</f>
        <v>3000</v>
      </c>
      <c r="I59" s="13" t="n">
        <f aca="false">IF(INDEX(Articles!$E$2:$E$148,MATCH(C59,Articles!$A$2:$A$148,0))="","",INDEX(Articles!$E$2:$E$148,MATCH(C59,Articles!$A$2:$A$148,0)))</f>
        <v>650</v>
      </c>
      <c r="J59" s="13" t="n">
        <f aca="false">IF(I59="","",F59*I59)</f>
        <v>2600</v>
      </c>
      <c r="K59" s="9" t="str">
        <f aca="false">INDEX(Articles!$H$2:$H$148,MATCH(C59,Articles!$A$2:$A$148,0))</f>
        <v>Fixé</v>
      </c>
      <c r="L59" s="9" t="str">
        <f aca="false">INDEX(Articles!$F$2:$F$148,MATCH(C59,Articles!$A$2:$A$148,0))</f>
        <v>Estimé</v>
      </c>
      <c r="M59" s="17" t="s">
        <v>713</v>
      </c>
      <c r="N59" s="9" t="s">
        <v>167</v>
      </c>
    </row>
    <row r="60" customFormat="false" ht="15" hidden="false" customHeight="false" outlineLevel="0" collapsed="false">
      <c r="A60" s="9" t="s">
        <v>676</v>
      </c>
      <c r="B60" s="9" t="s">
        <v>709</v>
      </c>
      <c r="C60" s="31" t="s">
        <v>215</v>
      </c>
      <c r="D60" s="9" t="str">
        <f aca="false">INDEX(Articles!$C$2:$C$148,MATCH(C60,Articles!$A$2:$A$148,0))</f>
        <v>Kit géométrie Maped 30 cm (réf. 1930)</v>
      </c>
      <c r="E60" s="9" t="str">
        <f aca="false">INDEX(Articles!$B$2:$B$148,MATCH(C60,Articles!$A$2:$A$148,0))</f>
        <v>LPD</v>
      </c>
      <c r="F60" s="31" t="n">
        <v>1</v>
      </c>
      <c r="G60" s="13" t="n">
        <f aca="false">IF(INDEX(Articles!$G$2:$G$148,MATCH(C60,Articles!$A$2:$A$148,0))="","",INDEX(Articles!$G$2:$G$148,MATCH(C60,Articles!$A$2:$A$148,0)))</f>
        <v>1800</v>
      </c>
      <c r="H60" s="13" t="n">
        <f aca="false">IF(G60="",0,F60*G60)</f>
        <v>1800</v>
      </c>
      <c r="I60" s="13" t="n">
        <f aca="false">IF(INDEX(Articles!$E$2:$E$148,MATCH(C60,Articles!$A$2:$A$148,0))="","",INDEX(Articles!$E$2:$E$148,MATCH(C60,Articles!$A$2:$A$148,0)))</f>
        <v>1500</v>
      </c>
      <c r="J60" s="13" t="n">
        <f aca="false">IF(I60="","",F60*I60)</f>
        <v>1500</v>
      </c>
      <c r="K60" s="9" t="str">
        <f aca="false">INDEX(Articles!$H$2:$H$148,MATCH(C60,Articles!$A$2:$A$148,0))</f>
        <v>À trancher</v>
      </c>
      <c r="L60" s="9" t="str">
        <f aca="false">INDEX(Articles!$F$2:$F$148,MATCH(C60,Articles!$A$2:$A$148,0))</f>
        <v>Confirmé</v>
      </c>
      <c r="M60" s="17"/>
      <c r="N60" s="9" t="s">
        <v>167</v>
      </c>
    </row>
    <row r="61" customFormat="false" ht="15" hidden="false" customHeight="false" outlineLevel="0" collapsed="false">
      <c r="A61" s="9" t="s">
        <v>674</v>
      </c>
      <c r="B61" s="9" t="s">
        <v>674</v>
      </c>
      <c r="C61" s="31" t="s">
        <v>162</v>
      </c>
      <c r="D61" s="9" t="str">
        <f aca="false">INDEX(Articles!$C$2:$C$148,MATCH(C61,Articles!$A$2:$A$148,0))</f>
        <v>Ardoise quadrillée avec poignée</v>
      </c>
      <c r="E61" s="9" t="str">
        <f aca="false">INDEX(Articles!$B$2:$B$148,MATCH(C61,Articles!$A$2:$A$148,0))</f>
        <v>Cissé &amp; Frères</v>
      </c>
      <c r="F61" s="31" t="n">
        <v>1</v>
      </c>
      <c r="G61" s="13" t="n">
        <f aca="false">IF(INDEX(Articles!$G$2:$G$148,MATCH(C61,Articles!$A$2:$A$148,0))="","",INDEX(Articles!$G$2:$G$148,MATCH(C61,Articles!$A$2:$A$148,0)))</f>
        <v>2500</v>
      </c>
      <c r="H61" s="13" t="n">
        <f aca="false">IF(G61="",0,F61*G61)</f>
        <v>2500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681</v>
      </c>
      <c r="B62" s="9" t="s">
        <v>682</v>
      </c>
      <c r="C62" s="31" t="s">
        <v>218</v>
      </c>
      <c r="D62" s="9" t="str">
        <f aca="false">INDEX(Articles!$C$2:$C$148,MATCH(C62,Articles!$A$2:$A$148,0))</f>
        <v>Crayons de couleur Maped Nightfall, boîte de 24</v>
      </c>
      <c r="E62" s="9" t="str">
        <f aca="false">INDEX(Articles!$B$2:$B$148,MATCH(C62,Articles!$A$2:$A$148,0))</f>
        <v>Papex</v>
      </c>
      <c r="F62" s="31" t="n">
        <v>1</v>
      </c>
      <c r="G62" s="13" t="n">
        <f aca="false">IF(INDEX(Articles!$G$2:$G$148,MATCH(C62,Articles!$A$2:$A$148,0))="","",INDEX(Articles!$G$2:$G$148,MATCH(C62,Articles!$A$2:$A$148,0)))</f>
        <v>1600</v>
      </c>
      <c r="H62" s="13" t="n">
        <f aca="false">IF(G62="",0,F62*G62)</f>
        <v>1600</v>
      </c>
      <c r="I62" s="13" t="n">
        <f aca="false">IF(INDEX(Articles!$E$2:$E$148,MATCH(C62,Articles!$A$2:$A$148,0))="","",INDEX(Articles!$E$2:$E$148,MATCH(C62,Articles!$A$2:$A$148,0)))</f>
        <v>1300</v>
      </c>
      <c r="J62" s="13" t="n">
        <f aca="false">IF(I62="","",F62*I62)</f>
        <v>1300</v>
      </c>
      <c r="K62" s="9" t="str">
        <f aca="false">INDEX(Articles!$H$2:$H$148,MATCH(C62,Articles!$A$2:$A$148,0))</f>
        <v>Estimé</v>
      </c>
      <c r="L62" s="9" t="str">
        <f aca="false">INDEX(Articles!$F$2:$F$148,MATCH(C62,Articles!$A$2:$A$148,0))</f>
        <v>Estimé</v>
      </c>
      <c r="M62" s="17"/>
      <c r="N62" s="9" t="s">
        <v>167</v>
      </c>
    </row>
    <row r="63" customFormat="false" ht="15" hidden="false" customHeight="false" outlineLevel="0" collapsed="false">
      <c r="A63" s="9" t="s">
        <v>678</v>
      </c>
      <c r="B63" s="9" t="s">
        <v>680</v>
      </c>
      <c r="C63" s="31" t="s">
        <v>220</v>
      </c>
      <c r="D63" s="9" t="str">
        <f aca="false">INDEX(Articles!$C$2:$C$148,MATCH(C63,Articles!$A$2:$A$148,0))</f>
        <v>Stylo à bille Schneider Tops 505 M bleu</v>
      </c>
      <c r="E63" s="9" t="str">
        <f aca="false">INDEX(Articles!$B$2:$B$148,MATCH(C63,Articles!$A$2:$A$148,0))</f>
        <v>Papex</v>
      </c>
      <c r="F63" s="31" t="n">
        <v>1</v>
      </c>
      <c r="G63" s="13" t="n">
        <f aca="false">IF(INDEX(Articles!$G$2:$G$148,MATCH(C63,Articles!$A$2:$A$148,0))="","",INDEX(Articles!$G$2:$G$148,MATCH(C63,Articles!$A$2:$A$148,0)))</f>
        <v>100</v>
      </c>
      <c r="H63" s="13" t="n">
        <f aca="false">IF(G63="",0,F63*G63)</f>
        <v>100</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c r="N63" s="9" t="s">
        <v>167</v>
      </c>
    </row>
    <row r="64" customFormat="false" ht="15" hidden="false" customHeight="false" outlineLevel="0" collapsed="false">
      <c r="A64" s="9" t="s">
        <v>678</v>
      </c>
      <c r="B64" s="9" t="s">
        <v>710</v>
      </c>
      <c r="C64" s="31" t="s">
        <v>429</v>
      </c>
      <c r="D64" s="9" t="str">
        <f aca="false">INDEX(Articles!$C$2:$C$148,MATCH(C64,Articles!$A$2:$A$148,0))</f>
        <v>Stylo à bille Schneider Tops 505 M vert</v>
      </c>
      <c r="E64" s="9" t="str">
        <f aca="false">INDEX(Articles!$B$2:$B$148,MATCH(C64,Articles!$A$2:$A$148,0))</f>
        <v>Papex</v>
      </c>
      <c r="F64" s="31" t="n">
        <v>1</v>
      </c>
      <c r="G64" s="13" t="n">
        <f aca="false">IF(INDEX(Articles!$G$2:$G$148,MATCH(C64,Articles!$A$2:$A$148,0))="","",INDEX(Articles!$G$2:$G$148,MATCH(C64,Articles!$A$2:$A$148,0)))</f>
        <v>100</v>
      </c>
      <c r="H64" s="13" t="n">
        <f aca="false">IF(G64="",0,F64*G64)</f>
        <v>100</v>
      </c>
      <c r="I64" s="13" t="str">
        <f aca="false">IF(INDEX(Articles!$E$2:$E$148,MATCH(C64,Articles!$A$2:$A$148,0))="","",INDEX(Articles!$E$2:$E$148,MATCH(C64,Articles!$A$2:$A$148,0)))</f>
        <v/>
      </c>
      <c r="J64" s="13" t="str">
        <f aca="false">IF(I64="","",F64*I64)</f>
        <v/>
      </c>
      <c r="K64" s="9" t="str">
        <f aca="false">INDEX(Articles!$H$2:$H$148,MATCH(C64,Articles!$A$2:$A$148,0))</f>
        <v>Fixé</v>
      </c>
      <c r="L64" s="9" t="str">
        <f aca="false">INDEX(Articles!$F$2:$F$148,MATCH(C64,Articles!$A$2:$A$148,0))</f>
        <v>Inconnu</v>
      </c>
      <c r="M64" s="17"/>
      <c r="N64" s="9" t="s">
        <v>167</v>
      </c>
    </row>
    <row r="65" customFormat="false" ht="15" hidden="false" customHeight="false" outlineLevel="0" collapsed="false">
      <c r="A65" s="9" t="s">
        <v>678</v>
      </c>
      <c r="B65" s="9" t="s">
        <v>679</v>
      </c>
      <c r="C65" s="31" t="s">
        <v>235</v>
      </c>
      <c r="D65" s="9" t="str">
        <f aca="false">INDEX(Articles!$C$2:$C$148,MATCH(C65,Articles!$A$2:$A$148,0))</f>
        <v>Crayon papier (vendu à l'unité)</v>
      </c>
      <c r="E65" s="9" t="str">
        <f aca="false">INDEX(Articles!$B$2:$B$148,MATCH(C65,Articles!$A$2:$A$148,0))</f>
        <v>LPD</v>
      </c>
      <c r="F65" s="31" t="n">
        <v>1</v>
      </c>
      <c r="G65" s="13" t="n">
        <f aca="false">IF(INDEX(Articles!$G$2:$G$148,MATCH(C65,Articles!$A$2:$A$148,0))="","",INDEX(Articles!$G$2:$G$148,MATCH(C65,Articles!$A$2:$A$148,0)))</f>
        <v>75</v>
      </c>
      <c r="H65" s="13" t="n">
        <f aca="false">IF(G65="",0,F65*G65)</f>
        <v>75</v>
      </c>
      <c r="I65" s="13" t="str">
        <f aca="false">IF(INDEX(Articles!$E$2:$E$148,MATCH(C65,Articles!$A$2:$A$148,0))="","",INDEX(Articles!$E$2:$E$148,MATCH(C65,Articles!$A$2:$A$148,0)))</f>
        <v/>
      </c>
      <c r="J65" s="13" t="str">
        <f aca="false">IF(I65="","",F65*I65)</f>
        <v/>
      </c>
      <c r="K65" s="9" t="str">
        <f aca="false">INDEX(Articles!$H$2:$H$148,MATCH(C65,Articles!$A$2:$A$148,0))</f>
        <v>Fixé</v>
      </c>
      <c r="L65" s="9" t="str">
        <f aca="false">INDEX(Articles!$F$2:$F$148,MATCH(C65,Articles!$A$2:$A$148,0))</f>
        <v>Inconnu</v>
      </c>
      <c r="M65" s="17"/>
      <c r="N65" s="9" t="s">
        <v>167</v>
      </c>
    </row>
    <row r="66" customFormat="false" ht="15" hidden="false" customHeight="false" outlineLevel="0" collapsed="false">
      <c r="A66" s="9" t="s">
        <v>675</v>
      </c>
      <c r="B66" s="9" t="s">
        <v>717</v>
      </c>
      <c r="C66" s="31" t="s">
        <v>180</v>
      </c>
      <c r="D66" s="9" t="str">
        <f aca="false">INDEX(Articles!$C$2:$C$148,MATCH(C66,Articles!$A$2:$A$148,0))</f>
        <v>Gomme Staedtler Mars Plastic</v>
      </c>
      <c r="E66" s="9" t="str">
        <f aca="false">INDEX(Articles!$B$2:$B$148,MATCH(C66,Articles!$A$2:$A$148,0))</f>
        <v>LPD</v>
      </c>
      <c r="F66" s="31" t="n">
        <v>1</v>
      </c>
      <c r="G66" s="13" t="n">
        <f aca="false">IF(INDEX(Articles!$G$2:$G$148,MATCH(C66,Articles!$A$2:$A$148,0))="","",INDEX(Articles!$G$2:$G$148,MATCH(C66,Articles!$A$2:$A$148,0)))</f>
        <v>250</v>
      </c>
      <c r="H66" s="13" t="n">
        <f aca="false">IF(G66="",0,F66*G66)</f>
        <v>250</v>
      </c>
      <c r="I66" s="13" t="n">
        <f aca="false">IF(INDEX(Articles!$E$2:$E$148,MATCH(C66,Articles!$A$2:$A$148,0))="","",INDEX(Articles!$E$2:$E$148,MATCH(C66,Articles!$A$2:$A$148,0)))</f>
        <v>110</v>
      </c>
      <c r="J66" s="13" t="n">
        <f aca="false">IF(I66="","",F66*I66)</f>
        <v>110</v>
      </c>
      <c r="K66" s="9" t="str">
        <f aca="false">INDEX(Articles!$H$2:$H$148,MATCH(C66,Articles!$A$2:$A$148,0))</f>
        <v>Fixé</v>
      </c>
      <c r="L66" s="9" t="str">
        <f aca="false">INDEX(Articles!$F$2:$F$148,MATCH(C66,Articles!$A$2:$A$148,0))</f>
        <v>Estimé</v>
      </c>
      <c r="M66" s="17"/>
      <c r="N66" s="9" t="s">
        <v>167</v>
      </c>
    </row>
    <row r="67" customFormat="false" ht="26.85" hidden="false" customHeight="false" outlineLevel="0" collapsed="false">
      <c r="A67" s="9" t="s">
        <v>691</v>
      </c>
      <c r="B67" s="9" t="s">
        <v>692</v>
      </c>
      <c r="C67" s="31" t="s">
        <v>541</v>
      </c>
      <c r="D67" s="9" t="str">
        <f aca="false">INDEX(Articles!$C$2:$C$148,MATCH(C67,Articles!$A$2:$A$148,0))</f>
        <v>Langue et communication C.E.2</v>
      </c>
      <c r="E67" s="9" t="str">
        <f aca="false">INDEX(Articles!$B$2:$B$148,MATCH(C67,Articles!$A$2:$A$148,0))</f>
        <v>LPD</v>
      </c>
      <c r="F67" s="31" t="n">
        <v>1</v>
      </c>
      <c r="G67" s="13" t="n">
        <f aca="false">IF(INDEX(Articles!$G$2:$G$148,MATCH(C67,Articles!$A$2:$A$148,0))="","",INDEX(Articles!$G$2:$G$148,MATCH(C67,Articles!$A$2:$A$148,0)))</f>
        <v>4000</v>
      </c>
      <c r="H67" s="13" t="n">
        <f aca="false">IF(G67="",0,F67*G67)</f>
        <v>4000</v>
      </c>
      <c r="I67" s="13" t="n">
        <f aca="false">IF(INDEX(Articles!$E$2:$E$148,MATCH(C67,Articles!$A$2:$A$148,0))="","",INDEX(Articles!$E$2:$E$148,MATCH(C67,Articles!$A$2:$A$148,0)))</f>
        <v>3000</v>
      </c>
      <c r="J67" s="13" t="n">
        <f aca="false">IF(I67="","",F67*I67)</f>
        <v>3000</v>
      </c>
      <c r="K67" s="9" t="str">
        <f aca="false">INDEX(Articles!$H$2:$H$148,MATCH(C67,Articles!$A$2:$A$148,0))</f>
        <v>Fixé</v>
      </c>
      <c r="L67" s="9" t="str">
        <f aca="false">INDEX(Articles!$F$2:$F$148,MATCH(C67,Articles!$A$2:$A$148,0))</f>
        <v>Estimé</v>
      </c>
      <c r="M67" s="17" t="s">
        <v>701</v>
      </c>
      <c r="N67" s="9" t="s">
        <v>167</v>
      </c>
    </row>
    <row r="68" customFormat="false" ht="26.85" hidden="false" customHeight="false" outlineLevel="0" collapsed="false">
      <c r="A68" s="9" t="s">
        <v>691</v>
      </c>
      <c r="B68" s="9" t="s">
        <v>693</v>
      </c>
      <c r="C68" s="31" t="s">
        <v>543</v>
      </c>
      <c r="D68" s="9" t="str">
        <f aca="false">INDEX(Articles!$C$2:$C$148,MATCH(C68,Articles!$A$2:$A$148,0))</f>
        <v>Mathématiques C.E.2</v>
      </c>
      <c r="E68" s="9" t="str">
        <f aca="false">INDEX(Articles!$B$2:$B$148,MATCH(C68,Articles!$A$2:$A$148,0))</f>
        <v>LPD</v>
      </c>
      <c r="F68" s="31" t="n">
        <v>1</v>
      </c>
      <c r="G68" s="13" t="n">
        <f aca="false">IF(INDEX(Articles!$G$2:$G$148,MATCH(C68,Articles!$A$2:$A$148,0))="","",INDEX(Articles!$G$2:$G$148,MATCH(C68,Articles!$A$2:$A$148,0)))</f>
        <v>4000</v>
      </c>
      <c r="H68" s="13" t="n">
        <f aca="false">IF(G68="",0,F68*G68)</f>
        <v>4000</v>
      </c>
      <c r="I68" s="13" t="n">
        <f aca="false">IF(INDEX(Articles!$E$2:$E$148,MATCH(C68,Articles!$A$2:$A$148,0))="","",INDEX(Articles!$E$2:$E$148,MATCH(C68,Articles!$A$2:$A$148,0)))</f>
        <v>3000</v>
      </c>
      <c r="J68" s="13" t="n">
        <f aca="false">IF(I68="","",F68*I68)</f>
        <v>3000</v>
      </c>
      <c r="K68" s="9" t="str">
        <f aca="false">INDEX(Articles!$H$2:$H$148,MATCH(C68,Articles!$A$2:$A$148,0))</f>
        <v>Fixé</v>
      </c>
      <c r="L68" s="9" t="str">
        <f aca="false">INDEX(Articles!$F$2:$F$148,MATCH(C68,Articles!$A$2:$A$148,0))</f>
        <v>Estimé</v>
      </c>
      <c r="M68" s="17" t="s">
        <v>701</v>
      </c>
      <c r="N68" s="9" t="s">
        <v>167</v>
      </c>
    </row>
    <row r="69" customFormat="false" ht="26.85" hidden="false" customHeight="false" outlineLevel="0" collapsed="false">
      <c r="A69" s="9" t="s">
        <v>691</v>
      </c>
      <c r="B69" s="9" t="s">
        <v>694</v>
      </c>
      <c r="C69" s="31" t="s">
        <v>545</v>
      </c>
      <c r="D69" s="9" t="str">
        <f aca="false">INDEX(Articles!$C$2:$C$148,MATCH(C69,Articles!$A$2:$A$148,0))</f>
        <v>Découverte du monde C.E.2</v>
      </c>
      <c r="E69" s="9" t="str">
        <f aca="false">INDEX(Articles!$B$2:$B$148,MATCH(C69,Articles!$A$2:$A$148,0))</f>
        <v>LPD</v>
      </c>
      <c r="F69" s="31" t="n">
        <v>1</v>
      </c>
      <c r="G69" s="13" t="n">
        <f aca="false">IF(INDEX(Articles!$G$2:$G$148,MATCH(C69,Articles!$A$2:$A$148,0))="","",INDEX(Articles!$G$2:$G$148,MATCH(C69,Articles!$A$2:$A$148,0)))</f>
        <v>4000</v>
      </c>
      <c r="H69" s="13" t="n">
        <f aca="false">IF(G69="",0,F69*G69)</f>
        <v>4000</v>
      </c>
      <c r="I69" s="13" t="n">
        <f aca="false">IF(INDEX(Articles!$E$2:$E$148,MATCH(C69,Articles!$A$2:$A$148,0))="","",INDEX(Articles!$E$2:$E$148,MATCH(C69,Articles!$A$2:$A$148,0)))</f>
        <v>3000</v>
      </c>
      <c r="J69" s="13" t="n">
        <f aca="false">IF(I69="","",F69*I69)</f>
        <v>3000</v>
      </c>
      <c r="K69" s="9" t="str">
        <f aca="false">INDEX(Articles!$H$2:$H$148,MATCH(C69,Articles!$A$2:$A$148,0))</f>
        <v>Fixé</v>
      </c>
      <c r="L69" s="9" t="str">
        <f aca="false">INDEX(Articles!$F$2:$F$148,MATCH(C69,Articles!$A$2:$A$148,0))</f>
        <v>Estimé</v>
      </c>
      <c r="M69" s="17" t="s">
        <v>701</v>
      </c>
      <c r="N69" s="9" t="s">
        <v>167</v>
      </c>
    </row>
    <row r="70" customFormat="false" ht="15" hidden="false" customHeight="false" outlineLevel="0" collapsed="false">
      <c r="A70" s="9" t="s">
        <v>703</v>
      </c>
      <c r="B70" s="9" t="s">
        <v>704</v>
      </c>
      <c r="C70" s="31" t="s">
        <v>570</v>
      </c>
      <c r="D70" s="9" t="str">
        <f aca="false">INDEX(Articles!$C$2:$C$148,MATCH(C70,Articles!$A$2:$A$148,0))</f>
        <v>Cahier d’activités fongible LC C.E.2</v>
      </c>
      <c r="E70" s="9" t="str">
        <f aca="false">INDEX(Articles!$B$2:$B$148,MATCH(C70,Articles!$A$2:$A$148,0))</f>
        <v>LPD</v>
      </c>
      <c r="F70" s="31" t="n">
        <v>1</v>
      </c>
      <c r="G70" s="13" t="n">
        <f aca="false">IF(INDEX(Articles!$G$2:$G$148,MATCH(C70,Articles!$A$2:$A$148,0))="","",INDEX(Articles!$G$2:$G$148,MATCH(C70,Articles!$A$2:$A$148,0)))</f>
        <v>3010</v>
      </c>
      <c r="H70" s="13" t="n">
        <f aca="false">IF(G70="",0,F70*G70)</f>
        <v>3010</v>
      </c>
      <c r="I70" s="13" t="n">
        <f aca="false">IF(INDEX(Articles!$E$2:$E$148,MATCH(C70,Articles!$A$2:$A$148,0))="","",INDEX(Articles!$E$2:$E$148,MATCH(C70,Articles!$A$2:$A$148,0)))</f>
        <v>2010</v>
      </c>
      <c r="J70" s="13" t="n">
        <f aca="false">IF(I70="","",F70*I70)</f>
        <v>2010</v>
      </c>
      <c r="K70" s="9" t="str">
        <f aca="false">INDEX(Articles!$H$2:$H$148,MATCH(C70,Articles!$A$2:$A$148,0))</f>
        <v>Fixé</v>
      </c>
      <c r="L70" s="9" t="str">
        <f aca="false">INDEX(Articles!$F$2:$F$148,MATCH(C70,Articles!$A$2:$A$148,0))</f>
        <v>Estimé</v>
      </c>
      <c r="M70" s="17"/>
      <c r="N70" s="9" t="s">
        <v>167</v>
      </c>
    </row>
    <row r="71" customFormat="false" ht="15" hidden="false" customHeight="false" outlineLevel="0" collapsed="false">
      <c r="A71" s="9" t="s">
        <v>703</v>
      </c>
      <c r="B71" s="9" t="s">
        <v>705</v>
      </c>
      <c r="C71" s="31" t="s">
        <v>572</v>
      </c>
      <c r="D71" s="9" t="str">
        <f aca="false">INDEX(Articles!$C$2:$C$148,MATCH(C71,Articles!$A$2:$A$148,0))</f>
        <v>Cahier d’activités mathématiques C.E.2</v>
      </c>
      <c r="E71" s="9" t="str">
        <f aca="false">INDEX(Articles!$B$2:$B$148,MATCH(C71,Articles!$A$2:$A$148,0))</f>
        <v>LPD</v>
      </c>
      <c r="F71" s="31" t="n">
        <v>1</v>
      </c>
      <c r="G71" s="13" t="n">
        <f aca="false">IF(INDEX(Articles!$G$2:$G$148,MATCH(C71,Articles!$A$2:$A$148,0))="","",INDEX(Articles!$G$2:$G$148,MATCH(C71,Articles!$A$2:$A$148,0)))</f>
        <v>3010</v>
      </c>
      <c r="H71" s="13" t="n">
        <f aca="false">IF(G71="",0,F71*G71)</f>
        <v>3010</v>
      </c>
      <c r="I71" s="13" t="n">
        <f aca="false">IF(INDEX(Articles!$E$2:$E$148,MATCH(C71,Articles!$A$2:$A$148,0))="","",INDEX(Articles!$E$2:$E$148,MATCH(C71,Articles!$A$2:$A$148,0)))</f>
        <v>2010</v>
      </c>
      <c r="J71" s="13" t="n">
        <f aca="false">IF(I71="","",F71*I71)</f>
        <v>2010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D72" s="32" t="s">
        <v>683</v>
      </c>
      <c r="E72" s="32"/>
      <c r="F72" s="32"/>
      <c r="G72" s="32"/>
      <c r="H72" s="33" t="n">
        <f aca="false">COUNTIF(G59:G71,"")</f>
        <v>0</v>
      </c>
    </row>
    <row r="73" customFormat="false" ht="15" hidden="false" customHeight="false" outlineLevel="0" collapsed="false">
      <c r="D73" s="32" t="s">
        <v>684</v>
      </c>
      <c r="E73" s="32"/>
      <c r="F73" s="32"/>
      <c r="G73" s="32"/>
      <c r="H73" s="33" t="n">
        <f aca="false">SUM(H59:H71)</f>
        <v>27445</v>
      </c>
    </row>
    <row r="74" customFormat="false" ht="15" hidden="false" customHeight="false" outlineLevel="0" collapsed="false">
      <c r="D74" s="32" t="s">
        <v>28</v>
      </c>
      <c r="E74" s="32"/>
      <c r="F74" s="32"/>
      <c r="G74" s="32"/>
      <c r="H74" s="33" t="n">
        <f aca="false">SUM(J59:J71)</f>
        <v>20030</v>
      </c>
    </row>
    <row r="75" customFormat="false" ht="15" hidden="false" customHeight="false" outlineLevel="0" collapsed="false">
      <c r="D75" s="32" t="s">
        <v>685</v>
      </c>
      <c r="E75" s="32"/>
      <c r="F75" s="32"/>
      <c r="G75" s="32"/>
      <c r="H75" s="33" t="n">
        <f aca="false">COUNTIF(I59:I71,"")</f>
        <v>3</v>
      </c>
    </row>
    <row r="76" customFormat="false" ht="15" hidden="false" customHeight="false" outlineLevel="0" collapsed="false">
      <c r="D76" s="32" t="s">
        <v>686</v>
      </c>
      <c r="E76" s="32"/>
      <c r="F76" s="32"/>
      <c r="G76" s="32"/>
      <c r="H76" s="33" t="n">
        <f aca="false">SUMPRODUCT((I59:I71&lt;&gt;"")*H59:H71)-H74</f>
        <v>7140</v>
      </c>
    </row>
    <row r="77" customFormat="false" ht="15" hidden="false" customHeight="false" outlineLevel="0" collapsed="false">
      <c r="D77" s="32" t="s">
        <v>687</v>
      </c>
      <c r="E77" s="32"/>
      <c r="F77" s="32"/>
      <c r="G77" s="32"/>
      <c r="H77" s="33" t="n">
        <f aca="false">SUMIF(A59:A71,"Cahiers",F59:F71)</f>
        <v>4</v>
      </c>
    </row>
    <row r="78" customFormat="false" ht="15" hidden="false" customHeight="false" outlineLevel="0" collapsed="false">
      <c r="D78" s="32" t="s">
        <v>688</v>
      </c>
      <c r="E78" s="32"/>
      <c r="F78" s="32"/>
      <c r="G78" s="32"/>
      <c r="H78" s="34" t="n">
        <f aca="false">IF(H73=0,0,SUMIF(K59:K71,"&lt;&gt;Fixé",H59:H71)/H73)</f>
        <v>0.123884131900164</v>
      </c>
    </row>
    <row r="79" customFormat="false" ht="15" hidden="false" customHeight="false" outlineLevel="0" collapsed="false">
      <c r="D79" s="32" t="s">
        <v>689</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696</v>
      </c>
      <c r="E80" s="21" t="str">
        <f aca="false">INDEX(Articles!$C$2:$C$148,MATCH("S027",Articles!$A$2:$A$148,0))</f>
        <v>Cartable rigide bleu marine</v>
      </c>
      <c r="H80" s="41" t="n">
        <f aca="false">INDEX(Articles!$G$2:$G$148,MATCH("S027",Articles!$A$2:$A$148,0))</f>
        <v>7500</v>
      </c>
    </row>
    <row r="81" customFormat="false" ht="15" hidden="false" customHeight="false" outlineLevel="0" collapsed="false">
      <c r="D81" s="42" t="s">
        <v>697</v>
      </c>
      <c r="E81" s="44" t="s">
        <v>711</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724</v>
      </c>
    </row>
    <row r="2" customFormat="false" ht="15" hidden="false" customHeight="false" outlineLevel="0" collapsed="false">
      <c r="A2" s="21" t="s">
        <v>661</v>
      </c>
    </row>
    <row r="4" customFormat="false" ht="15" hidden="false" customHeight="false" outlineLevel="0" collapsed="false">
      <c r="A4" s="28" t="s">
        <v>725</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708</v>
      </c>
      <c r="C6" s="31" t="s">
        <v>195</v>
      </c>
      <c r="D6" s="9" t="str">
        <f aca="false">INDEX(Articles!$C$2:$C$148,MATCH(C6,Articles!$A$2:$A$148,0))</f>
        <v>Cahier Calligraphe 96 pages 17x22 56 g seyès</v>
      </c>
      <c r="E6" s="9" t="str">
        <f aca="false">INDEX(Articles!$B$2:$B$148,MATCH(C6,Articles!$A$2:$A$148,0))</f>
        <v>Papex</v>
      </c>
      <c r="F6" s="31" t="n">
        <v>4</v>
      </c>
      <c r="G6" s="13" t="n">
        <f aca="false">IF(INDEX(Articles!$G$2:$G$148,MATCH(C6,Articles!$A$2:$A$148,0))="","",INDEX(Articles!$G$2:$G$148,MATCH(C6,Articles!$A$2:$A$148,0)))</f>
        <v>450</v>
      </c>
      <c r="H6" s="13" t="n">
        <f aca="false">IF(G6="",0,F6*G6)</f>
        <v>1800</v>
      </c>
      <c r="I6" s="13" t="n">
        <f aca="false">IF(INDEX(Articles!$E$2:$E$148,MATCH(C6,Articles!$A$2:$A$148,0))="","",INDEX(Articles!$E$2:$E$148,MATCH(C6,Articles!$A$2:$A$148,0)))</f>
        <v>350</v>
      </c>
      <c r="J6" s="13" t="n">
        <f aca="false">IF(I6="","",F6*I6)</f>
        <v>1400</v>
      </c>
      <c r="K6" s="9" t="str">
        <f aca="false">INDEX(Articles!$H$2:$H$148,MATCH(C6,Articles!$A$2:$A$148,0))</f>
        <v>Fixé</v>
      </c>
      <c r="L6" s="9" t="str">
        <f aca="false">INDEX(Articles!$F$2:$F$148,MATCH(C6,Articles!$A$2:$A$148,0))</f>
        <v>Confirmé</v>
      </c>
      <c r="M6" s="17"/>
      <c r="N6" s="9" t="s">
        <v>167</v>
      </c>
    </row>
    <row r="7" customFormat="false" ht="15" hidden="false" customHeight="false" outlineLevel="0" collapsed="false">
      <c r="A7" s="9" t="s">
        <v>676</v>
      </c>
      <c r="B7" s="9" t="s">
        <v>709</v>
      </c>
      <c r="C7" s="31" t="s">
        <v>239</v>
      </c>
      <c r="D7" s="9" t="str">
        <f aca="false">INDEX(Articles!$C$2:$C$148,MATCH(C7,Articles!$A$2:$A$148,0))</f>
        <v>Kit de traçage 30 cm, 4 pièces L'écolier</v>
      </c>
      <c r="E7" s="9" t="str">
        <f aca="false">INDEX(Articles!$B$2:$B$148,MATCH(C7,Articles!$A$2:$A$148,0))</f>
        <v>Papex</v>
      </c>
      <c r="F7" s="31" t="n">
        <v>1</v>
      </c>
      <c r="G7" s="13" t="n">
        <f aca="false">IF(INDEX(Articles!$G$2:$G$148,MATCH(C7,Articles!$A$2:$A$148,0))="","",INDEX(Articles!$G$2:$G$148,MATCH(C7,Articles!$A$2:$A$148,0)))</f>
        <v>900</v>
      </c>
      <c r="H7" s="13" t="n">
        <f aca="false">IF(G7="",0,F7*G7)</f>
        <v>900</v>
      </c>
      <c r="I7" s="13" t="n">
        <f aca="false">IF(INDEX(Articles!$E$2:$E$148,MATCH(C7,Articles!$A$2:$A$148,0))="","",INDEX(Articles!$E$2:$E$148,MATCH(C7,Articles!$A$2:$A$148,0)))</f>
        <v>650</v>
      </c>
      <c r="J7" s="13" t="n">
        <f aca="false">IF(I7="","",F7*I7)</f>
        <v>650</v>
      </c>
      <c r="K7" s="9" t="str">
        <f aca="false">INDEX(Articles!$H$2:$H$148,MATCH(C7,Articles!$A$2:$A$148,0))</f>
        <v>Estimé</v>
      </c>
      <c r="L7" s="9" t="str">
        <f aca="false">INDEX(Articles!$F$2:$F$148,MATCH(C7,Articles!$A$2:$A$148,0))</f>
        <v>Confirmé</v>
      </c>
      <c r="M7" s="17"/>
      <c r="N7" s="9" t="s">
        <v>167</v>
      </c>
    </row>
    <row r="8" customFormat="false" ht="15" hidden="false" customHeight="false" outlineLevel="0" collapsed="false">
      <c r="A8" s="9" t="s">
        <v>674</v>
      </c>
      <c r="B8" s="9" t="s">
        <v>674</v>
      </c>
      <c r="C8" s="31" t="s">
        <v>165</v>
      </c>
      <c r="D8" s="9" t="str">
        <f aca="false">INDEX(Articles!$C$2:$C$148,MATCH(C8,Articles!$A$2:$A$148,0))</f>
        <v>Ardoise scolaire</v>
      </c>
      <c r="E8" s="9" t="str">
        <f aca="false">INDEX(Articles!$B$2:$B$148,MATCH(C8,Articles!$A$2:$A$148,0))</f>
        <v>LPD</v>
      </c>
      <c r="F8" s="31" t="n">
        <v>1</v>
      </c>
      <c r="G8" s="13" t="n">
        <f aca="false">IF(INDEX(Articles!$G$2:$G$148,MATCH(C8,Articles!$A$2:$A$148,0))="","",INDEX(Articles!$G$2:$G$148,MATCH(C8,Articles!$A$2:$A$148,0)))</f>
        <v>900</v>
      </c>
      <c r="H8" s="13" t="n">
        <f aca="false">IF(G8="",0,F8*G8)</f>
        <v>900</v>
      </c>
      <c r="I8" s="13" t="n">
        <f aca="false">IF(INDEX(Articles!$E$2:$E$148,MATCH(C8,Articles!$A$2:$A$148,0))="","",INDEX(Articles!$E$2:$E$148,MATCH(C8,Articles!$A$2:$A$148,0)))</f>
        <v>600</v>
      </c>
      <c r="J8" s="13" t="n">
        <f aca="false">IF(I8="","",F8*I8)</f>
        <v>600</v>
      </c>
      <c r="K8" s="9" t="str">
        <f aca="false">INDEX(Articles!$H$2:$H$148,MATCH(C8,Articles!$A$2:$A$148,0))</f>
        <v>Fixé</v>
      </c>
      <c r="L8" s="9" t="str">
        <f aca="false">INDEX(Articles!$F$2:$F$148,MATCH(C8,Articles!$A$2:$A$148,0))</f>
        <v>Estimé</v>
      </c>
      <c r="M8" s="17"/>
      <c r="N8" s="9" t="s">
        <v>167</v>
      </c>
    </row>
    <row r="9" customFormat="false" ht="15" hidden="false" customHeight="false" outlineLevel="0" collapsed="false">
      <c r="A9" s="9" t="s">
        <v>681</v>
      </c>
      <c r="B9" s="9" t="s">
        <v>682</v>
      </c>
      <c r="C9" s="31" t="s">
        <v>198</v>
      </c>
      <c r="D9" s="9" t="str">
        <f aca="false">INDEX(Articles!$C$2:$C$148,MATCH(C9,Articles!$A$2:$A$148,0))</f>
        <v>Crayons de couleur Maped, boîte de 12</v>
      </c>
      <c r="E9" s="9" t="str">
        <f aca="false">INDEX(Articles!$B$2:$B$148,MATCH(C9,Articles!$A$2:$A$148,0))</f>
        <v>Papex</v>
      </c>
      <c r="F9" s="31" t="n">
        <v>1</v>
      </c>
      <c r="G9" s="13" t="n">
        <f aca="false">IF(INDEX(Articles!$G$2:$G$148,MATCH(C9,Articles!$A$2:$A$148,0))="","",INDEX(Articles!$G$2:$G$148,MATCH(C9,Articles!$A$2:$A$148,0)))</f>
        <v>900</v>
      </c>
      <c r="H9" s="13" t="n">
        <f aca="false">IF(G9="",0,F9*G9)</f>
        <v>900</v>
      </c>
      <c r="I9" s="13" t="n">
        <f aca="false">IF(INDEX(Articles!$E$2:$E$148,MATCH(C9,Articles!$A$2:$A$148,0))="","",INDEX(Articles!$E$2:$E$148,MATCH(C9,Articles!$A$2:$A$148,0)))</f>
        <v>650</v>
      </c>
      <c r="J9" s="13" t="n">
        <f aca="false">IF(I9="","",F9*I9)</f>
        <v>650</v>
      </c>
      <c r="K9" s="9" t="str">
        <f aca="false">INDEX(Articles!$H$2:$H$148,MATCH(C9,Articles!$A$2:$A$148,0))</f>
        <v>Estimé</v>
      </c>
      <c r="L9" s="9" t="str">
        <f aca="false">INDEX(Articles!$F$2:$F$148,MATCH(C9,Articles!$A$2:$A$148,0))</f>
        <v>Estimé</v>
      </c>
      <c r="M9" s="17"/>
      <c r="N9" s="9" t="s">
        <v>167</v>
      </c>
    </row>
    <row r="10" customFormat="false" ht="15" hidden="false" customHeight="false" outlineLevel="0" collapsed="false">
      <c r="A10" s="9" t="s">
        <v>678</v>
      </c>
      <c r="B10" s="9" t="s">
        <v>680</v>
      </c>
      <c r="C10" s="31" t="s">
        <v>220</v>
      </c>
      <c r="D10" s="9" t="str">
        <f aca="false">INDEX(Articles!$C$2:$C$148,MATCH(C10,Articles!$A$2:$A$148,0))</f>
        <v>Stylo à bille Schneider Tops 505 M bleu</v>
      </c>
      <c r="E10" s="9" t="str">
        <f aca="false">INDEX(Articles!$B$2:$B$148,MATCH(C10,Articles!$A$2:$A$148,0))</f>
        <v>Papex</v>
      </c>
      <c r="F10" s="31" t="n">
        <v>1</v>
      </c>
      <c r="G10" s="13" t="n">
        <f aca="false">IF(INDEX(Articles!$G$2:$G$148,MATCH(C10,Articles!$A$2:$A$148,0))="","",INDEX(Articles!$G$2:$G$148,MATCH(C10,Articles!$A$2:$A$148,0)))</f>
        <v>100</v>
      </c>
      <c r="H10" s="13" t="n">
        <f aca="false">IF(G10="",0,F10*G10)</f>
        <v>100</v>
      </c>
      <c r="I10" s="13" t="str">
        <f aca="false">IF(INDEX(Articles!$E$2:$E$148,MATCH(C10,Articles!$A$2:$A$148,0))="","",INDEX(Articles!$E$2:$E$148,MATCH(C10,Articles!$A$2:$A$148,0)))</f>
        <v/>
      </c>
      <c r="J10" s="13" t="str">
        <f aca="false">IF(I10="","",F10*I10)</f>
        <v/>
      </c>
      <c r="K10" s="9" t="str">
        <f aca="false">INDEX(Articles!$H$2:$H$148,MATCH(C10,Articles!$A$2:$A$148,0))</f>
        <v>Fixé</v>
      </c>
      <c r="L10" s="9" t="str">
        <f aca="false">INDEX(Articles!$F$2:$F$148,MATCH(C10,Articles!$A$2:$A$148,0))</f>
        <v>Inconnu</v>
      </c>
      <c r="M10" s="17"/>
      <c r="N10" s="9" t="s">
        <v>167</v>
      </c>
    </row>
    <row r="11" customFormat="false" ht="15" hidden="false" customHeight="false" outlineLevel="0" collapsed="false">
      <c r="A11" s="9" t="s">
        <v>678</v>
      </c>
      <c r="B11" s="9" t="s">
        <v>710</v>
      </c>
      <c r="C11" s="31" t="s">
        <v>429</v>
      </c>
      <c r="D11" s="9" t="str">
        <f aca="false">INDEX(Articles!$C$2:$C$148,MATCH(C11,Articles!$A$2:$A$148,0))</f>
        <v>Stylo à bille Schneider Tops 505 M vert</v>
      </c>
      <c r="E11" s="9" t="str">
        <f aca="false">INDEX(Articles!$B$2:$B$148,MATCH(C11,Articles!$A$2:$A$148,0))</f>
        <v>Papex</v>
      </c>
      <c r="F11" s="31" t="n">
        <v>1</v>
      </c>
      <c r="G11" s="13" t="n">
        <f aca="false">IF(INDEX(Articles!$G$2:$G$148,MATCH(C11,Articles!$A$2:$A$148,0))="","",INDEX(Articles!$G$2:$G$148,MATCH(C11,Articles!$A$2:$A$148,0)))</f>
        <v>100</v>
      </c>
      <c r="H11" s="13" t="n">
        <f aca="false">IF(G11="",0,F11*G11)</f>
        <v>100</v>
      </c>
      <c r="I11" s="13" t="str">
        <f aca="false">IF(INDEX(Articles!$E$2:$E$148,MATCH(C11,Articles!$A$2:$A$148,0))="","",INDEX(Articles!$E$2:$E$148,MATCH(C11,Articles!$A$2:$A$148,0)))</f>
        <v/>
      </c>
      <c r="J11" s="13" t="str">
        <f aca="false">IF(I11="","",F11*I11)</f>
        <v/>
      </c>
      <c r="K11" s="9" t="str">
        <f aca="false">INDEX(Articles!$H$2:$H$148,MATCH(C11,Articles!$A$2:$A$148,0))</f>
        <v>Fixé</v>
      </c>
      <c r="L11" s="9" t="str">
        <f aca="false">INDEX(Articles!$F$2:$F$148,MATCH(C11,Articles!$A$2:$A$148,0))</f>
        <v>Inconnu</v>
      </c>
      <c r="M11" s="17"/>
      <c r="N11" s="9" t="s">
        <v>167</v>
      </c>
    </row>
    <row r="12" customFormat="false" ht="15" hidden="false" customHeight="false" outlineLevel="0" collapsed="false">
      <c r="A12" s="9" t="s">
        <v>678</v>
      </c>
      <c r="B12" s="9" t="s">
        <v>679</v>
      </c>
      <c r="C12" s="31" t="s">
        <v>235</v>
      </c>
      <c r="D12" s="9" t="str">
        <f aca="false">INDEX(Articles!$C$2:$C$148,MATCH(C12,Articles!$A$2:$A$148,0))</f>
        <v>Crayon papier (vendu à l'unité)</v>
      </c>
      <c r="E12" s="9" t="str">
        <f aca="false">INDEX(Articles!$B$2:$B$148,MATCH(C12,Articles!$A$2:$A$148,0))</f>
        <v>LPD</v>
      </c>
      <c r="F12" s="31" t="n">
        <v>1</v>
      </c>
      <c r="G12" s="13" t="n">
        <f aca="false">IF(INDEX(Articles!$G$2:$G$148,MATCH(C12,Articles!$A$2:$A$148,0))="","",INDEX(Articles!$G$2:$G$148,MATCH(C12,Articles!$A$2:$A$148,0)))</f>
        <v>75</v>
      </c>
      <c r="H12" s="13" t="n">
        <f aca="false">IF(G12="",0,F12*G12)</f>
        <v>75</v>
      </c>
      <c r="I12" s="13" t="str">
        <f aca="false">IF(INDEX(Articles!$E$2:$E$148,MATCH(C12,Articles!$A$2:$A$148,0))="","",INDEX(Articles!$E$2:$E$148,MATCH(C12,Articles!$A$2:$A$148,0)))</f>
        <v/>
      </c>
      <c r="J12" s="13" t="str">
        <f aca="false">IF(I12="","",F12*I12)</f>
        <v/>
      </c>
      <c r="K12" s="9" t="str">
        <f aca="false">INDEX(Articles!$H$2:$H$148,MATCH(C12,Articles!$A$2:$A$148,0))</f>
        <v>Fixé</v>
      </c>
      <c r="L12" s="9" t="str">
        <f aca="false">INDEX(Articles!$F$2:$F$148,MATCH(C12,Articles!$A$2:$A$148,0))</f>
        <v>Inconnu</v>
      </c>
      <c r="M12" s="17"/>
      <c r="N12" s="9" t="s">
        <v>167</v>
      </c>
    </row>
    <row r="13" customFormat="false" ht="15" hidden="false" customHeight="false" outlineLevel="0" collapsed="false">
      <c r="A13" s="9" t="s">
        <v>675</v>
      </c>
      <c r="B13" s="9" t="s">
        <v>717</v>
      </c>
      <c r="C13" s="31" t="s">
        <v>180</v>
      </c>
      <c r="D13" s="9" t="str">
        <f aca="false">INDEX(Articles!$C$2:$C$148,MATCH(C13,Articles!$A$2:$A$148,0))</f>
        <v>Gomme Staedtler Mars Plastic</v>
      </c>
      <c r="E13" s="9" t="str">
        <f aca="false">INDEX(Articles!$B$2:$B$148,MATCH(C13,Articles!$A$2:$A$148,0))</f>
        <v>LPD</v>
      </c>
      <c r="F13" s="31" t="n">
        <v>1</v>
      </c>
      <c r="G13" s="13" t="n">
        <f aca="false">IF(INDEX(Articles!$G$2:$G$148,MATCH(C13,Articles!$A$2:$A$148,0))="","",INDEX(Articles!$G$2:$G$148,MATCH(C13,Articles!$A$2:$A$148,0)))</f>
        <v>250</v>
      </c>
      <c r="H13" s="13" t="n">
        <f aca="false">IF(G13="",0,F13*G13)</f>
        <v>250</v>
      </c>
      <c r="I13" s="13" t="n">
        <f aca="false">IF(INDEX(Articles!$E$2:$E$148,MATCH(C13,Articles!$A$2:$A$148,0))="","",INDEX(Articles!$E$2:$E$148,MATCH(C13,Articles!$A$2:$A$148,0)))</f>
        <v>110</v>
      </c>
      <c r="J13" s="13" t="n">
        <f aca="false">IF(I13="","",F13*I13)</f>
        <v>110</v>
      </c>
      <c r="K13" s="9" t="str">
        <f aca="false">INDEX(Articles!$H$2:$H$148,MATCH(C13,Articles!$A$2:$A$148,0))</f>
        <v>Fixé</v>
      </c>
      <c r="L13" s="9" t="str">
        <f aca="false">INDEX(Articles!$F$2:$F$148,MATCH(C13,Articles!$A$2:$A$148,0))</f>
        <v>Estimé</v>
      </c>
      <c r="M13" s="17"/>
      <c r="N13" s="9" t="s">
        <v>167</v>
      </c>
    </row>
    <row r="14" customFormat="false" ht="15" hidden="false" customHeight="false" outlineLevel="0" collapsed="false">
      <c r="D14" s="32" t="s">
        <v>683</v>
      </c>
      <c r="E14" s="32"/>
      <c r="F14" s="32"/>
      <c r="G14" s="32"/>
      <c r="H14" s="33" t="n">
        <f aca="false">COUNTIF(G6:G13,"")</f>
        <v>0</v>
      </c>
    </row>
    <row r="15" customFormat="false" ht="15" hidden="false" customHeight="false" outlineLevel="0" collapsed="false">
      <c r="D15" s="32" t="s">
        <v>684</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685</v>
      </c>
      <c r="E17" s="32"/>
      <c r="F17" s="32"/>
      <c r="G17" s="32"/>
      <c r="H17" s="33" t="n">
        <f aca="false">COUNTIF(I6:I13,"")</f>
        <v>3</v>
      </c>
    </row>
    <row r="18" customFormat="false" ht="15" hidden="false" customHeight="false" outlineLevel="0" collapsed="false">
      <c r="D18" s="32" t="s">
        <v>686</v>
      </c>
      <c r="E18" s="32"/>
      <c r="F18" s="32"/>
      <c r="G18" s="32"/>
      <c r="H18" s="33" t="n">
        <f aca="false">SUMPRODUCT((I6:I13&lt;&gt;"")*H6:H13)-H16</f>
        <v>1340</v>
      </c>
    </row>
    <row r="19" customFormat="false" ht="15" hidden="false" customHeight="false" outlineLevel="0" collapsed="false">
      <c r="D19" s="32" t="s">
        <v>687</v>
      </c>
      <c r="E19" s="32"/>
      <c r="F19" s="32"/>
      <c r="G19" s="32"/>
      <c r="H19" s="33" t="n">
        <f aca="false">SUMIF(A6:A13,"Cahiers",F6:F13)</f>
        <v>4</v>
      </c>
    </row>
    <row r="20" customFormat="false" ht="15" hidden="false" customHeight="false" outlineLevel="0" collapsed="false">
      <c r="D20" s="32" t="s">
        <v>688</v>
      </c>
      <c r="E20" s="32"/>
      <c r="F20" s="32"/>
      <c r="G20" s="32"/>
      <c r="H20" s="34" t="n">
        <f aca="false">IF(H15=0,0,SUMIF(K6:K13,"&lt;&gt;Fixé",H6:H13)/H15)</f>
        <v>0.358208955223881</v>
      </c>
    </row>
    <row r="21" customFormat="false" ht="15" hidden="false" customHeight="false" outlineLevel="0" collapsed="false">
      <c r="D21" s="32" t="s">
        <v>689</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690</v>
      </c>
    </row>
    <row r="24" customFormat="false" ht="15" hidden="false" customHeight="false" outlineLevel="0" collapsed="false">
      <c r="A24" s="36" t="s">
        <v>691</v>
      </c>
      <c r="B24" s="36" t="s">
        <v>692</v>
      </c>
      <c r="C24" s="31" t="s">
        <v>547</v>
      </c>
      <c r="D24" s="36" t="str">
        <f aca="false">INDEX(Articles!$C$2:$C$148,MATCH(C24,Articles!$A$2:$A$148,0))</f>
        <v>Langue et communication C.M.1</v>
      </c>
      <c r="E24" s="37"/>
      <c r="F24" s="37"/>
      <c r="G24" s="38" t="n">
        <f aca="false">INDEX(Articles!$G$2:$G$148,MATCH(C24,Articles!$A$2:$A$148,0))</f>
        <v>4000</v>
      </c>
      <c r="H24" s="37"/>
      <c r="I24" s="37"/>
      <c r="J24" s="37"/>
      <c r="K24" s="37"/>
      <c r="L24" s="37"/>
      <c r="M24" s="37"/>
      <c r="N24" s="39" t="s">
        <v>271</v>
      </c>
    </row>
    <row r="25" customFormat="false" ht="15" hidden="false" customHeight="false" outlineLevel="0" collapsed="false">
      <c r="A25" s="36" t="s">
        <v>691</v>
      </c>
      <c r="B25" s="36" t="s">
        <v>693</v>
      </c>
      <c r="C25" s="31" t="s">
        <v>549</v>
      </c>
      <c r="D25" s="36" t="str">
        <f aca="false">INDEX(Articles!$C$2:$C$148,MATCH(C25,Articles!$A$2:$A$148,0))</f>
        <v>Mathématiques C.M.1</v>
      </c>
      <c r="E25" s="37"/>
      <c r="F25" s="37"/>
      <c r="G25" s="38" t="n">
        <f aca="false">INDEX(Articles!$G$2:$G$148,MATCH(C25,Articles!$A$2:$A$148,0))</f>
        <v>4000</v>
      </c>
      <c r="H25" s="37"/>
      <c r="I25" s="37"/>
      <c r="J25" s="37"/>
      <c r="K25" s="37"/>
      <c r="L25" s="37"/>
      <c r="M25" s="37"/>
      <c r="N25" s="39" t="s">
        <v>271</v>
      </c>
    </row>
    <row r="26" customFormat="false" ht="15" hidden="false" customHeight="false" outlineLevel="0" collapsed="false">
      <c r="A26" s="36" t="s">
        <v>691</v>
      </c>
      <c r="B26" s="36" t="s">
        <v>694</v>
      </c>
      <c r="C26" s="31" t="s">
        <v>551</v>
      </c>
      <c r="D26" s="36" t="str">
        <f aca="false">INDEX(Articles!$C$2:$C$148,MATCH(C26,Articles!$A$2:$A$148,0))</f>
        <v>Découverte du monde C.M.1</v>
      </c>
      <c r="E26" s="37"/>
      <c r="F26" s="37"/>
      <c r="G26" s="38" t="n">
        <f aca="false">INDEX(Articles!$G$2:$G$148,MATCH(C26,Articles!$A$2:$A$148,0))</f>
        <v>4000</v>
      </c>
      <c r="H26" s="37"/>
      <c r="I26" s="37"/>
      <c r="J26" s="37"/>
      <c r="K26" s="37"/>
      <c r="L26" s="37"/>
      <c r="M26" s="37"/>
      <c r="N26" s="39" t="s">
        <v>271</v>
      </c>
    </row>
    <row r="27" customFormat="false" ht="15" hidden="false" customHeight="false" outlineLevel="0" collapsed="false">
      <c r="D27" s="40" t="s">
        <v>695</v>
      </c>
      <c r="H27" s="33" t="n">
        <f aca="false">H15+SUM(G24:G26)</f>
        <v>17025</v>
      </c>
    </row>
    <row r="28" customFormat="false" ht="15" hidden="false" customHeight="false" outlineLevel="0" collapsed="false">
      <c r="D28" s="21" t="s">
        <v>696</v>
      </c>
      <c r="E28" s="21" t="str">
        <f aca="false">INDEX(Articles!$C$2:$C$148,MATCH("S027",Articles!$A$2:$A$148,0))</f>
        <v>Cartable rigide bleu marine</v>
      </c>
      <c r="H28" s="41" t="n">
        <f aca="false">INDEX(Articles!$G$2:$G$148,MATCH("S027",Articles!$A$2:$A$148,0))</f>
        <v>7500</v>
      </c>
    </row>
    <row r="29" customFormat="false" ht="15" hidden="false" customHeight="false" outlineLevel="0" collapsed="false">
      <c r="D29" s="42" t="s">
        <v>697</v>
      </c>
      <c r="E29" s="44" t="s">
        <v>711</v>
      </c>
    </row>
    <row r="32" customFormat="false" ht="15" hidden="false" customHeight="false" outlineLevel="0" collapsed="false">
      <c r="A32" s="28" t="s">
        <v>726</v>
      </c>
      <c r="B32" s="29"/>
      <c r="C32" s="29"/>
      <c r="D32" s="29"/>
      <c r="E32" s="29"/>
      <c r="F32" s="29"/>
      <c r="G32" s="29"/>
      <c r="H32" s="29"/>
      <c r="I32" s="29"/>
      <c r="J32" s="29"/>
      <c r="K32" s="29"/>
      <c r="L32" s="29"/>
      <c r="M32" s="29"/>
      <c r="N32" s="29"/>
    </row>
    <row r="33" customFormat="false" ht="39.55" hidden="false" customHeight="false" outlineLevel="0" collapsed="false">
      <c r="A33" s="30" t="s">
        <v>663</v>
      </c>
      <c r="B33" s="30" t="s">
        <v>664</v>
      </c>
      <c r="C33" s="30" t="s">
        <v>348</v>
      </c>
      <c r="D33" s="30" t="s">
        <v>350</v>
      </c>
      <c r="E33" s="30" t="s">
        <v>349</v>
      </c>
      <c r="F33" s="30" t="s">
        <v>665</v>
      </c>
      <c r="G33" s="30" t="s">
        <v>666</v>
      </c>
      <c r="H33" s="30" t="s">
        <v>667</v>
      </c>
      <c r="I33" s="30" t="s">
        <v>668</v>
      </c>
      <c r="J33" s="30" t="s">
        <v>669</v>
      </c>
      <c r="K33" s="30" t="s">
        <v>355</v>
      </c>
      <c r="L33" s="30" t="s">
        <v>353</v>
      </c>
      <c r="M33" s="30" t="s">
        <v>356</v>
      </c>
      <c r="N33" s="30" t="s">
        <v>670</v>
      </c>
    </row>
    <row r="34" customFormat="false" ht="15" hidden="false" customHeight="false" outlineLevel="0" collapsed="false">
      <c r="A34" s="9" t="s">
        <v>671</v>
      </c>
      <c r="B34" s="9" t="s">
        <v>708</v>
      </c>
      <c r="C34" s="31" t="s">
        <v>366</v>
      </c>
      <c r="D34" s="9" t="str">
        <f aca="false">INDEX(Articles!$C$2:$C$148,MATCH(C34,Articles!$A$2:$A$148,0))</f>
        <v>Cahier Calligraphe 140 pages 17x22 90 g seyès</v>
      </c>
      <c r="E34" s="9" t="str">
        <f aca="false">INDEX(Articles!$B$2:$B$148,MATCH(C34,Articles!$A$2:$A$148,0))</f>
        <v>Papex</v>
      </c>
      <c r="F34" s="31" t="n">
        <v>4</v>
      </c>
      <c r="G34" s="13" t="n">
        <f aca="false">IF(INDEX(Articles!$G$2:$G$148,MATCH(C34,Articles!$A$2:$A$148,0))="","",INDEX(Articles!$G$2:$G$148,MATCH(C34,Articles!$A$2:$A$148,0)))</f>
        <v>750</v>
      </c>
      <c r="H34" s="13" t="n">
        <f aca="false">IF(G34="",0,F34*G34)</f>
        <v>3000</v>
      </c>
      <c r="I34" s="13" t="n">
        <f aca="false">IF(INDEX(Articles!$E$2:$E$148,MATCH(C34,Articles!$A$2:$A$148,0))="","",INDEX(Articles!$E$2:$E$148,MATCH(C34,Articles!$A$2:$A$148,0)))</f>
        <v>650</v>
      </c>
      <c r="J34" s="13" t="n">
        <f aca="false">IF(I34="","",F34*I34)</f>
        <v>2600</v>
      </c>
      <c r="K34" s="9" t="str">
        <f aca="false">INDEX(Articles!$H$2:$H$148,MATCH(C34,Articles!$A$2:$A$148,0))</f>
        <v>Fixé</v>
      </c>
      <c r="L34" s="9" t="str">
        <f aca="false">INDEX(Articles!$F$2:$F$148,MATCH(C34,Articles!$A$2:$A$148,0))</f>
        <v>Estimé</v>
      </c>
      <c r="M34" s="17" t="s">
        <v>713</v>
      </c>
      <c r="N34" s="9" t="s">
        <v>167</v>
      </c>
    </row>
    <row r="35" customFormat="false" ht="15" hidden="false" customHeight="false" outlineLevel="0" collapsed="false">
      <c r="A35" s="9" t="s">
        <v>676</v>
      </c>
      <c r="B35" s="9" t="s">
        <v>709</v>
      </c>
      <c r="C35" s="31" t="s">
        <v>215</v>
      </c>
      <c r="D35" s="9" t="str">
        <f aca="false">INDEX(Articles!$C$2:$C$148,MATCH(C35,Articles!$A$2:$A$148,0))</f>
        <v>Kit géométrie Maped 30 cm (réf. 1930)</v>
      </c>
      <c r="E35" s="9" t="str">
        <f aca="false">INDEX(Articles!$B$2:$B$148,MATCH(C35,Articles!$A$2:$A$148,0))</f>
        <v>LPD</v>
      </c>
      <c r="F35" s="31" t="n">
        <v>1</v>
      </c>
      <c r="G35" s="13" t="n">
        <f aca="false">IF(INDEX(Articles!$G$2:$G$148,MATCH(C35,Articles!$A$2:$A$148,0))="","",INDEX(Articles!$G$2:$G$148,MATCH(C35,Articles!$A$2:$A$148,0)))</f>
        <v>1800</v>
      </c>
      <c r="H35" s="13" t="n">
        <f aca="false">IF(G35="",0,F35*G35)</f>
        <v>1800</v>
      </c>
      <c r="I35" s="13" t="n">
        <f aca="false">IF(INDEX(Articles!$E$2:$E$148,MATCH(C35,Articles!$A$2:$A$148,0))="","",INDEX(Articles!$E$2:$E$148,MATCH(C35,Articles!$A$2:$A$148,0)))</f>
        <v>1500</v>
      </c>
      <c r="J35" s="13" t="n">
        <f aca="false">IF(I35="","",F35*I35)</f>
        <v>1500</v>
      </c>
      <c r="K35" s="9" t="str">
        <f aca="false">INDEX(Articles!$H$2:$H$148,MATCH(C35,Articles!$A$2:$A$148,0))</f>
        <v>À trancher</v>
      </c>
      <c r="L35" s="9" t="str">
        <f aca="false">INDEX(Articles!$F$2:$F$148,MATCH(C35,Articles!$A$2:$A$148,0))</f>
        <v>Confirmé</v>
      </c>
      <c r="M35" s="17"/>
      <c r="N35" s="9" t="s">
        <v>167</v>
      </c>
    </row>
    <row r="36" customFormat="false" ht="15" hidden="false" customHeight="false" outlineLevel="0" collapsed="false">
      <c r="A36" s="9" t="s">
        <v>674</v>
      </c>
      <c r="B36" s="9" t="s">
        <v>674</v>
      </c>
      <c r="C36" s="31" t="s">
        <v>162</v>
      </c>
      <c r="D36" s="9" t="str">
        <f aca="false">INDEX(Articles!$C$2:$C$148,MATCH(C36,Articles!$A$2:$A$148,0))</f>
        <v>Ardoise quadrillée avec poignée</v>
      </c>
      <c r="E36" s="9" t="str">
        <f aca="false">INDEX(Articles!$B$2:$B$148,MATCH(C36,Articles!$A$2:$A$148,0))</f>
        <v>Cissé &amp; Frères</v>
      </c>
      <c r="F36" s="31" t="n">
        <v>1</v>
      </c>
      <c r="G36" s="13" t="n">
        <f aca="false">IF(INDEX(Articles!$G$2:$G$148,MATCH(C36,Articles!$A$2:$A$148,0))="","",INDEX(Articles!$G$2:$G$148,MATCH(C36,Articles!$A$2:$A$148,0)))</f>
        <v>2500</v>
      </c>
      <c r="H36" s="13" t="n">
        <f aca="false">IF(G36="",0,F36*G36)</f>
        <v>2500</v>
      </c>
      <c r="I36" s="13" t="n">
        <f aca="false">IF(INDEX(Articles!$E$2:$E$148,MATCH(C36,Articles!$A$2:$A$148,0))="","",INDEX(Articles!$E$2:$E$148,MATCH(C36,Articles!$A$2:$A$148,0)))</f>
        <v>1500</v>
      </c>
      <c r="J36" s="13" t="n">
        <f aca="false">IF(I36="","",F36*I36)</f>
        <v>1500</v>
      </c>
      <c r="K36" s="9" t="str">
        <f aca="false">INDEX(Articles!$H$2:$H$148,MATCH(C36,Articles!$A$2:$A$148,0))</f>
        <v>Fixé</v>
      </c>
      <c r="L36" s="9" t="str">
        <f aca="false">INDEX(Articles!$F$2:$F$148,MATCH(C36,Articles!$A$2:$A$148,0))</f>
        <v>Confirmé</v>
      </c>
      <c r="M36" s="17"/>
      <c r="N36" s="9" t="s">
        <v>167</v>
      </c>
    </row>
    <row r="37" customFormat="false" ht="15" hidden="false" customHeight="false" outlineLevel="0" collapsed="false">
      <c r="A37" s="9" t="s">
        <v>681</v>
      </c>
      <c r="B37" s="9" t="s">
        <v>682</v>
      </c>
      <c r="C37" s="31" t="s">
        <v>218</v>
      </c>
      <c r="D37" s="9" t="str">
        <f aca="false">INDEX(Articles!$C$2:$C$148,MATCH(C37,Articles!$A$2:$A$148,0))</f>
        <v>Crayons de couleur Maped Nightfall, boîte de 24</v>
      </c>
      <c r="E37" s="9" t="str">
        <f aca="false">INDEX(Articles!$B$2:$B$148,MATCH(C37,Articles!$A$2:$A$148,0))</f>
        <v>Papex</v>
      </c>
      <c r="F37" s="31" t="n">
        <v>1</v>
      </c>
      <c r="G37" s="13" t="n">
        <f aca="false">IF(INDEX(Articles!$G$2:$G$148,MATCH(C37,Articles!$A$2:$A$148,0))="","",INDEX(Articles!$G$2:$G$148,MATCH(C37,Articles!$A$2:$A$148,0)))</f>
        <v>1600</v>
      </c>
      <c r="H37" s="13" t="n">
        <f aca="false">IF(G37="",0,F37*G37)</f>
        <v>1600</v>
      </c>
      <c r="I37" s="13" t="n">
        <f aca="false">IF(INDEX(Articles!$E$2:$E$148,MATCH(C37,Articles!$A$2:$A$148,0))="","",INDEX(Articles!$E$2:$E$148,MATCH(C37,Articles!$A$2:$A$148,0)))</f>
        <v>1300</v>
      </c>
      <c r="J37" s="13" t="n">
        <f aca="false">IF(I37="","",F37*I37)</f>
        <v>1300</v>
      </c>
      <c r="K37" s="9" t="str">
        <f aca="false">INDEX(Articles!$H$2:$H$148,MATCH(C37,Articles!$A$2:$A$148,0))</f>
        <v>Estimé</v>
      </c>
      <c r="L37" s="9" t="str">
        <f aca="false">INDEX(Articles!$F$2:$F$148,MATCH(C37,Articles!$A$2:$A$148,0))</f>
        <v>Estimé</v>
      </c>
      <c r="M37" s="17"/>
      <c r="N37" s="9" t="s">
        <v>167</v>
      </c>
    </row>
    <row r="38" customFormat="false" ht="15" hidden="false" customHeight="false" outlineLevel="0" collapsed="false">
      <c r="A38" s="9" t="s">
        <v>678</v>
      </c>
      <c r="B38" s="9" t="s">
        <v>680</v>
      </c>
      <c r="C38" s="31" t="s">
        <v>220</v>
      </c>
      <c r="D38" s="9" t="str">
        <f aca="false">INDEX(Articles!$C$2:$C$148,MATCH(C38,Articles!$A$2:$A$148,0))</f>
        <v>Stylo à bille Schneider Tops 505 M bleu</v>
      </c>
      <c r="E38" s="9" t="str">
        <f aca="false">INDEX(Articles!$B$2:$B$148,MATCH(C38,Articles!$A$2:$A$148,0))</f>
        <v>Papex</v>
      </c>
      <c r="F38" s="31" t="n">
        <v>1</v>
      </c>
      <c r="G38" s="13" t="n">
        <f aca="false">IF(INDEX(Articles!$G$2:$G$148,MATCH(C38,Articles!$A$2:$A$148,0))="","",INDEX(Articles!$G$2:$G$148,MATCH(C38,Articles!$A$2:$A$148,0)))</f>
        <v>100</v>
      </c>
      <c r="H38" s="13" t="n">
        <f aca="false">IF(G38="",0,F38*G38)</f>
        <v>100</v>
      </c>
      <c r="I38" s="13" t="str">
        <f aca="false">IF(INDEX(Articles!$E$2:$E$148,MATCH(C38,Articles!$A$2:$A$148,0))="","",INDEX(Articles!$E$2:$E$148,MATCH(C38,Articles!$A$2:$A$148,0)))</f>
        <v/>
      </c>
      <c r="J38" s="13" t="str">
        <f aca="false">IF(I38="","",F38*I38)</f>
        <v/>
      </c>
      <c r="K38" s="9" t="str">
        <f aca="false">INDEX(Articles!$H$2:$H$148,MATCH(C38,Articles!$A$2:$A$148,0))</f>
        <v>Fixé</v>
      </c>
      <c r="L38" s="9" t="str">
        <f aca="false">INDEX(Articles!$F$2:$F$148,MATCH(C38,Articles!$A$2:$A$148,0))</f>
        <v>Inconnu</v>
      </c>
      <c r="M38" s="17"/>
      <c r="N38" s="9" t="s">
        <v>167</v>
      </c>
    </row>
    <row r="39" customFormat="false" ht="15" hidden="false" customHeight="false" outlineLevel="0" collapsed="false">
      <c r="A39" s="9" t="s">
        <v>678</v>
      </c>
      <c r="B39" s="9" t="s">
        <v>710</v>
      </c>
      <c r="C39" s="31" t="s">
        <v>429</v>
      </c>
      <c r="D39" s="9" t="str">
        <f aca="false">INDEX(Articles!$C$2:$C$148,MATCH(C39,Articles!$A$2:$A$148,0))</f>
        <v>Stylo à bille Schneider Tops 505 M vert</v>
      </c>
      <c r="E39" s="9" t="str">
        <f aca="false">INDEX(Articles!$B$2:$B$148,MATCH(C39,Articles!$A$2:$A$148,0))</f>
        <v>Papex</v>
      </c>
      <c r="F39" s="31" t="n">
        <v>1</v>
      </c>
      <c r="G39" s="13" t="n">
        <f aca="false">IF(INDEX(Articles!$G$2:$G$148,MATCH(C39,Articles!$A$2:$A$148,0))="","",INDEX(Articles!$G$2:$G$148,MATCH(C39,Articles!$A$2:$A$148,0)))</f>
        <v>100</v>
      </c>
      <c r="H39" s="13" t="n">
        <f aca="false">IF(G39="",0,F39*G39)</f>
        <v>100</v>
      </c>
      <c r="I39" s="13" t="str">
        <f aca="false">IF(INDEX(Articles!$E$2:$E$148,MATCH(C39,Articles!$A$2:$A$148,0))="","",INDEX(Articles!$E$2:$E$148,MATCH(C39,Articles!$A$2:$A$148,0)))</f>
        <v/>
      </c>
      <c r="J39" s="13" t="str">
        <f aca="false">IF(I39="","",F39*I39)</f>
        <v/>
      </c>
      <c r="K39" s="9" t="str">
        <f aca="false">INDEX(Articles!$H$2:$H$148,MATCH(C39,Articles!$A$2:$A$148,0))</f>
        <v>Fixé</v>
      </c>
      <c r="L39" s="9" t="str">
        <f aca="false">INDEX(Articles!$F$2:$F$148,MATCH(C39,Articles!$A$2:$A$148,0))</f>
        <v>Inconnu</v>
      </c>
      <c r="M39" s="17"/>
      <c r="N39" s="9" t="s">
        <v>167</v>
      </c>
    </row>
    <row r="40" customFormat="false" ht="15" hidden="false" customHeight="false" outlineLevel="0" collapsed="false">
      <c r="A40" s="9" t="s">
        <v>678</v>
      </c>
      <c r="B40" s="9" t="s">
        <v>679</v>
      </c>
      <c r="C40" s="31" t="s">
        <v>235</v>
      </c>
      <c r="D40" s="9" t="str">
        <f aca="false">INDEX(Articles!$C$2:$C$148,MATCH(C40,Articles!$A$2:$A$148,0))</f>
        <v>Crayon papier (vendu à l'unité)</v>
      </c>
      <c r="E40" s="9" t="str">
        <f aca="false">INDEX(Articles!$B$2:$B$148,MATCH(C40,Articles!$A$2:$A$148,0))</f>
        <v>LPD</v>
      </c>
      <c r="F40" s="31" t="n">
        <v>1</v>
      </c>
      <c r="G40" s="13" t="n">
        <f aca="false">IF(INDEX(Articles!$G$2:$G$148,MATCH(C40,Articles!$A$2:$A$148,0))="","",INDEX(Articles!$G$2:$G$148,MATCH(C40,Articles!$A$2:$A$148,0)))</f>
        <v>75</v>
      </c>
      <c r="H40" s="13" t="n">
        <f aca="false">IF(G40="",0,F40*G40)</f>
        <v>75</v>
      </c>
      <c r="I40" s="13" t="str">
        <f aca="false">IF(INDEX(Articles!$E$2:$E$148,MATCH(C40,Articles!$A$2:$A$148,0))="","",INDEX(Articles!$E$2:$E$148,MATCH(C40,Articles!$A$2:$A$148,0)))</f>
        <v/>
      </c>
      <c r="J40" s="13" t="str">
        <f aca="false">IF(I40="","",F40*I40)</f>
        <v/>
      </c>
      <c r="K40" s="9" t="str">
        <f aca="false">INDEX(Articles!$H$2:$H$148,MATCH(C40,Articles!$A$2:$A$148,0))</f>
        <v>Fixé</v>
      </c>
      <c r="L40" s="9" t="str">
        <f aca="false">INDEX(Articles!$F$2:$F$148,MATCH(C40,Articles!$A$2:$A$148,0))</f>
        <v>Inconnu</v>
      </c>
      <c r="M40" s="17"/>
      <c r="N40" s="9" t="s">
        <v>167</v>
      </c>
    </row>
    <row r="41" customFormat="false" ht="15" hidden="false" customHeight="false" outlineLevel="0" collapsed="false">
      <c r="A41" s="9" t="s">
        <v>675</v>
      </c>
      <c r="B41" s="9" t="s">
        <v>717</v>
      </c>
      <c r="C41" s="31" t="s">
        <v>180</v>
      </c>
      <c r="D41" s="9" t="str">
        <f aca="false">INDEX(Articles!$C$2:$C$148,MATCH(C41,Articles!$A$2:$A$148,0))</f>
        <v>Gomme Staedtler Mars Plastic</v>
      </c>
      <c r="E41" s="9" t="str">
        <f aca="false">INDEX(Articles!$B$2:$B$148,MATCH(C41,Articles!$A$2:$A$148,0))</f>
        <v>LPD</v>
      </c>
      <c r="F41" s="31" t="n">
        <v>1</v>
      </c>
      <c r="G41" s="13" t="n">
        <f aca="false">IF(INDEX(Articles!$G$2:$G$148,MATCH(C41,Articles!$A$2:$A$148,0))="","",INDEX(Articles!$G$2:$G$148,MATCH(C41,Articles!$A$2:$A$148,0)))</f>
        <v>250</v>
      </c>
      <c r="H41" s="13" t="n">
        <f aca="false">IF(G41="",0,F41*G41)</f>
        <v>250</v>
      </c>
      <c r="I41" s="13" t="n">
        <f aca="false">IF(INDEX(Articles!$E$2:$E$148,MATCH(C41,Articles!$A$2:$A$148,0))="","",INDEX(Articles!$E$2:$E$148,MATCH(C41,Articles!$A$2:$A$148,0)))</f>
        <v>110</v>
      </c>
      <c r="J41" s="13" t="n">
        <f aca="false">IF(I41="","",F41*I41)</f>
        <v>110</v>
      </c>
      <c r="K41" s="9" t="str">
        <f aca="false">INDEX(Articles!$H$2:$H$148,MATCH(C41,Articles!$A$2:$A$148,0))</f>
        <v>Fixé</v>
      </c>
      <c r="L41" s="9" t="str">
        <f aca="false">INDEX(Articles!$F$2:$F$148,MATCH(C41,Articles!$A$2:$A$148,0))</f>
        <v>Estimé</v>
      </c>
      <c r="M41" s="17"/>
      <c r="N41" s="9" t="s">
        <v>167</v>
      </c>
    </row>
    <row r="42" customFormat="false" ht="26.85" hidden="false" customHeight="false" outlineLevel="0" collapsed="false">
      <c r="A42" s="9" t="s">
        <v>691</v>
      </c>
      <c r="B42" s="9" t="s">
        <v>692</v>
      </c>
      <c r="C42" s="31" t="s">
        <v>547</v>
      </c>
      <c r="D42" s="9" t="str">
        <f aca="false">INDEX(Articles!$C$2:$C$148,MATCH(C42,Articles!$A$2:$A$148,0))</f>
        <v>Langue et communication C.M.1</v>
      </c>
      <c r="E42" s="9" t="str">
        <f aca="false">INDEX(Articles!$B$2:$B$148,MATCH(C42,Articles!$A$2:$A$148,0))</f>
        <v>LPD</v>
      </c>
      <c r="F42" s="31" t="n">
        <v>1</v>
      </c>
      <c r="G42" s="13" t="n">
        <f aca="false">IF(INDEX(Articles!$G$2:$G$148,MATCH(C42,Articles!$A$2:$A$148,0))="","",INDEX(Articles!$G$2:$G$148,MATCH(C42,Articles!$A$2:$A$148,0)))</f>
        <v>4000</v>
      </c>
      <c r="H42" s="13" t="n">
        <f aca="false">IF(G42="",0,F42*G42)</f>
        <v>4000</v>
      </c>
      <c r="I42" s="13" t="n">
        <f aca="false">IF(INDEX(Articles!$E$2:$E$148,MATCH(C42,Articles!$A$2:$A$148,0))="","",INDEX(Articles!$E$2:$E$148,MATCH(C42,Articles!$A$2:$A$148,0)))</f>
        <v>3000</v>
      </c>
      <c r="J42" s="13" t="n">
        <f aca="false">IF(I42="","",F42*I42)</f>
        <v>3000</v>
      </c>
      <c r="K42" s="9" t="str">
        <f aca="false">INDEX(Articles!$H$2:$H$148,MATCH(C42,Articles!$A$2:$A$148,0))</f>
        <v>Fixé</v>
      </c>
      <c r="L42" s="9" t="str">
        <f aca="false">INDEX(Articles!$F$2:$F$148,MATCH(C42,Articles!$A$2:$A$148,0))</f>
        <v>Estimé</v>
      </c>
      <c r="M42" s="17" t="s">
        <v>701</v>
      </c>
      <c r="N42" s="9" t="s">
        <v>167</v>
      </c>
    </row>
    <row r="43" customFormat="false" ht="26.85" hidden="false" customHeight="false" outlineLevel="0" collapsed="false">
      <c r="A43" s="9" t="s">
        <v>691</v>
      </c>
      <c r="B43" s="9" t="s">
        <v>693</v>
      </c>
      <c r="C43" s="31" t="s">
        <v>549</v>
      </c>
      <c r="D43" s="9" t="str">
        <f aca="false">INDEX(Articles!$C$2:$C$148,MATCH(C43,Articles!$A$2:$A$148,0))</f>
        <v>Mathématiques C.M.1</v>
      </c>
      <c r="E43" s="9" t="str">
        <f aca="false">INDEX(Articles!$B$2:$B$148,MATCH(C43,Articles!$A$2:$A$148,0))</f>
        <v>LPD</v>
      </c>
      <c r="F43" s="31" t="n">
        <v>1</v>
      </c>
      <c r="G43" s="13" t="n">
        <f aca="false">IF(INDEX(Articles!$G$2:$G$148,MATCH(C43,Articles!$A$2:$A$148,0))="","",INDEX(Articles!$G$2:$G$148,MATCH(C43,Articles!$A$2:$A$148,0)))</f>
        <v>4000</v>
      </c>
      <c r="H43" s="13" t="n">
        <f aca="false">IF(G43="",0,F43*G43)</f>
        <v>4000</v>
      </c>
      <c r="I43" s="13" t="n">
        <f aca="false">IF(INDEX(Articles!$E$2:$E$148,MATCH(C43,Articles!$A$2:$A$148,0))="","",INDEX(Articles!$E$2:$E$148,MATCH(C43,Articles!$A$2:$A$148,0)))</f>
        <v>3000</v>
      </c>
      <c r="J43" s="13" t="n">
        <f aca="false">IF(I43="","",F43*I43)</f>
        <v>3000</v>
      </c>
      <c r="K43" s="9" t="str">
        <f aca="false">INDEX(Articles!$H$2:$H$148,MATCH(C43,Articles!$A$2:$A$148,0))</f>
        <v>Fixé</v>
      </c>
      <c r="L43" s="9" t="str">
        <f aca="false">INDEX(Articles!$F$2:$F$148,MATCH(C43,Articles!$A$2:$A$148,0))</f>
        <v>Estimé</v>
      </c>
      <c r="M43" s="17" t="s">
        <v>701</v>
      </c>
      <c r="N43" s="9" t="s">
        <v>167</v>
      </c>
    </row>
    <row r="44" customFormat="false" ht="26.85" hidden="false" customHeight="false" outlineLevel="0" collapsed="false">
      <c r="A44" s="9" t="s">
        <v>691</v>
      </c>
      <c r="B44" s="9" t="s">
        <v>694</v>
      </c>
      <c r="C44" s="31" t="s">
        <v>551</v>
      </c>
      <c r="D44" s="9" t="str">
        <f aca="false">INDEX(Articles!$C$2:$C$148,MATCH(C44,Articles!$A$2:$A$148,0))</f>
        <v>Découverte du monde C.M.1</v>
      </c>
      <c r="E44" s="9" t="str">
        <f aca="false">INDEX(Articles!$B$2:$B$148,MATCH(C44,Articles!$A$2:$A$148,0))</f>
        <v>LPD</v>
      </c>
      <c r="F44" s="31" t="n">
        <v>1</v>
      </c>
      <c r="G44" s="13" t="n">
        <f aca="false">IF(INDEX(Articles!$G$2:$G$148,MATCH(C44,Articles!$A$2:$A$148,0))="","",INDEX(Articles!$G$2:$G$148,MATCH(C44,Articles!$A$2:$A$148,0)))</f>
        <v>4000</v>
      </c>
      <c r="H44" s="13" t="n">
        <f aca="false">IF(G44="",0,F44*G44)</f>
        <v>4000</v>
      </c>
      <c r="I44" s="13" t="n">
        <f aca="false">IF(INDEX(Articles!$E$2:$E$148,MATCH(C44,Articles!$A$2:$A$148,0))="","",INDEX(Articles!$E$2:$E$148,MATCH(C44,Articles!$A$2:$A$148,0)))</f>
        <v>3000</v>
      </c>
      <c r="J44" s="13" t="n">
        <f aca="false">IF(I44="","",F44*I44)</f>
        <v>3000</v>
      </c>
      <c r="K44" s="9" t="str">
        <f aca="false">INDEX(Articles!$H$2:$H$148,MATCH(C44,Articles!$A$2:$A$148,0))</f>
        <v>Fixé</v>
      </c>
      <c r="L44" s="9" t="str">
        <f aca="false">INDEX(Articles!$F$2:$F$148,MATCH(C44,Articles!$A$2:$A$148,0))</f>
        <v>Estimé</v>
      </c>
      <c r="M44" s="17" t="s">
        <v>701</v>
      </c>
      <c r="N44" s="9" t="s">
        <v>167</v>
      </c>
    </row>
    <row r="45" customFormat="false" ht="15" hidden="false" customHeight="false" outlineLevel="0" collapsed="false">
      <c r="D45" s="32" t="s">
        <v>683</v>
      </c>
      <c r="E45" s="32"/>
      <c r="F45" s="32"/>
      <c r="G45" s="32"/>
      <c r="H45" s="33" t="n">
        <f aca="false">COUNTIF(G34:G44,"")</f>
        <v>0</v>
      </c>
    </row>
    <row r="46" customFormat="false" ht="15" hidden="false" customHeight="false" outlineLevel="0" collapsed="false">
      <c r="D46" s="32" t="s">
        <v>684</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685</v>
      </c>
      <c r="E48" s="32"/>
      <c r="F48" s="32"/>
      <c r="G48" s="32"/>
      <c r="H48" s="33" t="n">
        <f aca="false">COUNTIF(I34:I44,"")</f>
        <v>3</v>
      </c>
    </row>
    <row r="49" customFormat="false" ht="15" hidden="false" customHeight="false" outlineLevel="0" collapsed="false">
      <c r="D49" s="32" t="s">
        <v>686</v>
      </c>
      <c r="E49" s="32"/>
      <c r="F49" s="32"/>
      <c r="G49" s="32"/>
      <c r="H49" s="33" t="n">
        <f aca="false">SUMPRODUCT((I34:I44&lt;&gt;"")*H34:H44)-H47</f>
        <v>5140</v>
      </c>
    </row>
    <row r="50" customFormat="false" ht="15" hidden="false" customHeight="false" outlineLevel="0" collapsed="false">
      <c r="D50" s="32" t="s">
        <v>687</v>
      </c>
      <c r="E50" s="32"/>
      <c r="F50" s="32"/>
      <c r="G50" s="32"/>
      <c r="H50" s="33" t="n">
        <f aca="false">SUMIF(A34:A44,"Cahiers",F34:F44)</f>
        <v>4</v>
      </c>
    </row>
    <row r="51" customFormat="false" ht="15" hidden="false" customHeight="false" outlineLevel="0" collapsed="false">
      <c r="D51" s="32" t="s">
        <v>688</v>
      </c>
      <c r="E51" s="32"/>
      <c r="F51" s="32"/>
      <c r="G51" s="32"/>
      <c r="H51" s="34" t="n">
        <f aca="false">IF(H46=0,0,SUMIF(K34:K44,"&lt;&gt;Fixé",H34:H44)/H46)</f>
        <v>0.158693115519253</v>
      </c>
    </row>
    <row r="52" customFormat="false" ht="15" hidden="false" customHeight="false" outlineLevel="0" collapsed="false">
      <c r="D52" s="32" t="s">
        <v>689</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696</v>
      </c>
      <c r="E53" s="21" t="str">
        <f aca="false">INDEX(Articles!$C$2:$C$148,MATCH("S027",Articles!$A$2:$A$148,0))</f>
        <v>Cartable rigide bleu marine</v>
      </c>
      <c r="H53" s="41" t="n">
        <f aca="false">INDEX(Articles!$G$2:$G$148,MATCH("S027",Articles!$A$2:$A$148,0))</f>
        <v>7500</v>
      </c>
    </row>
    <row r="54" customFormat="false" ht="15" hidden="false" customHeight="false" outlineLevel="0" collapsed="false">
      <c r="D54" s="42" t="s">
        <v>697</v>
      </c>
      <c r="E54" s="44" t="s">
        <v>711</v>
      </c>
    </row>
    <row r="57" customFormat="false" ht="15" hidden="false" customHeight="false" outlineLevel="0" collapsed="false">
      <c r="A57" s="28" t="s">
        <v>727</v>
      </c>
      <c r="B57" s="29"/>
      <c r="C57" s="29"/>
      <c r="D57" s="29"/>
      <c r="E57" s="29"/>
      <c r="F57" s="29"/>
      <c r="G57" s="29"/>
      <c r="H57" s="29"/>
      <c r="I57" s="29"/>
      <c r="J57" s="29"/>
      <c r="K57" s="29"/>
      <c r="L57" s="29"/>
      <c r="M57" s="29"/>
      <c r="N57" s="29"/>
    </row>
    <row r="58" customFormat="false" ht="39.55" hidden="false" customHeight="false" outlineLevel="0" collapsed="false">
      <c r="A58" s="30" t="s">
        <v>663</v>
      </c>
      <c r="B58" s="30" t="s">
        <v>664</v>
      </c>
      <c r="C58" s="30" t="s">
        <v>348</v>
      </c>
      <c r="D58" s="30" t="s">
        <v>350</v>
      </c>
      <c r="E58" s="30" t="s">
        <v>349</v>
      </c>
      <c r="F58" s="30" t="s">
        <v>665</v>
      </c>
      <c r="G58" s="30" t="s">
        <v>666</v>
      </c>
      <c r="H58" s="30" t="s">
        <v>667</v>
      </c>
      <c r="I58" s="30" t="s">
        <v>668</v>
      </c>
      <c r="J58" s="30" t="s">
        <v>669</v>
      </c>
      <c r="K58" s="30" t="s">
        <v>355</v>
      </c>
      <c r="L58" s="30" t="s">
        <v>353</v>
      </c>
      <c r="M58" s="30" t="s">
        <v>356</v>
      </c>
      <c r="N58" s="30" t="s">
        <v>670</v>
      </c>
    </row>
    <row r="59" customFormat="false" ht="15" hidden="false" customHeight="false" outlineLevel="0" collapsed="false">
      <c r="A59" s="9" t="s">
        <v>671</v>
      </c>
      <c r="B59" s="9" t="s">
        <v>708</v>
      </c>
      <c r="C59" s="31" t="s">
        <v>366</v>
      </c>
      <c r="D59" s="9" t="str">
        <f aca="false">INDEX(Articles!$C$2:$C$148,MATCH(C59,Articles!$A$2:$A$148,0))</f>
        <v>Cahier Calligraphe 140 pages 17x22 90 g seyès</v>
      </c>
      <c r="E59" s="9" t="str">
        <f aca="false">INDEX(Articles!$B$2:$B$148,MATCH(C59,Articles!$A$2:$A$148,0))</f>
        <v>Papex</v>
      </c>
      <c r="F59" s="31" t="n">
        <v>4</v>
      </c>
      <c r="G59" s="13" t="n">
        <f aca="false">IF(INDEX(Articles!$G$2:$G$148,MATCH(C59,Articles!$A$2:$A$148,0))="","",INDEX(Articles!$G$2:$G$148,MATCH(C59,Articles!$A$2:$A$148,0)))</f>
        <v>750</v>
      </c>
      <c r="H59" s="13" t="n">
        <f aca="false">IF(G59="",0,F59*G59)</f>
        <v>3000</v>
      </c>
      <c r="I59" s="13" t="n">
        <f aca="false">IF(INDEX(Articles!$E$2:$E$148,MATCH(C59,Articles!$A$2:$A$148,0))="","",INDEX(Articles!$E$2:$E$148,MATCH(C59,Articles!$A$2:$A$148,0)))</f>
        <v>650</v>
      </c>
      <c r="J59" s="13" t="n">
        <f aca="false">IF(I59="","",F59*I59)</f>
        <v>2600</v>
      </c>
      <c r="K59" s="9" t="str">
        <f aca="false">INDEX(Articles!$H$2:$H$148,MATCH(C59,Articles!$A$2:$A$148,0))</f>
        <v>Fixé</v>
      </c>
      <c r="L59" s="9" t="str">
        <f aca="false">INDEX(Articles!$F$2:$F$148,MATCH(C59,Articles!$A$2:$A$148,0))</f>
        <v>Estimé</v>
      </c>
      <c r="M59" s="17" t="s">
        <v>713</v>
      </c>
      <c r="N59" s="9" t="s">
        <v>167</v>
      </c>
    </row>
    <row r="60" customFormat="false" ht="15" hidden="false" customHeight="false" outlineLevel="0" collapsed="false">
      <c r="A60" s="9" t="s">
        <v>676</v>
      </c>
      <c r="B60" s="9" t="s">
        <v>709</v>
      </c>
      <c r="C60" s="31" t="s">
        <v>215</v>
      </c>
      <c r="D60" s="9" t="str">
        <f aca="false">INDEX(Articles!$C$2:$C$148,MATCH(C60,Articles!$A$2:$A$148,0))</f>
        <v>Kit géométrie Maped 30 cm (réf. 1930)</v>
      </c>
      <c r="E60" s="9" t="str">
        <f aca="false">INDEX(Articles!$B$2:$B$148,MATCH(C60,Articles!$A$2:$A$148,0))</f>
        <v>LPD</v>
      </c>
      <c r="F60" s="31" t="n">
        <v>1</v>
      </c>
      <c r="G60" s="13" t="n">
        <f aca="false">IF(INDEX(Articles!$G$2:$G$148,MATCH(C60,Articles!$A$2:$A$148,0))="","",INDEX(Articles!$G$2:$G$148,MATCH(C60,Articles!$A$2:$A$148,0)))</f>
        <v>1800</v>
      </c>
      <c r="H60" s="13" t="n">
        <f aca="false">IF(G60="",0,F60*G60)</f>
        <v>1800</v>
      </c>
      <c r="I60" s="13" t="n">
        <f aca="false">IF(INDEX(Articles!$E$2:$E$148,MATCH(C60,Articles!$A$2:$A$148,0))="","",INDEX(Articles!$E$2:$E$148,MATCH(C60,Articles!$A$2:$A$148,0)))</f>
        <v>1500</v>
      </c>
      <c r="J60" s="13" t="n">
        <f aca="false">IF(I60="","",F60*I60)</f>
        <v>1500</v>
      </c>
      <c r="K60" s="9" t="str">
        <f aca="false">INDEX(Articles!$H$2:$H$148,MATCH(C60,Articles!$A$2:$A$148,0))</f>
        <v>À trancher</v>
      </c>
      <c r="L60" s="9" t="str">
        <f aca="false">INDEX(Articles!$F$2:$F$148,MATCH(C60,Articles!$A$2:$A$148,0))</f>
        <v>Confirmé</v>
      </c>
      <c r="M60" s="17"/>
      <c r="N60" s="9" t="s">
        <v>167</v>
      </c>
    </row>
    <row r="61" customFormat="false" ht="15" hidden="false" customHeight="false" outlineLevel="0" collapsed="false">
      <c r="A61" s="9" t="s">
        <v>674</v>
      </c>
      <c r="B61" s="9" t="s">
        <v>674</v>
      </c>
      <c r="C61" s="31" t="s">
        <v>162</v>
      </c>
      <c r="D61" s="9" t="str">
        <f aca="false">INDEX(Articles!$C$2:$C$148,MATCH(C61,Articles!$A$2:$A$148,0))</f>
        <v>Ardoise quadrillée avec poignée</v>
      </c>
      <c r="E61" s="9" t="str">
        <f aca="false">INDEX(Articles!$B$2:$B$148,MATCH(C61,Articles!$A$2:$A$148,0))</f>
        <v>Cissé &amp; Frères</v>
      </c>
      <c r="F61" s="31" t="n">
        <v>1</v>
      </c>
      <c r="G61" s="13" t="n">
        <f aca="false">IF(INDEX(Articles!$G$2:$G$148,MATCH(C61,Articles!$A$2:$A$148,0))="","",INDEX(Articles!$G$2:$G$148,MATCH(C61,Articles!$A$2:$A$148,0)))</f>
        <v>2500</v>
      </c>
      <c r="H61" s="13" t="n">
        <f aca="false">IF(G61="",0,F61*G61)</f>
        <v>2500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681</v>
      </c>
      <c r="B62" s="9" t="s">
        <v>682</v>
      </c>
      <c r="C62" s="31" t="s">
        <v>218</v>
      </c>
      <c r="D62" s="9" t="str">
        <f aca="false">INDEX(Articles!$C$2:$C$148,MATCH(C62,Articles!$A$2:$A$148,0))</f>
        <v>Crayons de couleur Maped Nightfall, boîte de 24</v>
      </c>
      <c r="E62" s="9" t="str">
        <f aca="false">INDEX(Articles!$B$2:$B$148,MATCH(C62,Articles!$A$2:$A$148,0))</f>
        <v>Papex</v>
      </c>
      <c r="F62" s="31" t="n">
        <v>1</v>
      </c>
      <c r="G62" s="13" t="n">
        <f aca="false">IF(INDEX(Articles!$G$2:$G$148,MATCH(C62,Articles!$A$2:$A$148,0))="","",INDEX(Articles!$G$2:$G$148,MATCH(C62,Articles!$A$2:$A$148,0)))</f>
        <v>1600</v>
      </c>
      <c r="H62" s="13" t="n">
        <f aca="false">IF(G62="",0,F62*G62)</f>
        <v>1600</v>
      </c>
      <c r="I62" s="13" t="n">
        <f aca="false">IF(INDEX(Articles!$E$2:$E$148,MATCH(C62,Articles!$A$2:$A$148,0))="","",INDEX(Articles!$E$2:$E$148,MATCH(C62,Articles!$A$2:$A$148,0)))</f>
        <v>1300</v>
      </c>
      <c r="J62" s="13" t="n">
        <f aca="false">IF(I62="","",F62*I62)</f>
        <v>1300</v>
      </c>
      <c r="K62" s="9" t="str">
        <f aca="false">INDEX(Articles!$H$2:$H$148,MATCH(C62,Articles!$A$2:$A$148,0))</f>
        <v>Estimé</v>
      </c>
      <c r="L62" s="9" t="str">
        <f aca="false">INDEX(Articles!$F$2:$F$148,MATCH(C62,Articles!$A$2:$A$148,0))</f>
        <v>Estimé</v>
      </c>
      <c r="M62" s="17"/>
      <c r="N62" s="9" t="s">
        <v>167</v>
      </c>
    </row>
    <row r="63" customFormat="false" ht="15" hidden="false" customHeight="false" outlineLevel="0" collapsed="false">
      <c r="A63" s="9" t="s">
        <v>678</v>
      </c>
      <c r="B63" s="9" t="s">
        <v>680</v>
      </c>
      <c r="C63" s="31" t="s">
        <v>220</v>
      </c>
      <c r="D63" s="9" t="str">
        <f aca="false">INDEX(Articles!$C$2:$C$148,MATCH(C63,Articles!$A$2:$A$148,0))</f>
        <v>Stylo à bille Schneider Tops 505 M bleu</v>
      </c>
      <c r="E63" s="9" t="str">
        <f aca="false">INDEX(Articles!$B$2:$B$148,MATCH(C63,Articles!$A$2:$A$148,0))</f>
        <v>Papex</v>
      </c>
      <c r="F63" s="31" t="n">
        <v>1</v>
      </c>
      <c r="G63" s="13" t="n">
        <f aca="false">IF(INDEX(Articles!$G$2:$G$148,MATCH(C63,Articles!$A$2:$A$148,0))="","",INDEX(Articles!$G$2:$G$148,MATCH(C63,Articles!$A$2:$A$148,0)))</f>
        <v>100</v>
      </c>
      <c r="H63" s="13" t="n">
        <f aca="false">IF(G63="",0,F63*G63)</f>
        <v>100</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c r="N63" s="9" t="s">
        <v>167</v>
      </c>
    </row>
    <row r="64" customFormat="false" ht="15" hidden="false" customHeight="false" outlineLevel="0" collapsed="false">
      <c r="A64" s="9" t="s">
        <v>678</v>
      </c>
      <c r="B64" s="9" t="s">
        <v>710</v>
      </c>
      <c r="C64" s="31" t="s">
        <v>429</v>
      </c>
      <c r="D64" s="9" t="str">
        <f aca="false">INDEX(Articles!$C$2:$C$148,MATCH(C64,Articles!$A$2:$A$148,0))</f>
        <v>Stylo à bille Schneider Tops 505 M vert</v>
      </c>
      <c r="E64" s="9" t="str">
        <f aca="false">INDEX(Articles!$B$2:$B$148,MATCH(C64,Articles!$A$2:$A$148,0))</f>
        <v>Papex</v>
      </c>
      <c r="F64" s="31" t="n">
        <v>1</v>
      </c>
      <c r="G64" s="13" t="n">
        <f aca="false">IF(INDEX(Articles!$G$2:$G$148,MATCH(C64,Articles!$A$2:$A$148,0))="","",INDEX(Articles!$G$2:$G$148,MATCH(C64,Articles!$A$2:$A$148,0)))</f>
        <v>100</v>
      </c>
      <c r="H64" s="13" t="n">
        <f aca="false">IF(G64="",0,F64*G64)</f>
        <v>100</v>
      </c>
      <c r="I64" s="13" t="str">
        <f aca="false">IF(INDEX(Articles!$E$2:$E$148,MATCH(C64,Articles!$A$2:$A$148,0))="","",INDEX(Articles!$E$2:$E$148,MATCH(C64,Articles!$A$2:$A$148,0)))</f>
        <v/>
      </c>
      <c r="J64" s="13" t="str">
        <f aca="false">IF(I64="","",F64*I64)</f>
        <v/>
      </c>
      <c r="K64" s="9" t="str">
        <f aca="false">INDEX(Articles!$H$2:$H$148,MATCH(C64,Articles!$A$2:$A$148,0))</f>
        <v>Fixé</v>
      </c>
      <c r="L64" s="9" t="str">
        <f aca="false">INDEX(Articles!$F$2:$F$148,MATCH(C64,Articles!$A$2:$A$148,0))</f>
        <v>Inconnu</v>
      </c>
      <c r="M64" s="17"/>
      <c r="N64" s="9" t="s">
        <v>167</v>
      </c>
    </row>
    <row r="65" customFormat="false" ht="15" hidden="false" customHeight="false" outlineLevel="0" collapsed="false">
      <c r="A65" s="9" t="s">
        <v>678</v>
      </c>
      <c r="B65" s="9" t="s">
        <v>679</v>
      </c>
      <c r="C65" s="31" t="s">
        <v>235</v>
      </c>
      <c r="D65" s="9" t="str">
        <f aca="false">INDEX(Articles!$C$2:$C$148,MATCH(C65,Articles!$A$2:$A$148,0))</f>
        <v>Crayon papier (vendu à l'unité)</v>
      </c>
      <c r="E65" s="9" t="str">
        <f aca="false">INDEX(Articles!$B$2:$B$148,MATCH(C65,Articles!$A$2:$A$148,0))</f>
        <v>LPD</v>
      </c>
      <c r="F65" s="31" t="n">
        <v>1</v>
      </c>
      <c r="G65" s="13" t="n">
        <f aca="false">IF(INDEX(Articles!$G$2:$G$148,MATCH(C65,Articles!$A$2:$A$148,0))="","",INDEX(Articles!$G$2:$G$148,MATCH(C65,Articles!$A$2:$A$148,0)))</f>
        <v>75</v>
      </c>
      <c r="H65" s="13" t="n">
        <f aca="false">IF(G65="",0,F65*G65)</f>
        <v>75</v>
      </c>
      <c r="I65" s="13" t="str">
        <f aca="false">IF(INDEX(Articles!$E$2:$E$148,MATCH(C65,Articles!$A$2:$A$148,0))="","",INDEX(Articles!$E$2:$E$148,MATCH(C65,Articles!$A$2:$A$148,0)))</f>
        <v/>
      </c>
      <c r="J65" s="13" t="str">
        <f aca="false">IF(I65="","",F65*I65)</f>
        <v/>
      </c>
      <c r="K65" s="9" t="str">
        <f aca="false">INDEX(Articles!$H$2:$H$148,MATCH(C65,Articles!$A$2:$A$148,0))</f>
        <v>Fixé</v>
      </c>
      <c r="L65" s="9" t="str">
        <f aca="false">INDEX(Articles!$F$2:$F$148,MATCH(C65,Articles!$A$2:$A$148,0))</f>
        <v>Inconnu</v>
      </c>
      <c r="M65" s="17"/>
      <c r="N65" s="9" t="s">
        <v>167</v>
      </c>
    </row>
    <row r="66" customFormat="false" ht="15" hidden="false" customHeight="false" outlineLevel="0" collapsed="false">
      <c r="A66" s="9" t="s">
        <v>675</v>
      </c>
      <c r="B66" s="9" t="s">
        <v>717</v>
      </c>
      <c r="C66" s="31" t="s">
        <v>180</v>
      </c>
      <c r="D66" s="9" t="str">
        <f aca="false">INDEX(Articles!$C$2:$C$148,MATCH(C66,Articles!$A$2:$A$148,0))</f>
        <v>Gomme Staedtler Mars Plastic</v>
      </c>
      <c r="E66" s="9" t="str">
        <f aca="false">INDEX(Articles!$B$2:$B$148,MATCH(C66,Articles!$A$2:$A$148,0))</f>
        <v>LPD</v>
      </c>
      <c r="F66" s="31" t="n">
        <v>1</v>
      </c>
      <c r="G66" s="13" t="n">
        <f aca="false">IF(INDEX(Articles!$G$2:$G$148,MATCH(C66,Articles!$A$2:$A$148,0))="","",INDEX(Articles!$G$2:$G$148,MATCH(C66,Articles!$A$2:$A$148,0)))</f>
        <v>250</v>
      </c>
      <c r="H66" s="13" t="n">
        <f aca="false">IF(G66="",0,F66*G66)</f>
        <v>250</v>
      </c>
      <c r="I66" s="13" t="n">
        <f aca="false">IF(INDEX(Articles!$E$2:$E$148,MATCH(C66,Articles!$A$2:$A$148,0))="","",INDEX(Articles!$E$2:$E$148,MATCH(C66,Articles!$A$2:$A$148,0)))</f>
        <v>110</v>
      </c>
      <c r="J66" s="13" t="n">
        <f aca="false">IF(I66="","",F66*I66)</f>
        <v>110</v>
      </c>
      <c r="K66" s="9" t="str">
        <f aca="false">INDEX(Articles!$H$2:$H$148,MATCH(C66,Articles!$A$2:$A$148,0))</f>
        <v>Fixé</v>
      </c>
      <c r="L66" s="9" t="str">
        <f aca="false">INDEX(Articles!$F$2:$F$148,MATCH(C66,Articles!$A$2:$A$148,0))</f>
        <v>Estimé</v>
      </c>
      <c r="M66" s="17"/>
      <c r="N66" s="9" t="s">
        <v>167</v>
      </c>
    </row>
    <row r="67" customFormat="false" ht="26.85" hidden="false" customHeight="false" outlineLevel="0" collapsed="false">
      <c r="A67" s="9" t="s">
        <v>691</v>
      </c>
      <c r="B67" s="9" t="s">
        <v>692</v>
      </c>
      <c r="C67" s="31" t="s">
        <v>547</v>
      </c>
      <c r="D67" s="9" t="str">
        <f aca="false">INDEX(Articles!$C$2:$C$148,MATCH(C67,Articles!$A$2:$A$148,0))</f>
        <v>Langue et communication C.M.1</v>
      </c>
      <c r="E67" s="9" t="str">
        <f aca="false">INDEX(Articles!$B$2:$B$148,MATCH(C67,Articles!$A$2:$A$148,0))</f>
        <v>LPD</v>
      </c>
      <c r="F67" s="31" t="n">
        <v>1</v>
      </c>
      <c r="G67" s="13" t="n">
        <f aca="false">IF(INDEX(Articles!$G$2:$G$148,MATCH(C67,Articles!$A$2:$A$148,0))="","",INDEX(Articles!$G$2:$G$148,MATCH(C67,Articles!$A$2:$A$148,0)))</f>
        <v>4000</v>
      </c>
      <c r="H67" s="13" t="n">
        <f aca="false">IF(G67="",0,F67*G67)</f>
        <v>4000</v>
      </c>
      <c r="I67" s="13" t="n">
        <f aca="false">IF(INDEX(Articles!$E$2:$E$148,MATCH(C67,Articles!$A$2:$A$148,0))="","",INDEX(Articles!$E$2:$E$148,MATCH(C67,Articles!$A$2:$A$148,0)))</f>
        <v>3000</v>
      </c>
      <c r="J67" s="13" t="n">
        <f aca="false">IF(I67="","",F67*I67)</f>
        <v>3000</v>
      </c>
      <c r="K67" s="9" t="str">
        <f aca="false">INDEX(Articles!$H$2:$H$148,MATCH(C67,Articles!$A$2:$A$148,0))</f>
        <v>Fixé</v>
      </c>
      <c r="L67" s="9" t="str">
        <f aca="false">INDEX(Articles!$F$2:$F$148,MATCH(C67,Articles!$A$2:$A$148,0))</f>
        <v>Estimé</v>
      </c>
      <c r="M67" s="17" t="s">
        <v>701</v>
      </c>
      <c r="N67" s="9" t="s">
        <v>167</v>
      </c>
    </row>
    <row r="68" customFormat="false" ht="26.85" hidden="false" customHeight="false" outlineLevel="0" collapsed="false">
      <c r="A68" s="9" t="s">
        <v>691</v>
      </c>
      <c r="B68" s="9" t="s">
        <v>693</v>
      </c>
      <c r="C68" s="31" t="s">
        <v>549</v>
      </c>
      <c r="D68" s="9" t="str">
        <f aca="false">INDEX(Articles!$C$2:$C$148,MATCH(C68,Articles!$A$2:$A$148,0))</f>
        <v>Mathématiques C.M.1</v>
      </c>
      <c r="E68" s="9" t="str">
        <f aca="false">INDEX(Articles!$B$2:$B$148,MATCH(C68,Articles!$A$2:$A$148,0))</f>
        <v>LPD</v>
      </c>
      <c r="F68" s="31" t="n">
        <v>1</v>
      </c>
      <c r="G68" s="13" t="n">
        <f aca="false">IF(INDEX(Articles!$G$2:$G$148,MATCH(C68,Articles!$A$2:$A$148,0))="","",INDEX(Articles!$G$2:$G$148,MATCH(C68,Articles!$A$2:$A$148,0)))</f>
        <v>4000</v>
      </c>
      <c r="H68" s="13" t="n">
        <f aca="false">IF(G68="",0,F68*G68)</f>
        <v>4000</v>
      </c>
      <c r="I68" s="13" t="n">
        <f aca="false">IF(INDEX(Articles!$E$2:$E$148,MATCH(C68,Articles!$A$2:$A$148,0))="","",INDEX(Articles!$E$2:$E$148,MATCH(C68,Articles!$A$2:$A$148,0)))</f>
        <v>3000</v>
      </c>
      <c r="J68" s="13" t="n">
        <f aca="false">IF(I68="","",F68*I68)</f>
        <v>3000</v>
      </c>
      <c r="K68" s="9" t="str">
        <f aca="false">INDEX(Articles!$H$2:$H$148,MATCH(C68,Articles!$A$2:$A$148,0))</f>
        <v>Fixé</v>
      </c>
      <c r="L68" s="9" t="str">
        <f aca="false">INDEX(Articles!$F$2:$F$148,MATCH(C68,Articles!$A$2:$A$148,0))</f>
        <v>Estimé</v>
      </c>
      <c r="M68" s="17" t="s">
        <v>701</v>
      </c>
      <c r="N68" s="9" t="s">
        <v>167</v>
      </c>
    </row>
    <row r="69" customFormat="false" ht="26.85" hidden="false" customHeight="false" outlineLevel="0" collapsed="false">
      <c r="A69" s="9" t="s">
        <v>691</v>
      </c>
      <c r="B69" s="9" t="s">
        <v>694</v>
      </c>
      <c r="C69" s="31" t="s">
        <v>551</v>
      </c>
      <c r="D69" s="9" t="str">
        <f aca="false">INDEX(Articles!$C$2:$C$148,MATCH(C69,Articles!$A$2:$A$148,0))</f>
        <v>Découverte du monde C.M.1</v>
      </c>
      <c r="E69" s="9" t="str">
        <f aca="false">INDEX(Articles!$B$2:$B$148,MATCH(C69,Articles!$A$2:$A$148,0))</f>
        <v>LPD</v>
      </c>
      <c r="F69" s="31" t="n">
        <v>1</v>
      </c>
      <c r="G69" s="13" t="n">
        <f aca="false">IF(INDEX(Articles!$G$2:$G$148,MATCH(C69,Articles!$A$2:$A$148,0))="","",INDEX(Articles!$G$2:$G$148,MATCH(C69,Articles!$A$2:$A$148,0)))</f>
        <v>4000</v>
      </c>
      <c r="H69" s="13" t="n">
        <f aca="false">IF(G69="",0,F69*G69)</f>
        <v>4000</v>
      </c>
      <c r="I69" s="13" t="n">
        <f aca="false">IF(INDEX(Articles!$E$2:$E$148,MATCH(C69,Articles!$A$2:$A$148,0))="","",INDEX(Articles!$E$2:$E$148,MATCH(C69,Articles!$A$2:$A$148,0)))</f>
        <v>3000</v>
      </c>
      <c r="J69" s="13" t="n">
        <f aca="false">IF(I69="","",F69*I69)</f>
        <v>3000</v>
      </c>
      <c r="K69" s="9" t="str">
        <f aca="false">INDEX(Articles!$H$2:$H$148,MATCH(C69,Articles!$A$2:$A$148,0))</f>
        <v>Fixé</v>
      </c>
      <c r="L69" s="9" t="str">
        <f aca="false">INDEX(Articles!$F$2:$F$148,MATCH(C69,Articles!$A$2:$A$148,0))</f>
        <v>Estimé</v>
      </c>
      <c r="M69" s="17" t="s">
        <v>701</v>
      </c>
      <c r="N69" s="9" t="s">
        <v>167</v>
      </c>
    </row>
    <row r="70" customFormat="false" ht="15" hidden="false" customHeight="false" outlineLevel="0" collapsed="false">
      <c r="A70" s="9" t="s">
        <v>703</v>
      </c>
      <c r="B70" s="9" t="s">
        <v>704</v>
      </c>
      <c r="C70" s="31" t="s">
        <v>574</v>
      </c>
      <c r="D70" s="9" t="str">
        <f aca="false">INDEX(Articles!$C$2:$C$148,MATCH(C70,Articles!$A$2:$A$148,0))</f>
        <v>Cahier d’activités fongible LC C.M.1</v>
      </c>
      <c r="E70" s="9" t="str">
        <f aca="false">INDEX(Articles!$B$2:$B$148,MATCH(C70,Articles!$A$2:$A$148,0))</f>
        <v>LPD</v>
      </c>
      <c r="F70" s="31" t="n">
        <v>1</v>
      </c>
      <c r="G70" s="13" t="n">
        <f aca="false">IF(INDEX(Articles!$G$2:$G$148,MATCH(C70,Articles!$A$2:$A$148,0))="","",INDEX(Articles!$G$2:$G$148,MATCH(C70,Articles!$A$2:$A$148,0)))</f>
        <v>3240</v>
      </c>
      <c r="H70" s="13" t="n">
        <f aca="false">IF(G70="",0,F70*G70)</f>
        <v>3240</v>
      </c>
      <c r="I70" s="13" t="n">
        <f aca="false">IF(INDEX(Articles!$E$2:$E$148,MATCH(C70,Articles!$A$2:$A$148,0))="","",INDEX(Articles!$E$2:$E$148,MATCH(C70,Articles!$A$2:$A$148,0)))</f>
        <v>2240</v>
      </c>
      <c r="J70" s="13" t="n">
        <f aca="false">IF(I70="","",F70*I70)</f>
        <v>2240</v>
      </c>
      <c r="K70" s="9" t="str">
        <f aca="false">INDEX(Articles!$H$2:$H$148,MATCH(C70,Articles!$A$2:$A$148,0))</f>
        <v>Fixé</v>
      </c>
      <c r="L70" s="9" t="str">
        <f aca="false">INDEX(Articles!$F$2:$F$148,MATCH(C70,Articles!$A$2:$A$148,0))</f>
        <v>Estimé</v>
      </c>
      <c r="M70" s="17"/>
      <c r="N70" s="9" t="s">
        <v>167</v>
      </c>
    </row>
    <row r="71" customFormat="false" ht="15" hidden="false" customHeight="false" outlineLevel="0" collapsed="false">
      <c r="A71" s="9" t="s">
        <v>703</v>
      </c>
      <c r="B71" s="9" t="s">
        <v>705</v>
      </c>
      <c r="C71" s="31" t="s">
        <v>576</v>
      </c>
      <c r="D71" s="9" t="str">
        <f aca="false">INDEX(Articles!$C$2:$C$148,MATCH(C71,Articles!$A$2:$A$148,0))</f>
        <v>Cahier d’activités mathématiques C.M.1</v>
      </c>
      <c r="E71" s="9" t="str">
        <f aca="false">INDEX(Articles!$B$2:$B$148,MATCH(C71,Articles!$A$2:$A$148,0))</f>
        <v>LPD</v>
      </c>
      <c r="F71" s="31" t="n">
        <v>1</v>
      </c>
      <c r="G71" s="13" t="n">
        <f aca="false">IF(INDEX(Articles!$G$2:$G$148,MATCH(C71,Articles!$A$2:$A$148,0))="","",INDEX(Articles!$G$2:$G$148,MATCH(C71,Articles!$A$2:$A$148,0)))</f>
        <v>3240</v>
      </c>
      <c r="H71" s="13" t="n">
        <f aca="false">IF(G71="",0,F71*G71)</f>
        <v>3240</v>
      </c>
      <c r="I71" s="13" t="n">
        <f aca="false">IF(INDEX(Articles!$E$2:$E$148,MATCH(C71,Articles!$A$2:$A$148,0))="","",INDEX(Articles!$E$2:$E$148,MATCH(C71,Articles!$A$2:$A$148,0)))</f>
        <v>2240</v>
      </c>
      <c r="J71" s="13" t="n">
        <f aca="false">IF(I71="","",F71*I71)</f>
        <v>2240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D72" s="32" t="s">
        <v>683</v>
      </c>
      <c r="E72" s="32"/>
      <c r="F72" s="32"/>
      <c r="G72" s="32"/>
      <c r="H72" s="33" t="n">
        <f aca="false">COUNTIF(G59:G71,"")</f>
        <v>0</v>
      </c>
    </row>
    <row r="73" customFormat="false" ht="15" hidden="false" customHeight="false" outlineLevel="0" collapsed="false">
      <c r="D73" s="32" t="s">
        <v>684</v>
      </c>
      <c r="E73" s="32"/>
      <c r="F73" s="32"/>
      <c r="G73" s="32"/>
      <c r="H73" s="33" t="n">
        <f aca="false">SUM(H59:H71)</f>
        <v>27905</v>
      </c>
    </row>
    <row r="74" customFormat="false" ht="15" hidden="false" customHeight="false" outlineLevel="0" collapsed="false">
      <c r="D74" s="32" t="s">
        <v>28</v>
      </c>
      <c r="E74" s="32"/>
      <c r="F74" s="32"/>
      <c r="G74" s="32"/>
      <c r="H74" s="33" t="n">
        <f aca="false">SUM(J59:J71)</f>
        <v>20490</v>
      </c>
    </row>
    <row r="75" customFormat="false" ht="15" hidden="false" customHeight="false" outlineLevel="0" collapsed="false">
      <c r="D75" s="32" t="s">
        <v>685</v>
      </c>
      <c r="E75" s="32"/>
      <c r="F75" s="32"/>
      <c r="G75" s="32"/>
      <c r="H75" s="33" t="n">
        <f aca="false">COUNTIF(I59:I71,"")</f>
        <v>3</v>
      </c>
    </row>
    <row r="76" customFormat="false" ht="15" hidden="false" customHeight="false" outlineLevel="0" collapsed="false">
      <c r="D76" s="32" t="s">
        <v>686</v>
      </c>
      <c r="E76" s="32"/>
      <c r="F76" s="32"/>
      <c r="G76" s="32"/>
      <c r="H76" s="33" t="n">
        <f aca="false">SUMPRODUCT((I59:I71&lt;&gt;"")*H59:H71)-H74</f>
        <v>7140</v>
      </c>
    </row>
    <row r="77" customFormat="false" ht="15" hidden="false" customHeight="false" outlineLevel="0" collapsed="false">
      <c r="D77" s="32" t="s">
        <v>687</v>
      </c>
      <c r="E77" s="32"/>
      <c r="F77" s="32"/>
      <c r="G77" s="32"/>
      <c r="H77" s="33" t="n">
        <f aca="false">SUMIF(A59:A71,"Cahiers",F59:F71)</f>
        <v>4</v>
      </c>
    </row>
    <row r="78" customFormat="false" ht="15" hidden="false" customHeight="false" outlineLevel="0" collapsed="false">
      <c r="D78" s="32" t="s">
        <v>688</v>
      </c>
      <c r="E78" s="32"/>
      <c r="F78" s="32"/>
      <c r="G78" s="32"/>
      <c r="H78" s="34" t="n">
        <f aca="false">IF(H73=0,0,SUMIF(K59:K71,"&lt;&gt;Fixé",H59:H71)/H73)</f>
        <v>0.12184196380577</v>
      </c>
    </row>
    <row r="79" customFormat="false" ht="15" hidden="false" customHeight="false" outlineLevel="0" collapsed="false">
      <c r="D79" s="32" t="s">
        <v>689</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696</v>
      </c>
      <c r="E80" s="21" t="str">
        <f aca="false">INDEX(Articles!$C$2:$C$148,MATCH("S027",Articles!$A$2:$A$148,0))</f>
        <v>Cartable rigide bleu marine</v>
      </c>
      <c r="H80" s="41" t="n">
        <f aca="false">INDEX(Articles!$G$2:$G$148,MATCH("S027",Articles!$A$2:$A$148,0))</f>
        <v>7500</v>
      </c>
    </row>
    <row r="81" customFormat="false" ht="15" hidden="false" customHeight="false" outlineLevel="0" collapsed="false">
      <c r="D81" s="42" t="s">
        <v>697</v>
      </c>
      <c r="E81" s="44" t="s">
        <v>711</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728</v>
      </c>
    </row>
    <row r="2" customFormat="false" ht="15" hidden="false" customHeight="false" outlineLevel="0" collapsed="false">
      <c r="A2" s="21" t="s">
        <v>661</v>
      </c>
    </row>
    <row r="4" customFormat="false" ht="15" hidden="false" customHeight="false" outlineLevel="0" collapsed="false">
      <c r="A4" s="28" t="s">
        <v>729</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708</v>
      </c>
      <c r="C6" s="31" t="s">
        <v>195</v>
      </c>
      <c r="D6" s="9" t="str">
        <f aca="false">INDEX(Articles!$C$2:$C$148,MATCH(C6,Articles!$A$2:$A$148,0))</f>
        <v>Cahier Calligraphe 96 pages 17x22 56 g seyès</v>
      </c>
      <c r="E6" s="9" t="str">
        <f aca="false">INDEX(Articles!$B$2:$B$148,MATCH(C6,Articles!$A$2:$A$148,0))</f>
        <v>Papex</v>
      </c>
      <c r="F6" s="31" t="n">
        <v>4</v>
      </c>
      <c r="G6" s="13" t="n">
        <f aca="false">IF(INDEX(Articles!$G$2:$G$148,MATCH(C6,Articles!$A$2:$A$148,0))="","",INDEX(Articles!$G$2:$G$148,MATCH(C6,Articles!$A$2:$A$148,0)))</f>
        <v>450</v>
      </c>
      <c r="H6" s="13" t="n">
        <f aca="false">IF(G6="",0,F6*G6)</f>
        <v>1800</v>
      </c>
      <c r="I6" s="13" t="n">
        <f aca="false">IF(INDEX(Articles!$E$2:$E$148,MATCH(C6,Articles!$A$2:$A$148,0))="","",INDEX(Articles!$E$2:$E$148,MATCH(C6,Articles!$A$2:$A$148,0)))</f>
        <v>350</v>
      </c>
      <c r="J6" s="13" t="n">
        <f aca="false">IF(I6="","",F6*I6)</f>
        <v>1400</v>
      </c>
      <c r="K6" s="9" t="str">
        <f aca="false">INDEX(Articles!$H$2:$H$148,MATCH(C6,Articles!$A$2:$A$148,0))</f>
        <v>Fixé</v>
      </c>
      <c r="L6" s="9" t="str">
        <f aca="false">INDEX(Articles!$F$2:$F$148,MATCH(C6,Articles!$A$2:$A$148,0))</f>
        <v>Confirmé</v>
      </c>
      <c r="M6" s="17"/>
      <c r="N6" s="9" t="s">
        <v>167</v>
      </c>
    </row>
    <row r="7" customFormat="false" ht="15" hidden="false" customHeight="false" outlineLevel="0" collapsed="false">
      <c r="A7" s="9" t="s">
        <v>676</v>
      </c>
      <c r="B7" s="9" t="s">
        <v>709</v>
      </c>
      <c r="C7" s="31" t="s">
        <v>239</v>
      </c>
      <c r="D7" s="9" t="str">
        <f aca="false">INDEX(Articles!$C$2:$C$148,MATCH(C7,Articles!$A$2:$A$148,0))</f>
        <v>Kit de traçage 30 cm, 4 pièces L'écolier</v>
      </c>
      <c r="E7" s="9" t="str">
        <f aca="false">INDEX(Articles!$B$2:$B$148,MATCH(C7,Articles!$A$2:$A$148,0))</f>
        <v>Papex</v>
      </c>
      <c r="F7" s="31" t="n">
        <v>1</v>
      </c>
      <c r="G7" s="13" t="n">
        <f aca="false">IF(INDEX(Articles!$G$2:$G$148,MATCH(C7,Articles!$A$2:$A$148,0))="","",INDEX(Articles!$G$2:$G$148,MATCH(C7,Articles!$A$2:$A$148,0)))</f>
        <v>900</v>
      </c>
      <c r="H7" s="13" t="n">
        <f aca="false">IF(G7="",0,F7*G7)</f>
        <v>900</v>
      </c>
      <c r="I7" s="13" t="n">
        <f aca="false">IF(INDEX(Articles!$E$2:$E$148,MATCH(C7,Articles!$A$2:$A$148,0))="","",INDEX(Articles!$E$2:$E$148,MATCH(C7,Articles!$A$2:$A$148,0)))</f>
        <v>650</v>
      </c>
      <c r="J7" s="13" t="n">
        <f aca="false">IF(I7="","",F7*I7)</f>
        <v>650</v>
      </c>
      <c r="K7" s="9" t="str">
        <f aca="false">INDEX(Articles!$H$2:$H$148,MATCH(C7,Articles!$A$2:$A$148,0))</f>
        <v>Estimé</v>
      </c>
      <c r="L7" s="9" t="str">
        <f aca="false">INDEX(Articles!$F$2:$F$148,MATCH(C7,Articles!$A$2:$A$148,0))</f>
        <v>Confirmé</v>
      </c>
      <c r="M7" s="17"/>
      <c r="N7" s="9" t="s">
        <v>167</v>
      </c>
    </row>
    <row r="8" customFormat="false" ht="15" hidden="false" customHeight="false" outlineLevel="0" collapsed="false">
      <c r="A8" s="9" t="s">
        <v>674</v>
      </c>
      <c r="B8" s="9" t="s">
        <v>674</v>
      </c>
      <c r="C8" s="31" t="s">
        <v>165</v>
      </c>
      <c r="D8" s="9" t="str">
        <f aca="false">INDEX(Articles!$C$2:$C$148,MATCH(C8,Articles!$A$2:$A$148,0))</f>
        <v>Ardoise scolaire</v>
      </c>
      <c r="E8" s="9" t="str">
        <f aca="false">INDEX(Articles!$B$2:$B$148,MATCH(C8,Articles!$A$2:$A$148,0))</f>
        <v>LPD</v>
      </c>
      <c r="F8" s="31" t="n">
        <v>1</v>
      </c>
      <c r="G8" s="13" t="n">
        <f aca="false">IF(INDEX(Articles!$G$2:$G$148,MATCH(C8,Articles!$A$2:$A$148,0))="","",INDEX(Articles!$G$2:$G$148,MATCH(C8,Articles!$A$2:$A$148,0)))</f>
        <v>900</v>
      </c>
      <c r="H8" s="13" t="n">
        <f aca="false">IF(G8="",0,F8*G8)</f>
        <v>900</v>
      </c>
      <c r="I8" s="13" t="n">
        <f aca="false">IF(INDEX(Articles!$E$2:$E$148,MATCH(C8,Articles!$A$2:$A$148,0))="","",INDEX(Articles!$E$2:$E$148,MATCH(C8,Articles!$A$2:$A$148,0)))</f>
        <v>600</v>
      </c>
      <c r="J8" s="13" t="n">
        <f aca="false">IF(I8="","",F8*I8)</f>
        <v>600</v>
      </c>
      <c r="K8" s="9" t="str">
        <f aca="false">INDEX(Articles!$H$2:$H$148,MATCH(C8,Articles!$A$2:$A$148,0))</f>
        <v>Fixé</v>
      </c>
      <c r="L8" s="9" t="str">
        <f aca="false">INDEX(Articles!$F$2:$F$148,MATCH(C8,Articles!$A$2:$A$148,0))</f>
        <v>Estimé</v>
      </c>
      <c r="M8" s="17"/>
      <c r="N8" s="9" t="s">
        <v>167</v>
      </c>
    </row>
    <row r="9" customFormat="false" ht="15" hidden="false" customHeight="false" outlineLevel="0" collapsed="false">
      <c r="A9" s="9" t="s">
        <v>681</v>
      </c>
      <c r="B9" s="9" t="s">
        <v>682</v>
      </c>
      <c r="C9" s="31" t="s">
        <v>198</v>
      </c>
      <c r="D9" s="9" t="str">
        <f aca="false">INDEX(Articles!$C$2:$C$148,MATCH(C9,Articles!$A$2:$A$148,0))</f>
        <v>Crayons de couleur Maped, boîte de 12</v>
      </c>
      <c r="E9" s="9" t="str">
        <f aca="false">INDEX(Articles!$B$2:$B$148,MATCH(C9,Articles!$A$2:$A$148,0))</f>
        <v>Papex</v>
      </c>
      <c r="F9" s="31" t="n">
        <v>1</v>
      </c>
      <c r="G9" s="13" t="n">
        <f aca="false">IF(INDEX(Articles!$G$2:$G$148,MATCH(C9,Articles!$A$2:$A$148,0))="","",INDEX(Articles!$G$2:$G$148,MATCH(C9,Articles!$A$2:$A$148,0)))</f>
        <v>900</v>
      </c>
      <c r="H9" s="13" t="n">
        <f aca="false">IF(G9="",0,F9*G9)</f>
        <v>900</v>
      </c>
      <c r="I9" s="13" t="n">
        <f aca="false">IF(INDEX(Articles!$E$2:$E$148,MATCH(C9,Articles!$A$2:$A$148,0))="","",INDEX(Articles!$E$2:$E$148,MATCH(C9,Articles!$A$2:$A$148,0)))</f>
        <v>650</v>
      </c>
      <c r="J9" s="13" t="n">
        <f aca="false">IF(I9="","",F9*I9)</f>
        <v>650</v>
      </c>
      <c r="K9" s="9" t="str">
        <f aca="false">INDEX(Articles!$H$2:$H$148,MATCH(C9,Articles!$A$2:$A$148,0))</f>
        <v>Estimé</v>
      </c>
      <c r="L9" s="9" t="str">
        <f aca="false">INDEX(Articles!$F$2:$F$148,MATCH(C9,Articles!$A$2:$A$148,0))</f>
        <v>Estimé</v>
      </c>
      <c r="M9" s="17"/>
      <c r="N9" s="9" t="s">
        <v>167</v>
      </c>
    </row>
    <row r="10" customFormat="false" ht="15" hidden="false" customHeight="false" outlineLevel="0" collapsed="false">
      <c r="A10" s="9" t="s">
        <v>678</v>
      </c>
      <c r="B10" s="9" t="s">
        <v>680</v>
      </c>
      <c r="C10" s="31" t="s">
        <v>220</v>
      </c>
      <c r="D10" s="9" t="str">
        <f aca="false">INDEX(Articles!$C$2:$C$148,MATCH(C10,Articles!$A$2:$A$148,0))</f>
        <v>Stylo à bille Schneider Tops 505 M bleu</v>
      </c>
      <c r="E10" s="9" t="str">
        <f aca="false">INDEX(Articles!$B$2:$B$148,MATCH(C10,Articles!$A$2:$A$148,0))</f>
        <v>Papex</v>
      </c>
      <c r="F10" s="31" t="n">
        <v>1</v>
      </c>
      <c r="G10" s="13" t="n">
        <f aca="false">IF(INDEX(Articles!$G$2:$G$148,MATCH(C10,Articles!$A$2:$A$148,0))="","",INDEX(Articles!$G$2:$G$148,MATCH(C10,Articles!$A$2:$A$148,0)))</f>
        <v>100</v>
      </c>
      <c r="H10" s="13" t="n">
        <f aca="false">IF(G10="",0,F10*G10)</f>
        <v>100</v>
      </c>
      <c r="I10" s="13" t="str">
        <f aca="false">IF(INDEX(Articles!$E$2:$E$148,MATCH(C10,Articles!$A$2:$A$148,0))="","",INDEX(Articles!$E$2:$E$148,MATCH(C10,Articles!$A$2:$A$148,0)))</f>
        <v/>
      </c>
      <c r="J10" s="13" t="str">
        <f aca="false">IF(I10="","",F10*I10)</f>
        <v/>
      </c>
      <c r="K10" s="9" t="str">
        <f aca="false">INDEX(Articles!$H$2:$H$148,MATCH(C10,Articles!$A$2:$A$148,0))</f>
        <v>Fixé</v>
      </c>
      <c r="L10" s="9" t="str">
        <f aca="false">INDEX(Articles!$F$2:$F$148,MATCH(C10,Articles!$A$2:$A$148,0))</f>
        <v>Inconnu</v>
      </c>
      <c r="M10" s="17"/>
      <c r="N10" s="9" t="s">
        <v>167</v>
      </c>
    </row>
    <row r="11" customFormat="false" ht="15" hidden="false" customHeight="false" outlineLevel="0" collapsed="false">
      <c r="A11" s="9" t="s">
        <v>678</v>
      </c>
      <c r="B11" s="9" t="s">
        <v>710</v>
      </c>
      <c r="C11" s="31" t="s">
        <v>429</v>
      </c>
      <c r="D11" s="9" t="str">
        <f aca="false">INDEX(Articles!$C$2:$C$148,MATCH(C11,Articles!$A$2:$A$148,0))</f>
        <v>Stylo à bille Schneider Tops 505 M vert</v>
      </c>
      <c r="E11" s="9" t="str">
        <f aca="false">INDEX(Articles!$B$2:$B$148,MATCH(C11,Articles!$A$2:$A$148,0))</f>
        <v>Papex</v>
      </c>
      <c r="F11" s="31" t="n">
        <v>1</v>
      </c>
      <c r="G11" s="13" t="n">
        <f aca="false">IF(INDEX(Articles!$G$2:$G$148,MATCH(C11,Articles!$A$2:$A$148,0))="","",INDEX(Articles!$G$2:$G$148,MATCH(C11,Articles!$A$2:$A$148,0)))</f>
        <v>100</v>
      </c>
      <c r="H11" s="13" t="n">
        <f aca="false">IF(G11="",0,F11*G11)</f>
        <v>100</v>
      </c>
      <c r="I11" s="13" t="str">
        <f aca="false">IF(INDEX(Articles!$E$2:$E$148,MATCH(C11,Articles!$A$2:$A$148,0))="","",INDEX(Articles!$E$2:$E$148,MATCH(C11,Articles!$A$2:$A$148,0)))</f>
        <v/>
      </c>
      <c r="J11" s="13" t="str">
        <f aca="false">IF(I11="","",F11*I11)</f>
        <v/>
      </c>
      <c r="K11" s="9" t="str">
        <f aca="false">INDEX(Articles!$H$2:$H$148,MATCH(C11,Articles!$A$2:$A$148,0))</f>
        <v>Fixé</v>
      </c>
      <c r="L11" s="9" t="str">
        <f aca="false">INDEX(Articles!$F$2:$F$148,MATCH(C11,Articles!$A$2:$A$148,0))</f>
        <v>Inconnu</v>
      </c>
      <c r="M11" s="17"/>
      <c r="N11" s="9" t="s">
        <v>167</v>
      </c>
    </row>
    <row r="12" customFormat="false" ht="15" hidden="false" customHeight="false" outlineLevel="0" collapsed="false">
      <c r="A12" s="9" t="s">
        <v>678</v>
      </c>
      <c r="B12" s="9" t="s">
        <v>679</v>
      </c>
      <c r="C12" s="31" t="s">
        <v>235</v>
      </c>
      <c r="D12" s="9" t="str">
        <f aca="false">INDEX(Articles!$C$2:$C$148,MATCH(C12,Articles!$A$2:$A$148,0))</f>
        <v>Crayon papier (vendu à l'unité)</v>
      </c>
      <c r="E12" s="9" t="str">
        <f aca="false">INDEX(Articles!$B$2:$B$148,MATCH(C12,Articles!$A$2:$A$148,0))</f>
        <v>LPD</v>
      </c>
      <c r="F12" s="31" t="n">
        <v>1</v>
      </c>
      <c r="G12" s="13" t="n">
        <f aca="false">IF(INDEX(Articles!$G$2:$G$148,MATCH(C12,Articles!$A$2:$A$148,0))="","",INDEX(Articles!$G$2:$G$148,MATCH(C12,Articles!$A$2:$A$148,0)))</f>
        <v>75</v>
      </c>
      <c r="H12" s="13" t="n">
        <f aca="false">IF(G12="",0,F12*G12)</f>
        <v>75</v>
      </c>
      <c r="I12" s="13" t="str">
        <f aca="false">IF(INDEX(Articles!$E$2:$E$148,MATCH(C12,Articles!$A$2:$A$148,0))="","",INDEX(Articles!$E$2:$E$148,MATCH(C12,Articles!$A$2:$A$148,0)))</f>
        <v/>
      </c>
      <c r="J12" s="13" t="str">
        <f aca="false">IF(I12="","",F12*I12)</f>
        <v/>
      </c>
      <c r="K12" s="9" t="str">
        <f aca="false">INDEX(Articles!$H$2:$H$148,MATCH(C12,Articles!$A$2:$A$148,0))</f>
        <v>Fixé</v>
      </c>
      <c r="L12" s="9" t="str">
        <f aca="false">INDEX(Articles!$F$2:$F$148,MATCH(C12,Articles!$A$2:$A$148,0))</f>
        <v>Inconnu</v>
      </c>
      <c r="M12" s="17"/>
      <c r="N12" s="9" t="s">
        <v>167</v>
      </c>
    </row>
    <row r="13" customFormat="false" ht="15" hidden="false" customHeight="false" outlineLevel="0" collapsed="false">
      <c r="A13" s="9" t="s">
        <v>675</v>
      </c>
      <c r="B13" s="9" t="s">
        <v>717</v>
      </c>
      <c r="C13" s="31" t="s">
        <v>180</v>
      </c>
      <c r="D13" s="9" t="str">
        <f aca="false">INDEX(Articles!$C$2:$C$148,MATCH(C13,Articles!$A$2:$A$148,0))</f>
        <v>Gomme Staedtler Mars Plastic</v>
      </c>
      <c r="E13" s="9" t="str">
        <f aca="false">INDEX(Articles!$B$2:$B$148,MATCH(C13,Articles!$A$2:$A$148,0))</f>
        <v>LPD</v>
      </c>
      <c r="F13" s="31" t="n">
        <v>1</v>
      </c>
      <c r="G13" s="13" t="n">
        <f aca="false">IF(INDEX(Articles!$G$2:$G$148,MATCH(C13,Articles!$A$2:$A$148,0))="","",INDEX(Articles!$G$2:$G$148,MATCH(C13,Articles!$A$2:$A$148,0)))</f>
        <v>250</v>
      </c>
      <c r="H13" s="13" t="n">
        <f aca="false">IF(G13="",0,F13*G13)</f>
        <v>250</v>
      </c>
      <c r="I13" s="13" t="n">
        <f aca="false">IF(INDEX(Articles!$E$2:$E$148,MATCH(C13,Articles!$A$2:$A$148,0))="","",INDEX(Articles!$E$2:$E$148,MATCH(C13,Articles!$A$2:$A$148,0)))</f>
        <v>110</v>
      </c>
      <c r="J13" s="13" t="n">
        <f aca="false">IF(I13="","",F13*I13)</f>
        <v>110</v>
      </c>
      <c r="K13" s="9" t="str">
        <f aca="false">INDEX(Articles!$H$2:$H$148,MATCH(C13,Articles!$A$2:$A$148,0))</f>
        <v>Fixé</v>
      </c>
      <c r="L13" s="9" t="str">
        <f aca="false">INDEX(Articles!$F$2:$F$148,MATCH(C13,Articles!$A$2:$A$148,0))</f>
        <v>Estimé</v>
      </c>
      <c r="M13" s="17"/>
      <c r="N13" s="9" t="s">
        <v>167</v>
      </c>
    </row>
    <row r="14" customFormat="false" ht="15" hidden="false" customHeight="false" outlineLevel="0" collapsed="false">
      <c r="D14" s="32" t="s">
        <v>683</v>
      </c>
      <c r="E14" s="32"/>
      <c r="F14" s="32"/>
      <c r="G14" s="32"/>
      <c r="H14" s="33" t="n">
        <f aca="false">COUNTIF(G6:G13,"")</f>
        <v>0</v>
      </c>
    </row>
    <row r="15" customFormat="false" ht="15" hidden="false" customHeight="false" outlineLevel="0" collapsed="false">
      <c r="D15" s="32" t="s">
        <v>684</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685</v>
      </c>
      <c r="E17" s="32"/>
      <c r="F17" s="32"/>
      <c r="G17" s="32"/>
      <c r="H17" s="33" t="n">
        <f aca="false">COUNTIF(I6:I13,"")</f>
        <v>3</v>
      </c>
    </row>
    <row r="18" customFormat="false" ht="15" hidden="false" customHeight="false" outlineLevel="0" collapsed="false">
      <c r="D18" s="32" t="s">
        <v>686</v>
      </c>
      <c r="E18" s="32"/>
      <c r="F18" s="32"/>
      <c r="G18" s="32"/>
      <c r="H18" s="33" t="n">
        <f aca="false">SUMPRODUCT((I6:I13&lt;&gt;"")*H6:H13)-H16</f>
        <v>1340</v>
      </c>
    </row>
    <row r="19" customFormat="false" ht="15" hidden="false" customHeight="false" outlineLevel="0" collapsed="false">
      <c r="D19" s="32" t="s">
        <v>687</v>
      </c>
      <c r="E19" s="32"/>
      <c r="F19" s="32"/>
      <c r="G19" s="32"/>
      <c r="H19" s="33" t="n">
        <f aca="false">SUMIF(A6:A13,"Cahiers",F6:F13)</f>
        <v>4</v>
      </c>
    </row>
    <row r="20" customFormat="false" ht="15" hidden="false" customHeight="false" outlineLevel="0" collapsed="false">
      <c r="D20" s="32" t="s">
        <v>688</v>
      </c>
      <c r="E20" s="32"/>
      <c r="F20" s="32"/>
      <c r="G20" s="32"/>
      <c r="H20" s="34" t="n">
        <f aca="false">IF(H15=0,0,SUMIF(K6:K13,"&lt;&gt;Fixé",H6:H13)/H15)</f>
        <v>0.358208955223881</v>
      </c>
    </row>
    <row r="21" customFormat="false" ht="15" hidden="false" customHeight="false" outlineLevel="0" collapsed="false">
      <c r="D21" s="32" t="s">
        <v>689</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690</v>
      </c>
    </row>
    <row r="24" customFormat="false" ht="15" hidden="false" customHeight="false" outlineLevel="0" collapsed="false">
      <c r="A24" s="36" t="s">
        <v>691</v>
      </c>
      <c r="B24" s="36" t="s">
        <v>692</v>
      </c>
      <c r="C24" s="31" t="s">
        <v>553</v>
      </c>
      <c r="D24" s="36" t="str">
        <f aca="false">INDEX(Articles!$C$2:$C$148,MATCH(C24,Articles!$A$2:$A$148,0))</f>
        <v>Langue et communication C.M.2</v>
      </c>
      <c r="E24" s="37"/>
      <c r="F24" s="37"/>
      <c r="G24" s="38" t="n">
        <f aca="false">INDEX(Articles!$G$2:$G$148,MATCH(C24,Articles!$A$2:$A$148,0))</f>
        <v>4000</v>
      </c>
      <c r="H24" s="37"/>
      <c r="I24" s="37"/>
      <c r="J24" s="37"/>
      <c r="K24" s="37"/>
      <c r="L24" s="37"/>
      <c r="M24" s="37"/>
      <c r="N24" s="39" t="s">
        <v>271</v>
      </c>
    </row>
    <row r="25" customFormat="false" ht="15" hidden="false" customHeight="false" outlineLevel="0" collapsed="false">
      <c r="A25" s="36" t="s">
        <v>691</v>
      </c>
      <c r="B25" s="36" t="s">
        <v>693</v>
      </c>
      <c r="C25" s="31" t="s">
        <v>555</v>
      </c>
      <c r="D25" s="36" t="str">
        <f aca="false">INDEX(Articles!$C$2:$C$148,MATCH(C25,Articles!$A$2:$A$148,0))</f>
        <v>Mathématiques C.M.2</v>
      </c>
      <c r="E25" s="37"/>
      <c r="F25" s="37"/>
      <c r="G25" s="38" t="n">
        <f aca="false">INDEX(Articles!$G$2:$G$148,MATCH(C25,Articles!$A$2:$A$148,0))</f>
        <v>4000</v>
      </c>
      <c r="H25" s="37"/>
      <c r="I25" s="37"/>
      <c r="J25" s="37"/>
      <c r="K25" s="37"/>
      <c r="L25" s="37"/>
      <c r="M25" s="37"/>
      <c r="N25" s="39" t="s">
        <v>271</v>
      </c>
    </row>
    <row r="26" customFormat="false" ht="15" hidden="false" customHeight="false" outlineLevel="0" collapsed="false">
      <c r="A26" s="36" t="s">
        <v>691</v>
      </c>
      <c r="B26" s="36" t="s">
        <v>694</v>
      </c>
      <c r="C26" s="31" t="s">
        <v>557</v>
      </c>
      <c r="D26" s="36" t="str">
        <f aca="false">INDEX(Articles!$C$2:$C$148,MATCH(C26,Articles!$A$2:$A$148,0))</f>
        <v>Découverte du monde C.M.2</v>
      </c>
      <c r="E26" s="37"/>
      <c r="F26" s="37"/>
      <c r="G26" s="38" t="n">
        <f aca="false">INDEX(Articles!$G$2:$G$148,MATCH(C26,Articles!$A$2:$A$148,0))</f>
        <v>4000</v>
      </c>
      <c r="H26" s="37"/>
      <c r="I26" s="37"/>
      <c r="J26" s="37"/>
      <c r="K26" s="37"/>
      <c r="L26" s="37"/>
      <c r="M26" s="37"/>
      <c r="N26" s="39" t="s">
        <v>271</v>
      </c>
    </row>
    <row r="27" customFormat="false" ht="15" hidden="false" customHeight="false" outlineLevel="0" collapsed="false">
      <c r="D27" s="40" t="s">
        <v>695</v>
      </c>
      <c r="H27" s="33" t="n">
        <f aca="false">H15+SUM(G24:G26)</f>
        <v>17025</v>
      </c>
    </row>
    <row r="28" customFormat="false" ht="15" hidden="false" customHeight="false" outlineLevel="0" collapsed="false">
      <c r="D28" s="21" t="s">
        <v>696</v>
      </c>
      <c r="E28" s="21" t="str">
        <f aca="false">INDEX(Articles!$C$2:$C$148,MATCH("S027",Articles!$A$2:$A$148,0))</f>
        <v>Cartable rigide bleu marine</v>
      </c>
      <c r="H28" s="41" t="n">
        <f aca="false">INDEX(Articles!$G$2:$G$148,MATCH("S027",Articles!$A$2:$A$148,0))</f>
        <v>7500</v>
      </c>
    </row>
    <row r="29" customFormat="false" ht="15" hidden="false" customHeight="false" outlineLevel="0" collapsed="false">
      <c r="D29" s="42" t="s">
        <v>697</v>
      </c>
      <c r="E29" s="44" t="s">
        <v>711</v>
      </c>
    </row>
    <row r="32" customFormat="false" ht="15" hidden="false" customHeight="false" outlineLevel="0" collapsed="false">
      <c r="A32" s="28" t="s">
        <v>730</v>
      </c>
      <c r="B32" s="29"/>
      <c r="C32" s="29"/>
      <c r="D32" s="29"/>
      <c r="E32" s="29"/>
      <c r="F32" s="29"/>
      <c r="G32" s="29"/>
      <c r="H32" s="29"/>
      <c r="I32" s="29"/>
      <c r="J32" s="29"/>
      <c r="K32" s="29"/>
      <c r="L32" s="29"/>
      <c r="M32" s="29"/>
      <c r="N32" s="29"/>
    </row>
    <row r="33" customFormat="false" ht="39.55" hidden="false" customHeight="false" outlineLevel="0" collapsed="false">
      <c r="A33" s="30" t="s">
        <v>663</v>
      </c>
      <c r="B33" s="30" t="s">
        <v>664</v>
      </c>
      <c r="C33" s="30" t="s">
        <v>348</v>
      </c>
      <c r="D33" s="30" t="s">
        <v>350</v>
      </c>
      <c r="E33" s="30" t="s">
        <v>349</v>
      </c>
      <c r="F33" s="30" t="s">
        <v>665</v>
      </c>
      <c r="G33" s="30" t="s">
        <v>666</v>
      </c>
      <c r="H33" s="30" t="s">
        <v>667</v>
      </c>
      <c r="I33" s="30" t="s">
        <v>668</v>
      </c>
      <c r="J33" s="30" t="s">
        <v>669</v>
      </c>
      <c r="K33" s="30" t="s">
        <v>355</v>
      </c>
      <c r="L33" s="30" t="s">
        <v>353</v>
      </c>
      <c r="M33" s="30" t="s">
        <v>356</v>
      </c>
      <c r="N33" s="30" t="s">
        <v>670</v>
      </c>
    </row>
    <row r="34" customFormat="false" ht="15" hidden="false" customHeight="false" outlineLevel="0" collapsed="false">
      <c r="A34" s="9" t="s">
        <v>671</v>
      </c>
      <c r="B34" s="9" t="s">
        <v>708</v>
      </c>
      <c r="C34" s="31" t="s">
        <v>366</v>
      </c>
      <c r="D34" s="9" t="str">
        <f aca="false">INDEX(Articles!$C$2:$C$148,MATCH(C34,Articles!$A$2:$A$148,0))</f>
        <v>Cahier Calligraphe 140 pages 17x22 90 g seyès</v>
      </c>
      <c r="E34" s="9" t="str">
        <f aca="false">INDEX(Articles!$B$2:$B$148,MATCH(C34,Articles!$A$2:$A$148,0))</f>
        <v>Papex</v>
      </c>
      <c r="F34" s="31" t="n">
        <v>4</v>
      </c>
      <c r="G34" s="13" t="n">
        <f aca="false">IF(INDEX(Articles!$G$2:$G$148,MATCH(C34,Articles!$A$2:$A$148,0))="","",INDEX(Articles!$G$2:$G$148,MATCH(C34,Articles!$A$2:$A$148,0)))</f>
        <v>750</v>
      </c>
      <c r="H34" s="13" t="n">
        <f aca="false">IF(G34="",0,F34*G34)</f>
        <v>3000</v>
      </c>
      <c r="I34" s="13" t="n">
        <f aca="false">IF(INDEX(Articles!$E$2:$E$148,MATCH(C34,Articles!$A$2:$A$148,0))="","",INDEX(Articles!$E$2:$E$148,MATCH(C34,Articles!$A$2:$A$148,0)))</f>
        <v>650</v>
      </c>
      <c r="J34" s="13" t="n">
        <f aca="false">IF(I34="","",F34*I34)</f>
        <v>2600</v>
      </c>
      <c r="K34" s="9" t="str">
        <f aca="false">INDEX(Articles!$H$2:$H$148,MATCH(C34,Articles!$A$2:$A$148,0))</f>
        <v>Fixé</v>
      </c>
      <c r="L34" s="9" t="str">
        <f aca="false">INDEX(Articles!$F$2:$F$148,MATCH(C34,Articles!$A$2:$A$148,0))</f>
        <v>Estimé</v>
      </c>
      <c r="M34" s="17" t="s">
        <v>713</v>
      </c>
      <c r="N34" s="9" t="s">
        <v>167</v>
      </c>
    </row>
    <row r="35" customFormat="false" ht="15" hidden="false" customHeight="false" outlineLevel="0" collapsed="false">
      <c r="A35" s="9" t="s">
        <v>676</v>
      </c>
      <c r="B35" s="9" t="s">
        <v>709</v>
      </c>
      <c r="C35" s="31" t="s">
        <v>215</v>
      </c>
      <c r="D35" s="9" t="str">
        <f aca="false">INDEX(Articles!$C$2:$C$148,MATCH(C35,Articles!$A$2:$A$148,0))</f>
        <v>Kit géométrie Maped 30 cm (réf. 1930)</v>
      </c>
      <c r="E35" s="9" t="str">
        <f aca="false">INDEX(Articles!$B$2:$B$148,MATCH(C35,Articles!$A$2:$A$148,0))</f>
        <v>LPD</v>
      </c>
      <c r="F35" s="31" t="n">
        <v>1</v>
      </c>
      <c r="G35" s="13" t="n">
        <f aca="false">IF(INDEX(Articles!$G$2:$G$148,MATCH(C35,Articles!$A$2:$A$148,0))="","",INDEX(Articles!$G$2:$G$148,MATCH(C35,Articles!$A$2:$A$148,0)))</f>
        <v>1800</v>
      </c>
      <c r="H35" s="13" t="n">
        <f aca="false">IF(G35="",0,F35*G35)</f>
        <v>1800</v>
      </c>
      <c r="I35" s="13" t="n">
        <f aca="false">IF(INDEX(Articles!$E$2:$E$148,MATCH(C35,Articles!$A$2:$A$148,0))="","",INDEX(Articles!$E$2:$E$148,MATCH(C35,Articles!$A$2:$A$148,0)))</f>
        <v>1500</v>
      </c>
      <c r="J35" s="13" t="n">
        <f aca="false">IF(I35="","",F35*I35)</f>
        <v>1500</v>
      </c>
      <c r="K35" s="9" t="str">
        <f aca="false">INDEX(Articles!$H$2:$H$148,MATCH(C35,Articles!$A$2:$A$148,0))</f>
        <v>À trancher</v>
      </c>
      <c r="L35" s="9" t="str">
        <f aca="false">INDEX(Articles!$F$2:$F$148,MATCH(C35,Articles!$A$2:$A$148,0))</f>
        <v>Confirmé</v>
      </c>
      <c r="M35" s="17"/>
      <c r="N35" s="9" t="s">
        <v>167</v>
      </c>
    </row>
    <row r="36" customFormat="false" ht="15" hidden="false" customHeight="false" outlineLevel="0" collapsed="false">
      <c r="A36" s="9" t="s">
        <v>674</v>
      </c>
      <c r="B36" s="9" t="s">
        <v>674</v>
      </c>
      <c r="C36" s="31" t="s">
        <v>162</v>
      </c>
      <c r="D36" s="9" t="str">
        <f aca="false">INDEX(Articles!$C$2:$C$148,MATCH(C36,Articles!$A$2:$A$148,0))</f>
        <v>Ardoise quadrillée avec poignée</v>
      </c>
      <c r="E36" s="9" t="str">
        <f aca="false">INDEX(Articles!$B$2:$B$148,MATCH(C36,Articles!$A$2:$A$148,0))</f>
        <v>Cissé &amp; Frères</v>
      </c>
      <c r="F36" s="31" t="n">
        <v>1</v>
      </c>
      <c r="G36" s="13" t="n">
        <f aca="false">IF(INDEX(Articles!$G$2:$G$148,MATCH(C36,Articles!$A$2:$A$148,0))="","",INDEX(Articles!$G$2:$G$148,MATCH(C36,Articles!$A$2:$A$148,0)))</f>
        <v>2500</v>
      </c>
      <c r="H36" s="13" t="n">
        <f aca="false">IF(G36="",0,F36*G36)</f>
        <v>2500</v>
      </c>
      <c r="I36" s="13" t="n">
        <f aca="false">IF(INDEX(Articles!$E$2:$E$148,MATCH(C36,Articles!$A$2:$A$148,0))="","",INDEX(Articles!$E$2:$E$148,MATCH(C36,Articles!$A$2:$A$148,0)))</f>
        <v>1500</v>
      </c>
      <c r="J36" s="13" t="n">
        <f aca="false">IF(I36="","",F36*I36)</f>
        <v>1500</v>
      </c>
      <c r="K36" s="9" t="str">
        <f aca="false">INDEX(Articles!$H$2:$H$148,MATCH(C36,Articles!$A$2:$A$148,0))</f>
        <v>Fixé</v>
      </c>
      <c r="L36" s="9" t="str">
        <f aca="false">INDEX(Articles!$F$2:$F$148,MATCH(C36,Articles!$A$2:$A$148,0))</f>
        <v>Confirmé</v>
      </c>
      <c r="M36" s="17"/>
      <c r="N36" s="9" t="s">
        <v>167</v>
      </c>
    </row>
    <row r="37" customFormat="false" ht="15" hidden="false" customHeight="false" outlineLevel="0" collapsed="false">
      <c r="A37" s="9" t="s">
        <v>681</v>
      </c>
      <c r="B37" s="9" t="s">
        <v>682</v>
      </c>
      <c r="C37" s="31" t="s">
        <v>218</v>
      </c>
      <c r="D37" s="9" t="str">
        <f aca="false">INDEX(Articles!$C$2:$C$148,MATCH(C37,Articles!$A$2:$A$148,0))</f>
        <v>Crayons de couleur Maped Nightfall, boîte de 24</v>
      </c>
      <c r="E37" s="9" t="str">
        <f aca="false">INDEX(Articles!$B$2:$B$148,MATCH(C37,Articles!$A$2:$A$148,0))</f>
        <v>Papex</v>
      </c>
      <c r="F37" s="31" t="n">
        <v>1</v>
      </c>
      <c r="G37" s="13" t="n">
        <f aca="false">IF(INDEX(Articles!$G$2:$G$148,MATCH(C37,Articles!$A$2:$A$148,0))="","",INDEX(Articles!$G$2:$G$148,MATCH(C37,Articles!$A$2:$A$148,0)))</f>
        <v>1600</v>
      </c>
      <c r="H37" s="13" t="n">
        <f aca="false">IF(G37="",0,F37*G37)</f>
        <v>1600</v>
      </c>
      <c r="I37" s="13" t="n">
        <f aca="false">IF(INDEX(Articles!$E$2:$E$148,MATCH(C37,Articles!$A$2:$A$148,0))="","",INDEX(Articles!$E$2:$E$148,MATCH(C37,Articles!$A$2:$A$148,0)))</f>
        <v>1300</v>
      </c>
      <c r="J37" s="13" t="n">
        <f aca="false">IF(I37="","",F37*I37)</f>
        <v>1300</v>
      </c>
      <c r="K37" s="9" t="str">
        <f aca="false">INDEX(Articles!$H$2:$H$148,MATCH(C37,Articles!$A$2:$A$148,0))</f>
        <v>Estimé</v>
      </c>
      <c r="L37" s="9" t="str">
        <f aca="false">INDEX(Articles!$F$2:$F$148,MATCH(C37,Articles!$A$2:$A$148,0))</f>
        <v>Estimé</v>
      </c>
      <c r="M37" s="17"/>
      <c r="N37" s="9" t="s">
        <v>167</v>
      </c>
    </row>
    <row r="38" customFormat="false" ht="15" hidden="false" customHeight="false" outlineLevel="0" collapsed="false">
      <c r="A38" s="9" t="s">
        <v>678</v>
      </c>
      <c r="B38" s="9" t="s">
        <v>680</v>
      </c>
      <c r="C38" s="31" t="s">
        <v>220</v>
      </c>
      <c r="D38" s="9" t="str">
        <f aca="false">INDEX(Articles!$C$2:$C$148,MATCH(C38,Articles!$A$2:$A$148,0))</f>
        <v>Stylo à bille Schneider Tops 505 M bleu</v>
      </c>
      <c r="E38" s="9" t="str">
        <f aca="false">INDEX(Articles!$B$2:$B$148,MATCH(C38,Articles!$A$2:$A$148,0))</f>
        <v>Papex</v>
      </c>
      <c r="F38" s="31" t="n">
        <v>1</v>
      </c>
      <c r="G38" s="13" t="n">
        <f aca="false">IF(INDEX(Articles!$G$2:$G$148,MATCH(C38,Articles!$A$2:$A$148,0))="","",INDEX(Articles!$G$2:$G$148,MATCH(C38,Articles!$A$2:$A$148,0)))</f>
        <v>100</v>
      </c>
      <c r="H38" s="13" t="n">
        <f aca="false">IF(G38="",0,F38*G38)</f>
        <v>100</v>
      </c>
      <c r="I38" s="13" t="str">
        <f aca="false">IF(INDEX(Articles!$E$2:$E$148,MATCH(C38,Articles!$A$2:$A$148,0))="","",INDEX(Articles!$E$2:$E$148,MATCH(C38,Articles!$A$2:$A$148,0)))</f>
        <v/>
      </c>
      <c r="J38" s="13" t="str">
        <f aca="false">IF(I38="","",F38*I38)</f>
        <v/>
      </c>
      <c r="K38" s="9" t="str">
        <f aca="false">INDEX(Articles!$H$2:$H$148,MATCH(C38,Articles!$A$2:$A$148,0))</f>
        <v>Fixé</v>
      </c>
      <c r="L38" s="9" t="str">
        <f aca="false">INDEX(Articles!$F$2:$F$148,MATCH(C38,Articles!$A$2:$A$148,0))</f>
        <v>Inconnu</v>
      </c>
      <c r="M38" s="17"/>
      <c r="N38" s="9" t="s">
        <v>167</v>
      </c>
    </row>
    <row r="39" customFormat="false" ht="15" hidden="false" customHeight="false" outlineLevel="0" collapsed="false">
      <c r="A39" s="9" t="s">
        <v>678</v>
      </c>
      <c r="B39" s="9" t="s">
        <v>710</v>
      </c>
      <c r="C39" s="31" t="s">
        <v>429</v>
      </c>
      <c r="D39" s="9" t="str">
        <f aca="false">INDEX(Articles!$C$2:$C$148,MATCH(C39,Articles!$A$2:$A$148,0))</f>
        <v>Stylo à bille Schneider Tops 505 M vert</v>
      </c>
      <c r="E39" s="9" t="str">
        <f aca="false">INDEX(Articles!$B$2:$B$148,MATCH(C39,Articles!$A$2:$A$148,0))</f>
        <v>Papex</v>
      </c>
      <c r="F39" s="31" t="n">
        <v>1</v>
      </c>
      <c r="G39" s="13" t="n">
        <f aca="false">IF(INDEX(Articles!$G$2:$G$148,MATCH(C39,Articles!$A$2:$A$148,0))="","",INDEX(Articles!$G$2:$G$148,MATCH(C39,Articles!$A$2:$A$148,0)))</f>
        <v>100</v>
      </c>
      <c r="H39" s="13" t="n">
        <f aca="false">IF(G39="",0,F39*G39)</f>
        <v>100</v>
      </c>
      <c r="I39" s="13" t="str">
        <f aca="false">IF(INDEX(Articles!$E$2:$E$148,MATCH(C39,Articles!$A$2:$A$148,0))="","",INDEX(Articles!$E$2:$E$148,MATCH(C39,Articles!$A$2:$A$148,0)))</f>
        <v/>
      </c>
      <c r="J39" s="13" t="str">
        <f aca="false">IF(I39="","",F39*I39)</f>
        <v/>
      </c>
      <c r="K39" s="9" t="str">
        <f aca="false">INDEX(Articles!$H$2:$H$148,MATCH(C39,Articles!$A$2:$A$148,0))</f>
        <v>Fixé</v>
      </c>
      <c r="L39" s="9" t="str">
        <f aca="false">INDEX(Articles!$F$2:$F$148,MATCH(C39,Articles!$A$2:$A$148,0))</f>
        <v>Inconnu</v>
      </c>
      <c r="M39" s="17"/>
      <c r="N39" s="9" t="s">
        <v>167</v>
      </c>
    </row>
    <row r="40" customFormat="false" ht="15" hidden="false" customHeight="false" outlineLevel="0" collapsed="false">
      <c r="A40" s="9" t="s">
        <v>678</v>
      </c>
      <c r="B40" s="9" t="s">
        <v>679</v>
      </c>
      <c r="C40" s="31" t="s">
        <v>235</v>
      </c>
      <c r="D40" s="9" t="str">
        <f aca="false">INDEX(Articles!$C$2:$C$148,MATCH(C40,Articles!$A$2:$A$148,0))</f>
        <v>Crayon papier (vendu à l'unité)</v>
      </c>
      <c r="E40" s="9" t="str">
        <f aca="false">INDEX(Articles!$B$2:$B$148,MATCH(C40,Articles!$A$2:$A$148,0))</f>
        <v>LPD</v>
      </c>
      <c r="F40" s="31" t="n">
        <v>1</v>
      </c>
      <c r="G40" s="13" t="n">
        <f aca="false">IF(INDEX(Articles!$G$2:$G$148,MATCH(C40,Articles!$A$2:$A$148,0))="","",INDEX(Articles!$G$2:$G$148,MATCH(C40,Articles!$A$2:$A$148,0)))</f>
        <v>75</v>
      </c>
      <c r="H40" s="13" t="n">
        <f aca="false">IF(G40="",0,F40*G40)</f>
        <v>75</v>
      </c>
      <c r="I40" s="13" t="str">
        <f aca="false">IF(INDEX(Articles!$E$2:$E$148,MATCH(C40,Articles!$A$2:$A$148,0))="","",INDEX(Articles!$E$2:$E$148,MATCH(C40,Articles!$A$2:$A$148,0)))</f>
        <v/>
      </c>
      <c r="J40" s="13" t="str">
        <f aca="false">IF(I40="","",F40*I40)</f>
        <v/>
      </c>
      <c r="K40" s="9" t="str">
        <f aca="false">INDEX(Articles!$H$2:$H$148,MATCH(C40,Articles!$A$2:$A$148,0))</f>
        <v>Fixé</v>
      </c>
      <c r="L40" s="9" t="str">
        <f aca="false">INDEX(Articles!$F$2:$F$148,MATCH(C40,Articles!$A$2:$A$148,0))</f>
        <v>Inconnu</v>
      </c>
      <c r="M40" s="17"/>
      <c r="N40" s="9" t="s">
        <v>167</v>
      </c>
    </row>
    <row r="41" customFormat="false" ht="15" hidden="false" customHeight="false" outlineLevel="0" collapsed="false">
      <c r="A41" s="9" t="s">
        <v>675</v>
      </c>
      <c r="B41" s="9" t="s">
        <v>717</v>
      </c>
      <c r="C41" s="31" t="s">
        <v>180</v>
      </c>
      <c r="D41" s="9" t="str">
        <f aca="false">INDEX(Articles!$C$2:$C$148,MATCH(C41,Articles!$A$2:$A$148,0))</f>
        <v>Gomme Staedtler Mars Plastic</v>
      </c>
      <c r="E41" s="9" t="str">
        <f aca="false">INDEX(Articles!$B$2:$B$148,MATCH(C41,Articles!$A$2:$A$148,0))</f>
        <v>LPD</v>
      </c>
      <c r="F41" s="31" t="n">
        <v>1</v>
      </c>
      <c r="G41" s="13" t="n">
        <f aca="false">IF(INDEX(Articles!$G$2:$G$148,MATCH(C41,Articles!$A$2:$A$148,0))="","",INDEX(Articles!$G$2:$G$148,MATCH(C41,Articles!$A$2:$A$148,0)))</f>
        <v>250</v>
      </c>
      <c r="H41" s="13" t="n">
        <f aca="false">IF(G41="",0,F41*G41)</f>
        <v>250</v>
      </c>
      <c r="I41" s="13" t="n">
        <f aca="false">IF(INDEX(Articles!$E$2:$E$148,MATCH(C41,Articles!$A$2:$A$148,0))="","",INDEX(Articles!$E$2:$E$148,MATCH(C41,Articles!$A$2:$A$148,0)))</f>
        <v>110</v>
      </c>
      <c r="J41" s="13" t="n">
        <f aca="false">IF(I41="","",F41*I41)</f>
        <v>110</v>
      </c>
      <c r="K41" s="9" t="str">
        <f aca="false">INDEX(Articles!$H$2:$H$148,MATCH(C41,Articles!$A$2:$A$148,0))</f>
        <v>Fixé</v>
      </c>
      <c r="L41" s="9" t="str">
        <f aca="false">INDEX(Articles!$F$2:$F$148,MATCH(C41,Articles!$A$2:$A$148,0))</f>
        <v>Estimé</v>
      </c>
      <c r="M41" s="17"/>
      <c r="N41" s="9" t="s">
        <v>167</v>
      </c>
    </row>
    <row r="42" customFormat="false" ht="26.85" hidden="false" customHeight="false" outlineLevel="0" collapsed="false">
      <c r="A42" s="9" t="s">
        <v>691</v>
      </c>
      <c r="B42" s="9" t="s">
        <v>692</v>
      </c>
      <c r="C42" s="31" t="s">
        <v>553</v>
      </c>
      <c r="D42" s="9" t="str">
        <f aca="false">INDEX(Articles!$C$2:$C$148,MATCH(C42,Articles!$A$2:$A$148,0))</f>
        <v>Langue et communication C.M.2</v>
      </c>
      <c r="E42" s="9" t="str">
        <f aca="false">INDEX(Articles!$B$2:$B$148,MATCH(C42,Articles!$A$2:$A$148,0))</f>
        <v>LPD</v>
      </c>
      <c r="F42" s="31" t="n">
        <v>1</v>
      </c>
      <c r="G42" s="13" t="n">
        <f aca="false">IF(INDEX(Articles!$G$2:$G$148,MATCH(C42,Articles!$A$2:$A$148,0))="","",INDEX(Articles!$G$2:$G$148,MATCH(C42,Articles!$A$2:$A$148,0)))</f>
        <v>4000</v>
      </c>
      <c r="H42" s="13" t="n">
        <f aca="false">IF(G42="",0,F42*G42)</f>
        <v>4000</v>
      </c>
      <c r="I42" s="13" t="n">
        <f aca="false">IF(INDEX(Articles!$E$2:$E$148,MATCH(C42,Articles!$A$2:$A$148,0))="","",INDEX(Articles!$E$2:$E$148,MATCH(C42,Articles!$A$2:$A$148,0)))</f>
        <v>3000</v>
      </c>
      <c r="J42" s="13" t="n">
        <f aca="false">IF(I42="","",F42*I42)</f>
        <v>3000</v>
      </c>
      <c r="K42" s="9" t="str">
        <f aca="false">INDEX(Articles!$H$2:$H$148,MATCH(C42,Articles!$A$2:$A$148,0))</f>
        <v>Fixé</v>
      </c>
      <c r="L42" s="9" t="str">
        <f aca="false">INDEX(Articles!$F$2:$F$148,MATCH(C42,Articles!$A$2:$A$148,0))</f>
        <v>Estimé</v>
      </c>
      <c r="M42" s="17" t="s">
        <v>701</v>
      </c>
      <c r="N42" s="9" t="s">
        <v>167</v>
      </c>
    </row>
    <row r="43" customFormat="false" ht="26.85" hidden="false" customHeight="false" outlineLevel="0" collapsed="false">
      <c r="A43" s="9" t="s">
        <v>691</v>
      </c>
      <c r="B43" s="9" t="s">
        <v>693</v>
      </c>
      <c r="C43" s="31" t="s">
        <v>555</v>
      </c>
      <c r="D43" s="9" t="str">
        <f aca="false">INDEX(Articles!$C$2:$C$148,MATCH(C43,Articles!$A$2:$A$148,0))</f>
        <v>Mathématiques C.M.2</v>
      </c>
      <c r="E43" s="9" t="str">
        <f aca="false">INDEX(Articles!$B$2:$B$148,MATCH(C43,Articles!$A$2:$A$148,0))</f>
        <v>LPD</v>
      </c>
      <c r="F43" s="31" t="n">
        <v>1</v>
      </c>
      <c r="G43" s="13" t="n">
        <f aca="false">IF(INDEX(Articles!$G$2:$G$148,MATCH(C43,Articles!$A$2:$A$148,0))="","",INDEX(Articles!$G$2:$G$148,MATCH(C43,Articles!$A$2:$A$148,0)))</f>
        <v>4000</v>
      </c>
      <c r="H43" s="13" t="n">
        <f aca="false">IF(G43="",0,F43*G43)</f>
        <v>4000</v>
      </c>
      <c r="I43" s="13" t="n">
        <f aca="false">IF(INDEX(Articles!$E$2:$E$148,MATCH(C43,Articles!$A$2:$A$148,0))="","",INDEX(Articles!$E$2:$E$148,MATCH(C43,Articles!$A$2:$A$148,0)))</f>
        <v>3000</v>
      </c>
      <c r="J43" s="13" t="n">
        <f aca="false">IF(I43="","",F43*I43)</f>
        <v>3000</v>
      </c>
      <c r="K43" s="9" t="str">
        <f aca="false">INDEX(Articles!$H$2:$H$148,MATCH(C43,Articles!$A$2:$A$148,0))</f>
        <v>Fixé</v>
      </c>
      <c r="L43" s="9" t="str">
        <f aca="false">INDEX(Articles!$F$2:$F$148,MATCH(C43,Articles!$A$2:$A$148,0))</f>
        <v>Estimé</v>
      </c>
      <c r="M43" s="17" t="s">
        <v>701</v>
      </c>
      <c r="N43" s="9" t="s">
        <v>167</v>
      </c>
    </row>
    <row r="44" customFormat="false" ht="26.85" hidden="false" customHeight="false" outlineLevel="0" collapsed="false">
      <c r="A44" s="9" t="s">
        <v>691</v>
      </c>
      <c r="B44" s="9" t="s">
        <v>694</v>
      </c>
      <c r="C44" s="31" t="s">
        <v>557</v>
      </c>
      <c r="D44" s="9" t="str">
        <f aca="false">INDEX(Articles!$C$2:$C$148,MATCH(C44,Articles!$A$2:$A$148,0))</f>
        <v>Découverte du monde C.M.2</v>
      </c>
      <c r="E44" s="9" t="str">
        <f aca="false">INDEX(Articles!$B$2:$B$148,MATCH(C44,Articles!$A$2:$A$148,0))</f>
        <v>LPD</v>
      </c>
      <c r="F44" s="31" t="n">
        <v>1</v>
      </c>
      <c r="G44" s="13" t="n">
        <f aca="false">IF(INDEX(Articles!$G$2:$G$148,MATCH(C44,Articles!$A$2:$A$148,0))="","",INDEX(Articles!$G$2:$G$148,MATCH(C44,Articles!$A$2:$A$148,0)))</f>
        <v>4000</v>
      </c>
      <c r="H44" s="13" t="n">
        <f aca="false">IF(G44="",0,F44*G44)</f>
        <v>4000</v>
      </c>
      <c r="I44" s="13" t="n">
        <f aca="false">IF(INDEX(Articles!$E$2:$E$148,MATCH(C44,Articles!$A$2:$A$148,0))="","",INDEX(Articles!$E$2:$E$148,MATCH(C44,Articles!$A$2:$A$148,0)))</f>
        <v>3000</v>
      </c>
      <c r="J44" s="13" t="n">
        <f aca="false">IF(I44="","",F44*I44)</f>
        <v>3000</v>
      </c>
      <c r="K44" s="9" t="str">
        <f aca="false">INDEX(Articles!$H$2:$H$148,MATCH(C44,Articles!$A$2:$A$148,0))</f>
        <v>Fixé</v>
      </c>
      <c r="L44" s="9" t="str">
        <f aca="false">INDEX(Articles!$F$2:$F$148,MATCH(C44,Articles!$A$2:$A$148,0))</f>
        <v>Estimé</v>
      </c>
      <c r="M44" s="17" t="s">
        <v>701</v>
      </c>
      <c r="N44" s="9" t="s">
        <v>167</v>
      </c>
    </row>
    <row r="45" customFormat="false" ht="15" hidden="false" customHeight="false" outlineLevel="0" collapsed="false">
      <c r="D45" s="32" t="s">
        <v>683</v>
      </c>
      <c r="E45" s="32"/>
      <c r="F45" s="32"/>
      <c r="G45" s="32"/>
      <c r="H45" s="33" t="n">
        <f aca="false">COUNTIF(G34:G44,"")</f>
        <v>0</v>
      </c>
    </row>
    <row r="46" customFormat="false" ht="15" hidden="false" customHeight="false" outlineLevel="0" collapsed="false">
      <c r="D46" s="32" t="s">
        <v>684</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685</v>
      </c>
      <c r="E48" s="32"/>
      <c r="F48" s="32"/>
      <c r="G48" s="32"/>
      <c r="H48" s="33" t="n">
        <f aca="false">COUNTIF(I34:I44,"")</f>
        <v>3</v>
      </c>
    </row>
    <row r="49" customFormat="false" ht="15" hidden="false" customHeight="false" outlineLevel="0" collapsed="false">
      <c r="D49" s="32" t="s">
        <v>686</v>
      </c>
      <c r="E49" s="32"/>
      <c r="F49" s="32"/>
      <c r="G49" s="32"/>
      <c r="H49" s="33" t="n">
        <f aca="false">SUMPRODUCT((I34:I44&lt;&gt;"")*H34:H44)-H47</f>
        <v>5140</v>
      </c>
    </row>
    <row r="50" customFormat="false" ht="15" hidden="false" customHeight="false" outlineLevel="0" collapsed="false">
      <c r="D50" s="32" t="s">
        <v>687</v>
      </c>
      <c r="E50" s="32"/>
      <c r="F50" s="32"/>
      <c r="G50" s="32"/>
      <c r="H50" s="33" t="n">
        <f aca="false">SUMIF(A34:A44,"Cahiers",F34:F44)</f>
        <v>4</v>
      </c>
    </row>
    <row r="51" customFormat="false" ht="15" hidden="false" customHeight="false" outlineLevel="0" collapsed="false">
      <c r="D51" s="32" t="s">
        <v>688</v>
      </c>
      <c r="E51" s="32"/>
      <c r="F51" s="32"/>
      <c r="G51" s="32"/>
      <c r="H51" s="34" t="n">
        <f aca="false">IF(H46=0,0,SUMIF(K34:K44,"&lt;&gt;Fixé",H34:H44)/H46)</f>
        <v>0.158693115519253</v>
      </c>
    </row>
    <row r="52" customFormat="false" ht="15" hidden="false" customHeight="false" outlineLevel="0" collapsed="false">
      <c r="D52" s="32" t="s">
        <v>689</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696</v>
      </c>
      <c r="E53" s="21" t="str">
        <f aca="false">INDEX(Articles!$C$2:$C$148,MATCH("S027",Articles!$A$2:$A$148,0))</f>
        <v>Cartable rigide bleu marine</v>
      </c>
      <c r="H53" s="41" t="n">
        <f aca="false">INDEX(Articles!$G$2:$G$148,MATCH("S027",Articles!$A$2:$A$148,0))</f>
        <v>7500</v>
      </c>
    </row>
    <row r="54" customFormat="false" ht="15" hidden="false" customHeight="false" outlineLevel="0" collapsed="false">
      <c r="D54" s="42" t="s">
        <v>697</v>
      </c>
      <c r="E54" s="44" t="s">
        <v>711</v>
      </c>
    </row>
    <row r="57" customFormat="false" ht="15" hidden="false" customHeight="false" outlineLevel="0" collapsed="false">
      <c r="A57" s="28" t="s">
        <v>731</v>
      </c>
      <c r="B57" s="29"/>
      <c r="C57" s="29"/>
      <c r="D57" s="29"/>
      <c r="E57" s="29"/>
      <c r="F57" s="29"/>
      <c r="G57" s="29"/>
      <c r="H57" s="29"/>
      <c r="I57" s="29"/>
      <c r="J57" s="29"/>
      <c r="K57" s="29"/>
      <c r="L57" s="29"/>
      <c r="M57" s="29"/>
      <c r="N57" s="29"/>
    </row>
    <row r="58" customFormat="false" ht="39.55" hidden="false" customHeight="false" outlineLevel="0" collapsed="false">
      <c r="A58" s="30" t="s">
        <v>663</v>
      </c>
      <c r="B58" s="30" t="s">
        <v>664</v>
      </c>
      <c r="C58" s="30" t="s">
        <v>348</v>
      </c>
      <c r="D58" s="30" t="s">
        <v>350</v>
      </c>
      <c r="E58" s="30" t="s">
        <v>349</v>
      </c>
      <c r="F58" s="30" t="s">
        <v>665</v>
      </c>
      <c r="G58" s="30" t="s">
        <v>666</v>
      </c>
      <c r="H58" s="30" t="s">
        <v>667</v>
      </c>
      <c r="I58" s="30" t="s">
        <v>668</v>
      </c>
      <c r="J58" s="30" t="s">
        <v>669</v>
      </c>
      <c r="K58" s="30" t="s">
        <v>355</v>
      </c>
      <c r="L58" s="30" t="s">
        <v>353</v>
      </c>
      <c r="M58" s="30" t="s">
        <v>356</v>
      </c>
      <c r="N58" s="30" t="s">
        <v>670</v>
      </c>
    </row>
    <row r="59" customFormat="false" ht="15" hidden="false" customHeight="false" outlineLevel="0" collapsed="false">
      <c r="A59" s="9" t="s">
        <v>671</v>
      </c>
      <c r="B59" s="9" t="s">
        <v>708</v>
      </c>
      <c r="C59" s="31" t="s">
        <v>366</v>
      </c>
      <c r="D59" s="9" t="str">
        <f aca="false">INDEX(Articles!$C$2:$C$148,MATCH(C59,Articles!$A$2:$A$148,0))</f>
        <v>Cahier Calligraphe 140 pages 17x22 90 g seyès</v>
      </c>
      <c r="E59" s="9" t="str">
        <f aca="false">INDEX(Articles!$B$2:$B$148,MATCH(C59,Articles!$A$2:$A$148,0))</f>
        <v>Papex</v>
      </c>
      <c r="F59" s="31" t="n">
        <v>4</v>
      </c>
      <c r="G59" s="13" t="n">
        <f aca="false">IF(INDEX(Articles!$G$2:$G$148,MATCH(C59,Articles!$A$2:$A$148,0))="","",INDEX(Articles!$G$2:$G$148,MATCH(C59,Articles!$A$2:$A$148,0)))</f>
        <v>750</v>
      </c>
      <c r="H59" s="13" t="n">
        <f aca="false">IF(G59="",0,F59*G59)</f>
        <v>3000</v>
      </c>
      <c r="I59" s="13" t="n">
        <f aca="false">IF(INDEX(Articles!$E$2:$E$148,MATCH(C59,Articles!$A$2:$A$148,0))="","",INDEX(Articles!$E$2:$E$148,MATCH(C59,Articles!$A$2:$A$148,0)))</f>
        <v>650</v>
      </c>
      <c r="J59" s="13" t="n">
        <f aca="false">IF(I59="","",F59*I59)</f>
        <v>2600</v>
      </c>
      <c r="K59" s="9" t="str">
        <f aca="false">INDEX(Articles!$H$2:$H$148,MATCH(C59,Articles!$A$2:$A$148,0))</f>
        <v>Fixé</v>
      </c>
      <c r="L59" s="9" t="str">
        <f aca="false">INDEX(Articles!$F$2:$F$148,MATCH(C59,Articles!$A$2:$A$148,0))</f>
        <v>Estimé</v>
      </c>
      <c r="M59" s="17" t="s">
        <v>713</v>
      </c>
      <c r="N59" s="9" t="s">
        <v>167</v>
      </c>
    </row>
    <row r="60" customFormat="false" ht="15" hidden="false" customHeight="false" outlineLevel="0" collapsed="false">
      <c r="A60" s="9" t="s">
        <v>676</v>
      </c>
      <c r="B60" s="9" t="s">
        <v>709</v>
      </c>
      <c r="C60" s="31" t="s">
        <v>215</v>
      </c>
      <c r="D60" s="9" t="str">
        <f aca="false">INDEX(Articles!$C$2:$C$148,MATCH(C60,Articles!$A$2:$A$148,0))</f>
        <v>Kit géométrie Maped 30 cm (réf. 1930)</v>
      </c>
      <c r="E60" s="9" t="str">
        <f aca="false">INDEX(Articles!$B$2:$B$148,MATCH(C60,Articles!$A$2:$A$148,0))</f>
        <v>LPD</v>
      </c>
      <c r="F60" s="31" t="n">
        <v>1</v>
      </c>
      <c r="G60" s="13" t="n">
        <f aca="false">IF(INDEX(Articles!$G$2:$G$148,MATCH(C60,Articles!$A$2:$A$148,0))="","",INDEX(Articles!$G$2:$G$148,MATCH(C60,Articles!$A$2:$A$148,0)))</f>
        <v>1800</v>
      </c>
      <c r="H60" s="13" t="n">
        <f aca="false">IF(G60="",0,F60*G60)</f>
        <v>1800</v>
      </c>
      <c r="I60" s="13" t="n">
        <f aca="false">IF(INDEX(Articles!$E$2:$E$148,MATCH(C60,Articles!$A$2:$A$148,0))="","",INDEX(Articles!$E$2:$E$148,MATCH(C60,Articles!$A$2:$A$148,0)))</f>
        <v>1500</v>
      </c>
      <c r="J60" s="13" t="n">
        <f aca="false">IF(I60="","",F60*I60)</f>
        <v>1500</v>
      </c>
      <c r="K60" s="9" t="str">
        <f aca="false">INDEX(Articles!$H$2:$H$148,MATCH(C60,Articles!$A$2:$A$148,0))</f>
        <v>À trancher</v>
      </c>
      <c r="L60" s="9" t="str">
        <f aca="false">INDEX(Articles!$F$2:$F$148,MATCH(C60,Articles!$A$2:$A$148,0))</f>
        <v>Confirmé</v>
      </c>
      <c r="M60" s="17"/>
      <c r="N60" s="9" t="s">
        <v>167</v>
      </c>
    </row>
    <row r="61" customFormat="false" ht="15" hidden="false" customHeight="false" outlineLevel="0" collapsed="false">
      <c r="A61" s="9" t="s">
        <v>674</v>
      </c>
      <c r="B61" s="9" t="s">
        <v>674</v>
      </c>
      <c r="C61" s="31" t="s">
        <v>162</v>
      </c>
      <c r="D61" s="9" t="str">
        <f aca="false">INDEX(Articles!$C$2:$C$148,MATCH(C61,Articles!$A$2:$A$148,0))</f>
        <v>Ardoise quadrillée avec poignée</v>
      </c>
      <c r="E61" s="9" t="str">
        <f aca="false">INDEX(Articles!$B$2:$B$148,MATCH(C61,Articles!$A$2:$A$148,0))</f>
        <v>Cissé &amp; Frères</v>
      </c>
      <c r="F61" s="31" t="n">
        <v>1</v>
      </c>
      <c r="G61" s="13" t="n">
        <f aca="false">IF(INDEX(Articles!$G$2:$G$148,MATCH(C61,Articles!$A$2:$A$148,0))="","",INDEX(Articles!$G$2:$G$148,MATCH(C61,Articles!$A$2:$A$148,0)))</f>
        <v>2500</v>
      </c>
      <c r="H61" s="13" t="n">
        <f aca="false">IF(G61="",0,F61*G61)</f>
        <v>2500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681</v>
      </c>
      <c r="B62" s="9" t="s">
        <v>682</v>
      </c>
      <c r="C62" s="31" t="s">
        <v>218</v>
      </c>
      <c r="D62" s="9" t="str">
        <f aca="false">INDEX(Articles!$C$2:$C$148,MATCH(C62,Articles!$A$2:$A$148,0))</f>
        <v>Crayons de couleur Maped Nightfall, boîte de 24</v>
      </c>
      <c r="E62" s="9" t="str">
        <f aca="false">INDEX(Articles!$B$2:$B$148,MATCH(C62,Articles!$A$2:$A$148,0))</f>
        <v>Papex</v>
      </c>
      <c r="F62" s="31" t="n">
        <v>1</v>
      </c>
      <c r="G62" s="13" t="n">
        <f aca="false">IF(INDEX(Articles!$G$2:$G$148,MATCH(C62,Articles!$A$2:$A$148,0))="","",INDEX(Articles!$G$2:$G$148,MATCH(C62,Articles!$A$2:$A$148,0)))</f>
        <v>1600</v>
      </c>
      <c r="H62" s="13" t="n">
        <f aca="false">IF(G62="",0,F62*G62)</f>
        <v>1600</v>
      </c>
      <c r="I62" s="13" t="n">
        <f aca="false">IF(INDEX(Articles!$E$2:$E$148,MATCH(C62,Articles!$A$2:$A$148,0))="","",INDEX(Articles!$E$2:$E$148,MATCH(C62,Articles!$A$2:$A$148,0)))</f>
        <v>1300</v>
      </c>
      <c r="J62" s="13" t="n">
        <f aca="false">IF(I62="","",F62*I62)</f>
        <v>1300</v>
      </c>
      <c r="K62" s="9" t="str">
        <f aca="false">INDEX(Articles!$H$2:$H$148,MATCH(C62,Articles!$A$2:$A$148,0))</f>
        <v>Estimé</v>
      </c>
      <c r="L62" s="9" t="str">
        <f aca="false">INDEX(Articles!$F$2:$F$148,MATCH(C62,Articles!$A$2:$A$148,0))</f>
        <v>Estimé</v>
      </c>
      <c r="M62" s="17"/>
      <c r="N62" s="9" t="s">
        <v>167</v>
      </c>
    </row>
    <row r="63" customFormat="false" ht="15" hidden="false" customHeight="false" outlineLevel="0" collapsed="false">
      <c r="A63" s="9" t="s">
        <v>678</v>
      </c>
      <c r="B63" s="9" t="s">
        <v>680</v>
      </c>
      <c r="C63" s="31" t="s">
        <v>220</v>
      </c>
      <c r="D63" s="9" t="str">
        <f aca="false">INDEX(Articles!$C$2:$C$148,MATCH(C63,Articles!$A$2:$A$148,0))</f>
        <v>Stylo à bille Schneider Tops 505 M bleu</v>
      </c>
      <c r="E63" s="9" t="str">
        <f aca="false">INDEX(Articles!$B$2:$B$148,MATCH(C63,Articles!$A$2:$A$148,0))</f>
        <v>Papex</v>
      </c>
      <c r="F63" s="31" t="n">
        <v>1</v>
      </c>
      <c r="G63" s="13" t="n">
        <f aca="false">IF(INDEX(Articles!$G$2:$G$148,MATCH(C63,Articles!$A$2:$A$148,0))="","",INDEX(Articles!$G$2:$G$148,MATCH(C63,Articles!$A$2:$A$148,0)))</f>
        <v>100</v>
      </c>
      <c r="H63" s="13" t="n">
        <f aca="false">IF(G63="",0,F63*G63)</f>
        <v>100</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c r="N63" s="9" t="s">
        <v>167</v>
      </c>
    </row>
    <row r="64" customFormat="false" ht="15" hidden="false" customHeight="false" outlineLevel="0" collapsed="false">
      <c r="A64" s="9" t="s">
        <v>678</v>
      </c>
      <c r="B64" s="9" t="s">
        <v>710</v>
      </c>
      <c r="C64" s="31" t="s">
        <v>429</v>
      </c>
      <c r="D64" s="9" t="str">
        <f aca="false">INDEX(Articles!$C$2:$C$148,MATCH(C64,Articles!$A$2:$A$148,0))</f>
        <v>Stylo à bille Schneider Tops 505 M vert</v>
      </c>
      <c r="E64" s="9" t="str">
        <f aca="false">INDEX(Articles!$B$2:$B$148,MATCH(C64,Articles!$A$2:$A$148,0))</f>
        <v>Papex</v>
      </c>
      <c r="F64" s="31" t="n">
        <v>1</v>
      </c>
      <c r="G64" s="13" t="n">
        <f aca="false">IF(INDEX(Articles!$G$2:$G$148,MATCH(C64,Articles!$A$2:$A$148,0))="","",INDEX(Articles!$G$2:$G$148,MATCH(C64,Articles!$A$2:$A$148,0)))</f>
        <v>100</v>
      </c>
      <c r="H64" s="13" t="n">
        <f aca="false">IF(G64="",0,F64*G64)</f>
        <v>100</v>
      </c>
      <c r="I64" s="13" t="str">
        <f aca="false">IF(INDEX(Articles!$E$2:$E$148,MATCH(C64,Articles!$A$2:$A$148,0))="","",INDEX(Articles!$E$2:$E$148,MATCH(C64,Articles!$A$2:$A$148,0)))</f>
        <v/>
      </c>
      <c r="J64" s="13" t="str">
        <f aca="false">IF(I64="","",F64*I64)</f>
        <v/>
      </c>
      <c r="K64" s="9" t="str">
        <f aca="false">INDEX(Articles!$H$2:$H$148,MATCH(C64,Articles!$A$2:$A$148,0))</f>
        <v>Fixé</v>
      </c>
      <c r="L64" s="9" t="str">
        <f aca="false">INDEX(Articles!$F$2:$F$148,MATCH(C64,Articles!$A$2:$A$148,0))</f>
        <v>Inconnu</v>
      </c>
      <c r="M64" s="17"/>
      <c r="N64" s="9" t="s">
        <v>167</v>
      </c>
    </row>
    <row r="65" customFormat="false" ht="15" hidden="false" customHeight="false" outlineLevel="0" collapsed="false">
      <c r="A65" s="9" t="s">
        <v>678</v>
      </c>
      <c r="B65" s="9" t="s">
        <v>679</v>
      </c>
      <c r="C65" s="31" t="s">
        <v>235</v>
      </c>
      <c r="D65" s="9" t="str">
        <f aca="false">INDEX(Articles!$C$2:$C$148,MATCH(C65,Articles!$A$2:$A$148,0))</f>
        <v>Crayon papier (vendu à l'unité)</v>
      </c>
      <c r="E65" s="9" t="str">
        <f aca="false">INDEX(Articles!$B$2:$B$148,MATCH(C65,Articles!$A$2:$A$148,0))</f>
        <v>LPD</v>
      </c>
      <c r="F65" s="31" t="n">
        <v>1</v>
      </c>
      <c r="G65" s="13" t="n">
        <f aca="false">IF(INDEX(Articles!$G$2:$G$148,MATCH(C65,Articles!$A$2:$A$148,0))="","",INDEX(Articles!$G$2:$G$148,MATCH(C65,Articles!$A$2:$A$148,0)))</f>
        <v>75</v>
      </c>
      <c r="H65" s="13" t="n">
        <f aca="false">IF(G65="",0,F65*G65)</f>
        <v>75</v>
      </c>
      <c r="I65" s="13" t="str">
        <f aca="false">IF(INDEX(Articles!$E$2:$E$148,MATCH(C65,Articles!$A$2:$A$148,0))="","",INDEX(Articles!$E$2:$E$148,MATCH(C65,Articles!$A$2:$A$148,0)))</f>
        <v/>
      </c>
      <c r="J65" s="13" t="str">
        <f aca="false">IF(I65="","",F65*I65)</f>
        <v/>
      </c>
      <c r="K65" s="9" t="str">
        <f aca="false">INDEX(Articles!$H$2:$H$148,MATCH(C65,Articles!$A$2:$A$148,0))</f>
        <v>Fixé</v>
      </c>
      <c r="L65" s="9" t="str">
        <f aca="false">INDEX(Articles!$F$2:$F$148,MATCH(C65,Articles!$A$2:$A$148,0))</f>
        <v>Inconnu</v>
      </c>
      <c r="M65" s="17"/>
      <c r="N65" s="9" t="s">
        <v>167</v>
      </c>
    </row>
    <row r="66" customFormat="false" ht="15" hidden="false" customHeight="false" outlineLevel="0" collapsed="false">
      <c r="A66" s="9" t="s">
        <v>675</v>
      </c>
      <c r="B66" s="9" t="s">
        <v>717</v>
      </c>
      <c r="C66" s="31" t="s">
        <v>180</v>
      </c>
      <c r="D66" s="9" t="str">
        <f aca="false">INDEX(Articles!$C$2:$C$148,MATCH(C66,Articles!$A$2:$A$148,0))</f>
        <v>Gomme Staedtler Mars Plastic</v>
      </c>
      <c r="E66" s="9" t="str">
        <f aca="false">INDEX(Articles!$B$2:$B$148,MATCH(C66,Articles!$A$2:$A$148,0))</f>
        <v>LPD</v>
      </c>
      <c r="F66" s="31" t="n">
        <v>1</v>
      </c>
      <c r="G66" s="13" t="n">
        <f aca="false">IF(INDEX(Articles!$G$2:$G$148,MATCH(C66,Articles!$A$2:$A$148,0))="","",INDEX(Articles!$G$2:$G$148,MATCH(C66,Articles!$A$2:$A$148,0)))</f>
        <v>250</v>
      </c>
      <c r="H66" s="13" t="n">
        <f aca="false">IF(G66="",0,F66*G66)</f>
        <v>250</v>
      </c>
      <c r="I66" s="13" t="n">
        <f aca="false">IF(INDEX(Articles!$E$2:$E$148,MATCH(C66,Articles!$A$2:$A$148,0))="","",INDEX(Articles!$E$2:$E$148,MATCH(C66,Articles!$A$2:$A$148,0)))</f>
        <v>110</v>
      </c>
      <c r="J66" s="13" t="n">
        <f aca="false">IF(I66="","",F66*I66)</f>
        <v>110</v>
      </c>
      <c r="K66" s="9" t="str">
        <f aca="false">INDEX(Articles!$H$2:$H$148,MATCH(C66,Articles!$A$2:$A$148,0))</f>
        <v>Fixé</v>
      </c>
      <c r="L66" s="9" t="str">
        <f aca="false">INDEX(Articles!$F$2:$F$148,MATCH(C66,Articles!$A$2:$A$148,0))</f>
        <v>Estimé</v>
      </c>
      <c r="M66" s="17"/>
      <c r="N66" s="9" t="s">
        <v>167</v>
      </c>
    </row>
    <row r="67" customFormat="false" ht="26.85" hidden="false" customHeight="false" outlineLevel="0" collapsed="false">
      <c r="A67" s="9" t="s">
        <v>691</v>
      </c>
      <c r="B67" s="9" t="s">
        <v>692</v>
      </c>
      <c r="C67" s="31" t="s">
        <v>553</v>
      </c>
      <c r="D67" s="9" t="str">
        <f aca="false">INDEX(Articles!$C$2:$C$148,MATCH(C67,Articles!$A$2:$A$148,0))</f>
        <v>Langue et communication C.M.2</v>
      </c>
      <c r="E67" s="9" t="str">
        <f aca="false">INDEX(Articles!$B$2:$B$148,MATCH(C67,Articles!$A$2:$A$148,0))</f>
        <v>LPD</v>
      </c>
      <c r="F67" s="31" t="n">
        <v>1</v>
      </c>
      <c r="G67" s="13" t="n">
        <f aca="false">IF(INDEX(Articles!$G$2:$G$148,MATCH(C67,Articles!$A$2:$A$148,0))="","",INDEX(Articles!$G$2:$G$148,MATCH(C67,Articles!$A$2:$A$148,0)))</f>
        <v>4000</v>
      </c>
      <c r="H67" s="13" t="n">
        <f aca="false">IF(G67="",0,F67*G67)</f>
        <v>4000</v>
      </c>
      <c r="I67" s="13" t="n">
        <f aca="false">IF(INDEX(Articles!$E$2:$E$148,MATCH(C67,Articles!$A$2:$A$148,0))="","",INDEX(Articles!$E$2:$E$148,MATCH(C67,Articles!$A$2:$A$148,0)))</f>
        <v>3000</v>
      </c>
      <c r="J67" s="13" t="n">
        <f aca="false">IF(I67="","",F67*I67)</f>
        <v>3000</v>
      </c>
      <c r="K67" s="9" t="str">
        <f aca="false">INDEX(Articles!$H$2:$H$148,MATCH(C67,Articles!$A$2:$A$148,0))</f>
        <v>Fixé</v>
      </c>
      <c r="L67" s="9" t="str">
        <f aca="false">INDEX(Articles!$F$2:$F$148,MATCH(C67,Articles!$A$2:$A$148,0))</f>
        <v>Estimé</v>
      </c>
      <c r="M67" s="17" t="s">
        <v>701</v>
      </c>
      <c r="N67" s="9" t="s">
        <v>167</v>
      </c>
    </row>
    <row r="68" customFormat="false" ht="26.85" hidden="false" customHeight="false" outlineLevel="0" collapsed="false">
      <c r="A68" s="9" t="s">
        <v>691</v>
      </c>
      <c r="B68" s="9" t="s">
        <v>693</v>
      </c>
      <c r="C68" s="31" t="s">
        <v>555</v>
      </c>
      <c r="D68" s="9" t="str">
        <f aca="false">INDEX(Articles!$C$2:$C$148,MATCH(C68,Articles!$A$2:$A$148,0))</f>
        <v>Mathématiques C.M.2</v>
      </c>
      <c r="E68" s="9" t="str">
        <f aca="false">INDEX(Articles!$B$2:$B$148,MATCH(C68,Articles!$A$2:$A$148,0))</f>
        <v>LPD</v>
      </c>
      <c r="F68" s="31" t="n">
        <v>1</v>
      </c>
      <c r="G68" s="13" t="n">
        <f aca="false">IF(INDEX(Articles!$G$2:$G$148,MATCH(C68,Articles!$A$2:$A$148,0))="","",INDEX(Articles!$G$2:$G$148,MATCH(C68,Articles!$A$2:$A$148,0)))</f>
        <v>4000</v>
      </c>
      <c r="H68" s="13" t="n">
        <f aca="false">IF(G68="",0,F68*G68)</f>
        <v>4000</v>
      </c>
      <c r="I68" s="13" t="n">
        <f aca="false">IF(INDEX(Articles!$E$2:$E$148,MATCH(C68,Articles!$A$2:$A$148,0))="","",INDEX(Articles!$E$2:$E$148,MATCH(C68,Articles!$A$2:$A$148,0)))</f>
        <v>3000</v>
      </c>
      <c r="J68" s="13" t="n">
        <f aca="false">IF(I68="","",F68*I68)</f>
        <v>3000</v>
      </c>
      <c r="K68" s="9" t="str">
        <f aca="false">INDEX(Articles!$H$2:$H$148,MATCH(C68,Articles!$A$2:$A$148,0))</f>
        <v>Fixé</v>
      </c>
      <c r="L68" s="9" t="str">
        <f aca="false">INDEX(Articles!$F$2:$F$148,MATCH(C68,Articles!$A$2:$A$148,0))</f>
        <v>Estimé</v>
      </c>
      <c r="M68" s="17" t="s">
        <v>701</v>
      </c>
      <c r="N68" s="9" t="s">
        <v>167</v>
      </c>
    </row>
    <row r="69" customFormat="false" ht="26.85" hidden="false" customHeight="false" outlineLevel="0" collapsed="false">
      <c r="A69" s="9" t="s">
        <v>691</v>
      </c>
      <c r="B69" s="9" t="s">
        <v>694</v>
      </c>
      <c r="C69" s="31" t="s">
        <v>557</v>
      </c>
      <c r="D69" s="9" t="str">
        <f aca="false">INDEX(Articles!$C$2:$C$148,MATCH(C69,Articles!$A$2:$A$148,0))</f>
        <v>Découverte du monde C.M.2</v>
      </c>
      <c r="E69" s="9" t="str">
        <f aca="false">INDEX(Articles!$B$2:$B$148,MATCH(C69,Articles!$A$2:$A$148,0))</f>
        <v>LPD</v>
      </c>
      <c r="F69" s="31" t="n">
        <v>1</v>
      </c>
      <c r="G69" s="13" t="n">
        <f aca="false">IF(INDEX(Articles!$G$2:$G$148,MATCH(C69,Articles!$A$2:$A$148,0))="","",INDEX(Articles!$G$2:$G$148,MATCH(C69,Articles!$A$2:$A$148,0)))</f>
        <v>4000</v>
      </c>
      <c r="H69" s="13" t="n">
        <f aca="false">IF(G69="",0,F69*G69)</f>
        <v>4000</v>
      </c>
      <c r="I69" s="13" t="n">
        <f aca="false">IF(INDEX(Articles!$E$2:$E$148,MATCH(C69,Articles!$A$2:$A$148,0))="","",INDEX(Articles!$E$2:$E$148,MATCH(C69,Articles!$A$2:$A$148,0)))</f>
        <v>3000</v>
      </c>
      <c r="J69" s="13" t="n">
        <f aca="false">IF(I69="","",F69*I69)</f>
        <v>3000</v>
      </c>
      <c r="K69" s="9" t="str">
        <f aca="false">INDEX(Articles!$H$2:$H$148,MATCH(C69,Articles!$A$2:$A$148,0))</f>
        <v>Fixé</v>
      </c>
      <c r="L69" s="9" t="str">
        <f aca="false">INDEX(Articles!$F$2:$F$148,MATCH(C69,Articles!$A$2:$A$148,0))</f>
        <v>Estimé</v>
      </c>
      <c r="M69" s="17" t="s">
        <v>701</v>
      </c>
      <c r="N69" s="9" t="s">
        <v>167</v>
      </c>
    </row>
    <row r="70" customFormat="false" ht="15" hidden="false" customHeight="false" outlineLevel="0" collapsed="false">
      <c r="A70" s="9" t="s">
        <v>703</v>
      </c>
      <c r="B70" s="9" t="s">
        <v>732</v>
      </c>
      <c r="C70" s="31" t="s">
        <v>578</v>
      </c>
      <c r="D70" s="9" t="str">
        <f aca="false">INDEX(Articles!$C$2:$C$148,MATCH(C70,Articles!$A$2:$A$148,0))</f>
        <v>VISA Annales CFEE</v>
      </c>
      <c r="E70" s="9" t="str">
        <f aca="false">INDEX(Articles!$B$2:$B$148,MATCH(C70,Articles!$A$2:$A$148,0))</f>
        <v>LPD</v>
      </c>
      <c r="F70" s="31" t="n">
        <v>1</v>
      </c>
      <c r="G70" s="13" t="n">
        <f aca="false">IF(INDEX(Articles!$G$2:$G$148,MATCH(C70,Articles!$A$2:$A$148,0))="","",INDEX(Articles!$G$2:$G$148,MATCH(C70,Articles!$A$2:$A$148,0)))</f>
        <v>4650</v>
      </c>
      <c r="H70" s="13" t="n">
        <f aca="false">IF(G70="",0,F70*G70)</f>
        <v>4650</v>
      </c>
      <c r="I70" s="13" t="n">
        <f aca="false">IF(INDEX(Articles!$E$2:$E$148,MATCH(C70,Articles!$A$2:$A$148,0))="","",INDEX(Articles!$E$2:$E$148,MATCH(C70,Articles!$A$2:$A$148,0)))</f>
        <v>3650</v>
      </c>
      <c r="J70" s="13" t="n">
        <f aca="false">IF(I70="","",F70*I70)</f>
        <v>3650</v>
      </c>
      <c r="K70" s="9" t="str">
        <f aca="false">INDEX(Articles!$H$2:$H$148,MATCH(C70,Articles!$A$2:$A$148,0))</f>
        <v>Fixé</v>
      </c>
      <c r="L70" s="9" t="str">
        <f aca="false">INDEX(Articles!$F$2:$F$148,MATCH(C70,Articles!$A$2:$A$148,0))</f>
        <v>Estimé</v>
      </c>
      <c r="M70" s="17"/>
      <c r="N70" s="9" t="s">
        <v>167</v>
      </c>
    </row>
    <row r="71" customFormat="false" ht="15" hidden="false" customHeight="false" outlineLevel="0" collapsed="false">
      <c r="A71" s="9" t="s">
        <v>703</v>
      </c>
      <c r="B71" s="9" t="s">
        <v>733</v>
      </c>
      <c r="C71" s="31" t="s">
        <v>231</v>
      </c>
      <c r="D71" s="9" t="str">
        <f aca="false">INDEX(Articles!$C$2:$C$148,MATCH(C71,Articles!$A$2:$A$148,0))</f>
        <v>Bled CM2-6e</v>
      </c>
      <c r="E71" s="9" t="str">
        <f aca="false">INDEX(Articles!$B$2:$B$148,MATCH(C71,Articles!$A$2:$A$148,0))</f>
        <v>LPD</v>
      </c>
      <c r="F71" s="31" t="n">
        <v>1</v>
      </c>
      <c r="G71" s="13" t="n">
        <f aca="false">IF(INDEX(Articles!$G$2:$G$148,MATCH(C71,Articles!$A$2:$A$148,0))="","",INDEX(Articles!$G$2:$G$148,MATCH(C71,Articles!$A$2:$A$148,0)))</f>
        <v>4500</v>
      </c>
      <c r="H71" s="13" t="n">
        <f aca="false">IF(G71="",0,F71*G71)</f>
        <v>4500</v>
      </c>
      <c r="I71" s="13" t="n">
        <f aca="false">IF(INDEX(Articles!$E$2:$E$148,MATCH(C71,Articles!$A$2:$A$148,0))="","",INDEX(Articles!$E$2:$E$148,MATCH(C71,Articles!$A$2:$A$148,0)))</f>
        <v>3500</v>
      </c>
      <c r="J71" s="13" t="n">
        <f aca="false">IF(I71="","",F71*I71)</f>
        <v>3500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D72" s="32" t="s">
        <v>683</v>
      </c>
      <c r="E72" s="32"/>
      <c r="F72" s="32"/>
      <c r="G72" s="32"/>
      <c r="H72" s="33" t="n">
        <f aca="false">COUNTIF(G59:G71,"")</f>
        <v>0</v>
      </c>
    </row>
    <row r="73" customFormat="false" ht="15" hidden="false" customHeight="false" outlineLevel="0" collapsed="false">
      <c r="D73" s="32" t="s">
        <v>684</v>
      </c>
      <c r="E73" s="32"/>
      <c r="F73" s="32"/>
      <c r="G73" s="32"/>
      <c r="H73" s="33" t="n">
        <f aca="false">SUM(H59:H71)</f>
        <v>30575</v>
      </c>
    </row>
    <row r="74" customFormat="false" ht="15" hidden="false" customHeight="false" outlineLevel="0" collapsed="false">
      <c r="D74" s="32" t="s">
        <v>28</v>
      </c>
      <c r="E74" s="32"/>
      <c r="F74" s="32"/>
      <c r="G74" s="32"/>
      <c r="H74" s="33" t="n">
        <f aca="false">SUM(J59:J71)</f>
        <v>23160</v>
      </c>
    </row>
    <row r="75" customFormat="false" ht="15" hidden="false" customHeight="false" outlineLevel="0" collapsed="false">
      <c r="D75" s="32" t="s">
        <v>685</v>
      </c>
      <c r="E75" s="32"/>
      <c r="F75" s="32"/>
      <c r="G75" s="32"/>
      <c r="H75" s="33" t="n">
        <f aca="false">COUNTIF(I59:I71,"")</f>
        <v>3</v>
      </c>
    </row>
    <row r="76" customFormat="false" ht="15" hidden="false" customHeight="false" outlineLevel="0" collapsed="false">
      <c r="D76" s="32" t="s">
        <v>686</v>
      </c>
      <c r="E76" s="32"/>
      <c r="F76" s="32"/>
      <c r="G76" s="32"/>
      <c r="H76" s="33" t="n">
        <f aca="false">SUMPRODUCT((I59:I71&lt;&gt;"")*H59:H71)-H74</f>
        <v>7140</v>
      </c>
    </row>
    <row r="77" customFormat="false" ht="15" hidden="false" customHeight="false" outlineLevel="0" collapsed="false">
      <c r="D77" s="32" t="s">
        <v>687</v>
      </c>
      <c r="E77" s="32"/>
      <c r="F77" s="32"/>
      <c r="G77" s="32"/>
      <c r="H77" s="33" t="n">
        <f aca="false">SUMIF(A59:A71,"Cahiers",F59:F71)</f>
        <v>4</v>
      </c>
    </row>
    <row r="78" customFormat="false" ht="15" hidden="false" customHeight="false" outlineLevel="0" collapsed="false">
      <c r="D78" s="32" t="s">
        <v>688</v>
      </c>
      <c r="E78" s="32"/>
      <c r="F78" s="32"/>
      <c r="G78" s="32"/>
      <c r="H78" s="34" t="n">
        <f aca="false">IF(H73=0,0,SUMIF(K59:K71,"&lt;&gt;Fixé",H59:H71)/H73)</f>
        <v>0.111201962387572</v>
      </c>
    </row>
    <row r="79" customFormat="false" ht="15" hidden="false" customHeight="false" outlineLevel="0" collapsed="false">
      <c r="D79" s="32" t="s">
        <v>689</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696</v>
      </c>
      <c r="E80" s="21" t="str">
        <f aca="false">INDEX(Articles!$C$2:$C$148,MATCH("S027",Articles!$A$2:$A$148,0))</f>
        <v>Cartable rigide bleu marine</v>
      </c>
      <c r="H80" s="41" t="n">
        <f aca="false">INDEX(Articles!$G$2:$G$148,MATCH("S027",Articles!$A$2:$A$148,0))</f>
        <v>7500</v>
      </c>
    </row>
    <row r="81" customFormat="false" ht="15" hidden="false" customHeight="false" outlineLevel="0" collapsed="false">
      <c r="D81" s="42" t="s">
        <v>697</v>
      </c>
      <c r="E81" s="44" t="s">
        <v>711</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734</v>
      </c>
    </row>
    <row r="2" customFormat="false" ht="15" hidden="false" customHeight="false" outlineLevel="0" collapsed="false">
      <c r="A2" s="21" t="s">
        <v>735</v>
      </c>
    </row>
    <row r="4" customFormat="false" ht="15" hidden="false" customHeight="false" outlineLevel="0" collapsed="false">
      <c r="A4" s="28" t="s">
        <v>736</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737</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739</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740</v>
      </c>
      <c r="C8" s="31" t="s">
        <v>210</v>
      </c>
      <c r="D8" s="9" t="str">
        <f aca="false">INDEX(Articles!$C$2:$C$148,MATCH(C8,Articles!$A$2:$A$148,0))</f>
        <v>Cahier L'écolier 192 pages</v>
      </c>
      <c r="E8" s="9" t="str">
        <f aca="false">INDEX(Articles!$B$2:$B$148,MATCH(C8,Articles!$A$2:$A$148,0))</f>
        <v>Papex</v>
      </c>
      <c r="F8" s="31" t="n">
        <v>2</v>
      </c>
      <c r="G8" s="13" t="n">
        <f aca="false">IF(INDEX(Articles!$G$2:$G$148,MATCH(C8,Articles!$A$2:$A$148,0))="","",INDEX(Articles!$G$2:$G$148,MATCH(C8,Articles!$A$2:$A$148,0)))</f>
        <v>500</v>
      </c>
      <c r="H8" s="13" t="n">
        <f aca="false">IF(G8="",0,F8*G8)</f>
        <v>1000</v>
      </c>
      <c r="I8" s="13" t="n">
        <f aca="false">IF(INDEX(Articles!$E$2:$E$148,MATCH(C8,Articles!$A$2:$A$148,0))="","",INDEX(Articles!$E$2:$E$148,MATCH(C8,Articles!$A$2:$A$148,0)))</f>
        <v>400</v>
      </c>
      <c r="J8" s="13" t="n">
        <f aca="false">IF(I8="","",F8*I8)</f>
        <v>800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741</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742</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743</v>
      </c>
      <c r="C11" s="31" t="s">
        <v>195</v>
      </c>
      <c r="D11" s="9" t="str">
        <f aca="false">INDEX(Articles!$C$2:$C$148,MATCH(C11,Articles!$A$2:$A$148,0))</f>
        <v>Cahier Calligraphe 96 pages 17x22 56 g seyès</v>
      </c>
      <c r="E11" s="9" t="str">
        <f aca="false">INDEX(Articles!$B$2:$B$148,MATCH(C11,Articles!$A$2:$A$148,0))</f>
        <v>Papex</v>
      </c>
      <c r="F11" s="31" t="n">
        <v>1</v>
      </c>
      <c r="G11" s="13" t="n">
        <f aca="false">IF(INDEX(Articles!$G$2:$G$148,MATCH(C11,Articles!$A$2:$A$148,0))="","",INDEX(Articles!$G$2:$G$148,MATCH(C11,Articles!$A$2:$A$148,0)))</f>
        <v>450</v>
      </c>
      <c r="H11" s="13" t="n">
        <f aca="false">IF(G11="",0,F11*G11)</f>
        <v>450</v>
      </c>
      <c r="I11" s="13" t="n">
        <f aca="false">IF(INDEX(Articles!$E$2:$E$148,MATCH(C11,Articles!$A$2:$A$148,0))="","",INDEX(Articles!$E$2:$E$148,MATCH(C11,Articles!$A$2:$A$148,0)))</f>
        <v>350</v>
      </c>
      <c r="J11" s="13" t="n">
        <f aca="false">IF(I11="","",F11*I11)</f>
        <v>350</v>
      </c>
      <c r="K11" s="9" t="str">
        <f aca="false">INDEX(Articles!$H$2:$H$148,MATCH(C11,Articles!$A$2:$A$148,0))</f>
        <v>Fixé</v>
      </c>
      <c r="L11" s="9" t="str">
        <f aca="false">INDEX(Articles!$F$2:$F$148,MATCH(C11,Articles!$A$2:$A$148,0))</f>
        <v>Confirmé</v>
      </c>
      <c r="M11" s="17"/>
      <c r="N11" s="9" t="s">
        <v>167</v>
      </c>
    </row>
    <row r="12" customFormat="false" ht="15" hidden="false" customHeight="false" outlineLevel="0" collapsed="false">
      <c r="A12" s="9" t="s">
        <v>671</v>
      </c>
      <c r="B12" s="9" t="s">
        <v>744</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745</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746</v>
      </c>
      <c r="C14" s="31" t="s">
        <v>203</v>
      </c>
      <c r="D14" s="9" t="str">
        <f aca="false">INDEX(Articles!$C$2:$C$148,MATCH(C14,Articles!$A$2:$A$148,0))</f>
        <v>Cahier L'écolier 48 pages</v>
      </c>
      <c r="E14" s="9" t="str">
        <f aca="false">INDEX(Articles!$B$2:$B$148,MATCH(C14,Articles!$A$2:$A$148,0))</f>
        <v>Papex</v>
      </c>
      <c r="F14" s="31" t="n">
        <v>1</v>
      </c>
      <c r="G14" s="13" t="n">
        <f aca="false">IF(INDEX(Articles!$G$2:$G$148,MATCH(C14,Articles!$A$2:$A$148,0))="","",INDEX(Articles!$G$2:$G$148,MATCH(C14,Articles!$A$2:$A$148,0)))</f>
        <v>275</v>
      </c>
      <c r="H14" s="13" t="n">
        <f aca="false">IF(G14="",0,F14*G14)</f>
        <v>275</v>
      </c>
      <c r="I14" s="13" t="n">
        <f aca="false">IF(INDEX(Articles!$E$2:$E$148,MATCH(C14,Articles!$A$2:$A$148,0))="","",INDEX(Articles!$E$2:$E$148,MATCH(C14,Articles!$A$2:$A$148,0)))</f>
        <v>175</v>
      </c>
      <c r="J14" s="13" t="n">
        <f aca="false">IF(I14="","",F14*I14)</f>
        <v>175</v>
      </c>
      <c r="K14" s="9" t="str">
        <f aca="false">INDEX(Articles!$H$2:$H$148,MATCH(C14,Articles!$A$2:$A$148,0))</f>
        <v>Estimé</v>
      </c>
      <c r="L14" s="9" t="str">
        <f aca="false">INDEX(Articles!$F$2:$F$148,MATCH(C14,Articles!$A$2:$A$148,0))</f>
        <v>Confirmé</v>
      </c>
      <c r="M14" s="17"/>
      <c r="N14" s="9" t="s">
        <v>167</v>
      </c>
    </row>
    <row r="15" customFormat="false" ht="15" hidden="false" customHeight="false" outlineLevel="0" collapsed="false">
      <c r="A15" s="9" t="s">
        <v>671</v>
      </c>
      <c r="B15" s="9" t="s">
        <v>747</v>
      </c>
      <c r="C15" s="31" t="s">
        <v>195</v>
      </c>
      <c r="D15" s="9" t="str">
        <f aca="false">INDEX(Articles!$C$2:$C$148,MATCH(C15,Articles!$A$2:$A$148,0))</f>
        <v>Cahier Calligraphe 96 pages 17x22 56 g seyès</v>
      </c>
      <c r="E15" s="9" t="str">
        <f aca="false">INDEX(Articles!$B$2:$B$148,MATCH(C15,Articles!$A$2:$A$148,0))</f>
        <v>Papex</v>
      </c>
      <c r="F15" s="31" t="n">
        <v>1</v>
      </c>
      <c r="G15" s="13" t="n">
        <f aca="false">IF(INDEX(Articles!$G$2:$G$148,MATCH(C15,Articles!$A$2:$A$148,0))="","",INDEX(Articles!$G$2:$G$148,MATCH(C15,Articles!$A$2:$A$148,0)))</f>
        <v>450</v>
      </c>
      <c r="H15" s="13" t="n">
        <f aca="false">IF(G15="",0,F15*G15)</f>
        <v>450</v>
      </c>
      <c r="I15" s="13" t="n">
        <f aca="false">IF(INDEX(Articles!$E$2:$E$148,MATCH(C15,Articles!$A$2:$A$148,0))="","",INDEX(Articles!$E$2:$E$148,MATCH(C15,Articles!$A$2:$A$148,0)))</f>
        <v>350</v>
      </c>
      <c r="J15" s="13" t="n">
        <f aca="false">IF(I15="","",F15*I15)</f>
        <v>350</v>
      </c>
      <c r="K15" s="9" t="str">
        <f aca="false">INDEX(Articles!$H$2:$H$148,MATCH(C15,Articles!$A$2:$A$148,0))</f>
        <v>Fixé</v>
      </c>
      <c r="L15" s="9" t="str">
        <f aca="false">INDEX(Articles!$F$2:$F$148,MATCH(C15,Articles!$A$2:$A$148,0))</f>
        <v>Confirmé</v>
      </c>
      <c r="M15" s="17"/>
      <c r="N15" s="9" t="s">
        <v>167</v>
      </c>
    </row>
    <row r="16" customFormat="false" ht="15" hidden="false" customHeight="false" outlineLevel="0" collapsed="false">
      <c r="A16" s="9" t="s">
        <v>681</v>
      </c>
      <c r="B16" s="9" t="s">
        <v>748</v>
      </c>
      <c r="C16" s="31" t="s">
        <v>252</v>
      </c>
      <c r="D16" s="9" t="str">
        <f aca="false">INDEX(Articles!$C$2:$C$148,MATCH(C16,Articles!$A$2:$A$148,0))</f>
        <v>Cahier de dessin L'écolier 32 pages</v>
      </c>
      <c r="E16" s="9" t="str">
        <f aca="false">INDEX(Articles!$B$2:$B$148,MATCH(C16,Articles!$A$2:$A$148,0))</f>
        <v>Papex</v>
      </c>
      <c r="F16" s="31" t="n">
        <v>1</v>
      </c>
      <c r="G16" s="13" t="n">
        <f aca="false">IF(INDEX(Articles!$G$2:$G$148,MATCH(C16,Articles!$A$2:$A$148,0))="","",INDEX(Articles!$G$2:$G$148,MATCH(C16,Articles!$A$2:$A$148,0)))</f>
        <v>250</v>
      </c>
      <c r="H16" s="13" t="n">
        <f aca="false">IF(G16="",0,F16*G16)</f>
        <v>250</v>
      </c>
      <c r="I16" s="13" t="n">
        <f aca="false">IF(INDEX(Articles!$E$2:$E$148,MATCH(C16,Articles!$A$2:$A$148,0))="","",INDEX(Articles!$E$2:$E$148,MATCH(C16,Articles!$A$2:$A$148,0)))</f>
        <v>150</v>
      </c>
      <c r="J16" s="13" t="n">
        <f aca="false">IF(I16="","",F16*I16)</f>
        <v>150</v>
      </c>
      <c r="K16" s="9" t="str">
        <f aca="false">INDEX(Articles!$H$2:$H$148,MATCH(C16,Articles!$A$2:$A$148,0))</f>
        <v>Fixé</v>
      </c>
      <c r="L16" s="9" t="str">
        <f aca="false">INDEX(Articles!$F$2:$F$148,MATCH(C16,Articles!$A$2:$A$148,0))</f>
        <v>Confirmé</v>
      </c>
      <c r="M16" s="17"/>
      <c r="N16" s="9" t="s">
        <v>167</v>
      </c>
    </row>
    <row r="17" customFormat="false" ht="15" hidden="false" customHeight="false" outlineLevel="0" collapsed="false">
      <c r="A17" s="9" t="s">
        <v>678</v>
      </c>
      <c r="B17" s="9" t="s">
        <v>749</v>
      </c>
      <c r="C17" s="31" t="s">
        <v>222</v>
      </c>
      <c r="D17" s="9" t="str">
        <f aca="false">INDEX(Articles!$C$2:$C$148,MATCH(C17,Articles!$A$2:$A$148,0))</f>
        <v>Pack de 4 stylos Schneider Tops 505 M (bleu, noir, rouge, vert)</v>
      </c>
      <c r="E17" s="9" t="str">
        <f aca="false">INDEX(Articles!$B$2:$B$148,MATCH(C17,Articles!$A$2:$A$148,0))</f>
        <v>Papex</v>
      </c>
      <c r="F17" s="31" t="n">
        <v>1</v>
      </c>
      <c r="G17" s="13" t="n">
        <f aca="false">IF(INDEX(Articles!$G$2:$G$148,MATCH(C17,Articles!$A$2:$A$148,0))="","",INDEX(Articles!$G$2:$G$148,MATCH(C17,Articles!$A$2:$A$148,0)))</f>
        <v>400</v>
      </c>
      <c r="H17" s="13" t="n">
        <f aca="false">IF(G17="",0,F17*G17)</f>
        <v>400</v>
      </c>
      <c r="I17" s="13" t="str">
        <f aca="false">IF(INDEX(Articles!$E$2:$E$148,MATCH(C17,Articles!$A$2:$A$148,0))="","",INDEX(Articles!$E$2:$E$148,MATCH(C17,Articles!$A$2:$A$148,0)))</f>
        <v/>
      </c>
      <c r="J17" s="13" t="str">
        <f aca="false">IF(I17="","",F17*I17)</f>
        <v/>
      </c>
      <c r="K17" s="9" t="str">
        <f aca="false">INDEX(Articles!$H$2:$H$148,MATCH(C17,Articles!$A$2:$A$148,0))</f>
        <v>Fixé</v>
      </c>
      <c r="L17" s="9" t="str">
        <f aca="false">INDEX(Articles!$F$2:$F$148,MATCH(C17,Articles!$A$2:$A$148,0))</f>
        <v>Inconnu</v>
      </c>
      <c r="M17" s="17" t="s">
        <v>432</v>
      </c>
      <c r="N17" s="9" t="s">
        <v>167</v>
      </c>
    </row>
    <row r="18" customFormat="false" ht="15" hidden="false" customHeight="false" outlineLevel="0" collapsed="false">
      <c r="A18" s="9" t="s">
        <v>678</v>
      </c>
      <c r="B18" s="9" t="s">
        <v>750</v>
      </c>
      <c r="C18" s="31" t="s">
        <v>235</v>
      </c>
      <c r="D18" s="9" t="str">
        <f aca="false">INDEX(Articles!$C$2:$C$148,MATCH(C18,Articles!$A$2:$A$148,0))</f>
        <v>Crayon papier (vendu à l'unité)</v>
      </c>
      <c r="E18" s="9" t="str">
        <f aca="false">INDEX(Articles!$B$2:$B$148,MATCH(C18,Articles!$A$2:$A$148,0))</f>
        <v>LPD</v>
      </c>
      <c r="F18" s="31" t="n">
        <v>1</v>
      </c>
      <c r="G18" s="13" t="n">
        <f aca="false">IF(INDEX(Articles!$G$2:$G$148,MATCH(C18,Articles!$A$2:$A$148,0))="","",INDEX(Articles!$G$2:$G$148,MATCH(C18,Articles!$A$2:$A$148,0)))</f>
        <v>75</v>
      </c>
      <c r="H18" s="13" t="n">
        <f aca="false">IF(G18="",0,F18*G18)</f>
        <v>75</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c r="N18" s="9" t="s">
        <v>167</v>
      </c>
    </row>
    <row r="19" customFormat="false" ht="15" hidden="false" customHeight="false" outlineLevel="0" collapsed="false">
      <c r="A19" s="9" t="s">
        <v>675</v>
      </c>
      <c r="B19" s="9" t="s">
        <v>717</v>
      </c>
      <c r="C19" s="31" t="s">
        <v>180</v>
      </c>
      <c r="D19" s="9" t="str">
        <f aca="false">INDEX(Articles!$C$2:$C$148,MATCH(C19,Articles!$A$2:$A$148,0))</f>
        <v>Gomme Staedtler Mars Plastic</v>
      </c>
      <c r="E19" s="9" t="str">
        <f aca="false">INDEX(Articles!$B$2:$B$148,MATCH(C19,Articles!$A$2:$A$148,0))</f>
        <v>LPD</v>
      </c>
      <c r="F19" s="31" t="n">
        <v>1</v>
      </c>
      <c r="G19" s="13" t="n">
        <f aca="false">IF(INDEX(Articles!$G$2:$G$148,MATCH(C19,Articles!$A$2:$A$148,0))="","",INDEX(Articles!$G$2:$G$148,MATCH(C19,Articles!$A$2:$A$148,0)))</f>
        <v>250</v>
      </c>
      <c r="H19" s="13" t="n">
        <f aca="false">IF(G19="",0,F19*G19)</f>
        <v>250</v>
      </c>
      <c r="I19" s="13" t="n">
        <f aca="false">IF(INDEX(Articles!$E$2:$E$148,MATCH(C19,Articles!$A$2:$A$148,0))="","",INDEX(Articles!$E$2:$E$148,MATCH(C19,Articles!$A$2:$A$148,0)))</f>
        <v>110</v>
      </c>
      <c r="J19" s="13" t="n">
        <f aca="false">IF(I19="","",F19*I19)</f>
        <v>110</v>
      </c>
      <c r="K19" s="9" t="str">
        <f aca="false">INDEX(Articles!$H$2:$H$148,MATCH(C19,Articles!$A$2:$A$148,0))</f>
        <v>Fixé</v>
      </c>
      <c r="L19" s="9" t="str">
        <f aca="false">INDEX(Articles!$F$2:$F$148,MATCH(C19,Articles!$A$2:$A$148,0))</f>
        <v>Estimé</v>
      </c>
      <c r="M19" s="17"/>
      <c r="N19" s="9" t="s">
        <v>167</v>
      </c>
    </row>
    <row r="20" customFormat="false" ht="15" hidden="false" customHeight="false" outlineLevel="0" collapsed="false">
      <c r="A20" s="9" t="s">
        <v>675</v>
      </c>
      <c r="B20" s="9" t="s">
        <v>751</v>
      </c>
      <c r="C20" s="31" t="s">
        <v>183</v>
      </c>
      <c r="D20" s="9" t="str">
        <f aca="false">INDEX(Articles!$C$2:$C$148,MATCH(C20,Articles!$A$2:$A$148,0))</f>
        <v>Taille-crayon avec réservoir Maped</v>
      </c>
      <c r="E20" s="9" t="str">
        <f aca="false">INDEX(Articles!$B$2:$B$148,MATCH(C20,Articles!$A$2:$A$148,0))</f>
        <v>Papex</v>
      </c>
      <c r="F20" s="31" t="n">
        <v>1</v>
      </c>
      <c r="G20" s="13" t="n">
        <f aca="false">IF(INDEX(Articles!$G$2:$G$148,MATCH(C20,Articles!$A$2:$A$148,0))="","",INDEX(Articles!$G$2:$G$148,MATCH(C20,Articles!$A$2:$A$148,0)))</f>
        <v>500</v>
      </c>
      <c r="H20" s="13" t="n">
        <f aca="false">IF(G20="",0,F20*G20)</f>
        <v>500</v>
      </c>
      <c r="I20" s="13" t="n">
        <f aca="false">IF(INDEX(Articles!$E$2:$E$148,MATCH(C20,Articles!$A$2:$A$148,0))="","",INDEX(Articles!$E$2:$E$148,MATCH(C20,Articles!$A$2:$A$148,0)))</f>
        <v>350</v>
      </c>
      <c r="J20" s="13" t="n">
        <f aca="false">IF(I20="","",F20*I20)</f>
        <v>350</v>
      </c>
      <c r="K20" s="9" t="str">
        <f aca="false">INDEX(Articles!$H$2:$H$148,MATCH(C20,Articles!$A$2:$A$148,0))</f>
        <v>Estimé</v>
      </c>
      <c r="L20" s="9" t="str">
        <f aca="false">INDEX(Articles!$F$2:$F$148,MATCH(C20,Articles!$A$2:$A$148,0))</f>
        <v>Estimé</v>
      </c>
      <c r="M20" s="17" t="s">
        <v>752</v>
      </c>
      <c r="N20" s="9" t="s">
        <v>167</v>
      </c>
    </row>
    <row r="21" customFormat="false" ht="15" hidden="false" customHeight="false" outlineLevel="0" collapsed="false">
      <c r="A21" s="9" t="s">
        <v>675</v>
      </c>
      <c r="B21" s="9" t="s">
        <v>753</v>
      </c>
      <c r="C21" s="31" t="s">
        <v>250</v>
      </c>
      <c r="D21" s="9" t="str">
        <f aca="false">INDEX(Articles!$C$2:$C$148,MATCH(C21,Articles!$A$2:$A$148,0))</f>
        <v>Bâton de colle Giotto 10 g</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c r="N21" s="9" t="s">
        <v>167</v>
      </c>
    </row>
    <row r="22" customFormat="false" ht="15" hidden="false" customHeight="false" outlineLevel="0" collapsed="false">
      <c r="A22" s="9" t="s">
        <v>675</v>
      </c>
      <c r="B22" s="9" t="s">
        <v>754</v>
      </c>
      <c r="C22" s="31" t="s">
        <v>233</v>
      </c>
      <c r="D22" s="9" t="str">
        <f aca="false">INDEX(Articles!$C$2:$C$148,MATCH(C22,Articles!$A$2:$A$148,0))</f>
        <v>Ciseaux scolaires bouts ronds</v>
      </c>
      <c r="E22" s="9" t="str">
        <f aca="false">INDEX(Articles!$B$2:$B$148,MATCH(C22,Articles!$A$2:$A$148,0))</f>
        <v>LPD</v>
      </c>
      <c r="F22" s="31" t="n">
        <v>1</v>
      </c>
      <c r="G22" s="13" t="n">
        <f aca="false">IF(INDEX(Articles!$G$2:$G$148,MATCH(C22,Articles!$A$2:$A$148,0))="","",INDEX(Articles!$G$2:$G$148,MATCH(C22,Articles!$A$2:$A$148,0)))</f>
        <v>250</v>
      </c>
      <c r="H22" s="13" t="n">
        <f aca="false">IF(G22="",0,F22*G22)</f>
        <v>250</v>
      </c>
      <c r="I22" s="13" t="n">
        <f aca="false">IF(INDEX(Articles!$E$2:$E$148,MATCH(C22,Articles!$A$2:$A$148,0))="","",INDEX(Articles!$E$2:$E$148,MATCH(C22,Articles!$A$2:$A$148,0)))</f>
        <v>100</v>
      </c>
      <c r="J22" s="13" t="n">
        <f aca="false">IF(I22="","",F22*I22)</f>
        <v>100</v>
      </c>
      <c r="K22" s="9" t="str">
        <f aca="false">INDEX(Articles!$H$2:$H$148,MATCH(C22,Articles!$A$2:$A$148,0))</f>
        <v>Fixé</v>
      </c>
      <c r="L22" s="9" t="str">
        <f aca="false">INDEX(Articles!$F$2:$F$148,MATCH(C22,Articles!$A$2:$A$148,0))</f>
        <v>Estimé</v>
      </c>
      <c r="M22" s="17"/>
      <c r="N22" s="9" t="s">
        <v>167</v>
      </c>
    </row>
    <row r="23" customFormat="false" ht="15" hidden="false" customHeight="false" outlineLevel="0" collapsed="false">
      <c r="A23" s="9" t="s">
        <v>676</v>
      </c>
      <c r="B23" s="9" t="s">
        <v>755</v>
      </c>
      <c r="C23" s="31" t="s">
        <v>239</v>
      </c>
      <c r="D23" s="9" t="str">
        <f aca="false">INDEX(Articles!$C$2:$C$148,MATCH(C23,Articles!$A$2:$A$148,0))</f>
        <v>Kit de traçage 30 cm, 4 pièces L'écolier</v>
      </c>
      <c r="E23" s="9" t="str">
        <f aca="false">INDEX(Articles!$B$2:$B$148,MATCH(C23,Articles!$A$2:$A$148,0))</f>
        <v>Papex</v>
      </c>
      <c r="F23" s="31" t="n">
        <v>1</v>
      </c>
      <c r="G23" s="13" t="n">
        <f aca="false">IF(INDEX(Articles!$G$2:$G$148,MATCH(C23,Articles!$A$2:$A$148,0))="","",INDEX(Articles!$G$2:$G$148,MATCH(C23,Articles!$A$2:$A$148,0)))</f>
        <v>900</v>
      </c>
      <c r="H23" s="13" t="n">
        <f aca="false">IF(G23="",0,F23*G23)</f>
        <v>900</v>
      </c>
      <c r="I23" s="13" t="n">
        <f aca="false">IF(INDEX(Articles!$E$2:$E$148,MATCH(C23,Articles!$A$2:$A$148,0))="","",INDEX(Articles!$E$2:$E$148,MATCH(C23,Articles!$A$2:$A$148,0)))</f>
        <v>650</v>
      </c>
      <c r="J23" s="13" t="n">
        <f aca="false">IF(I23="","",F23*I23)</f>
        <v>650</v>
      </c>
      <c r="K23" s="9" t="str">
        <f aca="false">INDEX(Articles!$H$2:$H$148,MATCH(C23,Articles!$A$2:$A$148,0))</f>
        <v>Estimé</v>
      </c>
      <c r="L23" s="9" t="str">
        <f aca="false">INDEX(Articles!$F$2:$F$148,MATCH(C23,Articles!$A$2:$A$148,0))</f>
        <v>Confirmé</v>
      </c>
      <c r="M23" s="17"/>
      <c r="N23" s="9" t="s">
        <v>167</v>
      </c>
    </row>
    <row r="24" customFormat="false" ht="15" hidden="false" customHeight="false" outlineLevel="0" collapsed="false">
      <c r="A24" s="9" t="s">
        <v>676</v>
      </c>
      <c r="B24" s="9" t="s">
        <v>756</v>
      </c>
      <c r="C24" s="31" t="s">
        <v>217</v>
      </c>
      <c r="D24" s="9" t="str">
        <f aca="false">INDEX(Articles!$C$2:$C$148,MATCH(C24,Articles!$A$2:$A$148,0))</f>
        <v>Compas de précision avec étui</v>
      </c>
      <c r="E24" s="9" t="str">
        <f aca="false">INDEX(Articles!$B$2:$B$148,MATCH(C24,Articles!$A$2:$A$148,0))</f>
        <v>LPD</v>
      </c>
      <c r="F24" s="31" t="n">
        <v>1</v>
      </c>
      <c r="G24" s="13" t="n">
        <f aca="false">IF(INDEX(Articles!$G$2:$G$148,MATCH(C24,Articles!$A$2:$A$148,0))="","",INDEX(Articles!$G$2:$G$148,MATCH(C24,Articles!$A$2:$A$148,0)))</f>
        <v>600</v>
      </c>
      <c r="H24" s="13" t="n">
        <f aca="false">IF(G24="",0,F24*G24)</f>
        <v>600</v>
      </c>
      <c r="I24" s="13" t="n">
        <f aca="false">IF(INDEX(Articles!$E$2:$E$148,MATCH(C24,Articles!$A$2:$A$148,0))="","",INDEX(Articles!$E$2:$E$148,MATCH(C24,Articles!$A$2:$A$148,0)))</f>
        <v>450</v>
      </c>
      <c r="J24" s="13" t="n">
        <f aca="false">IF(I24="","",F24*I24)</f>
        <v>450</v>
      </c>
      <c r="K24" s="9" t="str">
        <f aca="false">INDEX(Articles!$H$2:$H$148,MATCH(C24,Articles!$A$2:$A$148,0))</f>
        <v>Fixé</v>
      </c>
      <c r="L24" s="9" t="str">
        <f aca="false">INDEX(Articles!$F$2:$F$148,MATCH(C24,Articles!$A$2:$A$148,0))</f>
        <v>Estimé</v>
      </c>
      <c r="M24" s="17"/>
      <c r="N24" s="9" t="s">
        <v>167</v>
      </c>
    </row>
    <row r="25" customFormat="false" ht="15" hidden="false" customHeight="false" outlineLevel="0" collapsed="false">
      <c r="A25" s="9" t="s">
        <v>681</v>
      </c>
      <c r="B25" s="9" t="s">
        <v>757</v>
      </c>
      <c r="C25" s="31" t="s">
        <v>198</v>
      </c>
      <c r="D25" s="9" t="str">
        <f aca="false">INDEX(Articles!$C$2:$C$148,MATCH(C25,Articles!$A$2:$A$148,0))</f>
        <v>Crayons de couleur Maped, boîte de 12</v>
      </c>
      <c r="E25" s="9" t="str">
        <f aca="false">INDEX(Articles!$B$2:$B$148,MATCH(C25,Articles!$A$2:$A$148,0))</f>
        <v>Papex</v>
      </c>
      <c r="F25" s="31" t="n">
        <v>1</v>
      </c>
      <c r="G25" s="13" t="n">
        <f aca="false">IF(INDEX(Articles!$G$2:$G$148,MATCH(C25,Articles!$A$2:$A$148,0))="","",INDEX(Articles!$G$2:$G$148,MATCH(C25,Articles!$A$2:$A$148,0)))</f>
        <v>900</v>
      </c>
      <c r="H25" s="13" t="n">
        <f aca="false">IF(G25="",0,F25*G25)</f>
        <v>900</v>
      </c>
      <c r="I25" s="13" t="n">
        <f aca="false">IF(INDEX(Articles!$E$2:$E$148,MATCH(C25,Articles!$A$2:$A$148,0))="","",INDEX(Articles!$E$2:$E$148,MATCH(C25,Articles!$A$2:$A$148,0)))</f>
        <v>650</v>
      </c>
      <c r="J25" s="13" t="n">
        <f aca="false">IF(I25="","",F25*I25)</f>
        <v>650</v>
      </c>
      <c r="K25" s="9" t="str">
        <f aca="false">INDEX(Articles!$H$2:$H$148,MATCH(C25,Articles!$A$2:$A$148,0))</f>
        <v>Estimé</v>
      </c>
      <c r="L25" s="9" t="str">
        <f aca="false">INDEX(Articles!$F$2:$F$148,MATCH(C25,Articles!$A$2:$A$148,0))</f>
        <v>Estimé</v>
      </c>
      <c r="M25" s="17"/>
      <c r="N25" s="9" t="s">
        <v>167</v>
      </c>
    </row>
    <row r="26" customFormat="false" ht="15" hidden="false" customHeight="false" outlineLevel="0" collapsed="false">
      <c r="A26" s="9" t="s">
        <v>758</v>
      </c>
      <c r="B26" s="9" t="s">
        <v>759</v>
      </c>
      <c r="C26" s="31" t="s">
        <v>376</v>
      </c>
      <c r="D26" s="9" t="str">
        <f aca="false">INDEX(Articles!$C$2:$C$148,MATCH(C26,Articles!$A$2:$A$148,0))</f>
        <v>Paquet de copies doubles grand format</v>
      </c>
      <c r="E26" s="9" t="str">
        <f aca="false">INDEX(Articles!$B$2:$B$148,MATCH(C26,Articles!$A$2:$A$148,0))</f>
        <v>À préciser</v>
      </c>
      <c r="F26" s="31" t="n">
        <v>1</v>
      </c>
      <c r="G26" s="45" t="n">
        <f aca="false">IF(INDEX(Articles!$G$2:$G$148,MATCH(C26,Articles!$A$2:$A$148,0))="","",INDEX(Articles!$G$2:$G$148,MATCH(C26,Articles!$A$2:$A$148,0)))</f>
        <v>1800</v>
      </c>
      <c r="H26" s="13" t="n">
        <f aca="false">IF(G26="",0,F26*G26)</f>
        <v>1800</v>
      </c>
      <c r="I26" s="13" t="n">
        <f aca="false">IF(INDEX(Articles!$E$2:$E$148,MATCH(C26,Articles!$A$2:$A$148,0))="","",INDEX(Articles!$E$2:$E$148,MATCH(C26,Articles!$A$2:$A$148,0)))</f>
        <v>1300</v>
      </c>
      <c r="J26" s="13" t="n">
        <f aca="false">IF(I26="","",F26*I26)</f>
        <v>1300</v>
      </c>
      <c r="K26" s="9" t="str">
        <f aca="false">INDEX(Articles!$H$2:$H$148,MATCH(C26,Articles!$A$2:$A$148,0))</f>
        <v>Fixé</v>
      </c>
      <c r="L26" s="9" t="str">
        <f aca="false">INDEX(Articles!$F$2:$F$148,MATCH(C26,Articles!$A$2:$A$148,0))</f>
        <v>Confirmé</v>
      </c>
      <c r="M26" s="17"/>
      <c r="N26" s="9" t="s">
        <v>167</v>
      </c>
    </row>
    <row r="27" customFormat="false" ht="15" hidden="false" customHeight="false" outlineLevel="0" collapsed="false">
      <c r="D27" s="32" t="s">
        <v>683</v>
      </c>
      <c r="E27" s="32"/>
      <c r="F27" s="32"/>
      <c r="G27" s="32"/>
      <c r="H27" s="33" t="n">
        <f aca="false">COUNTIF(G6:G26,"")</f>
        <v>0</v>
      </c>
    </row>
    <row r="28" customFormat="false" ht="15" hidden="false" customHeight="false" outlineLevel="0" collapsed="false">
      <c r="D28" s="32" t="s">
        <v>684</v>
      </c>
      <c r="E28" s="32"/>
      <c r="F28" s="32"/>
      <c r="G28" s="32"/>
      <c r="H28" s="33" t="n">
        <f aca="false">SUM(H6:H26)</f>
        <v>11550</v>
      </c>
    </row>
    <row r="29" customFormat="false" ht="15" hidden="false" customHeight="false" outlineLevel="0" collapsed="false">
      <c r="D29" s="32" t="s">
        <v>28</v>
      </c>
      <c r="E29" s="32"/>
      <c r="F29" s="32"/>
      <c r="G29" s="32"/>
      <c r="H29" s="33" t="n">
        <f aca="false">SUM(J6:J26)</f>
        <v>8135</v>
      </c>
    </row>
    <row r="30" customFormat="false" ht="15" hidden="false" customHeight="false" outlineLevel="0" collapsed="false">
      <c r="D30" s="32" t="s">
        <v>685</v>
      </c>
      <c r="E30" s="32"/>
      <c r="F30" s="32"/>
      <c r="G30" s="32"/>
      <c r="H30" s="33" t="n">
        <f aca="false">COUNTIF(I6:I26,"")</f>
        <v>2</v>
      </c>
    </row>
    <row r="31" customFormat="false" ht="15" hidden="false" customHeight="false" outlineLevel="0" collapsed="false">
      <c r="D31" s="32" t="s">
        <v>686</v>
      </c>
      <c r="E31" s="32"/>
      <c r="F31" s="32"/>
      <c r="G31" s="32"/>
      <c r="H31" s="33" t="n">
        <f aca="false">SUMPRODUCT((I6:I26&lt;&gt;"")*H6:H26)-H29</f>
        <v>2940</v>
      </c>
    </row>
    <row r="32" customFormat="false" ht="15" hidden="false" customHeight="false" outlineLevel="0" collapsed="false">
      <c r="D32" s="32" t="s">
        <v>687</v>
      </c>
      <c r="E32" s="32"/>
      <c r="F32" s="32"/>
      <c r="G32" s="32"/>
      <c r="H32" s="33" t="n">
        <f aca="false">SUMIF(A6:A26,"Cahiers",F6:F26)</f>
        <v>11</v>
      </c>
    </row>
    <row r="33" customFormat="false" ht="15" hidden="false" customHeight="false" outlineLevel="0" collapsed="false">
      <c r="D33" s="32" t="s">
        <v>688</v>
      </c>
      <c r="E33" s="32"/>
      <c r="F33" s="32"/>
      <c r="G33" s="32"/>
      <c r="H33" s="34" t="n">
        <f aca="false">IF(H28=0,0,SUMIF(K6:K26,"&lt;&gt;Fixé",H6:H26)/H28)</f>
        <v>0.569264069264069</v>
      </c>
    </row>
    <row r="34" customFormat="false" ht="15" hidden="false" customHeight="false" outlineLevel="0" collapsed="false">
      <c r="D34" s="32" t="s">
        <v>689</v>
      </c>
      <c r="E34" s="32"/>
      <c r="F34" s="32"/>
      <c r="G34" s="32"/>
      <c r="H34" s="33" t="str">
        <f aca="false">IF(H27&gt;0,"Total incomplet : "&amp;H27&amp;" prix de vente à fournir",IF(H30&gt;0,"Coût incomplet : "&amp;H30&amp;" ligne(s) sans prix d'achat","Complet"))</f>
        <v>Coût incomplet : 2 ligne(s) sans prix d'achat</v>
      </c>
    </row>
    <row r="36" customFormat="false" ht="15" hidden="false" customHeight="false" outlineLevel="0" collapsed="false">
      <c r="D36" s="35" t="s">
        <v>690</v>
      </c>
    </row>
    <row r="37" customFormat="false" ht="15" hidden="false" customHeight="false" outlineLevel="0" collapsed="false">
      <c r="A37" s="36" t="s">
        <v>760</v>
      </c>
      <c r="B37" s="36" t="s">
        <v>761</v>
      </c>
      <c r="C37" s="31" t="s">
        <v>478</v>
      </c>
      <c r="D37" s="36" t="str">
        <f aca="false">INDEX(Articles!$C$2:$C$148,MATCH(C37,Articles!$A$2:$A$148,0))</f>
        <v>Le Pagne noir (Bernard Dadié)</v>
      </c>
      <c r="E37" s="37"/>
      <c r="F37" s="37"/>
      <c r="G37" s="38" t="n">
        <f aca="false">INDEX(Articles!$G$2:$G$148,MATCH(C37,Articles!$A$2:$A$148,0))</f>
        <v>3500</v>
      </c>
      <c r="H37" s="37"/>
      <c r="I37" s="37"/>
      <c r="J37" s="37"/>
      <c r="K37" s="37"/>
      <c r="L37" s="37"/>
      <c r="M37" s="37"/>
      <c r="N37" s="39" t="s">
        <v>271</v>
      </c>
    </row>
    <row r="38" customFormat="false" ht="15" hidden="false" customHeight="false" outlineLevel="0" collapsed="false">
      <c r="D38" s="40" t="s">
        <v>695</v>
      </c>
      <c r="H38" s="33" t="n">
        <f aca="false">H28+SUM(G37:G37)</f>
        <v>15050</v>
      </c>
    </row>
    <row r="39" customFormat="false" ht="15" hidden="false" customHeight="false" outlineLevel="0" collapsed="false">
      <c r="D39" s="21" t="s">
        <v>696</v>
      </c>
      <c r="E39" s="21" t="str">
        <f aca="false">INDEX(Articles!$C$2:$C$148,MATCH("S020",Articles!$A$2:$A$148,0))</f>
        <v>Sac à dos bleu marine</v>
      </c>
      <c r="H39" s="41" t="n">
        <f aca="false">INDEX(Articles!$G$2:$G$148,MATCH("S020",Articles!$A$2:$A$148,0))</f>
        <v>7000</v>
      </c>
    </row>
    <row r="40" customFormat="false" ht="15" hidden="false" customHeight="false" outlineLevel="0" collapsed="false">
      <c r="D40" s="42" t="s">
        <v>697</v>
      </c>
      <c r="E40" s="44" t="s">
        <v>711</v>
      </c>
    </row>
    <row r="43" customFormat="false" ht="15" hidden="false" customHeight="false" outlineLevel="0" collapsed="false">
      <c r="A43" s="28" t="s">
        <v>762</v>
      </c>
      <c r="B43" s="29"/>
      <c r="C43" s="29"/>
      <c r="D43" s="29"/>
      <c r="E43" s="29"/>
      <c r="F43" s="29"/>
      <c r="G43" s="29"/>
      <c r="H43" s="29"/>
      <c r="I43" s="29"/>
      <c r="J43" s="29"/>
      <c r="K43" s="29"/>
      <c r="L43" s="29"/>
      <c r="M43" s="29"/>
      <c r="N43" s="29"/>
    </row>
    <row r="44" customFormat="false" ht="39.55" hidden="false" customHeight="false" outlineLevel="0" collapsed="false">
      <c r="A44" s="30" t="s">
        <v>663</v>
      </c>
      <c r="B44" s="30" t="s">
        <v>664</v>
      </c>
      <c r="C44" s="30" t="s">
        <v>348</v>
      </c>
      <c r="D44" s="30" t="s">
        <v>350</v>
      </c>
      <c r="E44" s="30" t="s">
        <v>349</v>
      </c>
      <c r="F44" s="30" t="s">
        <v>665</v>
      </c>
      <c r="G44" s="30" t="s">
        <v>666</v>
      </c>
      <c r="H44" s="30" t="s">
        <v>667</v>
      </c>
      <c r="I44" s="30" t="s">
        <v>668</v>
      </c>
      <c r="J44" s="30" t="s">
        <v>669</v>
      </c>
      <c r="K44" s="30" t="s">
        <v>355</v>
      </c>
      <c r="L44" s="30" t="s">
        <v>353</v>
      </c>
      <c r="M44" s="30" t="s">
        <v>356</v>
      </c>
      <c r="N44" s="30" t="s">
        <v>670</v>
      </c>
    </row>
    <row r="45" customFormat="false" ht="15" hidden="false" customHeight="false" outlineLevel="0" collapsed="false">
      <c r="A45" s="9" t="s">
        <v>671</v>
      </c>
      <c r="B45" s="9" t="s">
        <v>737</v>
      </c>
      <c r="C45" s="31" t="s">
        <v>213</v>
      </c>
      <c r="D45" s="9" t="str">
        <f aca="false">INDEX(Articles!$C$2:$C$148,MATCH(C45,Articles!$A$2:$A$148,0))</f>
        <v>Cahier Calligraphe 192 pages 24x32 (grand format)</v>
      </c>
      <c r="E45" s="9" t="str">
        <f aca="false">INDEX(Articles!$B$2:$B$148,MATCH(C45,Articles!$A$2:$A$148,0))</f>
        <v>Papex</v>
      </c>
      <c r="F45" s="31" t="n">
        <v>1</v>
      </c>
      <c r="G45" s="13" t="n">
        <f aca="false">IF(INDEX(Articles!$G$2:$G$148,MATCH(C45,Articles!$A$2:$A$148,0))="","",INDEX(Articles!$G$2:$G$148,MATCH(C45,Articles!$A$2:$A$148,0)))</f>
        <v>1650</v>
      </c>
      <c r="H45" s="13" t="n">
        <f aca="false">IF(G45="",0,F45*G45)</f>
        <v>1650</v>
      </c>
      <c r="I45" s="13" t="n">
        <f aca="false">IF(INDEX(Articles!$E$2:$E$148,MATCH(C45,Articles!$A$2:$A$148,0))="","",INDEX(Articles!$E$2:$E$148,MATCH(C45,Articles!$A$2:$A$148,0)))</f>
        <v>1500</v>
      </c>
      <c r="J45" s="13" t="n">
        <f aca="false">IF(I45="","",F45*I45)</f>
        <v>1500</v>
      </c>
      <c r="K45" s="9" t="str">
        <f aca="false">INDEX(Articles!$H$2:$H$148,MATCH(C45,Articles!$A$2:$A$148,0))</f>
        <v>Fixé</v>
      </c>
      <c r="L45" s="9" t="str">
        <f aca="false">INDEX(Articles!$F$2:$F$148,MATCH(C45,Articles!$A$2:$A$148,0))</f>
        <v>Confirmé</v>
      </c>
      <c r="M45" s="17"/>
      <c r="N45" s="9" t="s">
        <v>167</v>
      </c>
    </row>
    <row r="46" customFormat="false" ht="15" hidden="false" customHeight="false" outlineLevel="0" collapsed="false">
      <c r="A46" s="9" t="s">
        <v>671</v>
      </c>
      <c r="B46" s="9" t="s">
        <v>739</v>
      </c>
      <c r="C46" s="31" t="s">
        <v>192</v>
      </c>
      <c r="D46" s="9" t="str">
        <f aca="false">INDEX(Articles!$C$2:$C$148,MATCH(C46,Articles!$A$2:$A$148,0))</f>
        <v>Cahier Calligraphe 192 pages 17x22 90 g seyès</v>
      </c>
      <c r="E46" s="9" t="str">
        <f aca="false">INDEX(Articles!$B$2:$B$148,MATCH(C46,Articles!$A$2:$A$148,0))</f>
        <v>Papex</v>
      </c>
      <c r="F46" s="31" t="n">
        <v>1</v>
      </c>
      <c r="G46" s="13" t="n">
        <f aca="false">IF(INDEX(Articles!$G$2:$G$148,MATCH(C46,Articles!$A$2:$A$148,0))="","",INDEX(Articles!$G$2:$G$148,MATCH(C46,Articles!$A$2:$A$148,0)))</f>
        <v>900</v>
      </c>
      <c r="H46" s="13" t="n">
        <f aca="false">IF(G46="",0,F46*G46)</f>
        <v>900</v>
      </c>
      <c r="I46" s="13" t="n">
        <f aca="false">IF(INDEX(Articles!$E$2:$E$148,MATCH(C46,Articles!$A$2:$A$148,0))="","",INDEX(Articles!$E$2:$E$148,MATCH(C46,Articles!$A$2:$A$148,0)))</f>
        <v>800</v>
      </c>
      <c r="J46" s="13" t="n">
        <f aca="false">IF(I46="","",F46*I46)</f>
        <v>800</v>
      </c>
      <c r="K46" s="9" t="str">
        <f aca="false">INDEX(Articles!$H$2:$H$148,MATCH(C46,Articles!$A$2:$A$148,0))</f>
        <v>Fixé</v>
      </c>
      <c r="L46" s="9" t="str">
        <f aca="false">INDEX(Articles!$F$2:$F$148,MATCH(C46,Articles!$A$2:$A$148,0))</f>
        <v>Confirmé</v>
      </c>
      <c r="M46" s="17"/>
      <c r="N46" s="9" t="s">
        <v>167</v>
      </c>
    </row>
    <row r="47" customFormat="false" ht="15" hidden="false" customHeight="false" outlineLevel="0" collapsed="false">
      <c r="A47" s="9" t="s">
        <v>671</v>
      </c>
      <c r="B47" s="9" t="s">
        <v>740</v>
      </c>
      <c r="C47" s="31" t="s">
        <v>192</v>
      </c>
      <c r="D47" s="9" t="str">
        <f aca="false">INDEX(Articles!$C$2:$C$148,MATCH(C47,Articles!$A$2:$A$148,0))</f>
        <v>Cahier Calligraphe 192 pages 17x22 90 g seyès</v>
      </c>
      <c r="E47" s="9" t="str">
        <f aca="false">INDEX(Articles!$B$2:$B$148,MATCH(C47,Articles!$A$2:$A$148,0))</f>
        <v>Papex</v>
      </c>
      <c r="F47" s="31" t="n">
        <v>2</v>
      </c>
      <c r="G47" s="13" t="n">
        <f aca="false">IF(INDEX(Articles!$G$2:$G$148,MATCH(C47,Articles!$A$2:$A$148,0))="","",INDEX(Articles!$G$2:$G$148,MATCH(C47,Articles!$A$2:$A$148,0)))</f>
        <v>900</v>
      </c>
      <c r="H47" s="13" t="n">
        <f aca="false">IF(G47="",0,F47*G47)</f>
        <v>1800</v>
      </c>
      <c r="I47" s="13" t="n">
        <f aca="false">IF(INDEX(Articles!$E$2:$E$148,MATCH(C47,Articles!$A$2:$A$148,0))="","",INDEX(Articles!$E$2:$E$148,MATCH(C47,Articles!$A$2:$A$148,0)))</f>
        <v>800</v>
      </c>
      <c r="J47" s="13" t="n">
        <f aca="false">IF(I47="","",F47*I47)</f>
        <v>1600</v>
      </c>
      <c r="K47" s="9" t="str">
        <f aca="false">INDEX(Articles!$H$2:$H$148,MATCH(C47,Articles!$A$2:$A$148,0))</f>
        <v>Fixé</v>
      </c>
      <c r="L47" s="9" t="str">
        <f aca="false">INDEX(Articles!$F$2:$F$148,MATCH(C47,Articles!$A$2:$A$148,0))</f>
        <v>Confirmé</v>
      </c>
      <c r="M47" s="17"/>
      <c r="N47" s="9" t="s">
        <v>167</v>
      </c>
    </row>
    <row r="48" customFormat="false" ht="15" hidden="false" customHeight="false" outlineLevel="0" collapsed="false">
      <c r="A48" s="9" t="s">
        <v>671</v>
      </c>
      <c r="B48" s="9" t="s">
        <v>741</v>
      </c>
      <c r="C48" s="31" t="s">
        <v>366</v>
      </c>
      <c r="D48" s="9" t="str">
        <f aca="false">INDEX(Articles!$C$2:$C$148,MATCH(C48,Articles!$A$2:$A$148,0))</f>
        <v>Cahier Calligraphe 140 pages 17x22 90 g seyès</v>
      </c>
      <c r="E48" s="9" t="str">
        <f aca="false">INDEX(Articles!$B$2:$B$148,MATCH(C48,Articles!$A$2:$A$148,0))</f>
        <v>Papex</v>
      </c>
      <c r="F48" s="31" t="n">
        <v>1</v>
      </c>
      <c r="G48" s="13" t="n">
        <f aca="false">IF(INDEX(Articles!$G$2:$G$148,MATCH(C48,Articles!$A$2:$A$148,0))="","",INDEX(Articles!$G$2:$G$148,MATCH(C48,Articles!$A$2:$A$148,0)))</f>
        <v>750</v>
      </c>
      <c r="H48" s="13" t="n">
        <f aca="false">IF(G48="",0,F48*G48)</f>
        <v>750</v>
      </c>
      <c r="I48" s="13" t="n">
        <f aca="false">IF(INDEX(Articles!$E$2:$E$148,MATCH(C48,Articles!$A$2:$A$148,0))="","",INDEX(Articles!$E$2:$E$148,MATCH(C48,Articles!$A$2:$A$148,0)))</f>
        <v>650</v>
      </c>
      <c r="J48" s="13" t="n">
        <f aca="false">IF(I48="","",F48*I48)</f>
        <v>650</v>
      </c>
      <c r="K48" s="9" t="str">
        <f aca="false">INDEX(Articles!$H$2:$H$148,MATCH(C48,Articles!$A$2:$A$148,0))</f>
        <v>Fixé</v>
      </c>
      <c r="L48" s="9" t="str">
        <f aca="false">INDEX(Articles!$F$2:$F$148,MATCH(C48,Articles!$A$2:$A$148,0))</f>
        <v>Estimé</v>
      </c>
      <c r="M48" s="17" t="s">
        <v>763</v>
      </c>
      <c r="N48" s="9" t="s">
        <v>167</v>
      </c>
    </row>
    <row r="49" customFormat="false" ht="15" hidden="false" customHeight="false" outlineLevel="0" collapsed="false">
      <c r="A49" s="9" t="s">
        <v>671</v>
      </c>
      <c r="B49" s="9" t="s">
        <v>742</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743</v>
      </c>
      <c r="C50" s="31" t="s">
        <v>366</v>
      </c>
      <c r="D50" s="9" t="str">
        <f aca="false">INDEX(Articles!$C$2:$C$148,MATCH(C50,Articles!$A$2:$A$148,0))</f>
        <v>Cahier Calligraphe 140 pages 17x22 90 g seyès</v>
      </c>
      <c r="E50" s="9" t="str">
        <f aca="false">INDEX(Articles!$B$2:$B$148,MATCH(C50,Articles!$A$2:$A$148,0))</f>
        <v>Papex</v>
      </c>
      <c r="F50" s="31" t="n">
        <v>1</v>
      </c>
      <c r="G50" s="13" t="n">
        <f aca="false">IF(INDEX(Articles!$G$2:$G$148,MATCH(C50,Articles!$A$2:$A$148,0))="","",INDEX(Articles!$G$2:$G$148,MATCH(C50,Articles!$A$2:$A$148,0)))</f>
        <v>750</v>
      </c>
      <c r="H50" s="13" t="n">
        <f aca="false">IF(G50="",0,F50*G50)</f>
        <v>750</v>
      </c>
      <c r="I50" s="13" t="n">
        <f aca="false">IF(INDEX(Articles!$E$2:$E$148,MATCH(C50,Articles!$A$2:$A$148,0))="","",INDEX(Articles!$E$2:$E$148,MATCH(C50,Articles!$A$2:$A$148,0)))</f>
        <v>650</v>
      </c>
      <c r="J50" s="13" t="n">
        <f aca="false">IF(I50="","",F50*I50)</f>
        <v>650</v>
      </c>
      <c r="K50" s="9" t="str">
        <f aca="false">INDEX(Articles!$H$2:$H$148,MATCH(C50,Articles!$A$2:$A$148,0))</f>
        <v>Fixé</v>
      </c>
      <c r="L50" s="9" t="str">
        <f aca="false">INDEX(Articles!$F$2:$F$148,MATCH(C50,Articles!$A$2:$A$148,0))</f>
        <v>Estimé</v>
      </c>
      <c r="M50" s="17" t="s">
        <v>763</v>
      </c>
      <c r="N50" s="9" t="s">
        <v>167</v>
      </c>
    </row>
    <row r="51" customFormat="false" ht="15" hidden="false" customHeight="false" outlineLevel="0" collapsed="false">
      <c r="A51" s="9" t="s">
        <v>671</v>
      </c>
      <c r="B51" s="9" t="s">
        <v>744</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745</v>
      </c>
      <c r="C52" s="31" t="s">
        <v>213</v>
      </c>
      <c r="D52" s="9" t="str">
        <f aca="false">INDEX(Articles!$C$2:$C$148,MATCH(C52,Articles!$A$2:$A$148,0))</f>
        <v>Cahier Calligraphe 192 pages 24x32 (grand format)</v>
      </c>
      <c r="E52" s="9" t="str">
        <f aca="false">INDEX(Articles!$B$2:$B$148,MATCH(C52,Articles!$A$2:$A$148,0))</f>
        <v>Papex</v>
      </c>
      <c r="F52" s="31" t="n">
        <v>1</v>
      </c>
      <c r="G52" s="13" t="n">
        <f aca="false">IF(INDEX(Articles!$G$2:$G$148,MATCH(C52,Articles!$A$2:$A$148,0))="","",INDEX(Articles!$G$2:$G$148,MATCH(C52,Articles!$A$2:$A$148,0)))</f>
        <v>1650</v>
      </c>
      <c r="H52" s="13" t="n">
        <f aca="false">IF(G52="",0,F52*G52)</f>
        <v>1650</v>
      </c>
      <c r="I52" s="13" t="n">
        <f aca="false">IF(INDEX(Articles!$E$2:$E$148,MATCH(C52,Articles!$A$2:$A$148,0))="","",INDEX(Articles!$E$2:$E$148,MATCH(C52,Articles!$A$2:$A$148,0)))</f>
        <v>1500</v>
      </c>
      <c r="J52" s="13" t="n">
        <f aca="false">IF(I52="","",F52*I52)</f>
        <v>1500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746</v>
      </c>
      <c r="C53" s="31" t="s">
        <v>195</v>
      </c>
      <c r="D53" s="9" t="str">
        <f aca="false">INDEX(Articles!$C$2:$C$148,MATCH(C53,Articles!$A$2:$A$148,0))</f>
        <v>Cahier Calligraphe 96 pages 17x22 56 g seyès</v>
      </c>
      <c r="E53" s="9" t="str">
        <f aca="false">INDEX(Articles!$B$2:$B$148,MATCH(C53,Articles!$A$2:$A$148,0))</f>
        <v>Papex</v>
      </c>
      <c r="F53" s="31" t="n">
        <v>1</v>
      </c>
      <c r="G53" s="13" t="n">
        <f aca="false">IF(INDEX(Articles!$G$2:$G$148,MATCH(C53,Articles!$A$2:$A$148,0))="","",INDEX(Articles!$G$2:$G$148,MATCH(C53,Articles!$A$2:$A$148,0)))</f>
        <v>450</v>
      </c>
      <c r="H53" s="13" t="n">
        <f aca="false">IF(G53="",0,F53*G53)</f>
        <v>450</v>
      </c>
      <c r="I53" s="13" t="n">
        <f aca="false">IF(INDEX(Articles!$E$2:$E$148,MATCH(C53,Articles!$A$2:$A$148,0))="","",INDEX(Articles!$E$2:$E$148,MATCH(C53,Articles!$A$2:$A$148,0)))</f>
        <v>350</v>
      </c>
      <c r="J53" s="13" t="n">
        <f aca="false">IF(I53="","",F53*I53)</f>
        <v>350</v>
      </c>
      <c r="K53" s="9" t="str">
        <f aca="false">INDEX(Articles!$H$2:$H$148,MATCH(C53,Articles!$A$2:$A$148,0))</f>
        <v>Fixé</v>
      </c>
      <c r="L53" s="9" t="str">
        <f aca="false">INDEX(Articles!$F$2:$F$148,MATCH(C53,Articles!$A$2:$A$148,0))</f>
        <v>Confirmé</v>
      </c>
      <c r="M53" s="17" t="s">
        <v>764</v>
      </c>
      <c r="N53" s="9" t="s">
        <v>167</v>
      </c>
    </row>
    <row r="54" customFormat="false" ht="15" hidden="false" customHeight="false" outlineLevel="0" collapsed="false">
      <c r="A54" s="9" t="s">
        <v>671</v>
      </c>
      <c r="B54" s="9" t="s">
        <v>747</v>
      </c>
      <c r="C54" s="31" t="s">
        <v>366</v>
      </c>
      <c r="D54" s="9" t="str">
        <f aca="false">INDEX(Articles!$C$2:$C$148,MATCH(C54,Articles!$A$2:$A$148,0))</f>
        <v>Cahier Calligraphe 140 pages 17x22 90 g seyès</v>
      </c>
      <c r="E54" s="9" t="str">
        <f aca="false">INDEX(Articles!$B$2:$B$148,MATCH(C54,Articles!$A$2:$A$148,0))</f>
        <v>Papex</v>
      </c>
      <c r="F54" s="31" t="n">
        <v>1</v>
      </c>
      <c r="G54" s="13" t="n">
        <f aca="false">IF(INDEX(Articles!$G$2:$G$148,MATCH(C54,Articles!$A$2:$A$148,0))="","",INDEX(Articles!$G$2:$G$148,MATCH(C54,Articles!$A$2:$A$148,0)))</f>
        <v>750</v>
      </c>
      <c r="H54" s="13" t="n">
        <f aca="false">IF(G54="",0,F54*G54)</f>
        <v>750</v>
      </c>
      <c r="I54" s="13" t="n">
        <f aca="false">IF(INDEX(Articles!$E$2:$E$148,MATCH(C54,Articles!$A$2:$A$148,0))="","",INDEX(Articles!$E$2:$E$148,MATCH(C54,Articles!$A$2:$A$148,0)))</f>
        <v>650</v>
      </c>
      <c r="J54" s="13" t="n">
        <f aca="false">IF(I54="","",F54*I54)</f>
        <v>650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681</v>
      </c>
      <c r="B55" s="9" t="s">
        <v>748</v>
      </c>
      <c r="C55" s="31" t="s">
        <v>177</v>
      </c>
      <c r="D55" s="9" t="str">
        <f aca="false">INDEX(Articles!$C$2:$C$148,MATCH(C55,Articles!$A$2:$A$148,0))</f>
        <v>Cahier de dessin TPG</v>
      </c>
      <c r="E55" s="9" t="str">
        <f aca="false">INDEX(Articles!$B$2:$B$148,MATCH(C55,Articles!$A$2:$A$148,0))</f>
        <v>LPD</v>
      </c>
      <c r="F55" s="31" t="n">
        <v>1</v>
      </c>
      <c r="G55" s="13" t="n">
        <f aca="false">IF(INDEX(Articles!$G$2:$G$148,MATCH(C55,Articles!$A$2:$A$148,0))="","",INDEX(Articles!$G$2:$G$148,MATCH(C55,Articles!$A$2:$A$148,0)))</f>
        <v>550</v>
      </c>
      <c r="H55" s="13" t="n">
        <f aca="false">IF(G55="",0,F55*G55)</f>
        <v>550</v>
      </c>
      <c r="I55" s="13" t="str">
        <f aca="false">IF(INDEX(Articles!$E$2:$E$148,MATCH(C55,Articles!$A$2:$A$148,0))="","",INDEX(Articles!$E$2:$E$148,MATCH(C55,Articles!$A$2:$A$148,0)))</f>
        <v/>
      </c>
      <c r="J55" s="13" t="str">
        <f aca="false">IF(I55="","",F55*I55)</f>
        <v/>
      </c>
      <c r="K55" s="9" t="str">
        <f aca="false">INDEX(Articles!$H$2:$H$148,MATCH(C55,Articles!$A$2:$A$148,0))</f>
        <v>Fixé</v>
      </c>
      <c r="L55" s="9" t="str">
        <f aca="false">INDEX(Articles!$F$2:$F$148,MATCH(C55,Articles!$A$2:$A$148,0))</f>
        <v>Inconnu</v>
      </c>
      <c r="M55" s="17"/>
      <c r="N55" s="9" t="s">
        <v>167</v>
      </c>
    </row>
    <row r="56" customFormat="false" ht="15" hidden="false" customHeight="false" outlineLevel="0" collapsed="false">
      <c r="A56" s="9" t="s">
        <v>678</v>
      </c>
      <c r="B56" s="9" t="s">
        <v>749</v>
      </c>
      <c r="C56" s="31" t="s">
        <v>222</v>
      </c>
      <c r="D56" s="9" t="str">
        <f aca="false">INDEX(Articles!$C$2:$C$148,MATCH(C56,Articles!$A$2:$A$148,0))</f>
        <v>Pack de 4 stylos Schneider Tops 505 M (bleu, noir, rouge, vert)</v>
      </c>
      <c r="E56" s="9" t="str">
        <f aca="false">INDEX(Articles!$B$2:$B$148,MATCH(C56,Articles!$A$2:$A$148,0))</f>
        <v>Papex</v>
      </c>
      <c r="F56" s="31" t="n">
        <v>1</v>
      </c>
      <c r="G56" s="13" t="n">
        <f aca="false">IF(INDEX(Articles!$G$2:$G$148,MATCH(C56,Articles!$A$2:$A$148,0))="","",INDEX(Articles!$G$2:$G$148,MATCH(C56,Articles!$A$2:$A$148,0)))</f>
        <v>400</v>
      </c>
      <c r="H56" s="13" t="n">
        <f aca="false">IF(G56="",0,F56*G56)</f>
        <v>400</v>
      </c>
      <c r="I56" s="13" t="str">
        <f aca="false">IF(INDEX(Articles!$E$2:$E$148,MATCH(C56,Articles!$A$2:$A$148,0))="","",INDEX(Articles!$E$2:$E$148,MATCH(C56,Articles!$A$2:$A$148,0)))</f>
        <v/>
      </c>
      <c r="J56" s="13" t="str">
        <f aca="false">IF(I56="","",F56*I56)</f>
        <v/>
      </c>
      <c r="K56" s="9" t="str">
        <f aca="false">INDEX(Articles!$H$2:$H$148,MATCH(C56,Articles!$A$2:$A$148,0))</f>
        <v>Fixé</v>
      </c>
      <c r="L56" s="9" t="str">
        <f aca="false">INDEX(Articles!$F$2:$F$148,MATCH(C56,Articles!$A$2:$A$148,0))</f>
        <v>Inconnu</v>
      </c>
      <c r="M56" s="17" t="s">
        <v>432</v>
      </c>
      <c r="N56" s="9" t="s">
        <v>167</v>
      </c>
    </row>
    <row r="57" customFormat="false" ht="15" hidden="false" customHeight="false" outlineLevel="0" collapsed="false">
      <c r="A57" s="9" t="s">
        <v>678</v>
      </c>
      <c r="B57" s="9" t="s">
        <v>750</v>
      </c>
      <c r="C57" s="31" t="s">
        <v>235</v>
      </c>
      <c r="D57" s="9" t="str">
        <f aca="false">INDEX(Articles!$C$2:$C$148,MATCH(C57,Articles!$A$2:$A$148,0))</f>
        <v>Crayon papier (vendu à l'unité)</v>
      </c>
      <c r="E57" s="9" t="str">
        <f aca="false">INDEX(Articles!$B$2:$B$148,MATCH(C57,Articles!$A$2:$A$148,0))</f>
        <v>LPD</v>
      </c>
      <c r="F57" s="31" t="n">
        <v>1</v>
      </c>
      <c r="G57" s="13" t="n">
        <f aca="false">IF(INDEX(Articles!$G$2:$G$148,MATCH(C57,Articles!$A$2:$A$148,0))="","",INDEX(Articles!$G$2:$G$148,MATCH(C57,Articles!$A$2:$A$148,0)))</f>
        <v>75</v>
      </c>
      <c r="H57" s="13" t="n">
        <f aca="false">IF(G57="",0,F57*G57)</f>
        <v>75</v>
      </c>
      <c r="I57" s="13" t="str">
        <f aca="false">IF(INDEX(Articles!$E$2:$E$148,MATCH(C57,Articles!$A$2:$A$148,0))="","",INDEX(Articles!$E$2:$E$148,MATCH(C57,Articles!$A$2:$A$148,0)))</f>
        <v/>
      </c>
      <c r="J57" s="13" t="str">
        <f aca="false">IF(I57="","",F57*I57)</f>
        <v/>
      </c>
      <c r="K57" s="9" t="str">
        <f aca="false">INDEX(Articles!$H$2:$H$148,MATCH(C57,Articles!$A$2:$A$148,0))</f>
        <v>Fixé</v>
      </c>
      <c r="L57" s="9" t="str">
        <f aca="false">INDEX(Articles!$F$2:$F$148,MATCH(C57,Articles!$A$2:$A$148,0))</f>
        <v>Inconnu</v>
      </c>
      <c r="M57" s="17"/>
      <c r="N57" s="9" t="s">
        <v>167</v>
      </c>
    </row>
    <row r="58" customFormat="false" ht="15" hidden="false" customHeight="false" outlineLevel="0" collapsed="false">
      <c r="A58" s="9" t="s">
        <v>675</v>
      </c>
      <c r="B58" s="9" t="s">
        <v>717</v>
      </c>
      <c r="C58" s="31" t="s">
        <v>180</v>
      </c>
      <c r="D58" s="9" t="str">
        <f aca="false">INDEX(Articles!$C$2:$C$148,MATCH(C58,Articles!$A$2:$A$148,0))</f>
        <v>Gomme Staedtler Mars Plastic</v>
      </c>
      <c r="E58" s="9" t="str">
        <f aca="false">INDEX(Articles!$B$2:$B$148,MATCH(C58,Articles!$A$2:$A$148,0))</f>
        <v>LPD</v>
      </c>
      <c r="F58" s="31" t="n">
        <v>1</v>
      </c>
      <c r="G58" s="13" t="n">
        <f aca="false">IF(INDEX(Articles!$G$2:$G$148,MATCH(C58,Articles!$A$2:$A$148,0))="","",INDEX(Articles!$G$2:$G$148,MATCH(C58,Articles!$A$2:$A$148,0)))</f>
        <v>250</v>
      </c>
      <c r="H58" s="13" t="n">
        <f aca="false">IF(G58="",0,F58*G58)</f>
        <v>250</v>
      </c>
      <c r="I58" s="13" t="n">
        <f aca="false">IF(INDEX(Articles!$E$2:$E$148,MATCH(C58,Articles!$A$2:$A$148,0))="","",INDEX(Articles!$E$2:$E$148,MATCH(C58,Articles!$A$2:$A$148,0)))</f>
        <v>110</v>
      </c>
      <c r="J58" s="13" t="n">
        <f aca="false">IF(I58="","",F58*I58)</f>
        <v>110</v>
      </c>
      <c r="K58" s="9" t="str">
        <f aca="false">INDEX(Articles!$H$2:$H$148,MATCH(C58,Articles!$A$2:$A$148,0))</f>
        <v>Fixé</v>
      </c>
      <c r="L58" s="9" t="str">
        <f aca="false">INDEX(Articles!$F$2:$F$148,MATCH(C58,Articles!$A$2:$A$148,0))</f>
        <v>Estimé</v>
      </c>
      <c r="M58" s="17"/>
      <c r="N58" s="9" t="s">
        <v>167</v>
      </c>
    </row>
    <row r="59" customFormat="false" ht="15" hidden="false" customHeight="false" outlineLevel="0" collapsed="false">
      <c r="A59" s="9" t="s">
        <v>675</v>
      </c>
      <c r="B59" s="9" t="s">
        <v>751</v>
      </c>
      <c r="C59" s="31" t="s">
        <v>183</v>
      </c>
      <c r="D59" s="9" t="str">
        <f aca="false">INDEX(Articles!$C$2:$C$148,MATCH(C59,Articles!$A$2:$A$148,0))</f>
        <v>Taille-crayon avec réservoir Maped</v>
      </c>
      <c r="E59" s="9" t="str">
        <f aca="false">INDEX(Articles!$B$2:$B$148,MATCH(C59,Articles!$A$2:$A$148,0))</f>
        <v>Papex</v>
      </c>
      <c r="F59" s="31" t="n">
        <v>1</v>
      </c>
      <c r="G59" s="13" t="n">
        <f aca="false">IF(INDEX(Articles!$G$2:$G$148,MATCH(C59,Articles!$A$2:$A$148,0))="","",INDEX(Articles!$G$2:$G$148,MATCH(C59,Articles!$A$2:$A$148,0)))</f>
        <v>500</v>
      </c>
      <c r="H59" s="13" t="n">
        <f aca="false">IF(G59="",0,F59*G59)</f>
        <v>500</v>
      </c>
      <c r="I59" s="13" t="n">
        <f aca="false">IF(INDEX(Articles!$E$2:$E$148,MATCH(C59,Articles!$A$2:$A$148,0))="","",INDEX(Articles!$E$2:$E$148,MATCH(C59,Articles!$A$2:$A$148,0)))</f>
        <v>350</v>
      </c>
      <c r="J59" s="13" t="n">
        <f aca="false">IF(I59="","",F59*I59)</f>
        <v>350</v>
      </c>
      <c r="K59" s="9" t="str">
        <f aca="false">INDEX(Articles!$H$2:$H$148,MATCH(C59,Articles!$A$2:$A$148,0))</f>
        <v>Estimé</v>
      </c>
      <c r="L59" s="9" t="str">
        <f aca="false">INDEX(Articles!$F$2:$F$148,MATCH(C59,Articles!$A$2:$A$148,0))</f>
        <v>Estimé</v>
      </c>
      <c r="M59" s="17" t="s">
        <v>765</v>
      </c>
      <c r="N59" s="9" t="s">
        <v>167</v>
      </c>
    </row>
    <row r="60" customFormat="false" ht="15" hidden="false" customHeight="false" outlineLevel="0" collapsed="false">
      <c r="A60" s="9" t="s">
        <v>675</v>
      </c>
      <c r="B60" s="9" t="s">
        <v>753</v>
      </c>
      <c r="C60" s="31" t="s">
        <v>248</v>
      </c>
      <c r="D60" s="9" t="str">
        <f aca="false">INDEX(Articles!$C$2:$C$148,MATCH(C60,Articles!$A$2:$A$148,0))</f>
        <v>Bâton de colle Giotto 20 g</v>
      </c>
      <c r="E60" s="9" t="str">
        <f aca="false">INDEX(Articles!$B$2:$B$148,MATCH(C60,Articles!$A$2:$A$148,0))</f>
        <v>Papex</v>
      </c>
      <c r="F60" s="31" t="n">
        <v>1</v>
      </c>
      <c r="G60" s="13" t="n">
        <f aca="false">IF(INDEX(Articles!$G$2:$G$148,MATCH(C60,Articles!$A$2:$A$148,0))="","",INDEX(Articles!$G$2:$G$148,MATCH(C60,Articles!$A$2:$A$148,0)))</f>
        <v>900</v>
      </c>
      <c r="H60" s="13" t="n">
        <f aca="false">IF(G60="",0,F60*G60)</f>
        <v>900</v>
      </c>
      <c r="I60" s="13" t="n">
        <f aca="false">IF(INDEX(Articles!$E$2:$E$148,MATCH(C60,Articles!$A$2:$A$148,0))="","",INDEX(Articles!$E$2:$E$148,MATCH(C60,Articles!$A$2:$A$148,0)))</f>
        <v>650</v>
      </c>
      <c r="J60" s="13" t="n">
        <f aca="false">IF(I60="","",F60*I60)</f>
        <v>650</v>
      </c>
      <c r="K60" s="9" t="str">
        <f aca="false">INDEX(Articles!$H$2:$H$148,MATCH(C60,Articles!$A$2:$A$148,0))</f>
        <v>Estimé</v>
      </c>
      <c r="L60" s="9" t="str">
        <f aca="false">INDEX(Articles!$F$2:$F$148,MATCH(C60,Articles!$A$2:$A$148,0))</f>
        <v>Estimé</v>
      </c>
      <c r="M60" s="17"/>
      <c r="N60" s="9" t="s">
        <v>167</v>
      </c>
    </row>
    <row r="61" customFormat="false" ht="15" hidden="false" customHeight="false" outlineLevel="0" collapsed="false">
      <c r="A61" s="9" t="s">
        <v>675</v>
      </c>
      <c r="B61" s="9" t="s">
        <v>754</v>
      </c>
      <c r="C61" s="31" t="s">
        <v>189</v>
      </c>
      <c r="D61" s="9" t="str">
        <f aca="false">INDEX(Articles!$C$2:$C$148,MATCH(C61,Articles!$A$2:$A$148,0))</f>
        <v>Ciseaux Maped 13 cm Security</v>
      </c>
      <c r="E61" s="9" t="str">
        <f aca="false">INDEX(Articles!$B$2:$B$148,MATCH(C61,Articles!$A$2:$A$148,0))</f>
        <v>Papex</v>
      </c>
      <c r="F61" s="31" t="n">
        <v>1</v>
      </c>
      <c r="G61" s="13" t="n">
        <f aca="false">IF(INDEX(Articles!$G$2:$G$148,MATCH(C61,Articles!$A$2:$A$148,0))="","",INDEX(Articles!$G$2:$G$148,MATCH(C61,Articles!$A$2:$A$148,0)))</f>
        <v>900</v>
      </c>
      <c r="H61" s="13" t="n">
        <f aca="false">IF(G61="",0,F61*G61)</f>
        <v>900</v>
      </c>
      <c r="I61" s="13" t="n">
        <f aca="false">IF(INDEX(Articles!$E$2:$E$148,MATCH(C61,Articles!$A$2:$A$148,0))="","",INDEX(Articles!$E$2:$E$148,MATCH(C61,Articles!$A$2:$A$148,0)))</f>
        <v>650</v>
      </c>
      <c r="J61" s="13" t="n">
        <f aca="false">IF(I61="","",F61*I61)</f>
        <v>650</v>
      </c>
      <c r="K61" s="9" t="str">
        <f aca="false">INDEX(Articles!$H$2:$H$148,MATCH(C61,Articles!$A$2:$A$148,0))</f>
        <v>Estimé</v>
      </c>
      <c r="L61" s="9" t="str">
        <f aca="false">INDEX(Articles!$F$2:$F$148,MATCH(C61,Articles!$A$2:$A$148,0))</f>
        <v>Estimé</v>
      </c>
      <c r="M61" s="17"/>
      <c r="N61" s="9" t="s">
        <v>167</v>
      </c>
    </row>
    <row r="62" customFormat="false" ht="15" hidden="false" customHeight="false" outlineLevel="0" collapsed="false">
      <c r="A62" s="9" t="s">
        <v>676</v>
      </c>
      <c r="B62" s="9" t="s">
        <v>755</v>
      </c>
      <c r="C62" s="31" t="s">
        <v>215</v>
      </c>
      <c r="D62" s="9" t="str">
        <f aca="false">INDEX(Articles!$C$2:$C$148,MATCH(C62,Articles!$A$2:$A$148,0))</f>
        <v>Kit géométrie Maped 30 cm (réf. 1930)</v>
      </c>
      <c r="E62" s="9" t="str">
        <f aca="false">INDEX(Articles!$B$2:$B$148,MATCH(C62,Articles!$A$2:$A$148,0))</f>
        <v>LPD</v>
      </c>
      <c r="F62" s="31" t="n">
        <v>1</v>
      </c>
      <c r="G62" s="13" t="n">
        <f aca="false">IF(INDEX(Articles!$G$2:$G$148,MATCH(C62,Articles!$A$2:$A$148,0))="","",INDEX(Articles!$G$2:$G$148,MATCH(C62,Articles!$A$2:$A$148,0)))</f>
        <v>1800</v>
      </c>
      <c r="H62" s="13" t="n">
        <f aca="false">IF(G62="",0,F62*G62)</f>
        <v>1800</v>
      </c>
      <c r="I62" s="13" t="n">
        <f aca="false">IF(INDEX(Articles!$E$2:$E$148,MATCH(C62,Articles!$A$2:$A$148,0))="","",INDEX(Articles!$E$2:$E$148,MATCH(C62,Articles!$A$2:$A$148,0)))</f>
        <v>1500</v>
      </c>
      <c r="J62" s="13" t="n">
        <f aca="false">IF(I62="","",F62*I62)</f>
        <v>1500</v>
      </c>
      <c r="K62" s="9" t="str">
        <f aca="false">INDEX(Articles!$H$2:$H$148,MATCH(C62,Articles!$A$2:$A$148,0))</f>
        <v>À trancher</v>
      </c>
      <c r="L62" s="9" t="str">
        <f aca="false">INDEX(Articles!$F$2:$F$148,MATCH(C62,Articles!$A$2:$A$148,0))</f>
        <v>Confirmé</v>
      </c>
      <c r="M62" s="17"/>
      <c r="N62" s="9" t="s">
        <v>167</v>
      </c>
    </row>
    <row r="63" customFormat="false" ht="15" hidden="false" customHeight="false" outlineLevel="0" collapsed="false">
      <c r="A63" s="9" t="s">
        <v>676</v>
      </c>
      <c r="B63" s="9" t="s">
        <v>756</v>
      </c>
      <c r="C63" s="31" t="s">
        <v>171</v>
      </c>
      <c r="D63" s="9" t="str">
        <f aca="false">INDEX(Articles!$C$2:$C$148,MATCH(C63,Articles!$A$2:$A$148,0))</f>
        <v>Compas Maped</v>
      </c>
      <c r="E63" s="9" t="str">
        <f aca="false">INDEX(Articles!$B$2:$B$148,MATCH(C63,Articles!$A$2:$A$148,0))</f>
        <v>Papex</v>
      </c>
      <c r="F63" s="31" t="n">
        <v>1</v>
      </c>
      <c r="G63" s="13" t="n">
        <f aca="false">IF(INDEX(Articles!$G$2:$G$148,MATCH(C63,Articles!$A$2:$A$148,0))="","",INDEX(Articles!$G$2:$G$148,MATCH(C63,Articles!$A$2:$A$148,0)))</f>
        <v>2000</v>
      </c>
      <c r="H63" s="13" t="n">
        <f aca="false">IF(G63="",0,F63*G63)</f>
        <v>2000</v>
      </c>
      <c r="I63" s="13" t="n">
        <f aca="false">IF(INDEX(Articles!$E$2:$E$148,MATCH(C63,Articles!$A$2:$A$148,0))="","",INDEX(Articles!$E$2:$E$148,MATCH(C63,Articles!$A$2:$A$148,0)))</f>
        <v>1750</v>
      </c>
      <c r="J63" s="13" t="n">
        <f aca="false">IF(I63="","",F63*I63)</f>
        <v>1750</v>
      </c>
      <c r="K63" s="9" t="str">
        <f aca="false">INDEX(Articles!$H$2:$H$148,MATCH(C63,Articles!$A$2:$A$148,0))</f>
        <v>Fixé</v>
      </c>
      <c r="L63" s="9" t="str">
        <f aca="false">INDEX(Articles!$F$2:$F$148,MATCH(C63,Articles!$A$2:$A$148,0))</f>
        <v>Confirmé</v>
      </c>
      <c r="M63" s="17"/>
      <c r="N63" s="9" t="s">
        <v>167</v>
      </c>
    </row>
    <row r="64" customFormat="false" ht="15" hidden="false" customHeight="false" outlineLevel="0" collapsed="false">
      <c r="A64" s="9" t="s">
        <v>681</v>
      </c>
      <c r="B64" s="9" t="s">
        <v>757</v>
      </c>
      <c r="C64" s="31" t="s">
        <v>198</v>
      </c>
      <c r="D64" s="9" t="str">
        <f aca="false">INDEX(Articles!$C$2:$C$148,MATCH(C64,Articles!$A$2:$A$148,0))</f>
        <v>Crayons de couleur Maped, boîte de 12</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678</v>
      </c>
      <c r="B65" s="9" t="s">
        <v>766</v>
      </c>
      <c r="C65" s="31" t="s">
        <v>200</v>
      </c>
      <c r="D65" s="9" t="str">
        <f aca="false">INDEX(Articles!$C$2:$C$148,MATCH(C65,Articles!$A$2:$A$148,0))</f>
        <v>Surligneurs Maped Fluo Peps, pochette de 4</v>
      </c>
      <c r="E65" s="9" t="str">
        <f aca="false">INDEX(Articles!$B$2:$B$148,MATCH(C65,Articles!$A$2:$A$148,0))</f>
        <v>Papex</v>
      </c>
      <c r="F65" s="31" t="n">
        <v>1</v>
      </c>
      <c r="G65" s="13" t="n">
        <f aca="false">IF(INDEX(Articles!$G$2:$G$148,MATCH(C65,Articles!$A$2:$A$148,0))="","",INDEX(Articles!$G$2:$G$148,MATCH(C65,Articles!$A$2:$A$148,0)))</f>
        <v>2500</v>
      </c>
      <c r="H65" s="13" t="n">
        <f aca="false">IF(G65="",0,F65*G65)</f>
        <v>2500</v>
      </c>
      <c r="I65" s="13" t="n">
        <f aca="false">IF(INDEX(Articles!$E$2:$E$148,MATCH(C65,Articles!$A$2:$A$148,0))="","",INDEX(Articles!$E$2:$E$148,MATCH(C65,Articles!$A$2:$A$148,0)))</f>
        <v>2000</v>
      </c>
      <c r="J65" s="13" t="n">
        <f aca="false">IF(I65="","",F65*I65)</f>
        <v>2000</v>
      </c>
      <c r="K65" s="9" t="str">
        <f aca="false">INDEX(Articles!$H$2:$H$148,MATCH(C65,Articles!$A$2:$A$148,0))</f>
        <v>Estimé</v>
      </c>
      <c r="L65" s="9" t="str">
        <f aca="false">INDEX(Articles!$F$2:$F$148,MATCH(C65,Articles!$A$2:$A$148,0))</f>
        <v>Confirmé</v>
      </c>
      <c r="M65" s="17" t="s">
        <v>767</v>
      </c>
      <c r="N65" s="9" t="s">
        <v>167</v>
      </c>
    </row>
    <row r="66" customFormat="false" ht="15" hidden="false" customHeight="false" outlineLevel="0" collapsed="false">
      <c r="A66" s="9" t="s">
        <v>768</v>
      </c>
      <c r="B66" s="9" t="s">
        <v>769</v>
      </c>
      <c r="C66" s="31" t="s">
        <v>446</v>
      </c>
      <c r="D66" s="9" t="str">
        <f aca="false">INDEX(Articles!$C$2:$C$148,MATCH(C66,Articles!$A$2:$A$148,0))</f>
        <v>Chemise 3 rabats à élastique</v>
      </c>
      <c r="E66" s="9" t="str">
        <f aca="false">INDEX(Articles!$B$2:$B$148,MATCH(C66,Articles!$A$2:$A$148,0))</f>
        <v>Papex</v>
      </c>
      <c r="F66" s="31" t="n">
        <v>1</v>
      </c>
      <c r="G66" s="13" t="n">
        <f aca="false">IF(INDEX(Articles!$G$2:$G$148,MATCH(C66,Articles!$A$2:$A$148,0))="","",INDEX(Articles!$G$2:$G$148,MATCH(C66,Articles!$A$2:$A$148,0)))</f>
        <v>500</v>
      </c>
      <c r="H66" s="13" t="n">
        <f aca="false">IF(G66="",0,F66*G66)</f>
        <v>500</v>
      </c>
      <c r="I66" s="13" t="str">
        <f aca="false">IF(INDEX(Articles!$E$2:$E$148,MATCH(C66,Articles!$A$2:$A$148,0))="","",INDEX(Articles!$E$2:$E$148,MATCH(C66,Articles!$A$2:$A$148,0)))</f>
        <v/>
      </c>
      <c r="J66" s="13" t="str">
        <f aca="false">IF(I66="","",F66*I66)</f>
        <v/>
      </c>
      <c r="K66" s="9" t="str">
        <f aca="false">INDEX(Articles!$H$2:$H$148,MATCH(C66,Articles!$A$2:$A$148,0))</f>
        <v>Estimé</v>
      </c>
      <c r="L66" s="9" t="str">
        <f aca="false">INDEX(Articles!$F$2:$F$148,MATCH(C66,Articles!$A$2:$A$148,0))</f>
        <v>Inconnu</v>
      </c>
      <c r="M66" s="17" t="s">
        <v>770</v>
      </c>
      <c r="N66" s="9" t="s">
        <v>167</v>
      </c>
    </row>
    <row r="67" customFormat="false" ht="15" hidden="false" customHeight="false" outlineLevel="0" collapsed="false">
      <c r="A67" s="9" t="s">
        <v>758</v>
      </c>
      <c r="B67" s="9" t="s">
        <v>759</v>
      </c>
      <c r="C67" s="31" t="s">
        <v>376</v>
      </c>
      <c r="D67" s="9" t="str">
        <f aca="false">INDEX(Articles!$C$2:$C$148,MATCH(C67,Articles!$A$2:$A$148,0))</f>
        <v>Paquet de copies doubles grand format</v>
      </c>
      <c r="E67" s="9" t="str">
        <f aca="false">INDEX(Articles!$B$2:$B$148,MATCH(C67,Articles!$A$2:$A$148,0))</f>
        <v>À préciser</v>
      </c>
      <c r="F67" s="31" t="n">
        <v>1</v>
      </c>
      <c r="G67" s="45" t="n">
        <f aca="false">IF(INDEX(Articles!$G$2:$G$148,MATCH(C67,Articles!$A$2:$A$148,0))="","",INDEX(Articles!$G$2:$G$148,MATCH(C67,Articles!$A$2:$A$148,0)))</f>
        <v>1800</v>
      </c>
      <c r="H67" s="13" t="n">
        <f aca="false">IF(G67="",0,F67*G67)</f>
        <v>1800</v>
      </c>
      <c r="I67" s="13" t="n">
        <f aca="false">IF(INDEX(Articles!$E$2:$E$148,MATCH(C67,Articles!$A$2:$A$148,0))="","",INDEX(Articles!$E$2:$E$148,MATCH(C67,Articles!$A$2:$A$148,0)))</f>
        <v>1300</v>
      </c>
      <c r="J67" s="13" t="n">
        <f aca="false">IF(I67="","",F67*I67)</f>
        <v>1300</v>
      </c>
      <c r="K67" s="9" t="str">
        <f aca="false">INDEX(Articles!$H$2:$H$148,MATCH(C67,Articles!$A$2:$A$148,0))</f>
        <v>Fixé</v>
      </c>
      <c r="L67" s="9" t="str">
        <f aca="false">INDEX(Articles!$F$2:$F$148,MATCH(C67,Articles!$A$2:$A$148,0))</f>
        <v>Confirmé</v>
      </c>
      <c r="M67" s="17"/>
      <c r="N67" s="9" t="s">
        <v>167</v>
      </c>
    </row>
    <row r="68" customFormat="false" ht="15" hidden="false" customHeight="false" outlineLevel="0" collapsed="false">
      <c r="A68" s="9" t="s">
        <v>771</v>
      </c>
      <c r="B68" s="9" t="s">
        <v>772</v>
      </c>
      <c r="C68" s="31" t="s">
        <v>160</v>
      </c>
      <c r="D68" s="9" t="str">
        <f aca="false">INDEX(Articles!$C$2:$C$148,MATCH(C68,Articles!$A$2:$A$148,0))</f>
        <v>Protège-cahier couleur petit format (à l'unité)</v>
      </c>
      <c r="E68" s="9" t="str">
        <f aca="false">INDEX(Articles!$B$2:$B$148,MATCH(C68,Articles!$A$2:$A$148,0))</f>
        <v>LPD</v>
      </c>
      <c r="F68" s="31" t="n">
        <v>7</v>
      </c>
      <c r="G68" s="13" t="n">
        <f aca="false">IF(INDEX(Articles!$G$2:$G$148,MATCH(C68,Articles!$A$2:$A$148,0))="","",INDEX(Articles!$G$2:$G$148,MATCH(C68,Articles!$A$2:$A$148,0)))</f>
        <v>150</v>
      </c>
      <c r="H68" s="13" t="n">
        <f aca="false">IF(G68="",0,F68*G68)</f>
        <v>1050</v>
      </c>
      <c r="I68" s="13" t="str">
        <f aca="false">IF(INDEX(Articles!$E$2:$E$148,MATCH(C68,Articles!$A$2:$A$148,0))="","",INDEX(Articles!$E$2:$E$148,MATCH(C68,Articles!$A$2:$A$148,0)))</f>
        <v/>
      </c>
      <c r="J68" s="13" t="str">
        <f aca="false">IF(I68="","",F68*I68)</f>
        <v/>
      </c>
      <c r="K68" s="9" t="str">
        <f aca="false">INDEX(Articles!$H$2:$H$148,MATCH(C68,Articles!$A$2:$A$148,0))</f>
        <v>Fixé</v>
      </c>
      <c r="L68" s="9" t="str">
        <f aca="false">INDEX(Articles!$F$2:$F$148,MATCH(C68,Articles!$A$2:$A$148,0))</f>
        <v>Inconnu</v>
      </c>
      <c r="M68" s="17"/>
      <c r="N68" s="9" t="s">
        <v>167</v>
      </c>
    </row>
    <row r="69" customFormat="false" ht="15" hidden="false" customHeight="false" outlineLevel="0" collapsed="false">
      <c r="A69" s="9" t="s">
        <v>771</v>
      </c>
      <c r="B69" s="9" t="s">
        <v>773</v>
      </c>
      <c r="C69" s="31" t="s">
        <v>419</v>
      </c>
      <c r="D69" s="9" t="str">
        <f aca="false">INDEX(Articles!$C$2:$C$148,MATCH(C69,Articles!$A$2:$A$148,0))</f>
        <v>Protège-cahier grand format (à l'unité)</v>
      </c>
      <c r="E69" s="9" t="str">
        <f aca="false">INDEX(Articles!$B$2:$B$148,MATCH(C69,Articles!$A$2:$A$148,0))</f>
        <v>À préciser</v>
      </c>
      <c r="F69" s="31" t="n">
        <v>4</v>
      </c>
      <c r="G69" s="13" t="str">
        <f aca="false">IF(INDEX(Articles!$G$2:$G$148,MATCH(C69,Articles!$A$2:$A$148,0))="","",INDEX(Articles!$G$2:$G$148,MATCH(C69,Articles!$A$2:$A$148,0)))</f>
        <v/>
      </c>
      <c r="H69" s="13" t="n">
        <f aca="false">IF(G69="",0,F69*G69)</f>
        <v>0</v>
      </c>
      <c r="I69" s="13" t="str">
        <f aca="false">IF(INDEX(Articles!$E$2:$E$148,MATCH(C69,Articles!$A$2:$A$148,0))="","",INDEX(Articles!$E$2:$E$148,MATCH(C69,Articles!$A$2:$A$148,0)))</f>
        <v/>
      </c>
      <c r="J69" s="13" t="str">
        <f aca="false">IF(I69="","",F69*I69)</f>
        <v/>
      </c>
      <c r="K69" s="9" t="str">
        <f aca="false">INDEX(Articles!$H$2:$H$148,MATCH(C69,Articles!$A$2:$A$148,0))</f>
        <v>À fournir</v>
      </c>
      <c r="L69" s="9" t="str">
        <f aca="false">INDEX(Articles!$F$2:$F$148,MATCH(C69,Articles!$A$2:$A$148,0))</f>
        <v>Inconnu</v>
      </c>
      <c r="M69" s="17"/>
      <c r="N69" s="9" t="s">
        <v>167</v>
      </c>
    </row>
    <row r="70" customFormat="false" ht="15" hidden="false" customHeight="false" outlineLevel="0" collapsed="false">
      <c r="A70" s="9" t="s">
        <v>760</v>
      </c>
      <c r="B70" s="9" t="s">
        <v>761</v>
      </c>
      <c r="C70" s="31" t="s">
        <v>478</v>
      </c>
      <c r="D70" s="9" t="str">
        <f aca="false">INDEX(Articles!$C$2:$C$148,MATCH(C70,Articles!$A$2:$A$148,0))</f>
        <v>Le Pagne noir (Bernard Dadié)</v>
      </c>
      <c r="E70" s="9" t="str">
        <f aca="false">INDEX(Articles!$B$2:$B$148,MATCH(C70,Articles!$A$2:$A$148,0))</f>
        <v>LPD</v>
      </c>
      <c r="F70" s="31" t="n">
        <v>1</v>
      </c>
      <c r="G70" s="13" t="n">
        <f aca="false">IF(INDEX(Articles!$G$2:$G$148,MATCH(C70,Articles!$A$2:$A$148,0))="","",INDEX(Articles!$G$2:$G$148,MATCH(C70,Articles!$A$2:$A$148,0)))</f>
        <v>3500</v>
      </c>
      <c r="H70" s="13" t="n">
        <f aca="false">IF(G70="",0,F70*G70)</f>
        <v>3500</v>
      </c>
      <c r="I70" s="13" t="n">
        <f aca="false">IF(INDEX(Articles!$E$2:$E$148,MATCH(C70,Articles!$A$2:$A$148,0))="","",INDEX(Articles!$E$2:$E$148,MATCH(C70,Articles!$A$2:$A$148,0)))</f>
        <v>2500</v>
      </c>
      <c r="J70" s="13" t="n">
        <f aca="false">IF(I70="","",F70*I70)</f>
        <v>2500</v>
      </c>
      <c r="K70" s="9" t="str">
        <f aca="false">INDEX(Articles!$H$2:$H$148,MATCH(C70,Articles!$A$2:$A$148,0))</f>
        <v>Fixé</v>
      </c>
      <c r="L70" s="9" t="str">
        <f aca="false">INDEX(Articles!$F$2:$F$148,MATCH(C70,Articles!$A$2:$A$148,0))</f>
        <v>Estimé</v>
      </c>
      <c r="M70" s="17"/>
      <c r="N70" s="9" t="s">
        <v>167</v>
      </c>
    </row>
    <row r="71" customFormat="false" ht="15" hidden="false" customHeight="false" outlineLevel="0" collapsed="false">
      <c r="D71" s="32" t="s">
        <v>683</v>
      </c>
      <c r="E71" s="32"/>
      <c r="F71" s="32"/>
      <c r="G71" s="32"/>
      <c r="H71" s="33" t="n">
        <f aca="false">COUNTIF(G45:G70,"")</f>
        <v>1</v>
      </c>
    </row>
    <row r="72" customFormat="false" ht="15" hidden="false" customHeight="false" outlineLevel="0" collapsed="false">
      <c r="D72" s="32" t="s">
        <v>684</v>
      </c>
      <c r="E72" s="32"/>
      <c r="F72" s="32"/>
      <c r="G72" s="32"/>
      <c r="H72" s="33" t="n">
        <f aca="false">SUM(H45:H70)</f>
        <v>29625</v>
      </c>
    </row>
    <row r="73" customFormat="false" ht="15" hidden="false" customHeight="false" outlineLevel="0" collapsed="false">
      <c r="D73" s="32" t="s">
        <v>28</v>
      </c>
      <c r="E73" s="32"/>
      <c r="F73" s="32"/>
      <c r="G73" s="32"/>
      <c r="H73" s="33" t="n">
        <f aca="false">SUM(J45:J70)</f>
        <v>22160</v>
      </c>
    </row>
    <row r="74" customFormat="false" ht="15" hidden="false" customHeight="false" outlineLevel="0" collapsed="false">
      <c r="D74" s="32" t="s">
        <v>685</v>
      </c>
      <c r="E74" s="32"/>
      <c r="F74" s="32"/>
      <c r="G74" s="32"/>
      <c r="H74" s="33" t="n">
        <f aca="false">COUNTIF(I45:I70,"")</f>
        <v>6</v>
      </c>
    </row>
    <row r="75" customFormat="false" ht="15" hidden="false" customHeight="false" outlineLevel="0" collapsed="false">
      <c r="D75" s="32" t="s">
        <v>686</v>
      </c>
      <c r="E75" s="32"/>
      <c r="F75" s="32"/>
      <c r="G75" s="32"/>
      <c r="H75" s="33" t="n">
        <f aca="false">SUMPRODUCT((I45:I70&lt;&gt;"")*H45:H70)-H73</f>
        <v>4890</v>
      </c>
    </row>
    <row r="76" customFormat="false" ht="15" hidden="false" customHeight="false" outlineLevel="0" collapsed="false">
      <c r="D76" s="32" t="s">
        <v>687</v>
      </c>
      <c r="E76" s="32"/>
      <c r="F76" s="32"/>
      <c r="G76" s="32"/>
      <c r="H76" s="33" t="n">
        <f aca="false">SUMIF(A45:A70,"Cahiers",F45:F70)</f>
        <v>11</v>
      </c>
    </row>
    <row r="77" customFormat="false" ht="15" hidden="false" customHeight="false" outlineLevel="0" collapsed="false">
      <c r="D77" s="32" t="s">
        <v>688</v>
      </c>
      <c r="E77" s="32"/>
      <c r="F77" s="32"/>
      <c r="G77" s="32"/>
      <c r="H77" s="34" t="n">
        <f aca="false">IF(H72=0,0,SUMIF(K45:K70,"&lt;&gt;Fixé",H45:H70)/H72)</f>
        <v>0.270042194092827</v>
      </c>
    </row>
    <row r="78" customFormat="false" ht="15" hidden="false" customHeight="false" outlineLevel="0" collapsed="false">
      <c r="D78" s="32" t="s">
        <v>689</v>
      </c>
      <c r="E78" s="32"/>
      <c r="F78" s="32"/>
      <c r="G78" s="32"/>
      <c r="H78" s="33" t="str">
        <f aca="false">IF(H71&gt;0,"Total incomplet : "&amp;H71&amp;" prix de vente à fournir",IF(H74&gt;0,"Coût incomplet : "&amp;H74&amp;" ligne(s) sans prix d'achat","Complet"))</f>
        <v>Total incomplet : 1 prix de vente à fournir</v>
      </c>
    </row>
    <row r="79" customFormat="false" ht="15" hidden="false" customHeight="false" outlineLevel="0" collapsed="false">
      <c r="D79" s="21" t="s">
        <v>696</v>
      </c>
      <c r="E79" s="21" t="str">
        <f aca="false">INDEX(Articles!$C$2:$C$148,MATCH("S020",Articles!$A$2:$A$148,0))</f>
        <v>Sac à dos bleu marine</v>
      </c>
      <c r="H79" s="41" t="n">
        <f aca="false">INDEX(Articles!$G$2:$G$148,MATCH("S020",Articles!$A$2:$A$148,0))</f>
        <v>7000</v>
      </c>
    </row>
    <row r="80" customFormat="false" ht="15" hidden="false" customHeight="false" outlineLevel="0" collapsed="false">
      <c r="D80" s="42" t="s">
        <v>697</v>
      </c>
      <c r="E80" s="43" t="s">
        <v>774</v>
      </c>
    </row>
    <row r="81" customFormat="false" ht="15" hidden="false" customHeight="false" outlineLevel="0" collapsed="false">
      <c r="E81" s="43" t="s">
        <v>775</v>
      </c>
    </row>
    <row r="84" customFormat="false" ht="15" hidden="false" customHeight="false" outlineLevel="0" collapsed="false">
      <c r="A84" s="28" t="s">
        <v>776</v>
      </c>
      <c r="B84" s="29"/>
      <c r="C84" s="29"/>
      <c r="D84" s="29"/>
      <c r="E84" s="29"/>
      <c r="F84" s="29"/>
      <c r="G84" s="29"/>
      <c r="H84" s="29"/>
      <c r="I84" s="29"/>
      <c r="J84" s="29"/>
      <c r="K84" s="29"/>
      <c r="L84" s="29"/>
      <c r="M84" s="29"/>
      <c r="N84" s="29"/>
    </row>
    <row r="85" customFormat="false" ht="39.55" hidden="false" customHeight="false" outlineLevel="0" collapsed="false">
      <c r="A85" s="30" t="s">
        <v>663</v>
      </c>
      <c r="B85" s="30" t="s">
        <v>664</v>
      </c>
      <c r="C85" s="30" t="s">
        <v>348</v>
      </c>
      <c r="D85" s="30" t="s">
        <v>350</v>
      </c>
      <c r="E85" s="30" t="s">
        <v>349</v>
      </c>
      <c r="F85" s="30" t="s">
        <v>665</v>
      </c>
      <c r="G85" s="30" t="s">
        <v>666</v>
      </c>
      <c r="H85" s="30" t="s">
        <v>667</v>
      </c>
      <c r="I85" s="30" t="s">
        <v>668</v>
      </c>
      <c r="J85" s="30" t="s">
        <v>669</v>
      </c>
      <c r="K85" s="30" t="s">
        <v>355</v>
      </c>
      <c r="L85" s="30" t="s">
        <v>353</v>
      </c>
      <c r="M85" s="30" t="s">
        <v>356</v>
      </c>
      <c r="N85" s="30" t="s">
        <v>670</v>
      </c>
    </row>
    <row r="86" customFormat="false" ht="15" hidden="false" customHeight="false" outlineLevel="0" collapsed="false">
      <c r="A86" s="9" t="s">
        <v>671</v>
      </c>
      <c r="B86" s="9" t="s">
        <v>737</v>
      </c>
      <c r="C86" s="31" t="s">
        <v>213</v>
      </c>
      <c r="D86" s="9" t="str">
        <f aca="false">INDEX(Articles!$C$2:$C$148,MATCH(C86,Articles!$A$2:$A$148,0))</f>
        <v>Cahier Calligraphe 192 pages 24x32 (grand format)</v>
      </c>
      <c r="E86" s="9" t="str">
        <f aca="false">INDEX(Articles!$B$2:$B$148,MATCH(C86,Articles!$A$2:$A$148,0))</f>
        <v>Papex</v>
      </c>
      <c r="F86" s="31" t="n">
        <v>1</v>
      </c>
      <c r="G86" s="13" t="n">
        <f aca="false">IF(INDEX(Articles!$G$2:$G$148,MATCH(C86,Articles!$A$2:$A$148,0))="","",INDEX(Articles!$G$2:$G$148,MATCH(C86,Articles!$A$2:$A$148,0)))</f>
        <v>1650</v>
      </c>
      <c r="H86" s="13" t="n">
        <f aca="false">IF(G86="",0,F86*G86)</f>
        <v>1650</v>
      </c>
      <c r="I86" s="13" t="n">
        <f aca="false">IF(INDEX(Articles!$E$2:$E$148,MATCH(C86,Articles!$A$2:$A$148,0))="","",INDEX(Articles!$E$2:$E$148,MATCH(C86,Articles!$A$2:$A$148,0)))</f>
        <v>1500</v>
      </c>
      <c r="J86" s="13" t="n">
        <f aca="false">IF(I86="","",F86*I86)</f>
        <v>1500</v>
      </c>
      <c r="K86" s="9" t="str">
        <f aca="false">INDEX(Articles!$H$2:$H$148,MATCH(C86,Articles!$A$2:$A$148,0))</f>
        <v>Fixé</v>
      </c>
      <c r="L86" s="9" t="str">
        <f aca="false">INDEX(Articles!$F$2:$F$148,MATCH(C86,Articles!$A$2:$A$148,0))</f>
        <v>Confirmé</v>
      </c>
      <c r="M86" s="17"/>
      <c r="N86" s="9" t="s">
        <v>167</v>
      </c>
    </row>
    <row r="87" customFormat="false" ht="15" hidden="false" customHeight="false" outlineLevel="0" collapsed="false">
      <c r="A87" s="9" t="s">
        <v>671</v>
      </c>
      <c r="B87" s="9" t="s">
        <v>739</v>
      </c>
      <c r="C87" s="31" t="s">
        <v>192</v>
      </c>
      <c r="D87" s="9" t="str">
        <f aca="false">INDEX(Articles!$C$2:$C$148,MATCH(C87,Articles!$A$2:$A$148,0))</f>
        <v>Cahier Calligraphe 192 pages 17x22 90 g seyès</v>
      </c>
      <c r="E87" s="9" t="str">
        <f aca="false">INDEX(Articles!$B$2:$B$148,MATCH(C87,Articles!$A$2:$A$148,0))</f>
        <v>Papex</v>
      </c>
      <c r="F87" s="31" t="n">
        <v>1</v>
      </c>
      <c r="G87" s="13" t="n">
        <f aca="false">IF(INDEX(Articles!$G$2:$G$148,MATCH(C87,Articles!$A$2:$A$148,0))="","",INDEX(Articles!$G$2:$G$148,MATCH(C87,Articles!$A$2:$A$148,0)))</f>
        <v>900</v>
      </c>
      <c r="H87" s="13" t="n">
        <f aca="false">IF(G87="",0,F87*G87)</f>
        <v>900</v>
      </c>
      <c r="I87" s="13" t="n">
        <f aca="false">IF(INDEX(Articles!$E$2:$E$148,MATCH(C87,Articles!$A$2:$A$148,0))="","",INDEX(Articles!$E$2:$E$148,MATCH(C87,Articles!$A$2:$A$148,0)))</f>
        <v>800</v>
      </c>
      <c r="J87" s="13" t="n">
        <f aca="false">IF(I87="","",F87*I87)</f>
        <v>800</v>
      </c>
      <c r="K87" s="9" t="str">
        <f aca="false">INDEX(Articles!$H$2:$H$148,MATCH(C87,Articles!$A$2:$A$148,0))</f>
        <v>Fixé</v>
      </c>
      <c r="L87" s="9" t="str">
        <f aca="false">INDEX(Articles!$F$2:$F$148,MATCH(C87,Articles!$A$2:$A$148,0))</f>
        <v>Confirmé</v>
      </c>
      <c r="M87" s="17"/>
      <c r="N87" s="9" t="s">
        <v>167</v>
      </c>
    </row>
    <row r="88" customFormat="false" ht="15" hidden="false" customHeight="false" outlineLevel="0" collapsed="false">
      <c r="A88" s="9" t="s">
        <v>671</v>
      </c>
      <c r="B88" s="9" t="s">
        <v>740</v>
      </c>
      <c r="C88" s="31" t="s">
        <v>192</v>
      </c>
      <c r="D88" s="9" t="str">
        <f aca="false">INDEX(Articles!$C$2:$C$148,MATCH(C88,Articles!$A$2:$A$148,0))</f>
        <v>Cahier Calligraphe 192 pages 17x22 90 g seyès</v>
      </c>
      <c r="E88" s="9" t="str">
        <f aca="false">INDEX(Articles!$B$2:$B$148,MATCH(C88,Articles!$A$2:$A$148,0))</f>
        <v>Papex</v>
      </c>
      <c r="F88" s="31" t="n">
        <v>2</v>
      </c>
      <c r="G88" s="13" t="n">
        <f aca="false">IF(INDEX(Articles!$G$2:$G$148,MATCH(C88,Articles!$A$2:$A$148,0))="","",INDEX(Articles!$G$2:$G$148,MATCH(C88,Articles!$A$2:$A$148,0)))</f>
        <v>900</v>
      </c>
      <c r="H88" s="13" t="n">
        <f aca="false">IF(G88="",0,F88*G88)</f>
        <v>1800</v>
      </c>
      <c r="I88" s="13" t="n">
        <f aca="false">IF(INDEX(Articles!$E$2:$E$148,MATCH(C88,Articles!$A$2:$A$148,0))="","",INDEX(Articles!$E$2:$E$148,MATCH(C88,Articles!$A$2:$A$148,0)))</f>
        <v>800</v>
      </c>
      <c r="J88" s="13" t="n">
        <f aca="false">IF(I88="","",F88*I88)</f>
        <v>1600</v>
      </c>
      <c r="K88" s="9" t="str">
        <f aca="false">INDEX(Articles!$H$2:$H$148,MATCH(C88,Articles!$A$2:$A$148,0))</f>
        <v>Fixé</v>
      </c>
      <c r="L88" s="9" t="str">
        <f aca="false">INDEX(Articles!$F$2:$F$148,MATCH(C88,Articles!$A$2:$A$148,0))</f>
        <v>Confirmé</v>
      </c>
      <c r="M88" s="17"/>
      <c r="N88" s="9" t="s">
        <v>167</v>
      </c>
    </row>
    <row r="89" customFormat="false" ht="15" hidden="false" customHeight="false" outlineLevel="0" collapsed="false">
      <c r="A89" s="9" t="s">
        <v>671</v>
      </c>
      <c r="B89" s="9" t="s">
        <v>741</v>
      </c>
      <c r="C89" s="31" t="s">
        <v>366</v>
      </c>
      <c r="D89" s="9" t="str">
        <f aca="false">INDEX(Articles!$C$2:$C$148,MATCH(C89,Articles!$A$2:$A$148,0))</f>
        <v>Cahier Calligraphe 140 pages 17x22 90 g seyès</v>
      </c>
      <c r="E89" s="9" t="str">
        <f aca="false">INDEX(Articles!$B$2:$B$148,MATCH(C89,Articles!$A$2:$A$148,0))</f>
        <v>Papex</v>
      </c>
      <c r="F89" s="31" t="n">
        <v>1</v>
      </c>
      <c r="G89" s="13" t="n">
        <f aca="false">IF(INDEX(Articles!$G$2:$G$148,MATCH(C89,Articles!$A$2:$A$148,0))="","",INDEX(Articles!$G$2:$G$148,MATCH(C89,Articles!$A$2:$A$148,0)))</f>
        <v>750</v>
      </c>
      <c r="H89" s="13" t="n">
        <f aca="false">IF(G89="",0,F89*G89)</f>
        <v>750</v>
      </c>
      <c r="I89" s="13" t="n">
        <f aca="false">IF(INDEX(Articles!$E$2:$E$148,MATCH(C89,Articles!$A$2:$A$148,0))="","",INDEX(Articles!$E$2:$E$148,MATCH(C89,Articles!$A$2:$A$148,0)))</f>
        <v>650</v>
      </c>
      <c r="J89" s="13" t="n">
        <f aca="false">IF(I89="","",F89*I89)</f>
        <v>650</v>
      </c>
      <c r="K89" s="9" t="str">
        <f aca="false">INDEX(Articles!$H$2:$H$148,MATCH(C89,Articles!$A$2:$A$148,0))</f>
        <v>Fixé</v>
      </c>
      <c r="L89" s="9" t="str">
        <f aca="false">INDEX(Articles!$F$2:$F$148,MATCH(C89,Articles!$A$2:$A$148,0))</f>
        <v>Estimé</v>
      </c>
      <c r="M89" s="17" t="s">
        <v>763</v>
      </c>
      <c r="N89" s="9" t="s">
        <v>167</v>
      </c>
    </row>
    <row r="90" customFormat="false" ht="15" hidden="false" customHeight="false" outlineLevel="0" collapsed="false">
      <c r="A90" s="9" t="s">
        <v>671</v>
      </c>
      <c r="B90" s="9" t="s">
        <v>742</v>
      </c>
      <c r="C90" s="31" t="s">
        <v>213</v>
      </c>
      <c r="D90" s="9" t="str">
        <f aca="false">INDEX(Articles!$C$2:$C$148,MATCH(C90,Articles!$A$2:$A$148,0))</f>
        <v>Cahier Calligraphe 192 pages 24x32 (grand format)</v>
      </c>
      <c r="E90" s="9" t="str">
        <f aca="false">INDEX(Articles!$B$2:$B$148,MATCH(C90,Articles!$A$2:$A$148,0))</f>
        <v>Papex</v>
      </c>
      <c r="F90" s="31" t="n">
        <v>1</v>
      </c>
      <c r="G90" s="13" t="n">
        <f aca="false">IF(INDEX(Articles!$G$2:$G$148,MATCH(C90,Articles!$A$2:$A$148,0))="","",INDEX(Articles!$G$2:$G$148,MATCH(C90,Articles!$A$2:$A$148,0)))</f>
        <v>1650</v>
      </c>
      <c r="H90" s="13" t="n">
        <f aca="false">IF(G90="",0,F90*G90)</f>
        <v>1650</v>
      </c>
      <c r="I90" s="13" t="n">
        <f aca="false">IF(INDEX(Articles!$E$2:$E$148,MATCH(C90,Articles!$A$2:$A$148,0))="","",INDEX(Articles!$E$2:$E$148,MATCH(C90,Articles!$A$2:$A$148,0)))</f>
        <v>1500</v>
      </c>
      <c r="J90" s="13" t="n">
        <f aca="false">IF(I90="","",F90*I90)</f>
        <v>1500</v>
      </c>
      <c r="K90" s="9" t="str">
        <f aca="false">INDEX(Articles!$H$2:$H$148,MATCH(C90,Articles!$A$2:$A$148,0))</f>
        <v>Fixé</v>
      </c>
      <c r="L90" s="9" t="str">
        <f aca="false">INDEX(Articles!$F$2:$F$148,MATCH(C90,Articles!$A$2:$A$148,0))</f>
        <v>Confirmé</v>
      </c>
      <c r="M90" s="17"/>
      <c r="N90" s="9" t="s">
        <v>167</v>
      </c>
    </row>
    <row r="91" customFormat="false" ht="15" hidden="false" customHeight="false" outlineLevel="0" collapsed="false">
      <c r="A91" s="9" t="s">
        <v>671</v>
      </c>
      <c r="B91" s="9" t="s">
        <v>743</v>
      </c>
      <c r="C91" s="31" t="s">
        <v>366</v>
      </c>
      <c r="D91" s="9" t="str">
        <f aca="false">INDEX(Articles!$C$2:$C$148,MATCH(C91,Articles!$A$2:$A$148,0))</f>
        <v>Cahier Calligraphe 140 pages 17x22 90 g seyès</v>
      </c>
      <c r="E91" s="9" t="str">
        <f aca="false">INDEX(Articles!$B$2:$B$148,MATCH(C91,Articles!$A$2:$A$148,0))</f>
        <v>Papex</v>
      </c>
      <c r="F91" s="31" t="n">
        <v>1</v>
      </c>
      <c r="G91" s="13" t="n">
        <f aca="false">IF(INDEX(Articles!$G$2:$G$148,MATCH(C91,Articles!$A$2:$A$148,0))="","",INDEX(Articles!$G$2:$G$148,MATCH(C91,Articles!$A$2:$A$148,0)))</f>
        <v>750</v>
      </c>
      <c r="H91" s="13" t="n">
        <f aca="false">IF(G91="",0,F91*G91)</f>
        <v>750</v>
      </c>
      <c r="I91" s="13" t="n">
        <f aca="false">IF(INDEX(Articles!$E$2:$E$148,MATCH(C91,Articles!$A$2:$A$148,0))="","",INDEX(Articles!$E$2:$E$148,MATCH(C91,Articles!$A$2:$A$148,0)))</f>
        <v>650</v>
      </c>
      <c r="J91" s="13" t="n">
        <f aca="false">IF(I91="","",F91*I91)</f>
        <v>650</v>
      </c>
      <c r="K91" s="9" t="str">
        <f aca="false">INDEX(Articles!$H$2:$H$148,MATCH(C91,Articles!$A$2:$A$148,0))</f>
        <v>Fixé</v>
      </c>
      <c r="L91" s="9" t="str">
        <f aca="false">INDEX(Articles!$F$2:$F$148,MATCH(C91,Articles!$A$2:$A$148,0))</f>
        <v>Estimé</v>
      </c>
      <c r="M91" s="17" t="s">
        <v>763</v>
      </c>
      <c r="N91" s="9" t="s">
        <v>167</v>
      </c>
    </row>
    <row r="92" customFormat="false" ht="15" hidden="false" customHeight="false" outlineLevel="0" collapsed="false">
      <c r="A92" s="9" t="s">
        <v>671</v>
      </c>
      <c r="B92" s="9" t="s">
        <v>744</v>
      </c>
      <c r="C92" s="31" t="s">
        <v>213</v>
      </c>
      <c r="D92" s="9" t="str">
        <f aca="false">INDEX(Articles!$C$2:$C$148,MATCH(C92,Articles!$A$2:$A$148,0))</f>
        <v>Cahier Calligraphe 192 pages 24x32 (grand format)</v>
      </c>
      <c r="E92" s="9" t="str">
        <f aca="false">INDEX(Articles!$B$2:$B$148,MATCH(C92,Articles!$A$2:$A$148,0))</f>
        <v>Papex</v>
      </c>
      <c r="F92" s="31" t="n">
        <v>1</v>
      </c>
      <c r="G92" s="13" t="n">
        <f aca="false">IF(INDEX(Articles!$G$2:$G$148,MATCH(C92,Articles!$A$2:$A$148,0))="","",INDEX(Articles!$G$2:$G$148,MATCH(C92,Articles!$A$2:$A$148,0)))</f>
        <v>1650</v>
      </c>
      <c r="H92" s="13" t="n">
        <f aca="false">IF(G92="",0,F92*G92)</f>
        <v>1650</v>
      </c>
      <c r="I92" s="13" t="n">
        <f aca="false">IF(INDEX(Articles!$E$2:$E$148,MATCH(C92,Articles!$A$2:$A$148,0))="","",INDEX(Articles!$E$2:$E$148,MATCH(C92,Articles!$A$2:$A$148,0)))</f>
        <v>1500</v>
      </c>
      <c r="J92" s="13" t="n">
        <f aca="false">IF(I92="","",F92*I92)</f>
        <v>1500</v>
      </c>
      <c r="K92" s="9" t="str">
        <f aca="false">INDEX(Articles!$H$2:$H$148,MATCH(C92,Articles!$A$2:$A$148,0))</f>
        <v>Fixé</v>
      </c>
      <c r="L92" s="9" t="str">
        <f aca="false">INDEX(Articles!$F$2:$F$148,MATCH(C92,Articles!$A$2:$A$148,0))</f>
        <v>Confirmé</v>
      </c>
      <c r="M92" s="17"/>
      <c r="N92" s="9" t="s">
        <v>167</v>
      </c>
    </row>
    <row r="93" customFormat="false" ht="15" hidden="false" customHeight="false" outlineLevel="0" collapsed="false">
      <c r="A93" s="9" t="s">
        <v>671</v>
      </c>
      <c r="B93" s="9" t="s">
        <v>745</v>
      </c>
      <c r="C93" s="31" t="s">
        <v>213</v>
      </c>
      <c r="D93" s="9" t="str">
        <f aca="false">INDEX(Articles!$C$2:$C$148,MATCH(C93,Articles!$A$2:$A$148,0))</f>
        <v>Cahier Calligraphe 192 pages 24x32 (grand format)</v>
      </c>
      <c r="E93" s="9" t="str">
        <f aca="false">INDEX(Articles!$B$2:$B$148,MATCH(C93,Articles!$A$2:$A$148,0))</f>
        <v>Papex</v>
      </c>
      <c r="F93" s="31" t="n">
        <v>1</v>
      </c>
      <c r="G93" s="13" t="n">
        <f aca="false">IF(INDEX(Articles!$G$2:$G$148,MATCH(C93,Articles!$A$2:$A$148,0))="","",INDEX(Articles!$G$2:$G$148,MATCH(C93,Articles!$A$2:$A$148,0)))</f>
        <v>1650</v>
      </c>
      <c r="H93" s="13" t="n">
        <f aca="false">IF(G93="",0,F93*G93)</f>
        <v>1650</v>
      </c>
      <c r="I93" s="13" t="n">
        <f aca="false">IF(INDEX(Articles!$E$2:$E$148,MATCH(C93,Articles!$A$2:$A$148,0))="","",INDEX(Articles!$E$2:$E$148,MATCH(C93,Articles!$A$2:$A$148,0)))</f>
        <v>1500</v>
      </c>
      <c r="J93" s="13" t="n">
        <f aca="false">IF(I93="","",F93*I93)</f>
        <v>1500</v>
      </c>
      <c r="K93" s="9" t="str">
        <f aca="false">INDEX(Articles!$H$2:$H$148,MATCH(C93,Articles!$A$2:$A$148,0))</f>
        <v>Fixé</v>
      </c>
      <c r="L93" s="9" t="str">
        <f aca="false">INDEX(Articles!$F$2:$F$148,MATCH(C93,Articles!$A$2:$A$148,0))</f>
        <v>Confirmé</v>
      </c>
      <c r="M93" s="17"/>
      <c r="N93" s="9" t="s">
        <v>167</v>
      </c>
    </row>
    <row r="94" customFormat="false" ht="15" hidden="false" customHeight="false" outlineLevel="0" collapsed="false">
      <c r="A94" s="9" t="s">
        <v>671</v>
      </c>
      <c r="B94" s="9" t="s">
        <v>746</v>
      </c>
      <c r="C94" s="31" t="s">
        <v>195</v>
      </c>
      <c r="D94" s="9" t="str">
        <f aca="false">INDEX(Articles!$C$2:$C$148,MATCH(C94,Articles!$A$2:$A$148,0))</f>
        <v>Cahier Calligraphe 96 pages 17x22 56 g seyès</v>
      </c>
      <c r="E94" s="9" t="str">
        <f aca="false">INDEX(Articles!$B$2:$B$148,MATCH(C94,Articles!$A$2:$A$148,0))</f>
        <v>Papex</v>
      </c>
      <c r="F94" s="31" t="n">
        <v>1</v>
      </c>
      <c r="G94" s="13" t="n">
        <f aca="false">IF(INDEX(Articles!$G$2:$G$148,MATCH(C94,Articles!$A$2:$A$148,0))="","",INDEX(Articles!$G$2:$G$148,MATCH(C94,Articles!$A$2:$A$148,0)))</f>
        <v>450</v>
      </c>
      <c r="H94" s="13" t="n">
        <f aca="false">IF(G94="",0,F94*G94)</f>
        <v>450</v>
      </c>
      <c r="I94" s="13" t="n">
        <f aca="false">IF(INDEX(Articles!$E$2:$E$148,MATCH(C94,Articles!$A$2:$A$148,0))="","",INDEX(Articles!$E$2:$E$148,MATCH(C94,Articles!$A$2:$A$148,0)))</f>
        <v>350</v>
      </c>
      <c r="J94" s="13" t="n">
        <f aca="false">IF(I94="","",F94*I94)</f>
        <v>350</v>
      </c>
      <c r="K94" s="9" t="str">
        <f aca="false">INDEX(Articles!$H$2:$H$148,MATCH(C94,Articles!$A$2:$A$148,0))</f>
        <v>Fixé</v>
      </c>
      <c r="L94" s="9" t="str">
        <f aca="false">INDEX(Articles!$F$2:$F$148,MATCH(C94,Articles!$A$2:$A$148,0))</f>
        <v>Confirmé</v>
      </c>
      <c r="M94" s="17" t="s">
        <v>764</v>
      </c>
      <c r="N94" s="9" t="s">
        <v>167</v>
      </c>
    </row>
    <row r="95" customFormat="false" ht="15" hidden="false" customHeight="false" outlineLevel="0" collapsed="false">
      <c r="A95" s="9" t="s">
        <v>671</v>
      </c>
      <c r="B95" s="9" t="s">
        <v>747</v>
      </c>
      <c r="C95" s="31" t="s">
        <v>366</v>
      </c>
      <c r="D95" s="9" t="str">
        <f aca="false">INDEX(Articles!$C$2:$C$148,MATCH(C95,Articles!$A$2:$A$148,0))</f>
        <v>Cahier Calligraphe 140 pages 17x22 90 g seyès</v>
      </c>
      <c r="E95" s="9" t="str">
        <f aca="false">INDEX(Articles!$B$2:$B$148,MATCH(C95,Articles!$A$2:$A$148,0))</f>
        <v>Papex</v>
      </c>
      <c r="F95" s="31" t="n">
        <v>1</v>
      </c>
      <c r="G95" s="13" t="n">
        <f aca="false">IF(INDEX(Articles!$G$2:$G$148,MATCH(C95,Articles!$A$2:$A$148,0))="","",INDEX(Articles!$G$2:$G$148,MATCH(C95,Articles!$A$2:$A$148,0)))</f>
        <v>750</v>
      </c>
      <c r="H95" s="13" t="n">
        <f aca="false">IF(G95="",0,F95*G95)</f>
        <v>750</v>
      </c>
      <c r="I95" s="13" t="n">
        <f aca="false">IF(INDEX(Articles!$E$2:$E$148,MATCH(C95,Articles!$A$2:$A$148,0))="","",INDEX(Articles!$E$2:$E$148,MATCH(C95,Articles!$A$2:$A$148,0)))</f>
        <v>650</v>
      </c>
      <c r="J95" s="13" t="n">
        <f aca="false">IF(I95="","",F95*I95)</f>
        <v>650</v>
      </c>
      <c r="K95" s="9" t="str">
        <f aca="false">INDEX(Articles!$H$2:$H$148,MATCH(C95,Articles!$A$2:$A$148,0))</f>
        <v>Fixé</v>
      </c>
      <c r="L95" s="9" t="str">
        <f aca="false">INDEX(Articles!$F$2:$F$148,MATCH(C95,Articles!$A$2:$A$148,0))</f>
        <v>Estimé</v>
      </c>
      <c r="M95" s="17" t="s">
        <v>763</v>
      </c>
      <c r="N95" s="9" t="s">
        <v>167</v>
      </c>
    </row>
    <row r="96" customFormat="false" ht="15" hidden="false" customHeight="false" outlineLevel="0" collapsed="false">
      <c r="A96" s="9" t="s">
        <v>681</v>
      </c>
      <c r="B96" s="9" t="s">
        <v>748</v>
      </c>
      <c r="C96" s="31" t="s">
        <v>177</v>
      </c>
      <c r="D96" s="9" t="str">
        <f aca="false">INDEX(Articles!$C$2:$C$148,MATCH(C96,Articles!$A$2:$A$148,0))</f>
        <v>Cahier de dessin TPG</v>
      </c>
      <c r="E96" s="9" t="str">
        <f aca="false">INDEX(Articles!$B$2:$B$148,MATCH(C96,Articles!$A$2:$A$148,0))</f>
        <v>LPD</v>
      </c>
      <c r="F96" s="31" t="n">
        <v>1</v>
      </c>
      <c r="G96" s="13" t="n">
        <f aca="false">IF(INDEX(Articles!$G$2:$G$148,MATCH(C96,Articles!$A$2:$A$148,0))="","",INDEX(Articles!$G$2:$G$148,MATCH(C96,Articles!$A$2:$A$148,0)))</f>
        <v>550</v>
      </c>
      <c r="H96" s="13" t="n">
        <f aca="false">IF(G96="",0,F96*G96)</f>
        <v>550</v>
      </c>
      <c r="I96" s="13" t="str">
        <f aca="false">IF(INDEX(Articles!$E$2:$E$148,MATCH(C96,Articles!$A$2:$A$148,0))="","",INDEX(Articles!$E$2:$E$148,MATCH(C96,Articles!$A$2:$A$148,0)))</f>
        <v/>
      </c>
      <c r="J96" s="13" t="str">
        <f aca="false">IF(I96="","",F96*I96)</f>
        <v/>
      </c>
      <c r="K96" s="9" t="str">
        <f aca="false">INDEX(Articles!$H$2:$H$148,MATCH(C96,Articles!$A$2:$A$148,0))</f>
        <v>Fixé</v>
      </c>
      <c r="L96" s="9" t="str">
        <f aca="false">INDEX(Articles!$F$2:$F$148,MATCH(C96,Articles!$A$2:$A$148,0))</f>
        <v>Inconnu</v>
      </c>
      <c r="M96" s="17"/>
      <c r="N96" s="9" t="s">
        <v>167</v>
      </c>
    </row>
    <row r="97" customFormat="false" ht="15" hidden="false" customHeight="false" outlineLevel="0" collapsed="false">
      <c r="A97" s="9" t="s">
        <v>678</v>
      </c>
      <c r="B97" s="9" t="s">
        <v>749</v>
      </c>
      <c r="C97" s="31" t="s">
        <v>222</v>
      </c>
      <c r="D97" s="9" t="str">
        <f aca="false">INDEX(Articles!$C$2:$C$148,MATCH(C97,Articles!$A$2:$A$148,0))</f>
        <v>Pack de 4 stylos Schneider Tops 505 M (bleu, noir, rouge, vert)</v>
      </c>
      <c r="E97" s="9" t="str">
        <f aca="false">INDEX(Articles!$B$2:$B$148,MATCH(C97,Articles!$A$2:$A$148,0))</f>
        <v>Papex</v>
      </c>
      <c r="F97" s="31" t="n">
        <v>1</v>
      </c>
      <c r="G97" s="13" t="n">
        <f aca="false">IF(INDEX(Articles!$G$2:$G$148,MATCH(C97,Articles!$A$2:$A$148,0))="","",INDEX(Articles!$G$2:$G$148,MATCH(C97,Articles!$A$2:$A$148,0)))</f>
        <v>400</v>
      </c>
      <c r="H97" s="13" t="n">
        <f aca="false">IF(G97="",0,F97*G97)</f>
        <v>400</v>
      </c>
      <c r="I97" s="13" t="str">
        <f aca="false">IF(INDEX(Articles!$E$2:$E$148,MATCH(C97,Articles!$A$2:$A$148,0))="","",INDEX(Articles!$E$2:$E$148,MATCH(C97,Articles!$A$2:$A$148,0)))</f>
        <v/>
      </c>
      <c r="J97" s="13" t="str">
        <f aca="false">IF(I97="","",F97*I97)</f>
        <v/>
      </c>
      <c r="K97" s="9" t="str">
        <f aca="false">INDEX(Articles!$H$2:$H$148,MATCH(C97,Articles!$A$2:$A$148,0))</f>
        <v>Fixé</v>
      </c>
      <c r="L97" s="9" t="str">
        <f aca="false">INDEX(Articles!$F$2:$F$148,MATCH(C97,Articles!$A$2:$A$148,0))</f>
        <v>Inconnu</v>
      </c>
      <c r="M97" s="17" t="s">
        <v>432</v>
      </c>
      <c r="N97" s="9" t="s">
        <v>167</v>
      </c>
    </row>
    <row r="98" customFormat="false" ht="15" hidden="false" customHeight="false" outlineLevel="0" collapsed="false">
      <c r="A98" s="9" t="s">
        <v>678</v>
      </c>
      <c r="B98" s="9" t="s">
        <v>750</v>
      </c>
      <c r="C98" s="31" t="s">
        <v>235</v>
      </c>
      <c r="D98" s="9" t="str">
        <f aca="false">INDEX(Articles!$C$2:$C$148,MATCH(C98,Articles!$A$2:$A$148,0))</f>
        <v>Crayon papier (vendu à l'unité)</v>
      </c>
      <c r="E98" s="9" t="str">
        <f aca="false">INDEX(Articles!$B$2:$B$148,MATCH(C98,Articles!$A$2:$A$148,0))</f>
        <v>LPD</v>
      </c>
      <c r="F98" s="31" t="n">
        <v>1</v>
      </c>
      <c r="G98" s="13" t="n">
        <f aca="false">IF(INDEX(Articles!$G$2:$G$148,MATCH(C98,Articles!$A$2:$A$148,0))="","",INDEX(Articles!$G$2:$G$148,MATCH(C98,Articles!$A$2:$A$148,0)))</f>
        <v>75</v>
      </c>
      <c r="H98" s="13" t="n">
        <f aca="false">IF(G98="",0,F98*G98)</f>
        <v>75</v>
      </c>
      <c r="I98" s="13" t="str">
        <f aca="false">IF(INDEX(Articles!$E$2:$E$148,MATCH(C98,Articles!$A$2:$A$148,0))="","",INDEX(Articles!$E$2:$E$148,MATCH(C98,Articles!$A$2:$A$148,0)))</f>
        <v/>
      </c>
      <c r="J98" s="13" t="str">
        <f aca="false">IF(I98="","",F98*I98)</f>
        <v/>
      </c>
      <c r="K98" s="9" t="str">
        <f aca="false">INDEX(Articles!$H$2:$H$148,MATCH(C98,Articles!$A$2:$A$148,0))</f>
        <v>Fixé</v>
      </c>
      <c r="L98" s="9" t="str">
        <f aca="false">INDEX(Articles!$F$2:$F$148,MATCH(C98,Articles!$A$2:$A$148,0))</f>
        <v>Inconnu</v>
      </c>
      <c r="M98" s="17"/>
      <c r="N98" s="9" t="s">
        <v>167</v>
      </c>
    </row>
    <row r="99" customFormat="false" ht="15" hidden="false" customHeight="false" outlineLevel="0" collapsed="false">
      <c r="A99" s="9" t="s">
        <v>675</v>
      </c>
      <c r="B99" s="9" t="s">
        <v>717</v>
      </c>
      <c r="C99" s="31" t="s">
        <v>180</v>
      </c>
      <c r="D99" s="9" t="str">
        <f aca="false">INDEX(Articles!$C$2:$C$148,MATCH(C99,Articles!$A$2:$A$148,0))</f>
        <v>Gomme Staedtler Mars Plastic</v>
      </c>
      <c r="E99" s="9" t="str">
        <f aca="false">INDEX(Articles!$B$2:$B$148,MATCH(C99,Articles!$A$2:$A$148,0))</f>
        <v>LPD</v>
      </c>
      <c r="F99" s="31" t="n">
        <v>1</v>
      </c>
      <c r="G99" s="13" t="n">
        <f aca="false">IF(INDEX(Articles!$G$2:$G$148,MATCH(C99,Articles!$A$2:$A$148,0))="","",INDEX(Articles!$G$2:$G$148,MATCH(C99,Articles!$A$2:$A$148,0)))</f>
        <v>250</v>
      </c>
      <c r="H99" s="13" t="n">
        <f aca="false">IF(G99="",0,F99*G99)</f>
        <v>250</v>
      </c>
      <c r="I99" s="13" t="n">
        <f aca="false">IF(INDEX(Articles!$E$2:$E$148,MATCH(C99,Articles!$A$2:$A$148,0))="","",INDEX(Articles!$E$2:$E$148,MATCH(C99,Articles!$A$2:$A$148,0)))</f>
        <v>110</v>
      </c>
      <c r="J99" s="13" t="n">
        <f aca="false">IF(I99="","",F99*I99)</f>
        <v>110</v>
      </c>
      <c r="K99" s="9" t="str">
        <f aca="false">INDEX(Articles!$H$2:$H$148,MATCH(C99,Articles!$A$2:$A$148,0))</f>
        <v>Fixé</v>
      </c>
      <c r="L99" s="9" t="str">
        <f aca="false">INDEX(Articles!$F$2:$F$148,MATCH(C99,Articles!$A$2:$A$148,0))</f>
        <v>Estimé</v>
      </c>
      <c r="M99" s="17"/>
      <c r="N99" s="9" t="s">
        <v>167</v>
      </c>
    </row>
    <row r="100" customFormat="false" ht="15" hidden="false" customHeight="false" outlineLevel="0" collapsed="false">
      <c r="A100" s="9" t="s">
        <v>675</v>
      </c>
      <c r="B100" s="9" t="s">
        <v>751</v>
      </c>
      <c r="C100" s="31" t="s">
        <v>183</v>
      </c>
      <c r="D100" s="9" t="str">
        <f aca="false">INDEX(Articles!$C$2:$C$148,MATCH(C100,Articles!$A$2:$A$148,0))</f>
        <v>Taille-crayon avec réservoir Maped</v>
      </c>
      <c r="E100" s="9" t="str">
        <f aca="false">INDEX(Articles!$B$2:$B$148,MATCH(C100,Articles!$A$2:$A$148,0))</f>
        <v>Papex</v>
      </c>
      <c r="F100" s="31" t="n">
        <v>1</v>
      </c>
      <c r="G100" s="13" t="n">
        <f aca="false">IF(INDEX(Articles!$G$2:$G$148,MATCH(C100,Articles!$A$2:$A$148,0))="","",INDEX(Articles!$G$2:$G$148,MATCH(C100,Articles!$A$2:$A$148,0)))</f>
        <v>500</v>
      </c>
      <c r="H100" s="13" t="n">
        <f aca="false">IF(G100="",0,F100*G100)</f>
        <v>500</v>
      </c>
      <c r="I100" s="13" t="n">
        <f aca="false">IF(INDEX(Articles!$E$2:$E$148,MATCH(C100,Articles!$A$2:$A$148,0))="","",INDEX(Articles!$E$2:$E$148,MATCH(C100,Articles!$A$2:$A$148,0)))</f>
        <v>350</v>
      </c>
      <c r="J100" s="13" t="n">
        <f aca="false">IF(I100="","",F100*I100)</f>
        <v>350</v>
      </c>
      <c r="K100" s="9" t="str">
        <f aca="false">INDEX(Articles!$H$2:$H$148,MATCH(C100,Articles!$A$2:$A$148,0))</f>
        <v>Estimé</v>
      </c>
      <c r="L100" s="9" t="str">
        <f aca="false">INDEX(Articles!$F$2:$F$148,MATCH(C100,Articles!$A$2:$A$148,0))</f>
        <v>Estimé</v>
      </c>
      <c r="M100" s="17" t="s">
        <v>765</v>
      </c>
      <c r="N100" s="9" t="s">
        <v>167</v>
      </c>
    </row>
    <row r="101" customFormat="false" ht="15" hidden="false" customHeight="false" outlineLevel="0" collapsed="false">
      <c r="A101" s="9" t="s">
        <v>675</v>
      </c>
      <c r="B101" s="9" t="s">
        <v>753</v>
      </c>
      <c r="C101" s="31" t="s">
        <v>248</v>
      </c>
      <c r="D101" s="9" t="str">
        <f aca="false">INDEX(Articles!$C$2:$C$148,MATCH(C101,Articles!$A$2:$A$148,0))</f>
        <v>Bâton de colle Giotto 20 g</v>
      </c>
      <c r="E101" s="9" t="str">
        <f aca="false">INDEX(Articles!$B$2:$B$148,MATCH(C101,Articles!$A$2:$A$148,0))</f>
        <v>Papex</v>
      </c>
      <c r="F101" s="31" t="n">
        <v>1</v>
      </c>
      <c r="G101" s="13" t="n">
        <f aca="false">IF(INDEX(Articles!$G$2:$G$148,MATCH(C101,Articles!$A$2:$A$148,0))="","",INDEX(Articles!$G$2:$G$148,MATCH(C101,Articles!$A$2:$A$148,0)))</f>
        <v>900</v>
      </c>
      <c r="H101" s="13" t="n">
        <f aca="false">IF(G101="",0,F101*G101)</f>
        <v>900</v>
      </c>
      <c r="I101" s="13" t="n">
        <f aca="false">IF(INDEX(Articles!$E$2:$E$148,MATCH(C101,Articles!$A$2:$A$148,0))="","",INDEX(Articles!$E$2:$E$148,MATCH(C101,Articles!$A$2:$A$148,0)))</f>
        <v>650</v>
      </c>
      <c r="J101" s="13" t="n">
        <f aca="false">IF(I101="","",F101*I101)</f>
        <v>650</v>
      </c>
      <c r="K101" s="9" t="str">
        <f aca="false">INDEX(Articles!$H$2:$H$148,MATCH(C101,Articles!$A$2:$A$148,0))</f>
        <v>Estimé</v>
      </c>
      <c r="L101" s="9" t="str">
        <f aca="false">INDEX(Articles!$F$2:$F$148,MATCH(C101,Articles!$A$2:$A$148,0))</f>
        <v>Estimé</v>
      </c>
      <c r="M101" s="17"/>
      <c r="N101" s="9" t="s">
        <v>167</v>
      </c>
    </row>
    <row r="102" customFormat="false" ht="15" hidden="false" customHeight="false" outlineLevel="0" collapsed="false">
      <c r="A102" s="9" t="s">
        <v>675</v>
      </c>
      <c r="B102" s="9" t="s">
        <v>754</v>
      </c>
      <c r="C102" s="31" t="s">
        <v>189</v>
      </c>
      <c r="D102" s="9" t="str">
        <f aca="false">INDEX(Articles!$C$2:$C$148,MATCH(C102,Articles!$A$2:$A$148,0))</f>
        <v>Ciseaux Maped 13 cm Security</v>
      </c>
      <c r="E102" s="9" t="str">
        <f aca="false">INDEX(Articles!$B$2:$B$148,MATCH(C102,Articles!$A$2:$A$148,0))</f>
        <v>Papex</v>
      </c>
      <c r="F102" s="31" t="n">
        <v>1</v>
      </c>
      <c r="G102" s="13" t="n">
        <f aca="false">IF(INDEX(Articles!$G$2:$G$148,MATCH(C102,Articles!$A$2:$A$148,0))="","",INDEX(Articles!$G$2:$G$148,MATCH(C102,Articles!$A$2:$A$148,0)))</f>
        <v>900</v>
      </c>
      <c r="H102" s="13" t="n">
        <f aca="false">IF(G102="",0,F102*G102)</f>
        <v>900</v>
      </c>
      <c r="I102" s="13" t="n">
        <f aca="false">IF(INDEX(Articles!$E$2:$E$148,MATCH(C102,Articles!$A$2:$A$148,0))="","",INDEX(Articles!$E$2:$E$148,MATCH(C102,Articles!$A$2:$A$148,0)))</f>
        <v>650</v>
      </c>
      <c r="J102" s="13" t="n">
        <f aca="false">IF(I102="","",F102*I102)</f>
        <v>650</v>
      </c>
      <c r="K102" s="9" t="str">
        <f aca="false">INDEX(Articles!$H$2:$H$148,MATCH(C102,Articles!$A$2:$A$148,0))</f>
        <v>Estimé</v>
      </c>
      <c r="L102" s="9" t="str">
        <f aca="false">INDEX(Articles!$F$2:$F$148,MATCH(C102,Articles!$A$2:$A$148,0))</f>
        <v>Estimé</v>
      </c>
      <c r="M102" s="17"/>
      <c r="N102" s="9" t="s">
        <v>167</v>
      </c>
    </row>
    <row r="103" customFormat="false" ht="15" hidden="false" customHeight="false" outlineLevel="0" collapsed="false">
      <c r="A103" s="9" t="s">
        <v>676</v>
      </c>
      <c r="B103" s="9" t="s">
        <v>755</v>
      </c>
      <c r="C103" s="31" t="s">
        <v>215</v>
      </c>
      <c r="D103" s="9" t="str">
        <f aca="false">INDEX(Articles!$C$2:$C$148,MATCH(C103,Articles!$A$2:$A$148,0))</f>
        <v>Kit géométrie Maped 30 cm (réf. 1930)</v>
      </c>
      <c r="E103" s="9" t="str">
        <f aca="false">INDEX(Articles!$B$2:$B$148,MATCH(C103,Articles!$A$2:$A$148,0))</f>
        <v>LPD</v>
      </c>
      <c r="F103" s="31" t="n">
        <v>1</v>
      </c>
      <c r="G103" s="13" t="n">
        <f aca="false">IF(INDEX(Articles!$G$2:$G$148,MATCH(C103,Articles!$A$2:$A$148,0))="","",INDEX(Articles!$G$2:$G$148,MATCH(C103,Articles!$A$2:$A$148,0)))</f>
        <v>1800</v>
      </c>
      <c r="H103" s="13" t="n">
        <f aca="false">IF(G103="",0,F103*G103)</f>
        <v>1800</v>
      </c>
      <c r="I103" s="13" t="n">
        <f aca="false">IF(INDEX(Articles!$E$2:$E$148,MATCH(C103,Articles!$A$2:$A$148,0))="","",INDEX(Articles!$E$2:$E$148,MATCH(C103,Articles!$A$2:$A$148,0)))</f>
        <v>1500</v>
      </c>
      <c r="J103" s="13" t="n">
        <f aca="false">IF(I103="","",F103*I103)</f>
        <v>1500</v>
      </c>
      <c r="K103" s="9" t="str">
        <f aca="false">INDEX(Articles!$H$2:$H$148,MATCH(C103,Articles!$A$2:$A$148,0))</f>
        <v>À trancher</v>
      </c>
      <c r="L103" s="9" t="str">
        <f aca="false">INDEX(Articles!$F$2:$F$148,MATCH(C103,Articles!$A$2:$A$148,0))</f>
        <v>Confirmé</v>
      </c>
      <c r="M103" s="17"/>
      <c r="N103" s="9" t="s">
        <v>167</v>
      </c>
    </row>
    <row r="104" customFormat="false" ht="15" hidden="false" customHeight="false" outlineLevel="0" collapsed="false">
      <c r="A104" s="9" t="s">
        <v>676</v>
      </c>
      <c r="B104" s="9" t="s">
        <v>756</v>
      </c>
      <c r="C104" s="31" t="s">
        <v>171</v>
      </c>
      <c r="D104" s="9" t="str">
        <f aca="false">INDEX(Articles!$C$2:$C$148,MATCH(C104,Articles!$A$2:$A$148,0))</f>
        <v>Compas Maped</v>
      </c>
      <c r="E104" s="9" t="str">
        <f aca="false">INDEX(Articles!$B$2:$B$148,MATCH(C104,Articles!$A$2:$A$148,0))</f>
        <v>Papex</v>
      </c>
      <c r="F104" s="31" t="n">
        <v>1</v>
      </c>
      <c r="G104" s="13" t="n">
        <f aca="false">IF(INDEX(Articles!$G$2:$G$148,MATCH(C104,Articles!$A$2:$A$148,0))="","",INDEX(Articles!$G$2:$G$148,MATCH(C104,Articles!$A$2:$A$148,0)))</f>
        <v>2000</v>
      </c>
      <c r="H104" s="13" t="n">
        <f aca="false">IF(G104="",0,F104*G104)</f>
        <v>2000</v>
      </c>
      <c r="I104" s="13" t="n">
        <f aca="false">IF(INDEX(Articles!$E$2:$E$148,MATCH(C104,Articles!$A$2:$A$148,0))="","",INDEX(Articles!$E$2:$E$148,MATCH(C104,Articles!$A$2:$A$148,0)))</f>
        <v>1750</v>
      </c>
      <c r="J104" s="13" t="n">
        <f aca="false">IF(I104="","",F104*I104)</f>
        <v>1750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681</v>
      </c>
      <c r="B105" s="9" t="s">
        <v>757</v>
      </c>
      <c r="C105" s="31" t="s">
        <v>198</v>
      </c>
      <c r="D105" s="9" t="str">
        <f aca="false">INDEX(Articles!$C$2:$C$148,MATCH(C105,Articles!$A$2:$A$148,0))</f>
        <v>Crayons de couleur Maped, boîte de 12</v>
      </c>
      <c r="E105" s="9" t="str">
        <f aca="false">INDEX(Articles!$B$2:$B$148,MATCH(C105,Articles!$A$2:$A$148,0))</f>
        <v>Papex</v>
      </c>
      <c r="F105" s="31" t="n">
        <v>1</v>
      </c>
      <c r="G105" s="13" t="n">
        <f aca="false">IF(INDEX(Articles!$G$2:$G$148,MATCH(C105,Articles!$A$2:$A$148,0))="","",INDEX(Articles!$G$2:$G$148,MATCH(C105,Articles!$A$2:$A$148,0)))</f>
        <v>900</v>
      </c>
      <c r="H105" s="13" t="n">
        <f aca="false">IF(G105="",0,F105*G105)</f>
        <v>900</v>
      </c>
      <c r="I105" s="13" t="n">
        <f aca="false">IF(INDEX(Articles!$E$2:$E$148,MATCH(C105,Articles!$A$2:$A$148,0))="","",INDEX(Articles!$E$2:$E$148,MATCH(C105,Articles!$A$2:$A$148,0)))</f>
        <v>650</v>
      </c>
      <c r="J105" s="13" t="n">
        <f aca="false">IF(I105="","",F105*I105)</f>
        <v>650</v>
      </c>
      <c r="K105" s="9" t="str">
        <f aca="false">INDEX(Articles!$H$2:$H$148,MATCH(C105,Articles!$A$2:$A$148,0))</f>
        <v>Estimé</v>
      </c>
      <c r="L105" s="9" t="str">
        <f aca="false">INDEX(Articles!$F$2:$F$148,MATCH(C105,Articles!$A$2:$A$148,0))</f>
        <v>Estimé</v>
      </c>
      <c r="M105" s="17"/>
      <c r="N105" s="9" t="s">
        <v>167</v>
      </c>
    </row>
    <row r="106" customFormat="false" ht="15" hidden="false" customHeight="false" outlineLevel="0" collapsed="false">
      <c r="A106" s="9" t="s">
        <v>678</v>
      </c>
      <c r="B106" s="9" t="s">
        <v>766</v>
      </c>
      <c r="C106" s="31" t="s">
        <v>200</v>
      </c>
      <c r="D106" s="9" t="str">
        <f aca="false">INDEX(Articles!$C$2:$C$148,MATCH(C106,Articles!$A$2:$A$148,0))</f>
        <v>Surligneurs Maped Fluo Peps, pochette de 4</v>
      </c>
      <c r="E106" s="9" t="str">
        <f aca="false">INDEX(Articles!$B$2:$B$148,MATCH(C106,Articles!$A$2:$A$148,0))</f>
        <v>Papex</v>
      </c>
      <c r="F106" s="31" t="n">
        <v>1</v>
      </c>
      <c r="G106" s="13" t="n">
        <f aca="false">IF(INDEX(Articles!$G$2:$G$148,MATCH(C106,Articles!$A$2:$A$148,0))="","",INDEX(Articles!$G$2:$G$148,MATCH(C106,Articles!$A$2:$A$148,0)))</f>
        <v>2500</v>
      </c>
      <c r="H106" s="13" t="n">
        <f aca="false">IF(G106="",0,F106*G106)</f>
        <v>2500</v>
      </c>
      <c r="I106" s="13" t="n">
        <f aca="false">IF(INDEX(Articles!$E$2:$E$148,MATCH(C106,Articles!$A$2:$A$148,0))="","",INDEX(Articles!$E$2:$E$148,MATCH(C106,Articles!$A$2:$A$148,0)))</f>
        <v>2000</v>
      </c>
      <c r="J106" s="13" t="n">
        <f aca="false">IF(I106="","",F106*I106)</f>
        <v>2000</v>
      </c>
      <c r="K106" s="9" t="str">
        <f aca="false">INDEX(Articles!$H$2:$H$148,MATCH(C106,Articles!$A$2:$A$148,0))</f>
        <v>Estimé</v>
      </c>
      <c r="L106" s="9" t="str">
        <f aca="false">INDEX(Articles!$F$2:$F$148,MATCH(C106,Articles!$A$2:$A$148,0))</f>
        <v>Confirmé</v>
      </c>
      <c r="M106" s="17" t="s">
        <v>767</v>
      </c>
      <c r="N106" s="9" t="s">
        <v>167</v>
      </c>
    </row>
    <row r="107" customFormat="false" ht="15" hidden="false" customHeight="false" outlineLevel="0" collapsed="false">
      <c r="A107" s="9" t="s">
        <v>768</v>
      </c>
      <c r="B107" s="9" t="s">
        <v>769</v>
      </c>
      <c r="C107" s="31" t="s">
        <v>446</v>
      </c>
      <c r="D107" s="9" t="str">
        <f aca="false">INDEX(Articles!$C$2:$C$148,MATCH(C107,Articles!$A$2:$A$148,0))</f>
        <v>Chemise 3 rabats à élastique</v>
      </c>
      <c r="E107" s="9" t="str">
        <f aca="false">INDEX(Articles!$B$2:$B$148,MATCH(C107,Articles!$A$2:$A$148,0))</f>
        <v>Papex</v>
      </c>
      <c r="F107" s="31" t="n">
        <v>1</v>
      </c>
      <c r="G107" s="13" t="n">
        <f aca="false">IF(INDEX(Articles!$G$2:$G$148,MATCH(C107,Articles!$A$2:$A$148,0))="","",INDEX(Articles!$G$2:$G$148,MATCH(C107,Articles!$A$2:$A$148,0)))</f>
        <v>500</v>
      </c>
      <c r="H107" s="13" t="n">
        <f aca="false">IF(G107="",0,F107*G107)</f>
        <v>500</v>
      </c>
      <c r="I107" s="13" t="str">
        <f aca="false">IF(INDEX(Articles!$E$2:$E$148,MATCH(C107,Articles!$A$2:$A$148,0))="","",INDEX(Articles!$E$2:$E$148,MATCH(C107,Articles!$A$2:$A$148,0)))</f>
        <v/>
      </c>
      <c r="J107" s="13" t="str">
        <f aca="false">IF(I107="","",F107*I107)</f>
        <v/>
      </c>
      <c r="K107" s="9" t="str">
        <f aca="false">INDEX(Articles!$H$2:$H$148,MATCH(C107,Articles!$A$2:$A$148,0))</f>
        <v>Estimé</v>
      </c>
      <c r="L107" s="9" t="str">
        <f aca="false">INDEX(Articles!$F$2:$F$148,MATCH(C107,Articles!$A$2:$A$148,0))</f>
        <v>Inconnu</v>
      </c>
      <c r="M107" s="17" t="s">
        <v>770</v>
      </c>
      <c r="N107" s="9" t="s">
        <v>167</v>
      </c>
    </row>
    <row r="108" customFormat="false" ht="15" hidden="false" customHeight="false" outlineLevel="0" collapsed="false">
      <c r="A108" s="9" t="s">
        <v>758</v>
      </c>
      <c r="B108" s="9" t="s">
        <v>759</v>
      </c>
      <c r="C108" s="31" t="s">
        <v>376</v>
      </c>
      <c r="D108" s="9" t="str">
        <f aca="false">INDEX(Articles!$C$2:$C$148,MATCH(C108,Articles!$A$2:$A$148,0))</f>
        <v>Paquet de copies doubles grand format</v>
      </c>
      <c r="E108" s="9" t="str">
        <f aca="false">INDEX(Articles!$B$2:$B$148,MATCH(C108,Articles!$A$2:$A$148,0))</f>
        <v>À préciser</v>
      </c>
      <c r="F108" s="31" t="n">
        <v>1</v>
      </c>
      <c r="G108" s="45" t="n">
        <f aca="false">IF(INDEX(Articles!$G$2:$G$148,MATCH(C108,Articles!$A$2:$A$148,0))="","",INDEX(Articles!$G$2:$G$148,MATCH(C108,Articles!$A$2:$A$148,0)))</f>
        <v>1800</v>
      </c>
      <c r="H108" s="13" t="n">
        <f aca="false">IF(G108="",0,F108*G108)</f>
        <v>1800</v>
      </c>
      <c r="I108" s="13" t="n">
        <f aca="false">IF(INDEX(Articles!$E$2:$E$148,MATCH(C108,Articles!$A$2:$A$148,0))="","",INDEX(Articles!$E$2:$E$148,MATCH(C108,Articles!$A$2:$A$148,0)))</f>
        <v>1300</v>
      </c>
      <c r="J108" s="13" t="n">
        <f aca="false">IF(I108="","",F108*I108)</f>
        <v>1300</v>
      </c>
      <c r="K108" s="9" t="str">
        <f aca="false">INDEX(Articles!$H$2:$H$148,MATCH(C108,Articles!$A$2:$A$148,0))</f>
        <v>Fixé</v>
      </c>
      <c r="L108" s="9" t="str">
        <f aca="false">INDEX(Articles!$F$2:$F$148,MATCH(C108,Articles!$A$2:$A$148,0))</f>
        <v>Confirmé</v>
      </c>
      <c r="M108" s="17"/>
      <c r="N108" s="9" t="s">
        <v>167</v>
      </c>
    </row>
    <row r="109" customFormat="false" ht="15" hidden="false" customHeight="false" outlineLevel="0" collapsed="false">
      <c r="A109" s="9" t="s">
        <v>771</v>
      </c>
      <c r="B109" s="9" t="s">
        <v>772</v>
      </c>
      <c r="C109" s="31" t="s">
        <v>160</v>
      </c>
      <c r="D109" s="9" t="str">
        <f aca="false">INDEX(Articles!$C$2:$C$148,MATCH(C109,Articles!$A$2:$A$148,0))</f>
        <v>Protège-cahier couleur petit format (à l'unité)</v>
      </c>
      <c r="E109" s="9" t="str">
        <f aca="false">INDEX(Articles!$B$2:$B$148,MATCH(C109,Articles!$A$2:$A$148,0))</f>
        <v>LPD</v>
      </c>
      <c r="F109" s="31" t="n">
        <v>7</v>
      </c>
      <c r="G109" s="13" t="n">
        <f aca="false">IF(INDEX(Articles!$G$2:$G$148,MATCH(C109,Articles!$A$2:$A$148,0))="","",INDEX(Articles!$G$2:$G$148,MATCH(C109,Articles!$A$2:$A$148,0)))</f>
        <v>150</v>
      </c>
      <c r="H109" s="13" t="n">
        <f aca="false">IF(G109="",0,F109*G109)</f>
        <v>1050</v>
      </c>
      <c r="I109" s="13" t="str">
        <f aca="false">IF(INDEX(Articles!$E$2:$E$148,MATCH(C109,Articles!$A$2:$A$148,0))="","",INDEX(Articles!$E$2:$E$148,MATCH(C109,Articles!$A$2:$A$148,0)))</f>
        <v/>
      </c>
      <c r="J109" s="13" t="str">
        <f aca="false">IF(I109="","",F109*I109)</f>
        <v/>
      </c>
      <c r="K109" s="9" t="str">
        <f aca="false">INDEX(Articles!$H$2:$H$148,MATCH(C109,Articles!$A$2:$A$148,0))</f>
        <v>Fixé</v>
      </c>
      <c r="L109" s="9" t="str">
        <f aca="false">INDEX(Articles!$F$2:$F$148,MATCH(C109,Articles!$A$2:$A$148,0))</f>
        <v>Inconnu</v>
      </c>
      <c r="M109" s="17"/>
      <c r="N109" s="9" t="s">
        <v>167</v>
      </c>
    </row>
    <row r="110" customFormat="false" ht="15" hidden="false" customHeight="false" outlineLevel="0" collapsed="false">
      <c r="A110" s="9" t="s">
        <v>771</v>
      </c>
      <c r="B110" s="9" t="s">
        <v>773</v>
      </c>
      <c r="C110" s="31" t="s">
        <v>419</v>
      </c>
      <c r="D110" s="9" t="str">
        <f aca="false">INDEX(Articles!$C$2:$C$148,MATCH(C110,Articles!$A$2:$A$148,0))</f>
        <v>Protège-cahier grand format (à l'unité)</v>
      </c>
      <c r="E110" s="9" t="str">
        <f aca="false">INDEX(Articles!$B$2:$B$148,MATCH(C110,Articles!$A$2:$A$148,0))</f>
        <v>À préciser</v>
      </c>
      <c r="F110" s="31" t="n">
        <v>4</v>
      </c>
      <c r="G110" s="13" t="str">
        <f aca="false">IF(INDEX(Articles!$G$2:$G$148,MATCH(C110,Articles!$A$2:$A$148,0))="","",INDEX(Articles!$G$2:$G$148,MATCH(C110,Articles!$A$2:$A$148,0)))</f>
        <v/>
      </c>
      <c r="H110" s="13" t="n">
        <f aca="false">IF(G110="",0,F110*G110)</f>
        <v>0</v>
      </c>
      <c r="I110" s="13" t="str">
        <f aca="false">IF(INDEX(Articles!$E$2:$E$148,MATCH(C110,Articles!$A$2:$A$148,0))="","",INDEX(Articles!$E$2:$E$148,MATCH(C110,Articles!$A$2:$A$148,0)))</f>
        <v/>
      </c>
      <c r="J110" s="13" t="str">
        <f aca="false">IF(I110="","",F110*I110)</f>
        <v/>
      </c>
      <c r="K110" s="9" t="str">
        <f aca="false">INDEX(Articles!$H$2:$H$148,MATCH(C110,Articles!$A$2:$A$148,0))</f>
        <v>À fournir</v>
      </c>
      <c r="L110" s="9" t="str">
        <f aca="false">INDEX(Articles!$F$2:$F$148,MATCH(C110,Articles!$A$2:$A$148,0))</f>
        <v>Inconnu</v>
      </c>
      <c r="M110" s="17"/>
      <c r="N110" s="9" t="s">
        <v>167</v>
      </c>
    </row>
    <row r="111" customFormat="false" ht="15" hidden="false" customHeight="false" outlineLevel="0" collapsed="false">
      <c r="A111" s="9" t="s">
        <v>760</v>
      </c>
      <c r="B111" s="9" t="s">
        <v>761</v>
      </c>
      <c r="C111" s="31" t="s">
        <v>478</v>
      </c>
      <c r="D111" s="9" t="str">
        <f aca="false">INDEX(Articles!$C$2:$C$148,MATCH(C111,Articles!$A$2:$A$148,0))</f>
        <v>Le Pagne noir (Bernard Dadié)</v>
      </c>
      <c r="E111" s="9" t="str">
        <f aca="false">INDEX(Articles!$B$2:$B$148,MATCH(C111,Articles!$A$2:$A$148,0))</f>
        <v>LPD</v>
      </c>
      <c r="F111" s="31" t="n">
        <v>1</v>
      </c>
      <c r="G111" s="13" t="n">
        <f aca="false">IF(INDEX(Articles!$G$2:$G$148,MATCH(C111,Articles!$A$2:$A$148,0))="","",INDEX(Articles!$G$2:$G$148,MATCH(C111,Articles!$A$2:$A$148,0)))</f>
        <v>3500</v>
      </c>
      <c r="H111" s="13" t="n">
        <f aca="false">IF(G111="",0,F111*G111)</f>
        <v>3500</v>
      </c>
      <c r="I111" s="13" t="n">
        <f aca="false">IF(INDEX(Articles!$E$2:$E$148,MATCH(C111,Articles!$A$2:$A$148,0))="","",INDEX(Articles!$E$2:$E$148,MATCH(C111,Articles!$A$2:$A$148,0)))</f>
        <v>2500</v>
      </c>
      <c r="J111" s="13" t="n">
        <f aca="false">IF(I111="","",F111*I111)</f>
        <v>2500</v>
      </c>
      <c r="K111" s="9" t="str">
        <f aca="false">INDEX(Articles!$H$2:$H$148,MATCH(C111,Articles!$A$2:$A$148,0))</f>
        <v>Fixé</v>
      </c>
      <c r="L111" s="9" t="str">
        <f aca="false">INDEX(Articles!$F$2:$F$148,MATCH(C111,Articles!$A$2:$A$148,0))</f>
        <v>Estimé</v>
      </c>
      <c r="M111" s="17"/>
      <c r="N111" s="9" t="s">
        <v>167</v>
      </c>
    </row>
    <row r="112" customFormat="false" ht="15" hidden="false" customHeight="false" outlineLevel="0" collapsed="false">
      <c r="A112" s="9" t="s">
        <v>777</v>
      </c>
      <c r="B112" s="9" t="s">
        <v>778</v>
      </c>
      <c r="C112" s="31" t="s">
        <v>581</v>
      </c>
      <c r="D112" s="9" t="str">
        <f aca="false">INDEX(Articles!$C$2:$C$148,MATCH(C112,Articles!$A$2:$A$148,0))</f>
        <v>Mathématiques 6éme</v>
      </c>
      <c r="E112" s="9" t="str">
        <f aca="false">INDEX(Articles!$B$2:$B$148,MATCH(C112,Articles!$A$2:$A$148,0))</f>
        <v>LPD</v>
      </c>
      <c r="F112" s="31" t="n">
        <v>1</v>
      </c>
      <c r="G112" s="13" t="n">
        <f aca="false">IF(INDEX(Articles!$G$2:$G$148,MATCH(C112,Articles!$A$2:$A$148,0))="","",INDEX(Articles!$G$2:$G$148,MATCH(C112,Articles!$A$2:$A$148,0)))</f>
        <v>3960</v>
      </c>
      <c r="H112" s="13" t="n">
        <f aca="false">IF(G112="",0,F112*G112)</f>
        <v>3960</v>
      </c>
      <c r="I112" s="13" t="n">
        <f aca="false">IF(INDEX(Articles!$E$2:$E$148,MATCH(C112,Articles!$A$2:$A$148,0))="","",INDEX(Articles!$E$2:$E$148,MATCH(C112,Articles!$A$2:$A$148,0)))</f>
        <v>2960</v>
      </c>
      <c r="J112" s="13" t="n">
        <f aca="false">IF(I112="","",F112*I112)</f>
        <v>2960</v>
      </c>
      <c r="K112" s="9" t="str">
        <f aca="false">INDEX(Articles!$H$2:$H$148,MATCH(C112,Articles!$A$2:$A$148,0))</f>
        <v>Fixé</v>
      </c>
      <c r="L112" s="9" t="str">
        <f aca="false">INDEX(Articles!$F$2:$F$148,MATCH(C112,Articles!$A$2:$A$148,0))</f>
        <v>Estimé</v>
      </c>
      <c r="M112" s="17"/>
      <c r="N112" s="9" t="s">
        <v>167</v>
      </c>
    </row>
    <row r="113" customFormat="false" ht="15" hidden="false" customHeight="false" outlineLevel="0" collapsed="false">
      <c r="A113" s="9" t="s">
        <v>777</v>
      </c>
      <c r="B113" s="9" t="s">
        <v>779</v>
      </c>
      <c r="C113" s="31" t="s">
        <v>228</v>
      </c>
      <c r="D113" s="9" t="str">
        <f aca="false">INDEX(Articles!$C$2:$C$148,MATCH(C113,Articles!$A$2:$A$148,0))</f>
        <v>Science de la vie et de la terre 6éme</v>
      </c>
      <c r="E113" s="9" t="str">
        <f aca="false">INDEX(Articles!$B$2:$B$148,MATCH(C113,Articles!$A$2:$A$148,0))</f>
        <v>LPD</v>
      </c>
      <c r="F113" s="31" t="n">
        <v>1</v>
      </c>
      <c r="G113" s="13" t="n">
        <f aca="false">IF(INDEX(Articles!$G$2:$G$148,MATCH(C113,Articles!$A$2:$A$148,0))="","",INDEX(Articles!$G$2:$G$148,MATCH(C113,Articles!$A$2:$A$148,0)))</f>
        <v>3960</v>
      </c>
      <c r="H113" s="13" t="n">
        <f aca="false">IF(G113="",0,F113*G113)</f>
        <v>3960</v>
      </c>
      <c r="I113" s="13" t="n">
        <f aca="false">IF(INDEX(Articles!$E$2:$E$148,MATCH(C113,Articles!$A$2:$A$148,0))="","",INDEX(Articles!$E$2:$E$148,MATCH(C113,Articles!$A$2:$A$148,0)))</f>
        <v>2960</v>
      </c>
      <c r="J113" s="13" t="n">
        <f aca="false">IF(I113="","",F113*I113)</f>
        <v>2960</v>
      </c>
      <c r="K113" s="9" t="str">
        <f aca="false">INDEX(Articles!$H$2:$H$148,MATCH(C113,Articles!$A$2:$A$148,0))</f>
        <v>Fixé</v>
      </c>
      <c r="L113" s="9" t="str">
        <f aca="false">INDEX(Articles!$F$2:$F$148,MATCH(C113,Articles!$A$2:$A$148,0))</f>
        <v>Estimé</v>
      </c>
      <c r="M113" s="17"/>
      <c r="N113" s="9" t="s">
        <v>167</v>
      </c>
    </row>
    <row r="114" customFormat="false" ht="15" hidden="false" customHeight="false" outlineLevel="0" collapsed="false">
      <c r="A114" s="9" t="s">
        <v>777</v>
      </c>
      <c r="B114" s="9" t="s">
        <v>780</v>
      </c>
      <c r="C114" s="31" t="s">
        <v>224</v>
      </c>
      <c r="D114" s="9" t="str">
        <f aca="false">INDEX(Articles!$C$2:$C$148,MATCH(C114,Articles!$A$2:$A$148,0))</f>
        <v>Grammaire du Français 6/5e, IPAM Edicef</v>
      </c>
      <c r="E114" s="9" t="str">
        <f aca="false">INDEX(Articles!$B$2:$B$148,MATCH(C114,Articles!$A$2:$A$148,0))</f>
        <v>LPD</v>
      </c>
      <c r="F114" s="31" t="n">
        <v>1</v>
      </c>
      <c r="G114" s="13" t="n">
        <f aca="false">IF(INDEX(Articles!$G$2:$G$148,MATCH(C114,Articles!$A$2:$A$148,0))="","",INDEX(Articles!$G$2:$G$148,MATCH(C114,Articles!$A$2:$A$148,0)))</f>
        <v>4000</v>
      </c>
      <c r="H114" s="13" t="n">
        <f aca="false">IF(G114="",0,F114*G114)</f>
        <v>4000</v>
      </c>
      <c r="I114" s="13" t="n">
        <f aca="false">IF(INDEX(Articles!$E$2:$E$148,MATCH(C114,Articles!$A$2:$A$148,0))="","",INDEX(Articles!$E$2:$E$148,MATCH(C114,Articles!$A$2:$A$148,0)))</f>
        <v>3000</v>
      </c>
      <c r="J114" s="13" t="n">
        <f aca="false">IF(I114="","",F114*I114)</f>
        <v>3000</v>
      </c>
      <c r="K114" s="9" t="str">
        <f aca="false">INDEX(Articles!$H$2:$H$148,MATCH(C114,Articles!$A$2:$A$148,0))</f>
        <v>Fixé</v>
      </c>
      <c r="L114" s="9" t="str">
        <f aca="false">INDEX(Articles!$F$2:$F$148,MATCH(C114,Articles!$A$2:$A$148,0))</f>
        <v>Estimé</v>
      </c>
      <c r="M114" s="17"/>
      <c r="N114" s="9" t="s">
        <v>167</v>
      </c>
    </row>
    <row r="115" customFormat="false" ht="15" hidden="false" customHeight="false" outlineLevel="0" collapsed="false">
      <c r="A115" s="9" t="s">
        <v>678</v>
      </c>
      <c r="B115" s="9" t="s">
        <v>781</v>
      </c>
      <c r="C115" s="31" t="s">
        <v>434</v>
      </c>
      <c r="D115" s="9" t="str">
        <f aca="false">INDEX(Articles!$C$2:$C$148,MATCH(C115,Articles!$A$2:$A$148,0))</f>
        <v>Stylo 4 couleurs Schneider</v>
      </c>
      <c r="E115" s="9" t="str">
        <f aca="false">INDEX(Articles!$B$2:$B$148,MATCH(C115,Articles!$A$2:$A$148,0))</f>
        <v>Papex</v>
      </c>
      <c r="F115" s="31" t="n">
        <v>1</v>
      </c>
      <c r="G115" s="13" t="n">
        <f aca="false">IF(INDEX(Articles!$G$2:$G$148,MATCH(C115,Articles!$A$2:$A$148,0))="","",INDEX(Articles!$G$2:$G$148,MATCH(C115,Articles!$A$2:$A$148,0)))</f>
        <v>1750</v>
      </c>
      <c r="H115" s="13" t="n">
        <f aca="false">IF(G115="",0,F115*G115)</f>
        <v>1750</v>
      </c>
      <c r="I115" s="13" t="n">
        <f aca="false">IF(INDEX(Articles!$E$2:$E$148,MATCH(C115,Articles!$A$2:$A$148,0))="","",INDEX(Articles!$E$2:$E$148,MATCH(C115,Articles!$A$2:$A$148,0)))</f>
        <v>1500</v>
      </c>
      <c r="J115" s="13" t="n">
        <f aca="false">IF(I115="","",F115*I115)</f>
        <v>1500</v>
      </c>
      <c r="K115" s="9" t="str">
        <f aca="false">INDEX(Articles!$H$2:$H$148,MATCH(C115,Articles!$A$2:$A$148,0))</f>
        <v>Fixé</v>
      </c>
      <c r="L115" s="9" t="str">
        <f aca="false">INDEX(Articles!$F$2:$F$148,MATCH(C115,Articles!$A$2:$A$148,0))</f>
        <v>Confirmé</v>
      </c>
      <c r="M115" s="17"/>
      <c r="N115" s="9" t="s">
        <v>167</v>
      </c>
    </row>
    <row r="116" customFormat="false" ht="15" hidden="false" customHeight="false" outlineLevel="0" collapsed="false">
      <c r="A116" s="9" t="s">
        <v>678</v>
      </c>
      <c r="B116" s="9" t="s">
        <v>782</v>
      </c>
      <c r="C116" s="31" t="s">
        <v>174</v>
      </c>
      <c r="D116" s="9" t="str">
        <f aca="false">INDEX(Articles!$C$2:$C$148,MATCH(C116,Articles!$A$2:$A$148,0))</f>
        <v>Correcteur souris ARK</v>
      </c>
      <c r="E116" s="9" t="str">
        <f aca="false">INDEX(Articles!$B$2:$B$148,MATCH(C116,Articles!$A$2:$A$148,0))</f>
        <v>Papex</v>
      </c>
      <c r="F116" s="31" t="n">
        <v>1</v>
      </c>
      <c r="G116" s="13" t="n">
        <f aca="false">IF(INDEX(Articles!$G$2:$G$148,MATCH(C116,Articles!$A$2:$A$148,0))="","",INDEX(Articles!$G$2:$G$148,MATCH(C116,Articles!$A$2:$A$148,0)))</f>
        <v>1000</v>
      </c>
      <c r="H116" s="13" t="n">
        <f aca="false">IF(G116="",0,F116*G116)</f>
        <v>1000</v>
      </c>
      <c r="I116" s="13" t="n">
        <f aca="false">IF(INDEX(Articles!$E$2:$E$148,MATCH(C116,Articles!$A$2:$A$148,0))="","",INDEX(Articles!$E$2:$E$148,MATCH(C116,Articles!$A$2:$A$148,0)))</f>
        <v>700</v>
      </c>
      <c r="J116" s="13" t="n">
        <f aca="false">IF(I116="","",F116*I116)</f>
        <v>700</v>
      </c>
      <c r="K116" s="9" t="str">
        <f aca="false">INDEX(Articles!$H$2:$H$148,MATCH(C116,Articles!$A$2:$A$148,0))</f>
        <v>Fixé</v>
      </c>
      <c r="L116" s="9" t="str">
        <f aca="false">INDEX(Articles!$F$2:$F$148,MATCH(C116,Articles!$A$2:$A$148,0))</f>
        <v>Confirmé</v>
      </c>
      <c r="M116" s="17"/>
      <c r="N116" s="9" t="s">
        <v>167</v>
      </c>
    </row>
    <row r="117" customFormat="false" ht="15" hidden="false" customHeight="false" outlineLevel="0" collapsed="false">
      <c r="A117" s="9" t="s">
        <v>783</v>
      </c>
      <c r="B117" s="9" t="s">
        <v>784</v>
      </c>
      <c r="C117" s="31" t="s">
        <v>481</v>
      </c>
      <c r="D117" s="9" t="str">
        <f aca="false">INDEX(Articles!$C$2:$C$148,MATCH(C117,Articles!$A$2:$A$148,0))</f>
        <v>Les Contes d'Amadou Koumba (Birago Diop)</v>
      </c>
      <c r="E117" s="9" t="str">
        <f aca="false">INDEX(Articles!$B$2:$B$148,MATCH(C117,Articles!$A$2:$A$148,0))</f>
        <v>LPD</v>
      </c>
      <c r="F117" s="31" t="n">
        <v>1</v>
      </c>
      <c r="G117" s="13" t="n">
        <f aca="false">IF(INDEX(Articles!$G$2:$G$148,MATCH(C117,Articles!$A$2:$A$148,0))="","",INDEX(Articles!$G$2:$G$148,MATCH(C117,Articles!$A$2:$A$148,0)))</f>
        <v>3500</v>
      </c>
      <c r="H117" s="13" t="n">
        <f aca="false">IF(G117="",0,F117*G117)</f>
        <v>3500</v>
      </c>
      <c r="I117" s="13" t="n">
        <f aca="false">IF(INDEX(Articles!$E$2:$E$148,MATCH(C117,Articles!$A$2:$A$148,0))="","",INDEX(Articles!$E$2:$E$148,MATCH(C117,Articles!$A$2:$A$148,0)))</f>
        <v>2500</v>
      </c>
      <c r="J117" s="13" t="n">
        <f aca="false">IF(I117="","",F117*I117)</f>
        <v>2500</v>
      </c>
      <c r="K117" s="9" t="str">
        <f aca="false">INDEX(Articles!$H$2:$H$148,MATCH(C117,Articles!$A$2:$A$148,0))</f>
        <v>Fixé</v>
      </c>
      <c r="L117" s="9" t="str">
        <f aca="false">INDEX(Articles!$F$2:$F$148,MATCH(C117,Articles!$A$2:$A$148,0))</f>
        <v>Estimé</v>
      </c>
      <c r="M117" s="17"/>
      <c r="N117" s="9" t="s">
        <v>167</v>
      </c>
    </row>
    <row r="118" customFormat="false" ht="15" hidden="false" customHeight="false" outlineLevel="0" collapsed="false">
      <c r="A118" s="9" t="s">
        <v>703</v>
      </c>
      <c r="B118" s="9" t="s">
        <v>785</v>
      </c>
      <c r="C118" s="31" t="s">
        <v>585</v>
      </c>
      <c r="D118" s="9" t="str">
        <f aca="false">INDEX(Articles!$C$2:$C$148,MATCH(C118,Articles!$A$2:$A$148,0))</f>
        <v>Excellence Maths 6ème, EENAS</v>
      </c>
      <c r="E118" s="9" t="str">
        <f aca="false">INDEX(Articles!$B$2:$B$148,MATCH(C118,Articles!$A$2:$A$148,0))</f>
        <v>LPD</v>
      </c>
      <c r="F118" s="31" t="n">
        <v>1</v>
      </c>
      <c r="G118" s="13" t="n">
        <f aca="false">IF(INDEX(Articles!$G$2:$G$148,MATCH(C118,Articles!$A$2:$A$148,0))="","",INDEX(Articles!$G$2:$G$148,MATCH(C118,Articles!$A$2:$A$148,0)))</f>
        <v>4000</v>
      </c>
      <c r="H118" s="13" t="n">
        <f aca="false">IF(G118="",0,F118*G118)</f>
        <v>4000</v>
      </c>
      <c r="I118" s="13" t="n">
        <f aca="false">IF(INDEX(Articles!$E$2:$E$148,MATCH(C118,Articles!$A$2:$A$148,0))="","",INDEX(Articles!$E$2:$E$148,MATCH(C118,Articles!$A$2:$A$148,0)))</f>
        <v>3000</v>
      </c>
      <c r="J118" s="13" t="n">
        <f aca="false">IF(I118="","",F118*I118)</f>
        <v>3000</v>
      </c>
      <c r="K118" s="9" t="str">
        <f aca="false">INDEX(Articles!$H$2:$H$148,MATCH(C118,Articles!$A$2:$A$148,0))</f>
        <v>Fixé</v>
      </c>
      <c r="L118" s="9" t="str">
        <f aca="false">INDEX(Articles!$F$2:$F$148,MATCH(C118,Articles!$A$2:$A$148,0))</f>
        <v>Estimé</v>
      </c>
      <c r="M118" s="17"/>
      <c r="N118" s="9" t="s">
        <v>167</v>
      </c>
    </row>
    <row r="119" customFormat="false" ht="15" hidden="false" customHeight="false" outlineLevel="0" collapsed="false">
      <c r="A119" s="9" t="s">
        <v>703</v>
      </c>
      <c r="B119" s="9" t="s">
        <v>786</v>
      </c>
      <c r="C119" s="31" t="s">
        <v>587</v>
      </c>
      <c r="D119" s="9" t="str">
        <f aca="false">INDEX(Articles!$C$2:$C$148,MATCH(C119,Articles!$A$2:$A$148,0))</f>
        <v>Cahier d’activités maths 6éme</v>
      </c>
      <c r="E119" s="9" t="str">
        <f aca="false">INDEX(Articles!$B$2:$B$148,MATCH(C119,Articles!$A$2:$A$148,0))</f>
        <v>LPD</v>
      </c>
      <c r="F119" s="31" t="n">
        <v>1</v>
      </c>
      <c r="G119" s="13" t="n">
        <f aca="false">IF(INDEX(Articles!$G$2:$G$148,MATCH(C119,Articles!$A$2:$A$148,0))="","",INDEX(Articles!$G$2:$G$148,MATCH(C119,Articles!$A$2:$A$148,0)))</f>
        <v>3130</v>
      </c>
      <c r="H119" s="13" t="n">
        <f aca="false">IF(G119="",0,F119*G119)</f>
        <v>3130</v>
      </c>
      <c r="I119" s="13" t="n">
        <f aca="false">IF(INDEX(Articles!$E$2:$E$148,MATCH(C119,Articles!$A$2:$A$148,0))="","",INDEX(Articles!$E$2:$E$148,MATCH(C119,Articles!$A$2:$A$148,0)))</f>
        <v>2130</v>
      </c>
      <c r="J119" s="13" t="n">
        <f aca="false">IF(I119="","",F119*I119)</f>
        <v>2130</v>
      </c>
      <c r="K119" s="9" t="str">
        <f aca="false">INDEX(Articles!$H$2:$H$148,MATCH(C119,Articles!$A$2:$A$148,0))</f>
        <v>Fixé</v>
      </c>
      <c r="L119" s="9" t="str">
        <f aca="false">INDEX(Articles!$F$2:$F$148,MATCH(C119,Articles!$A$2:$A$148,0))</f>
        <v>Estimé</v>
      </c>
      <c r="M119" s="17"/>
      <c r="N119" s="9" t="s">
        <v>167</v>
      </c>
    </row>
    <row r="120" customFormat="false" ht="15" hidden="false" customHeight="false" outlineLevel="0" collapsed="false">
      <c r="A120" s="9" t="s">
        <v>703</v>
      </c>
      <c r="B120" s="9" t="s">
        <v>787</v>
      </c>
      <c r="C120" s="31" t="s">
        <v>589</v>
      </c>
      <c r="D120" s="9" t="str">
        <f aca="false">INDEX(Articles!$C$2:$C$148,MATCH(C120,Articles!$A$2:$A$148,0))</f>
        <v>Cahier d’activités SVT 6éme</v>
      </c>
      <c r="E120" s="9" t="str">
        <f aca="false">INDEX(Articles!$B$2:$B$148,MATCH(C120,Articles!$A$2:$A$148,0))</f>
        <v>LPD</v>
      </c>
      <c r="F120" s="31" t="n">
        <v>1</v>
      </c>
      <c r="G120" s="13" t="n">
        <f aca="false">IF(INDEX(Articles!$G$2:$G$148,MATCH(C120,Articles!$A$2:$A$148,0))="","",INDEX(Articles!$G$2:$G$148,MATCH(C120,Articles!$A$2:$A$148,0)))</f>
        <v>3430</v>
      </c>
      <c r="H120" s="13" t="n">
        <f aca="false">IF(G120="",0,F120*G120)</f>
        <v>3430</v>
      </c>
      <c r="I120" s="13" t="n">
        <f aca="false">IF(INDEX(Articles!$E$2:$E$148,MATCH(C120,Articles!$A$2:$A$148,0))="","",INDEX(Articles!$E$2:$E$148,MATCH(C120,Articles!$A$2:$A$148,0)))</f>
        <v>2430</v>
      </c>
      <c r="J120" s="13" t="n">
        <f aca="false">IF(I120="","",F120*I120)</f>
        <v>2430</v>
      </c>
      <c r="K120" s="9" t="str">
        <f aca="false">INDEX(Articles!$H$2:$H$148,MATCH(C120,Articles!$A$2:$A$148,0))</f>
        <v>Fixé</v>
      </c>
      <c r="L120" s="9" t="str">
        <f aca="false">INDEX(Articles!$F$2:$F$148,MATCH(C120,Articles!$A$2:$A$148,0))</f>
        <v>Estimé</v>
      </c>
      <c r="M120" s="17"/>
      <c r="N120" s="9" t="s">
        <v>167</v>
      </c>
    </row>
    <row r="121" customFormat="false" ht="15" hidden="false" customHeight="false" outlineLevel="0" collapsed="false">
      <c r="A121" s="9" t="s">
        <v>703</v>
      </c>
      <c r="B121" s="9" t="s">
        <v>788</v>
      </c>
      <c r="C121" s="31" t="s">
        <v>451</v>
      </c>
      <c r="D121" s="9" t="str">
        <f aca="false">INDEX(Articles!$C$2:$C$148,MATCH(C121,Articles!$A$2:$A$148,0))</f>
        <v>Dictionnaire Le Robert de français, 65 000 mots</v>
      </c>
      <c r="E121" s="9" t="str">
        <f aca="false">INDEX(Articles!$B$2:$B$148,MATCH(C121,Articles!$A$2:$A$148,0))</f>
        <v>Papex</v>
      </c>
      <c r="F121" s="31" t="n">
        <v>1</v>
      </c>
      <c r="G121" s="13" t="n">
        <f aca="false">IF(INDEX(Articles!$G$2:$G$148,MATCH(C121,Articles!$A$2:$A$148,0))="","",INDEX(Articles!$G$2:$G$148,MATCH(C121,Articles!$A$2:$A$148,0)))</f>
        <v>3500</v>
      </c>
      <c r="H121" s="13" t="n">
        <f aca="false">IF(G121="",0,F121*G121)</f>
        <v>3500</v>
      </c>
      <c r="I121" s="13" t="n">
        <f aca="false">IF(INDEX(Articles!$E$2:$E$148,MATCH(C121,Articles!$A$2:$A$148,0))="","",INDEX(Articles!$E$2:$E$148,MATCH(C121,Articles!$A$2:$A$148,0)))</f>
        <v>3000</v>
      </c>
      <c r="J121" s="13" t="n">
        <f aca="false">IF(I121="","",F121*I121)</f>
        <v>3000</v>
      </c>
      <c r="K121" s="9" t="str">
        <f aca="false">INDEX(Articles!$H$2:$H$148,MATCH(C121,Articles!$A$2:$A$148,0))</f>
        <v>Fixé</v>
      </c>
      <c r="L121" s="9" t="str">
        <f aca="false">INDEX(Articles!$F$2:$F$148,MATCH(C121,Articles!$A$2:$A$148,0))</f>
        <v>Confirmé</v>
      </c>
      <c r="M121" s="17"/>
      <c r="N121" s="9" t="s">
        <v>167</v>
      </c>
    </row>
    <row r="122" customFormat="false" ht="15" hidden="false" customHeight="false" outlineLevel="0" collapsed="false">
      <c r="D122" s="32" t="s">
        <v>683</v>
      </c>
      <c r="E122" s="32"/>
      <c r="F122" s="32"/>
      <c r="G122" s="32"/>
      <c r="H122" s="33" t="n">
        <f aca="false">COUNTIF(G86:G121,"")</f>
        <v>1</v>
      </c>
    </row>
    <row r="123" customFormat="false" ht="15" hidden="false" customHeight="false" outlineLevel="0" collapsed="false">
      <c r="D123" s="32" t="s">
        <v>684</v>
      </c>
      <c r="E123" s="32"/>
      <c r="F123" s="32"/>
      <c r="G123" s="32"/>
      <c r="H123" s="33" t="n">
        <f aca="false">SUM(H86:H121)</f>
        <v>61855</v>
      </c>
    </row>
    <row r="124" customFormat="false" ht="15" hidden="false" customHeight="false" outlineLevel="0" collapsed="false">
      <c r="D124" s="32" t="s">
        <v>28</v>
      </c>
      <c r="E124" s="32"/>
      <c r="F124" s="32"/>
      <c r="G124" s="32"/>
      <c r="H124" s="33" t="n">
        <f aca="false">SUM(J86:J121)</f>
        <v>46340</v>
      </c>
    </row>
    <row r="125" customFormat="false" ht="15" hidden="false" customHeight="false" outlineLevel="0" collapsed="false">
      <c r="D125" s="32" t="s">
        <v>685</v>
      </c>
      <c r="E125" s="32"/>
      <c r="F125" s="32"/>
      <c r="G125" s="32"/>
      <c r="H125" s="33" t="n">
        <f aca="false">COUNTIF(I86:I121,"")</f>
        <v>6</v>
      </c>
    </row>
    <row r="126" customFormat="false" ht="15" hidden="false" customHeight="false" outlineLevel="0" collapsed="false">
      <c r="D126" s="32" t="s">
        <v>686</v>
      </c>
      <c r="E126" s="32"/>
      <c r="F126" s="32"/>
      <c r="G126" s="32"/>
      <c r="H126" s="33" t="n">
        <f aca="false">SUMPRODUCT((I86:I121&lt;&gt;"")*H86:H121)-H124</f>
        <v>12940</v>
      </c>
    </row>
    <row r="127" customFormat="false" ht="15" hidden="false" customHeight="false" outlineLevel="0" collapsed="false">
      <c r="D127" s="32" t="s">
        <v>687</v>
      </c>
      <c r="E127" s="32"/>
      <c r="F127" s="32"/>
      <c r="G127" s="32"/>
      <c r="H127" s="33" t="n">
        <f aca="false">SUMIF(A86:A121,"Cahiers",F86:F121)</f>
        <v>11</v>
      </c>
    </row>
    <row r="128" customFormat="false" ht="15" hidden="false" customHeight="false" outlineLevel="0" collapsed="false">
      <c r="D128" s="32" t="s">
        <v>688</v>
      </c>
      <c r="E128" s="32"/>
      <c r="F128" s="32"/>
      <c r="G128" s="32"/>
      <c r="H128" s="34" t="n">
        <f aca="false">IF(H123=0,0,SUMIF(K86:K121,"&lt;&gt;Fixé",H86:H121)/H123)</f>
        <v>0.129334734459623</v>
      </c>
    </row>
    <row r="129" customFormat="false" ht="15" hidden="false" customHeight="false" outlineLevel="0" collapsed="false">
      <c r="D129" s="32" t="s">
        <v>689</v>
      </c>
      <c r="E129" s="32"/>
      <c r="F129" s="32"/>
      <c r="G129" s="32"/>
      <c r="H129" s="33" t="str">
        <f aca="false">IF(H122&gt;0,"Total incomplet : "&amp;H122&amp;" prix de vente à fournir",IF(H125&gt;0,"Coût incomplet : "&amp;H125&amp;" ligne(s) sans prix d'achat","Complet"))</f>
        <v>Total incomplet : 1 prix de vente à fournir</v>
      </c>
    </row>
    <row r="130" customFormat="false" ht="15" hidden="false" customHeight="false" outlineLevel="0" collapsed="false">
      <c r="D130" s="21" t="s">
        <v>696</v>
      </c>
      <c r="E130" s="21" t="str">
        <f aca="false">INDEX(Articles!$C$2:$C$148,MATCH("S020",Articles!$A$2:$A$148,0))</f>
        <v>Sac à dos bleu marine</v>
      </c>
      <c r="H130" s="41" t="n">
        <f aca="false">INDEX(Articles!$G$2:$G$148,MATCH("S020",Articles!$A$2:$A$148,0))</f>
        <v>7000</v>
      </c>
    </row>
    <row r="131" customFormat="false" ht="15" hidden="false" customHeight="false" outlineLevel="0" collapsed="false">
      <c r="D131" s="42" t="s">
        <v>697</v>
      </c>
      <c r="E131" s="43" t="s">
        <v>774</v>
      </c>
    </row>
    <row r="132" customFormat="false" ht="15" hidden="false" customHeight="false" outlineLevel="0" collapsed="false">
      <c r="E132" s="43" t="s">
        <v>775</v>
      </c>
    </row>
    <row r="133" customFormat="false" ht="15" hidden="false" customHeight="false" outlineLevel="0" collapsed="false">
      <c r="E133" s="43" t="s">
        <v>789</v>
      </c>
    </row>
    <row r="134" customFormat="false" ht="15" hidden="false" customHeight="false" outlineLevel="0" collapsed="false">
      <c r="E134" s="43" t="s">
        <v>790</v>
      </c>
    </row>
    <row r="135" customFormat="false" ht="15" hidden="false" customHeight="false" outlineLevel="0" collapsed="false">
      <c r="E135" s="43" t="s">
        <v>791</v>
      </c>
    </row>
  </sheetData>
  <mergeCells count="24">
    <mergeCell ref="D27:G27"/>
    <mergeCell ref="D28:G28"/>
    <mergeCell ref="D29:G29"/>
    <mergeCell ref="D30:G30"/>
    <mergeCell ref="D31:G31"/>
    <mergeCell ref="D32:G32"/>
    <mergeCell ref="D33:G33"/>
    <mergeCell ref="D34:G34"/>
    <mergeCell ref="D71:G71"/>
    <mergeCell ref="D72:G72"/>
    <mergeCell ref="D73:G73"/>
    <mergeCell ref="D74:G74"/>
    <mergeCell ref="D75:G75"/>
    <mergeCell ref="D76:G76"/>
    <mergeCell ref="D77:G77"/>
    <mergeCell ref="D78:G78"/>
    <mergeCell ref="D122:G122"/>
    <mergeCell ref="D123:G123"/>
    <mergeCell ref="D124:G124"/>
    <mergeCell ref="D125:G125"/>
    <mergeCell ref="D126:G126"/>
    <mergeCell ref="D127:G127"/>
    <mergeCell ref="D128:G128"/>
    <mergeCell ref="D129:G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792</v>
      </c>
    </row>
    <row r="2" customFormat="false" ht="15" hidden="false" customHeight="false" outlineLevel="0" collapsed="false">
      <c r="A2" s="21" t="s">
        <v>735</v>
      </c>
    </row>
    <row r="4" customFormat="false" ht="15" hidden="false" customHeight="false" outlineLevel="0" collapsed="false">
      <c r="A4" s="28" t="s">
        <v>793</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737</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739</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740</v>
      </c>
      <c r="C8" s="31" t="s">
        <v>210</v>
      </c>
      <c r="D8" s="9" t="str">
        <f aca="false">INDEX(Articles!$C$2:$C$148,MATCH(C8,Articles!$A$2:$A$148,0))</f>
        <v>Cahier L'écolier 192 pages</v>
      </c>
      <c r="E8" s="9" t="str">
        <f aca="false">INDEX(Articles!$B$2:$B$148,MATCH(C8,Articles!$A$2:$A$148,0))</f>
        <v>Papex</v>
      </c>
      <c r="F8" s="31" t="n">
        <v>2</v>
      </c>
      <c r="G8" s="13" t="n">
        <f aca="false">IF(INDEX(Articles!$G$2:$G$148,MATCH(C8,Articles!$A$2:$A$148,0))="","",INDEX(Articles!$G$2:$G$148,MATCH(C8,Articles!$A$2:$A$148,0)))</f>
        <v>500</v>
      </c>
      <c r="H8" s="13" t="n">
        <f aca="false">IF(G8="",0,F8*G8)</f>
        <v>1000</v>
      </c>
      <c r="I8" s="13" t="n">
        <f aca="false">IF(INDEX(Articles!$E$2:$E$148,MATCH(C8,Articles!$A$2:$A$148,0))="","",INDEX(Articles!$E$2:$E$148,MATCH(C8,Articles!$A$2:$A$148,0)))</f>
        <v>400</v>
      </c>
      <c r="J8" s="13" t="n">
        <f aca="false">IF(I8="","",F8*I8)</f>
        <v>800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741</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742</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743</v>
      </c>
      <c r="C11" s="31" t="s">
        <v>195</v>
      </c>
      <c r="D11" s="9" t="str">
        <f aca="false">INDEX(Articles!$C$2:$C$148,MATCH(C11,Articles!$A$2:$A$148,0))</f>
        <v>Cahier Calligraphe 96 pages 17x22 56 g seyès</v>
      </c>
      <c r="E11" s="9" t="str">
        <f aca="false">INDEX(Articles!$B$2:$B$148,MATCH(C11,Articles!$A$2:$A$148,0))</f>
        <v>Papex</v>
      </c>
      <c r="F11" s="31" t="n">
        <v>1</v>
      </c>
      <c r="G11" s="13" t="n">
        <f aca="false">IF(INDEX(Articles!$G$2:$G$148,MATCH(C11,Articles!$A$2:$A$148,0))="","",INDEX(Articles!$G$2:$G$148,MATCH(C11,Articles!$A$2:$A$148,0)))</f>
        <v>450</v>
      </c>
      <c r="H11" s="13" t="n">
        <f aca="false">IF(G11="",0,F11*G11)</f>
        <v>450</v>
      </c>
      <c r="I11" s="13" t="n">
        <f aca="false">IF(INDEX(Articles!$E$2:$E$148,MATCH(C11,Articles!$A$2:$A$148,0))="","",INDEX(Articles!$E$2:$E$148,MATCH(C11,Articles!$A$2:$A$148,0)))</f>
        <v>350</v>
      </c>
      <c r="J11" s="13" t="n">
        <f aca="false">IF(I11="","",F11*I11)</f>
        <v>350</v>
      </c>
      <c r="K11" s="9" t="str">
        <f aca="false">INDEX(Articles!$H$2:$H$148,MATCH(C11,Articles!$A$2:$A$148,0))</f>
        <v>Fixé</v>
      </c>
      <c r="L11" s="9" t="str">
        <f aca="false">INDEX(Articles!$F$2:$F$148,MATCH(C11,Articles!$A$2:$A$148,0))</f>
        <v>Confirmé</v>
      </c>
      <c r="M11" s="17"/>
      <c r="N11" s="9" t="s">
        <v>167</v>
      </c>
    </row>
    <row r="12" customFormat="false" ht="15" hidden="false" customHeight="false" outlineLevel="0" collapsed="false">
      <c r="A12" s="9" t="s">
        <v>671</v>
      </c>
      <c r="B12" s="9" t="s">
        <v>744</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745</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746</v>
      </c>
      <c r="C14" s="31" t="s">
        <v>203</v>
      </c>
      <c r="D14" s="9" t="str">
        <f aca="false">INDEX(Articles!$C$2:$C$148,MATCH(C14,Articles!$A$2:$A$148,0))</f>
        <v>Cahier L'écolier 48 pages</v>
      </c>
      <c r="E14" s="9" t="str">
        <f aca="false">INDEX(Articles!$B$2:$B$148,MATCH(C14,Articles!$A$2:$A$148,0))</f>
        <v>Papex</v>
      </c>
      <c r="F14" s="31" t="n">
        <v>1</v>
      </c>
      <c r="G14" s="13" t="n">
        <f aca="false">IF(INDEX(Articles!$G$2:$G$148,MATCH(C14,Articles!$A$2:$A$148,0))="","",INDEX(Articles!$G$2:$G$148,MATCH(C14,Articles!$A$2:$A$148,0)))</f>
        <v>275</v>
      </c>
      <c r="H14" s="13" t="n">
        <f aca="false">IF(G14="",0,F14*G14)</f>
        <v>275</v>
      </c>
      <c r="I14" s="13" t="n">
        <f aca="false">IF(INDEX(Articles!$E$2:$E$148,MATCH(C14,Articles!$A$2:$A$148,0))="","",INDEX(Articles!$E$2:$E$148,MATCH(C14,Articles!$A$2:$A$148,0)))</f>
        <v>175</v>
      </c>
      <c r="J14" s="13" t="n">
        <f aca="false">IF(I14="","",F14*I14)</f>
        <v>175</v>
      </c>
      <c r="K14" s="9" t="str">
        <f aca="false">INDEX(Articles!$H$2:$H$148,MATCH(C14,Articles!$A$2:$A$148,0))</f>
        <v>Estimé</v>
      </c>
      <c r="L14" s="9" t="str">
        <f aca="false">INDEX(Articles!$F$2:$F$148,MATCH(C14,Articles!$A$2:$A$148,0))</f>
        <v>Confirmé</v>
      </c>
      <c r="M14" s="17"/>
      <c r="N14" s="9" t="s">
        <v>167</v>
      </c>
    </row>
    <row r="15" customFormat="false" ht="15" hidden="false" customHeight="false" outlineLevel="0" collapsed="false">
      <c r="A15" s="9" t="s">
        <v>671</v>
      </c>
      <c r="B15" s="9" t="s">
        <v>747</v>
      </c>
      <c r="C15" s="31" t="s">
        <v>195</v>
      </c>
      <c r="D15" s="9" t="str">
        <f aca="false">INDEX(Articles!$C$2:$C$148,MATCH(C15,Articles!$A$2:$A$148,0))</f>
        <v>Cahier Calligraphe 96 pages 17x22 56 g seyès</v>
      </c>
      <c r="E15" s="9" t="str">
        <f aca="false">INDEX(Articles!$B$2:$B$148,MATCH(C15,Articles!$A$2:$A$148,0))</f>
        <v>Papex</v>
      </c>
      <c r="F15" s="31" t="n">
        <v>1</v>
      </c>
      <c r="G15" s="13" t="n">
        <f aca="false">IF(INDEX(Articles!$G$2:$G$148,MATCH(C15,Articles!$A$2:$A$148,0))="","",INDEX(Articles!$G$2:$G$148,MATCH(C15,Articles!$A$2:$A$148,0)))</f>
        <v>450</v>
      </c>
      <c r="H15" s="13" t="n">
        <f aca="false">IF(G15="",0,F15*G15)</f>
        <v>450</v>
      </c>
      <c r="I15" s="13" t="n">
        <f aca="false">IF(INDEX(Articles!$E$2:$E$148,MATCH(C15,Articles!$A$2:$A$148,0))="","",INDEX(Articles!$E$2:$E$148,MATCH(C15,Articles!$A$2:$A$148,0)))</f>
        <v>350</v>
      </c>
      <c r="J15" s="13" t="n">
        <f aca="false">IF(I15="","",F15*I15)</f>
        <v>350</v>
      </c>
      <c r="K15" s="9" t="str">
        <f aca="false">INDEX(Articles!$H$2:$H$148,MATCH(C15,Articles!$A$2:$A$148,0))</f>
        <v>Fixé</v>
      </c>
      <c r="L15" s="9" t="str">
        <f aca="false">INDEX(Articles!$F$2:$F$148,MATCH(C15,Articles!$A$2:$A$148,0))</f>
        <v>Confirmé</v>
      </c>
      <c r="M15" s="17"/>
      <c r="N15" s="9" t="s">
        <v>167</v>
      </c>
    </row>
    <row r="16" customFormat="false" ht="15" hidden="false" customHeight="false" outlineLevel="0" collapsed="false">
      <c r="A16" s="9" t="s">
        <v>681</v>
      </c>
      <c r="B16" s="9" t="s">
        <v>748</v>
      </c>
      <c r="C16" s="31" t="s">
        <v>252</v>
      </c>
      <c r="D16" s="9" t="str">
        <f aca="false">INDEX(Articles!$C$2:$C$148,MATCH(C16,Articles!$A$2:$A$148,0))</f>
        <v>Cahier de dessin L'écolier 32 pages</v>
      </c>
      <c r="E16" s="9" t="str">
        <f aca="false">INDEX(Articles!$B$2:$B$148,MATCH(C16,Articles!$A$2:$A$148,0))</f>
        <v>Papex</v>
      </c>
      <c r="F16" s="31" t="n">
        <v>1</v>
      </c>
      <c r="G16" s="13" t="n">
        <f aca="false">IF(INDEX(Articles!$G$2:$G$148,MATCH(C16,Articles!$A$2:$A$148,0))="","",INDEX(Articles!$G$2:$G$148,MATCH(C16,Articles!$A$2:$A$148,0)))</f>
        <v>250</v>
      </c>
      <c r="H16" s="13" t="n">
        <f aca="false">IF(G16="",0,F16*G16)</f>
        <v>250</v>
      </c>
      <c r="I16" s="13" t="n">
        <f aca="false">IF(INDEX(Articles!$E$2:$E$148,MATCH(C16,Articles!$A$2:$A$148,0))="","",INDEX(Articles!$E$2:$E$148,MATCH(C16,Articles!$A$2:$A$148,0)))</f>
        <v>150</v>
      </c>
      <c r="J16" s="13" t="n">
        <f aca="false">IF(I16="","",F16*I16)</f>
        <v>150</v>
      </c>
      <c r="K16" s="9" t="str">
        <f aca="false">INDEX(Articles!$H$2:$H$148,MATCH(C16,Articles!$A$2:$A$148,0))</f>
        <v>Fixé</v>
      </c>
      <c r="L16" s="9" t="str">
        <f aca="false">INDEX(Articles!$F$2:$F$148,MATCH(C16,Articles!$A$2:$A$148,0))</f>
        <v>Confirmé</v>
      </c>
      <c r="M16" s="17"/>
      <c r="N16" s="9" t="s">
        <v>167</v>
      </c>
    </row>
    <row r="17" customFormat="false" ht="15" hidden="false" customHeight="false" outlineLevel="0" collapsed="false">
      <c r="A17" s="9" t="s">
        <v>678</v>
      </c>
      <c r="B17" s="9" t="s">
        <v>749</v>
      </c>
      <c r="C17" s="31" t="s">
        <v>222</v>
      </c>
      <c r="D17" s="9" t="str">
        <f aca="false">INDEX(Articles!$C$2:$C$148,MATCH(C17,Articles!$A$2:$A$148,0))</f>
        <v>Pack de 4 stylos Schneider Tops 505 M (bleu, noir, rouge, vert)</v>
      </c>
      <c r="E17" s="9" t="str">
        <f aca="false">INDEX(Articles!$B$2:$B$148,MATCH(C17,Articles!$A$2:$A$148,0))</f>
        <v>Papex</v>
      </c>
      <c r="F17" s="31" t="n">
        <v>1</v>
      </c>
      <c r="G17" s="13" t="n">
        <f aca="false">IF(INDEX(Articles!$G$2:$G$148,MATCH(C17,Articles!$A$2:$A$148,0))="","",INDEX(Articles!$G$2:$G$148,MATCH(C17,Articles!$A$2:$A$148,0)))</f>
        <v>400</v>
      </c>
      <c r="H17" s="13" t="n">
        <f aca="false">IF(G17="",0,F17*G17)</f>
        <v>400</v>
      </c>
      <c r="I17" s="13" t="str">
        <f aca="false">IF(INDEX(Articles!$E$2:$E$148,MATCH(C17,Articles!$A$2:$A$148,0))="","",INDEX(Articles!$E$2:$E$148,MATCH(C17,Articles!$A$2:$A$148,0)))</f>
        <v/>
      </c>
      <c r="J17" s="13" t="str">
        <f aca="false">IF(I17="","",F17*I17)</f>
        <v/>
      </c>
      <c r="K17" s="9" t="str">
        <f aca="false">INDEX(Articles!$H$2:$H$148,MATCH(C17,Articles!$A$2:$A$148,0))</f>
        <v>Fixé</v>
      </c>
      <c r="L17" s="9" t="str">
        <f aca="false">INDEX(Articles!$F$2:$F$148,MATCH(C17,Articles!$A$2:$A$148,0))</f>
        <v>Inconnu</v>
      </c>
      <c r="M17" s="17" t="s">
        <v>432</v>
      </c>
      <c r="N17" s="9" t="s">
        <v>167</v>
      </c>
    </row>
    <row r="18" customFormat="false" ht="15" hidden="false" customHeight="false" outlineLevel="0" collapsed="false">
      <c r="A18" s="9" t="s">
        <v>678</v>
      </c>
      <c r="B18" s="9" t="s">
        <v>750</v>
      </c>
      <c r="C18" s="31" t="s">
        <v>235</v>
      </c>
      <c r="D18" s="9" t="str">
        <f aca="false">INDEX(Articles!$C$2:$C$148,MATCH(C18,Articles!$A$2:$A$148,0))</f>
        <v>Crayon papier (vendu à l'unité)</v>
      </c>
      <c r="E18" s="9" t="str">
        <f aca="false">INDEX(Articles!$B$2:$B$148,MATCH(C18,Articles!$A$2:$A$148,0))</f>
        <v>LPD</v>
      </c>
      <c r="F18" s="31" t="n">
        <v>1</v>
      </c>
      <c r="G18" s="13" t="n">
        <f aca="false">IF(INDEX(Articles!$G$2:$G$148,MATCH(C18,Articles!$A$2:$A$148,0))="","",INDEX(Articles!$G$2:$G$148,MATCH(C18,Articles!$A$2:$A$148,0)))</f>
        <v>75</v>
      </c>
      <c r="H18" s="13" t="n">
        <f aca="false">IF(G18="",0,F18*G18)</f>
        <v>75</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c r="N18" s="9" t="s">
        <v>167</v>
      </c>
    </row>
    <row r="19" customFormat="false" ht="15" hidden="false" customHeight="false" outlineLevel="0" collapsed="false">
      <c r="A19" s="9" t="s">
        <v>675</v>
      </c>
      <c r="B19" s="9" t="s">
        <v>717</v>
      </c>
      <c r="C19" s="31" t="s">
        <v>180</v>
      </c>
      <c r="D19" s="9" t="str">
        <f aca="false">INDEX(Articles!$C$2:$C$148,MATCH(C19,Articles!$A$2:$A$148,0))</f>
        <v>Gomme Staedtler Mars Plastic</v>
      </c>
      <c r="E19" s="9" t="str">
        <f aca="false">INDEX(Articles!$B$2:$B$148,MATCH(C19,Articles!$A$2:$A$148,0))</f>
        <v>LPD</v>
      </c>
      <c r="F19" s="31" t="n">
        <v>1</v>
      </c>
      <c r="G19" s="13" t="n">
        <f aca="false">IF(INDEX(Articles!$G$2:$G$148,MATCH(C19,Articles!$A$2:$A$148,0))="","",INDEX(Articles!$G$2:$G$148,MATCH(C19,Articles!$A$2:$A$148,0)))</f>
        <v>250</v>
      </c>
      <c r="H19" s="13" t="n">
        <f aca="false">IF(G19="",0,F19*G19)</f>
        <v>250</v>
      </c>
      <c r="I19" s="13" t="n">
        <f aca="false">IF(INDEX(Articles!$E$2:$E$148,MATCH(C19,Articles!$A$2:$A$148,0))="","",INDEX(Articles!$E$2:$E$148,MATCH(C19,Articles!$A$2:$A$148,0)))</f>
        <v>110</v>
      </c>
      <c r="J19" s="13" t="n">
        <f aca="false">IF(I19="","",F19*I19)</f>
        <v>110</v>
      </c>
      <c r="K19" s="9" t="str">
        <f aca="false">INDEX(Articles!$H$2:$H$148,MATCH(C19,Articles!$A$2:$A$148,0))</f>
        <v>Fixé</v>
      </c>
      <c r="L19" s="9" t="str">
        <f aca="false">INDEX(Articles!$F$2:$F$148,MATCH(C19,Articles!$A$2:$A$148,0))</f>
        <v>Estimé</v>
      </c>
      <c r="M19" s="17"/>
      <c r="N19" s="9" t="s">
        <v>167</v>
      </c>
    </row>
    <row r="20" customFormat="false" ht="15" hidden="false" customHeight="false" outlineLevel="0" collapsed="false">
      <c r="A20" s="9" t="s">
        <v>675</v>
      </c>
      <c r="B20" s="9" t="s">
        <v>751</v>
      </c>
      <c r="C20" s="31" t="s">
        <v>183</v>
      </c>
      <c r="D20" s="9" t="str">
        <f aca="false">INDEX(Articles!$C$2:$C$148,MATCH(C20,Articles!$A$2:$A$148,0))</f>
        <v>Taille-crayon avec réservoir Maped</v>
      </c>
      <c r="E20" s="9" t="str">
        <f aca="false">INDEX(Articles!$B$2:$B$148,MATCH(C20,Articles!$A$2:$A$148,0))</f>
        <v>Papex</v>
      </c>
      <c r="F20" s="31" t="n">
        <v>1</v>
      </c>
      <c r="G20" s="13" t="n">
        <f aca="false">IF(INDEX(Articles!$G$2:$G$148,MATCH(C20,Articles!$A$2:$A$148,0))="","",INDEX(Articles!$G$2:$G$148,MATCH(C20,Articles!$A$2:$A$148,0)))</f>
        <v>500</v>
      </c>
      <c r="H20" s="13" t="n">
        <f aca="false">IF(G20="",0,F20*G20)</f>
        <v>500</v>
      </c>
      <c r="I20" s="13" t="n">
        <f aca="false">IF(INDEX(Articles!$E$2:$E$148,MATCH(C20,Articles!$A$2:$A$148,0))="","",INDEX(Articles!$E$2:$E$148,MATCH(C20,Articles!$A$2:$A$148,0)))</f>
        <v>350</v>
      </c>
      <c r="J20" s="13" t="n">
        <f aca="false">IF(I20="","",F20*I20)</f>
        <v>350</v>
      </c>
      <c r="K20" s="9" t="str">
        <f aca="false">INDEX(Articles!$H$2:$H$148,MATCH(C20,Articles!$A$2:$A$148,0))</f>
        <v>Estimé</v>
      </c>
      <c r="L20" s="9" t="str">
        <f aca="false">INDEX(Articles!$F$2:$F$148,MATCH(C20,Articles!$A$2:$A$148,0))</f>
        <v>Estimé</v>
      </c>
      <c r="M20" s="17" t="s">
        <v>752</v>
      </c>
      <c r="N20" s="9" t="s">
        <v>167</v>
      </c>
    </row>
    <row r="21" customFormat="false" ht="15" hidden="false" customHeight="false" outlineLevel="0" collapsed="false">
      <c r="A21" s="9" t="s">
        <v>675</v>
      </c>
      <c r="B21" s="9" t="s">
        <v>753</v>
      </c>
      <c r="C21" s="31" t="s">
        <v>250</v>
      </c>
      <c r="D21" s="9" t="str">
        <f aca="false">INDEX(Articles!$C$2:$C$148,MATCH(C21,Articles!$A$2:$A$148,0))</f>
        <v>Bâton de colle Giotto 10 g</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c r="N21" s="9" t="s">
        <v>167</v>
      </c>
    </row>
    <row r="22" customFormat="false" ht="15" hidden="false" customHeight="false" outlineLevel="0" collapsed="false">
      <c r="A22" s="9" t="s">
        <v>675</v>
      </c>
      <c r="B22" s="9" t="s">
        <v>754</v>
      </c>
      <c r="C22" s="31" t="s">
        <v>233</v>
      </c>
      <c r="D22" s="9" t="str">
        <f aca="false">INDEX(Articles!$C$2:$C$148,MATCH(C22,Articles!$A$2:$A$148,0))</f>
        <v>Ciseaux scolaires bouts ronds</v>
      </c>
      <c r="E22" s="9" t="str">
        <f aca="false">INDEX(Articles!$B$2:$B$148,MATCH(C22,Articles!$A$2:$A$148,0))</f>
        <v>LPD</v>
      </c>
      <c r="F22" s="31" t="n">
        <v>1</v>
      </c>
      <c r="G22" s="13" t="n">
        <f aca="false">IF(INDEX(Articles!$G$2:$G$148,MATCH(C22,Articles!$A$2:$A$148,0))="","",INDEX(Articles!$G$2:$G$148,MATCH(C22,Articles!$A$2:$A$148,0)))</f>
        <v>250</v>
      </c>
      <c r="H22" s="13" t="n">
        <f aca="false">IF(G22="",0,F22*G22)</f>
        <v>250</v>
      </c>
      <c r="I22" s="13" t="n">
        <f aca="false">IF(INDEX(Articles!$E$2:$E$148,MATCH(C22,Articles!$A$2:$A$148,0))="","",INDEX(Articles!$E$2:$E$148,MATCH(C22,Articles!$A$2:$A$148,0)))</f>
        <v>100</v>
      </c>
      <c r="J22" s="13" t="n">
        <f aca="false">IF(I22="","",F22*I22)</f>
        <v>100</v>
      </c>
      <c r="K22" s="9" t="str">
        <f aca="false">INDEX(Articles!$H$2:$H$148,MATCH(C22,Articles!$A$2:$A$148,0))</f>
        <v>Fixé</v>
      </c>
      <c r="L22" s="9" t="str">
        <f aca="false">INDEX(Articles!$F$2:$F$148,MATCH(C22,Articles!$A$2:$A$148,0))</f>
        <v>Estimé</v>
      </c>
      <c r="M22" s="17"/>
      <c r="N22" s="9" t="s">
        <v>167</v>
      </c>
    </row>
    <row r="23" customFormat="false" ht="15" hidden="false" customHeight="false" outlineLevel="0" collapsed="false">
      <c r="A23" s="9" t="s">
        <v>676</v>
      </c>
      <c r="B23" s="9" t="s">
        <v>755</v>
      </c>
      <c r="C23" s="31" t="s">
        <v>239</v>
      </c>
      <c r="D23" s="9" t="str">
        <f aca="false">INDEX(Articles!$C$2:$C$148,MATCH(C23,Articles!$A$2:$A$148,0))</f>
        <v>Kit de traçage 30 cm, 4 pièces L'écolier</v>
      </c>
      <c r="E23" s="9" t="str">
        <f aca="false">INDEX(Articles!$B$2:$B$148,MATCH(C23,Articles!$A$2:$A$148,0))</f>
        <v>Papex</v>
      </c>
      <c r="F23" s="31" t="n">
        <v>1</v>
      </c>
      <c r="G23" s="13" t="n">
        <f aca="false">IF(INDEX(Articles!$G$2:$G$148,MATCH(C23,Articles!$A$2:$A$148,0))="","",INDEX(Articles!$G$2:$G$148,MATCH(C23,Articles!$A$2:$A$148,0)))</f>
        <v>900</v>
      </c>
      <c r="H23" s="13" t="n">
        <f aca="false">IF(G23="",0,F23*G23)</f>
        <v>900</v>
      </c>
      <c r="I23" s="13" t="n">
        <f aca="false">IF(INDEX(Articles!$E$2:$E$148,MATCH(C23,Articles!$A$2:$A$148,0))="","",INDEX(Articles!$E$2:$E$148,MATCH(C23,Articles!$A$2:$A$148,0)))</f>
        <v>650</v>
      </c>
      <c r="J23" s="13" t="n">
        <f aca="false">IF(I23="","",F23*I23)</f>
        <v>650</v>
      </c>
      <c r="K23" s="9" t="str">
        <f aca="false">INDEX(Articles!$H$2:$H$148,MATCH(C23,Articles!$A$2:$A$148,0))</f>
        <v>Estimé</v>
      </c>
      <c r="L23" s="9" t="str">
        <f aca="false">INDEX(Articles!$F$2:$F$148,MATCH(C23,Articles!$A$2:$A$148,0))</f>
        <v>Confirmé</v>
      </c>
      <c r="M23" s="17"/>
      <c r="N23" s="9" t="s">
        <v>167</v>
      </c>
    </row>
    <row r="24" customFormat="false" ht="15" hidden="false" customHeight="false" outlineLevel="0" collapsed="false">
      <c r="A24" s="9" t="s">
        <v>676</v>
      </c>
      <c r="B24" s="9" t="s">
        <v>756</v>
      </c>
      <c r="C24" s="31" t="s">
        <v>217</v>
      </c>
      <c r="D24" s="9" t="str">
        <f aca="false">INDEX(Articles!$C$2:$C$148,MATCH(C24,Articles!$A$2:$A$148,0))</f>
        <v>Compas de précision avec étui</v>
      </c>
      <c r="E24" s="9" t="str">
        <f aca="false">INDEX(Articles!$B$2:$B$148,MATCH(C24,Articles!$A$2:$A$148,0))</f>
        <v>LPD</v>
      </c>
      <c r="F24" s="31" t="n">
        <v>1</v>
      </c>
      <c r="G24" s="13" t="n">
        <f aca="false">IF(INDEX(Articles!$G$2:$G$148,MATCH(C24,Articles!$A$2:$A$148,0))="","",INDEX(Articles!$G$2:$G$148,MATCH(C24,Articles!$A$2:$A$148,0)))</f>
        <v>600</v>
      </c>
      <c r="H24" s="13" t="n">
        <f aca="false">IF(G24="",0,F24*G24)</f>
        <v>600</v>
      </c>
      <c r="I24" s="13" t="n">
        <f aca="false">IF(INDEX(Articles!$E$2:$E$148,MATCH(C24,Articles!$A$2:$A$148,0))="","",INDEX(Articles!$E$2:$E$148,MATCH(C24,Articles!$A$2:$A$148,0)))</f>
        <v>450</v>
      </c>
      <c r="J24" s="13" t="n">
        <f aca="false">IF(I24="","",F24*I24)</f>
        <v>450</v>
      </c>
      <c r="K24" s="9" t="str">
        <f aca="false">INDEX(Articles!$H$2:$H$148,MATCH(C24,Articles!$A$2:$A$148,0))</f>
        <v>Fixé</v>
      </c>
      <c r="L24" s="9" t="str">
        <f aca="false">INDEX(Articles!$F$2:$F$148,MATCH(C24,Articles!$A$2:$A$148,0))</f>
        <v>Estimé</v>
      </c>
      <c r="M24" s="17"/>
      <c r="N24" s="9" t="s">
        <v>167</v>
      </c>
    </row>
    <row r="25" customFormat="false" ht="15" hidden="false" customHeight="false" outlineLevel="0" collapsed="false">
      <c r="A25" s="9" t="s">
        <v>681</v>
      </c>
      <c r="B25" s="9" t="s">
        <v>757</v>
      </c>
      <c r="C25" s="31" t="s">
        <v>198</v>
      </c>
      <c r="D25" s="9" t="str">
        <f aca="false">INDEX(Articles!$C$2:$C$148,MATCH(C25,Articles!$A$2:$A$148,0))</f>
        <v>Crayons de couleur Maped, boîte de 12</v>
      </c>
      <c r="E25" s="9" t="str">
        <f aca="false">INDEX(Articles!$B$2:$B$148,MATCH(C25,Articles!$A$2:$A$148,0))</f>
        <v>Papex</v>
      </c>
      <c r="F25" s="31" t="n">
        <v>1</v>
      </c>
      <c r="G25" s="13" t="n">
        <f aca="false">IF(INDEX(Articles!$G$2:$G$148,MATCH(C25,Articles!$A$2:$A$148,0))="","",INDEX(Articles!$G$2:$G$148,MATCH(C25,Articles!$A$2:$A$148,0)))</f>
        <v>900</v>
      </c>
      <c r="H25" s="13" t="n">
        <f aca="false">IF(G25="",0,F25*G25)</f>
        <v>900</v>
      </c>
      <c r="I25" s="13" t="n">
        <f aca="false">IF(INDEX(Articles!$E$2:$E$148,MATCH(C25,Articles!$A$2:$A$148,0))="","",INDEX(Articles!$E$2:$E$148,MATCH(C25,Articles!$A$2:$A$148,0)))</f>
        <v>650</v>
      </c>
      <c r="J25" s="13" t="n">
        <f aca="false">IF(I25="","",F25*I25)</f>
        <v>650</v>
      </c>
      <c r="K25" s="9" t="str">
        <f aca="false">INDEX(Articles!$H$2:$H$148,MATCH(C25,Articles!$A$2:$A$148,0))</f>
        <v>Estimé</v>
      </c>
      <c r="L25" s="9" t="str">
        <f aca="false">INDEX(Articles!$F$2:$F$148,MATCH(C25,Articles!$A$2:$A$148,0))</f>
        <v>Estimé</v>
      </c>
      <c r="M25" s="17"/>
      <c r="N25" s="9" t="s">
        <v>167</v>
      </c>
    </row>
    <row r="26" customFormat="false" ht="15" hidden="false" customHeight="false" outlineLevel="0" collapsed="false">
      <c r="A26" s="9" t="s">
        <v>758</v>
      </c>
      <c r="B26" s="9" t="s">
        <v>759</v>
      </c>
      <c r="C26" s="31" t="s">
        <v>376</v>
      </c>
      <c r="D26" s="9" t="str">
        <f aca="false">INDEX(Articles!$C$2:$C$148,MATCH(C26,Articles!$A$2:$A$148,0))</f>
        <v>Paquet de copies doubles grand format</v>
      </c>
      <c r="E26" s="9" t="str">
        <f aca="false">INDEX(Articles!$B$2:$B$148,MATCH(C26,Articles!$A$2:$A$148,0))</f>
        <v>À préciser</v>
      </c>
      <c r="F26" s="31" t="n">
        <v>1</v>
      </c>
      <c r="G26" s="45" t="n">
        <f aca="false">IF(INDEX(Articles!$G$2:$G$148,MATCH(C26,Articles!$A$2:$A$148,0))="","",INDEX(Articles!$G$2:$G$148,MATCH(C26,Articles!$A$2:$A$148,0)))</f>
        <v>1800</v>
      </c>
      <c r="H26" s="13" t="n">
        <f aca="false">IF(G26="",0,F26*G26)</f>
        <v>1800</v>
      </c>
      <c r="I26" s="13" t="n">
        <f aca="false">IF(INDEX(Articles!$E$2:$E$148,MATCH(C26,Articles!$A$2:$A$148,0))="","",INDEX(Articles!$E$2:$E$148,MATCH(C26,Articles!$A$2:$A$148,0)))</f>
        <v>1300</v>
      </c>
      <c r="J26" s="13" t="n">
        <f aca="false">IF(I26="","",F26*I26)</f>
        <v>1300</v>
      </c>
      <c r="K26" s="9" t="str">
        <f aca="false">INDEX(Articles!$H$2:$H$148,MATCH(C26,Articles!$A$2:$A$148,0))</f>
        <v>Fixé</v>
      </c>
      <c r="L26" s="9" t="str">
        <f aca="false">INDEX(Articles!$F$2:$F$148,MATCH(C26,Articles!$A$2:$A$148,0))</f>
        <v>Confirmé</v>
      </c>
      <c r="M26" s="17"/>
      <c r="N26" s="9" t="s">
        <v>167</v>
      </c>
    </row>
    <row r="27" customFormat="false" ht="15" hidden="false" customHeight="false" outlineLevel="0" collapsed="false">
      <c r="D27" s="32" t="s">
        <v>683</v>
      </c>
      <c r="E27" s="32"/>
      <c r="F27" s="32"/>
      <c r="G27" s="32"/>
      <c r="H27" s="33" t="n">
        <f aca="false">COUNTIF(G6:G26,"")</f>
        <v>0</v>
      </c>
    </row>
    <row r="28" customFormat="false" ht="15" hidden="false" customHeight="false" outlineLevel="0" collapsed="false">
      <c r="D28" s="32" t="s">
        <v>684</v>
      </c>
      <c r="E28" s="32"/>
      <c r="F28" s="32"/>
      <c r="G28" s="32"/>
      <c r="H28" s="33" t="n">
        <f aca="false">SUM(H6:H26)</f>
        <v>11550</v>
      </c>
    </row>
    <row r="29" customFormat="false" ht="15" hidden="false" customHeight="false" outlineLevel="0" collapsed="false">
      <c r="D29" s="32" t="s">
        <v>28</v>
      </c>
      <c r="E29" s="32"/>
      <c r="F29" s="32"/>
      <c r="G29" s="32"/>
      <c r="H29" s="33" t="n">
        <f aca="false">SUM(J6:J26)</f>
        <v>8135</v>
      </c>
    </row>
    <row r="30" customFormat="false" ht="15" hidden="false" customHeight="false" outlineLevel="0" collapsed="false">
      <c r="D30" s="32" t="s">
        <v>685</v>
      </c>
      <c r="E30" s="32"/>
      <c r="F30" s="32"/>
      <c r="G30" s="32"/>
      <c r="H30" s="33" t="n">
        <f aca="false">COUNTIF(I6:I26,"")</f>
        <v>2</v>
      </c>
    </row>
    <row r="31" customFormat="false" ht="15" hidden="false" customHeight="false" outlineLevel="0" collapsed="false">
      <c r="D31" s="32" t="s">
        <v>686</v>
      </c>
      <c r="E31" s="32"/>
      <c r="F31" s="32"/>
      <c r="G31" s="32"/>
      <c r="H31" s="33" t="n">
        <f aca="false">SUMPRODUCT((I6:I26&lt;&gt;"")*H6:H26)-H29</f>
        <v>2940</v>
      </c>
    </row>
    <row r="32" customFormat="false" ht="15" hidden="false" customHeight="false" outlineLevel="0" collapsed="false">
      <c r="D32" s="32" t="s">
        <v>687</v>
      </c>
      <c r="E32" s="32"/>
      <c r="F32" s="32"/>
      <c r="G32" s="32"/>
      <c r="H32" s="33" t="n">
        <f aca="false">SUMIF(A6:A26,"Cahiers",F6:F26)</f>
        <v>11</v>
      </c>
    </row>
    <row r="33" customFormat="false" ht="15" hidden="false" customHeight="false" outlineLevel="0" collapsed="false">
      <c r="D33" s="32" t="s">
        <v>688</v>
      </c>
      <c r="E33" s="32"/>
      <c r="F33" s="32"/>
      <c r="G33" s="32"/>
      <c r="H33" s="34" t="n">
        <f aca="false">IF(H28=0,0,SUMIF(K6:K26,"&lt;&gt;Fixé",H6:H26)/H28)</f>
        <v>0.569264069264069</v>
      </c>
    </row>
    <row r="34" customFormat="false" ht="15" hidden="false" customHeight="false" outlineLevel="0" collapsed="false">
      <c r="D34" s="32" t="s">
        <v>689</v>
      </c>
      <c r="E34" s="32"/>
      <c r="F34" s="32"/>
      <c r="G34" s="32"/>
      <c r="H34" s="33" t="str">
        <f aca="false">IF(H27&gt;0,"Total incomplet : "&amp;H27&amp;" prix de vente à fournir",IF(H30&gt;0,"Coût incomplet : "&amp;H30&amp;" ligne(s) sans prix d'achat","Complet"))</f>
        <v>Coût incomplet : 2 ligne(s) sans prix d'achat</v>
      </c>
    </row>
    <row r="36" customFormat="false" ht="15" hidden="false" customHeight="false" outlineLevel="0" collapsed="false">
      <c r="D36" s="35" t="s">
        <v>690</v>
      </c>
    </row>
    <row r="37" customFormat="false" ht="15" hidden="false" customHeight="false" outlineLevel="0" collapsed="false">
      <c r="A37" s="36" t="s">
        <v>760</v>
      </c>
      <c r="B37" s="36" t="s">
        <v>784</v>
      </c>
      <c r="C37" s="31" t="s">
        <v>483</v>
      </c>
      <c r="D37" s="36" t="str">
        <f aca="false">INDEX(Articles!$C$2:$C$148,MATCH(C37,Articles!$A$2:$A$148,0))</f>
        <v>La Belle Histoire de Leuk-le-Lièvre (Senghor et Sadji)</v>
      </c>
      <c r="E37" s="37"/>
      <c r="F37" s="37"/>
      <c r="G37" s="38" t="n">
        <f aca="false">INDEX(Articles!$G$2:$G$148,MATCH(C37,Articles!$A$2:$A$148,0))</f>
        <v>3500</v>
      </c>
      <c r="H37" s="37"/>
      <c r="I37" s="37"/>
      <c r="J37" s="37"/>
      <c r="K37" s="37"/>
      <c r="L37" s="37"/>
      <c r="M37" s="37"/>
      <c r="N37" s="39" t="s">
        <v>271</v>
      </c>
    </row>
    <row r="38" customFormat="false" ht="15" hidden="false" customHeight="false" outlineLevel="0" collapsed="false">
      <c r="D38" s="40" t="s">
        <v>695</v>
      </c>
      <c r="H38" s="33" t="n">
        <f aca="false">H28+SUM(G37:G37)</f>
        <v>15050</v>
      </c>
    </row>
    <row r="39" customFormat="false" ht="15" hidden="false" customHeight="false" outlineLevel="0" collapsed="false">
      <c r="D39" s="21" t="s">
        <v>696</v>
      </c>
      <c r="E39" s="21" t="str">
        <f aca="false">INDEX(Articles!$C$2:$C$148,MATCH("S020",Articles!$A$2:$A$148,0))</f>
        <v>Sac à dos bleu marine</v>
      </c>
      <c r="H39" s="41" t="n">
        <f aca="false">INDEX(Articles!$G$2:$G$148,MATCH("S020",Articles!$A$2:$A$148,0))</f>
        <v>7000</v>
      </c>
    </row>
    <row r="40" customFormat="false" ht="15" hidden="false" customHeight="false" outlineLevel="0" collapsed="false">
      <c r="D40" s="42" t="s">
        <v>697</v>
      </c>
      <c r="E40" s="44" t="s">
        <v>711</v>
      </c>
    </row>
    <row r="43" customFormat="false" ht="15" hidden="false" customHeight="false" outlineLevel="0" collapsed="false">
      <c r="A43" s="28" t="s">
        <v>794</v>
      </c>
      <c r="B43" s="29"/>
      <c r="C43" s="29"/>
      <c r="D43" s="29"/>
      <c r="E43" s="29"/>
      <c r="F43" s="29"/>
      <c r="G43" s="29"/>
      <c r="H43" s="29"/>
      <c r="I43" s="29"/>
      <c r="J43" s="29"/>
      <c r="K43" s="29"/>
      <c r="L43" s="29"/>
      <c r="M43" s="29"/>
      <c r="N43" s="29"/>
    </row>
    <row r="44" customFormat="false" ht="39.55" hidden="false" customHeight="false" outlineLevel="0" collapsed="false">
      <c r="A44" s="30" t="s">
        <v>663</v>
      </c>
      <c r="B44" s="30" t="s">
        <v>664</v>
      </c>
      <c r="C44" s="30" t="s">
        <v>348</v>
      </c>
      <c r="D44" s="30" t="s">
        <v>350</v>
      </c>
      <c r="E44" s="30" t="s">
        <v>349</v>
      </c>
      <c r="F44" s="30" t="s">
        <v>665</v>
      </c>
      <c r="G44" s="30" t="s">
        <v>666</v>
      </c>
      <c r="H44" s="30" t="s">
        <v>667</v>
      </c>
      <c r="I44" s="30" t="s">
        <v>668</v>
      </c>
      <c r="J44" s="30" t="s">
        <v>669</v>
      </c>
      <c r="K44" s="30" t="s">
        <v>355</v>
      </c>
      <c r="L44" s="30" t="s">
        <v>353</v>
      </c>
      <c r="M44" s="30" t="s">
        <v>356</v>
      </c>
      <c r="N44" s="30" t="s">
        <v>670</v>
      </c>
    </row>
    <row r="45" customFormat="false" ht="15" hidden="false" customHeight="false" outlineLevel="0" collapsed="false">
      <c r="A45" s="9" t="s">
        <v>671</v>
      </c>
      <c r="B45" s="9" t="s">
        <v>737</v>
      </c>
      <c r="C45" s="31" t="s">
        <v>213</v>
      </c>
      <c r="D45" s="9" t="str">
        <f aca="false">INDEX(Articles!$C$2:$C$148,MATCH(C45,Articles!$A$2:$A$148,0))</f>
        <v>Cahier Calligraphe 192 pages 24x32 (grand format)</v>
      </c>
      <c r="E45" s="9" t="str">
        <f aca="false">INDEX(Articles!$B$2:$B$148,MATCH(C45,Articles!$A$2:$A$148,0))</f>
        <v>Papex</v>
      </c>
      <c r="F45" s="31" t="n">
        <v>1</v>
      </c>
      <c r="G45" s="13" t="n">
        <f aca="false">IF(INDEX(Articles!$G$2:$G$148,MATCH(C45,Articles!$A$2:$A$148,0))="","",INDEX(Articles!$G$2:$G$148,MATCH(C45,Articles!$A$2:$A$148,0)))</f>
        <v>1650</v>
      </c>
      <c r="H45" s="13" t="n">
        <f aca="false">IF(G45="",0,F45*G45)</f>
        <v>1650</v>
      </c>
      <c r="I45" s="13" t="n">
        <f aca="false">IF(INDEX(Articles!$E$2:$E$148,MATCH(C45,Articles!$A$2:$A$148,0))="","",INDEX(Articles!$E$2:$E$148,MATCH(C45,Articles!$A$2:$A$148,0)))</f>
        <v>1500</v>
      </c>
      <c r="J45" s="13" t="n">
        <f aca="false">IF(I45="","",F45*I45)</f>
        <v>1500</v>
      </c>
      <c r="K45" s="9" t="str">
        <f aca="false">INDEX(Articles!$H$2:$H$148,MATCH(C45,Articles!$A$2:$A$148,0))</f>
        <v>Fixé</v>
      </c>
      <c r="L45" s="9" t="str">
        <f aca="false">INDEX(Articles!$F$2:$F$148,MATCH(C45,Articles!$A$2:$A$148,0))</f>
        <v>Confirmé</v>
      </c>
      <c r="M45" s="17"/>
      <c r="N45" s="9" t="s">
        <v>167</v>
      </c>
    </row>
    <row r="46" customFormat="false" ht="15" hidden="false" customHeight="false" outlineLevel="0" collapsed="false">
      <c r="A46" s="9" t="s">
        <v>671</v>
      </c>
      <c r="B46" s="9" t="s">
        <v>739</v>
      </c>
      <c r="C46" s="31" t="s">
        <v>192</v>
      </c>
      <c r="D46" s="9" t="str">
        <f aca="false">INDEX(Articles!$C$2:$C$148,MATCH(C46,Articles!$A$2:$A$148,0))</f>
        <v>Cahier Calligraphe 192 pages 17x22 90 g seyès</v>
      </c>
      <c r="E46" s="9" t="str">
        <f aca="false">INDEX(Articles!$B$2:$B$148,MATCH(C46,Articles!$A$2:$A$148,0))</f>
        <v>Papex</v>
      </c>
      <c r="F46" s="31" t="n">
        <v>1</v>
      </c>
      <c r="G46" s="13" t="n">
        <f aca="false">IF(INDEX(Articles!$G$2:$G$148,MATCH(C46,Articles!$A$2:$A$148,0))="","",INDEX(Articles!$G$2:$G$148,MATCH(C46,Articles!$A$2:$A$148,0)))</f>
        <v>900</v>
      </c>
      <c r="H46" s="13" t="n">
        <f aca="false">IF(G46="",0,F46*G46)</f>
        <v>900</v>
      </c>
      <c r="I46" s="13" t="n">
        <f aca="false">IF(INDEX(Articles!$E$2:$E$148,MATCH(C46,Articles!$A$2:$A$148,0))="","",INDEX(Articles!$E$2:$E$148,MATCH(C46,Articles!$A$2:$A$148,0)))</f>
        <v>800</v>
      </c>
      <c r="J46" s="13" t="n">
        <f aca="false">IF(I46="","",F46*I46)</f>
        <v>800</v>
      </c>
      <c r="K46" s="9" t="str">
        <f aca="false">INDEX(Articles!$H$2:$H$148,MATCH(C46,Articles!$A$2:$A$148,0))</f>
        <v>Fixé</v>
      </c>
      <c r="L46" s="9" t="str">
        <f aca="false">INDEX(Articles!$F$2:$F$148,MATCH(C46,Articles!$A$2:$A$148,0))</f>
        <v>Confirmé</v>
      </c>
      <c r="M46" s="17"/>
      <c r="N46" s="9" t="s">
        <v>167</v>
      </c>
    </row>
    <row r="47" customFormat="false" ht="15" hidden="false" customHeight="false" outlineLevel="0" collapsed="false">
      <c r="A47" s="9" t="s">
        <v>671</v>
      </c>
      <c r="B47" s="9" t="s">
        <v>740</v>
      </c>
      <c r="C47" s="31" t="s">
        <v>192</v>
      </c>
      <c r="D47" s="9" t="str">
        <f aca="false">INDEX(Articles!$C$2:$C$148,MATCH(C47,Articles!$A$2:$A$148,0))</f>
        <v>Cahier Calligraphe 192 pages 17x22 90 g seyès</v>
      </c>
      <c r="E47" s="9" t="str">
        <f aca="false">INDEX(Articles!$B$2:$B$148,MATCH(C47,Articles!$A$2:$A$148,0))</f>
        <v>Papex</v>
      </c>
      <c r="F47" s="31" t="n">
        <v>2</v>
      </c>
      <c r="G47" s="13" t="n">
        <f aca="false">IF(INDEX(Articles!$G$2:$G$148,MATCH(C47,Articles!$A$2:$A$148,0))="","",INDEX(Articles!$G$2:$G$148,MATCH(C47,Articles!$A$2:$A$148,0)))</f>
        <v>900</v>
      </c>
      <c r="H47" s="13" t="n">
        <f aca="false">IF(G47="",0,F47*G47)</f>
        <v>1800</v>
      </c>
      <c r="I47" s="13" t="n">
        <f aca="false">IF(INDEX(Articles!$E$2:$E$148,MATCH(C47,Articles!$A$2:$A$148,0))="","",INDEX(Articles!$E$2:$E$148,MATCH(C47,Articles!$A$2:$A$148,0)))</f>
        <v>800</v>
      </c>
      <c r="J47" s="13" t="n">
        <f aca="false">IF(I47="","",F47*I47)</f>
        <v>1600</v>
      </c>
      <c r="K47" s="9" t="str">
        <f aca="false">INDEX(Articles!$H$2:$H$148,MATCH(C47,Articles!$A$2:$A$148,0))</f>
        <v>Fixé</v>
      </c>
      <c r="L47" s="9" t="str">
        <f aca="false">INDEX(Articles!$F$2:$F$148,MATCH(C47,Articles!$A$2:$A$148,0))</f>
        <v>Confirmé</v>
      </c>
      <c r="M47" s="17"/>
      <c r="N47" s="9" t="s">
        <v>167</v>
      </c>
    </row>
    <row r="48" customFormat="false" ht="15" hidden="false" customHeight="false" outlineLevel="0" collapsed="false">
      <c r="A48" s="9" t="s">
        <v>671</v>
      </c>
      <c r="B48" s="9" t="s">
        <v>741</v>
      </c>
      <c r="C48" s="31" t="s">
        <v>366</v>
      </c>
      <c r="D48" s="9" t="str">
        <f aca="false">INDEX(Articles!$C$2:$C$148,MATCH(C48,Articles!$A$2:$A$148,0))</f>
        <v>Cahier Calligraphe 140 pages 17x22 90 g seyès</v>
      </c>
      <c r="E48" s="9" t="str">
        <f aca="false">INDEX(Articles!$B$2:$B$148,MATCH(C48,Articles!$A$2:$A$148,0))</f>
        <v>Papex</v>
      </c>
      <c r="F48" s="31" t="n">
        <v>1</v>
      </c>
      <c r="G48" s="13" t="n">
        <f aca="false">IF(INDEX(Articles!$G$2:$G$148,MATCH(C48,Articles!$A$2:$A$148,0))="","",INDEX(Articles!$G$2:$G$148,MATCH(C48,Articles!$A$2:$A$148,0)))</f>
        <v>750</v>
      </c>
      <c r="H48" s="13" t="n">
        <f aca="false">IF(G48="",0,F48*G48)</f>
        <v>750</v>
      </c>
      <c r="I48" s="13" t="n">
        <f aca="false">IF(INDEX(Articles!$E$2:$E$148,MATCH(C48,Articles!$A$2:$A$148,0))="","",INDEX(Articles!$E$2:$E$148,MATCH(C48,Articles!$A$2:$A$148,0)))</f>
        <v>650</v>
      </c>
      <c r="J48" s="13" t="n">
        <f aca="false">IF(I48="","",F48*I48)</f>
        <v>650</v>
      </c>
      <c r="K48" s="9" t="str">
        <f aca="false">INDEX(Articles!$H$2:$H$148,MATCH(C48,Articles!$A$2:$A$148,0))</f>
        <v>Fixé</v>
      </c>
      <c r="L48" s="9" t="str">
        <f aca="false">INDEX(Articles!$F$2:$F$148,MATCH(C48,Articles!$A$2:$A$148,0))</f>
        <v>Estimé</v>
      </c>
      <c r="M48" s="17" t="s">
        <v>763</v>
      </c>
      <c r="N48" s="9" t="s">
        <v>167</v>
      </c>
    </row>
    <row r="49" customFormat="false" ht="15" hidden="false" customHeight="false" outlineLevel="0" collapsed="false">
      <c r="A49" s="9" t="s">
        <v>671</v>
      </c>
      <c r="B49" s="9" t="s">
        <v>742</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743</v>
      </c>
      <c r="C50" s="31" t="s">
        <v>366</v>
      </c>
      <c r="D50" s="9" t="str">
        <f aca="false">INDEX(Articles!$C$2:$C$148,MATCH(C50,Articles!$A$2:$A$148,0))</f>
        <v>Cahier Calligraphe 140 pages 17x22 90 g seyès</v>
      </c>
      <c r="E50" s="9" t="str">
        <f aca="false">INDEX(Articles!$B$2:$B$148,MATCH(C50,Articles!$A$2:$A$148,0))</f>
        <v>Papex</v>
      </c>
      <c r="F50" s="31" t="n">
        <v>1</v>
      </c>
      <c r="G50" s="13" t="n">
        <f aca="false">IF(INDEX(Articles!$G$2:$G$148,MATCH(C50,Articles!$A$2:$A$148,0))="","",INDEX(Articles!$G$2:$G$148,MATCH(C50,Articles!$A$2:$A$148,0)))</f>
        <v>750</v>
      </c>
      <c r="H50" s="13" t="n">
        <f aca="false">IF(G50="",0,F50*G50)</f>
        <v>750</v>
      </c>
      <c r="I50" s="13" t="n">
        <f aca="false">IF(INDEX(Articles!$E$2:$E$148,MATCH(C50,Articles!$A$2:$A$148,0))="","",INDEX(Articles!$E$2:$E$148,MATCH(C50,Articles!$A$2:$A$148,0)))</f>
        <v>650</v>
      </c>
      <c r="J50" s="13" t="n">
        <f aca="false">IF(I50="","",F50*I50)</f>
        <v>650</v>
      </c>
      <c r="K50" s="9" t="str">
        <f aca="false">INDEX(Articles!$H$2:$H$148,MATCH(C50,Articles!$A$2:$A$148,0))</f>
        <v>Fixé</v>
      </c>
      <c r="L50" s="9" t="str">
        <f aca="false">INDEX(Articles!$F$2:$F$148,MATCH(C50,Articles!$A$2:$A$148,0))</f>
        <v>Estimé</v>
      </c>
      <c r="M50" s="17" t="s">
        <v>763</v>
      </c>
      <c r="N50" s="9" t="s">
        <v>167</v>
      </c>
    </row>
    <row r="51" customFormat="false" ht="15" hidden="false" customHeight="false" outlineLevel="0" collapsed="false">
      <c r="A51" s="9" t="s">
        <v>671</v>
      </c>
      <c r="B51" s="9" t="s">
        <v>744</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745</v>
      </c>
      <c r="C52" s="31" t="s">
        <v>213</v>
      </c>
      <c r="D52" s="9" t="str">
        <f aca="false">INDEX(Articles!$C$2:$C$148,MATCH(C52,Articles!$A$2:$A$148,0))</f>
        <v>Cahier Calligraphe 192 pages 24x32 (grand format)</v>
      </c>
      <c r="E52" s="9" t="str">
        <f aca="false">INDEX(Articles!$B$2:$B$148,MATCH(C52,Articles!$A$2:$A$148,0))</f>
        <v>Papex</v>
      </c>
      <c r="F52" s="31" t="n">
        <v>1</v>
      </c>
      <c r="G52" s="13" t="n">
        <f aca="false">IF(INDEX(Articles!$G$2:$G$148,MATCH(C52,Articles!$A$2:$A$148,0))="","",INDEX(Articles!$G$2:$G$148,MATCH(C52,Articles!$A$2:$A$148,0)))</f>
        <v>1650</v>
      </c>
      <c r="H52" s="13" t="n">
        <f aca="false">IF(G52="",0,F52*G52)</f>
        <v>1650</v>
      </c>
      <c r="I52" s="13" t="n">
        <f aca="false">IF(INDEX(Articles!$E$2:$E$148,MATCH(C52,Articles!$A$2:$A$148,0))="","",INDEX(Articles!$E$2:$E$148,MATCH(C52,Articles!$A$2:$A$148,0)))</f>
        <v>1500</v>
      </c>
      <c r="J52" s="13" t="n">
        <f aca="false">IF(I52="","",F52*I52)</f>
        <v>1500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746</v>
      </c>
      <c r="C53" s="31" t="s">
        <v>195</v>
      </c>
      <c r="D53" s="9" t="str">
        <f aca="false">INDEX(Articles!$C$2:$C$148,MATCH(C53,Articles!$A$2:$A$148,0))</f>
        <v>Cahier Calligraphe 96 pages 17x22 56 g seyès</v>
      </c>
      <c r="E53" s="9" t="str">
        <f aca="false">INDEX(Articles!$B$2:$B$148,MATCH(C53,Articles!$A$2:$A$148,0))</f>
        <v>Papex</v>
      </c>
      <c r="F53" s="31" t="n">
        <v>1</v>
      </c>
      <c r="G53" s="13" t="n">
        <f aca="false">IF(INDEX(Articles!$G$2:$G$148,MATCH(C53,Articles!$A$2:$A$148,0))="","",INDEX(Articles!$G$2:$G$148,MATCH(C53,Articles!$A$2:$A$148,0)))</f>
        <v>450</v>
      </c>
      <c r="H53" s="13" t="n">
        <f aca="false">IF(G53="",0,F53*G53)</f>
        <v>450</v>
      </c>
      <c r="I53" s="13" t="n">
        <f aca="false">IF(INDEX(Articles!$E$2:$E$148,MATCH(C53,Articles!$A$2:$A$148,0))="","",INDEX(Articles!$E$2:$E$148,MATCH(C53,Articles!$A$2:$A$148,0)))</f>
        <v>350</v>
      </c>
      <c r="J53" s="13" t="n">
        <f aca="false">IF(I53="","",F53*I53)</f>
        <v>350</v>
      </c>
      <c r="K53" s="9" t="str">
        <f aca="false">INDEX(Articles!$H$2:$H$148,MATCH(C53,Articles!$A$2:$A$148,0))</f>
        <v>Fixé</v>
      </c>
      <c r="L53" s="9" t="str">
        <f aca="false">INDEX(Articles!$F$2:$F$148,MATCH(C53,Articles!$A$2:$A$148,0))</f>
        <v>Confirmé</v>
      </c>
      <c r="M53" s="17" t="s">
        <v>764</v>
      </c>
      <c r="N53" s="9" t="s">
        <v>167</v>
      </c>
    </row>
    <row r="54" customFormat="false" ht="15" hidden="false" customHeight="false" outlineLevel="0" collapsed="false">
      <c r="A54" s="9" t="s">
        <v>671</v>
      </c>
      <c r="B54" s="9" t="s">
        <v>747</v>
      </c>
      <c r="C54" s="31" t="s">
        <v>366</v>
      </c>
      <c r="D54" s="9" t="str">
        <f aca="false">INDEX(Articles!$C$2:$C$148,MATCH(C54,Articles!$A$2:$A$148,0))</f>
        <v>Cahier Calligraphe 140 pages 17x22 90 g seyès</v>
      </c>
      <c r="E54" s="9" t="str">
        <f aca="false">INDEX(Articles!$B$2:$B$148,MATCH(C54,Articles!$A$2:$A$148,0))</f>
        <v>Papex</v>
      </c>
      <c r="F54" s="31" t="n">
        <v>1</v>
      </c>
      <c r="G54" s="13" t="n">
        <f aca="false">IF(INDEX(Articles!$G$2:$G$148,MATCH(C54,Articles!$A$2:$A$148,0))="","",INDEX(Articles!$G$2:$G$148,MATCH(C54,Articles!$A$2:$A$148,0)))</f>
        <v>750</v>
      </c>
      <c r="H54" s="13" t="n">
        <f aca="false">IF(G54="",0,F54*G54)</f>
        <v>750</v>
      </c>
      <c r="I54" s="13" t="n">
        <f aca="false">IF(INDEX(Articles!$E$2:$E$148,MATCH(C54,Articles!$A$2:$A$148,0))="","",INDEX(Articles!$E$2:$E$148,MATCH(C54,Articles!$A$2:$A$148,0)))</f>
        <v>650</v>
      </c>
      <c r="J54" s="13" t="n">
        <f aca="false">IF(I54="","",F54*I54)</f>
        <v>650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681</v>
      </c>
      <c r="B55" s="9" t="s">
        <v>748</v>
      </c>
      <c r="C55" s="31" t="s">
        <v>177</v>
      </c>
      <c r="D55" s="9" t="str">
        <f aca="false">INDEX(Articles!$C$2:$C$148,MATCH(C55,Articles!$A$2:$A$148,0))</f>
        <v>Cahier de dessin TPG</v>
      </c>
      <c r="E55" s="9" t="str">
        <f aca="false">INDEX(Articles!$B$2:$B$148,MATCH(C55,Articles!$A$2:$A$148,0))</f>
        <v>LPD</v>
      </c>
      <c r="F55" s="31" t="n">
        <v>1</v>
      </c>
      <c r="G55" s="13" t="n">
        <f aca="false">IF(INDEX(Articles!$G$2:$G$148,MATCH(C55,Articles!$A$2:$A$148,0))="","",INDEX(Articles!$G$2:$G$148,MATCH(C55,Articles!$A$2:$A$148,0)))</f>
        <v>550</v>
      </c>
      <c r="H55" s="13" t="n">
        <f aca="false">IF(G55="",0,F55*G55)</f>
        <v>550</v>
      </c>
      <c r="I55" s="13" t="str">
        <f aca="false">IF(INDEX(Articles!$E$2:$E$148,MATCH(C55,Articles!$A$2:$A$148,0))="","",INDEX(Articles!$E$2:$E$148,MATCH(C55,Articles!$A$2:$A$148,0)))</f>
        <v/>
      </c>
      <c r="J55" s="13" t="str">
        <f aca="false">IF(I55="","",F55*I55)</f>
        <v/>
      </c>
      <c r="K55" s="9" t="str">
        <f aca="false">INDEX(Articles!$H$2:$H$148,MATCH(C55,Articles!$A$2:$A$148,0))</f>
        <v>Fixé</v>
      </c>
      <c r="L55" s="9" t="str">
        <f aca="false">INDEX(Articles!$F$2:$F$148,MATCH(C55,Articles!$A$2:$A$148,0))</f>
        <v>Inconnu</v>
      </c>
      <c r="M55" s="17"/>
      <c r="N55" s="9" t="s">
        <v>167</v>
      </c>
    </row>
    <row r="56" customFormat="false" ht="15" hidden="false" customHeight="false" outlineLevel="0" collapsed="false">
      <c r="A56" s="9" t="s">
        <v>678</v>
      </c>
      <c r="B56" s="9" t="s">
        <v>749</v>
      </c>
      <c r="C56" s="31" t="s">
        <v>222</v>
      </c>
      <c r="D56" s="9" t="str">
        <f aca="false">INDEX(Articles!$C$2:$C$148,MATCH(C56,Articles!$A$2:$A$148,0))</f>
        <v>Pack de 4 stylos Schneider Tops 505 M (bleu, noir, rouge, vert)</v>
      </c>
      <c r="E56" s="9" t="str">
        <f aca="false">INDEX(Articles!$B$2:$B$148,MATCH(C56,Articles!$A$2:$A$148,0))</f>
        <v>Papex</v>
      </c>
      <c r="F56" s="31" t="n">
        <v>1</v>
      </c>
      <c r="G56" s="13" t="n">
        <f aca="false">IF(INDEX(Articles!$G$2:$G$148,MATCH(C56,Articles!$A$2:$A$148,0))="","",INDEX(Articles!$G$2:$G$148,MATCH(C56,Articles!$A$2:$A$148,0)))</f>
        <v>400</v>
      </c>
      <c r="H56" s="13" t="n">
        <f aca="false">IF(G56="",0,F56*G56)</f>
        <v>400</v>
      </c>
      <c r="I56" s="13" t="str">
        <f aca="false">IF(INDEX(Articles!$E$2:$E$148,MATCH(C56,Articles!$A$2:$A$148,0))="","",INDEX(Articles!$E$2:$E$148,MATCH(C56,Articles!$A$2:$A$148,0)))</f>
        <v/>
      </c>
      <c r="J56" s="13" t="str">
        <f aca="false">IF(I56="","",F56*I56)</f>
        <v/>
      </c>
      <c r="K56" s="9" t="str">
        <f aca="false">INDEX(Articles!$H$2:$H$148,MATCH(C56,Articles!$A$2:$A$148,0))</f>
        <v>Fixé</v>
      </c>
      <c r="L56" s="9" t="str">
        <f aca="false">INDEX(Articles!$F$2:$F$148,MATCH(C56,Articles!$A$2:$A$148,0))</f>
        <v>Inconnu</v>
      </c>
      <c r="M56" s="17" t="s">
        <v>432</v>
      </c>
      <c r="N56" s="9" t="s">
        <v>167</v>
      </c>
    </row>
    <row r="57" customFormat="false" ht="15" hidden="false" customHeight="false" outlineLevel="0" collapsed="false">
      <c r="A57" s="9" t="s">
        <v>678</v>
      </c>
      <c r="B57" s="9" t="s">
        <v>750</v>
      </c>
      <c r="C57" s="31" t="s">
        <v>235</v>
      </c>
      <c r="D57" s="9" t="str">
        <f aca="false">INDEX(Articles!$C$2:$C$148,MATCH(C57,Articles!$A$2:$A$148,0))</f>
        <v>Crayon papier (vendu à l'unité)</v>
      </c>
      <c r="E57" s="9" t="str">
        <f aca="false">INDEX(Articles!$B$2:$B$148,MATCH(C57,Articles!$A$2:$A$148,0))</f>
        <v>LPD</v>
      </c>
      <c r="F57" s="31" t="n">
        <v>1</v>
      </c>
      <c r="G57" s="13" t="n">
        <f aca="false">IF(INDEX(Articles!$G$2:$G$148,MATCH(C57,Articles!$A$2:$A$148,0))="","",INDEX(Articles!$G$2:$G$148,MATCH(C57,Articles!$A$2:$A$148,0)))</f>
        <v>75</v>
      </c>
      <c r="H57" s="13" t="n">
        <f aca="false">IF(G57="",0,F57*G57)</f>
        <v>75</v>
      </c>
      <c r="I57" s="13" t="str">
        <f aca="false">IF(INDEX(Articles!$E$2:$E$148,MATCH(C57,Articles!$A$2:$A$148,0))="","",INDEX(Articles!$E$2:$E$148,MATCH(C57,Articles!$A$2:$A$148,0)))</f>
        <v/>
      </c>
      <c r="J57" s="13" t="str">
        <f aca="false">IF(I57="","",F57*I57)</f>
        <v/>
      </c>
      <c r="K57" s="9" t="str">
        <f aca="false">INDEX(Articles!$H$2:$H$148,MATCH(C57,Articles!$A$2:$A$148,0))</f>
        <v>Fixé</v>
      </c>
      <c r="L57" s="9" t="str">
        <f aca="false">INDEX(Articles!$F$2:$F$148,MATCH(C57,Articles!$A$2:$A$148,0))</f>
        <v>Inconnu</v>
      </c>
      <c r="M57" s="17"/>
      <c r="N57" s="9" t="s">
        <v>167</v>
      </c>
    </row>
    <row r="58" customFormat="false" ht="15" hidden="false" customHeight="false" outlineLevel="0" collapsed="false">
      <c r="A58" s="9" t="s">
        <v>675</v>
      </c>
      <c r="B58" s="9" t="s">
        <v>717</v>
      </c>
      <c r="C58" s="31" t="s">
        <v>180</v>
      </c>
      <c r="D58" s="9" t="str">
        <f aca="false">INDEX(Articles!$C$2:$C$148,MATCH(C58,Articles!$A$2:$A$148,0))</f>
        <v>Gomme Staedtler Mars Plastic</v>
      </c>
      <c r="E58" s="9" t="str">
        <f aca="false">INDEX(Articles!$B$2:$B$148,MATCH(C58,Articles!$A$2:$A$148,0))</f>
        <v>LPD</v>
      </c>
      <c r="F58" s="31" t="n">
        <v>1</v>
      </c>
      <c r="G58" s="13" t="n">
        <f aca="false">IF(INDEX(Articles!$G$2:$G$148,MATCH(C58,Articles!$A$2:$A$148,0))="","",INDEX(Articles!$G$2:$G$148,MATCH(C58,Articles!$A$2:$A$148,0)))</f>
        <v>250</v>
      </c>
      <c r="H58" s="13" t="n">
        <f aca="false">IF(G58="",0,F58*G58)</f>
        <v>250</v>
      </c>
      <c r="I58" s="13" t="n">
        <f aca="false">IF(INDEX(Articles!$E$2:$E$148,MATCH(C58,Articles!$A$2:$A$148,0))="","",INDEX(Articles!$E$2:$E$148,MATCH(C58,Articles!$A$2:$A$148,0)))</f>
        <v>110</v>
      </c>
      <c r="J58" s="13" t="n">
        <f aca="false">IF(I58="","",F58*I58)</f>
        <v>110</v>
      </c>
      <c r="K58" s="9" t="str">
        <f aca="false">INDEX(Articles!$H$2:$H$148,MATCH(C58,Articles!$A$2:$A$148,0))</f>
        <v>Fixé</v>
      </c>
      <c r="L58" s="9" t="str">
        <f aca="false">INDEX(Articles!$F$2:$F$148,MATCH(C58,Articles!$A$2:$A$148,0))</f>
        <v>Estimé</v>
      </c>
      <c r="M58" s="17"/>
      <c r="N58" s="9" t="s">
        <v>167</v>
      </c>
    </row>
    <row r="59" customFormat="false" ht="15" hidden="false" customHeight="false" outlineLevel="0" collapsed="false">
      <c r="A59" s="9" t="s">
        <v>675</v>
      </c>
      <c r="B59" s="9" t="s">
        <v>751</v>
      </c>
      <c r="C59" s="31" t="s">
        <v>183</v>
      </c>
      <c r="D59" s="9" t="str">
        <f aca="false">INDEX(Articles!$C$2:$C$148,MATCH(C59,Articles!$A$2:$A$148,0))</f>
        <v>Taille-crayon avec réservoir Maped</v>
      </c>
      <c r="E59" s="9" t="str">
        <f aca="false">INDEX(Articles!$B$2:$B$148,MATCH(C59,Articles!$A$2:$A$148,0))</f>
        <v>Papex</v>
      </c>
      <c r="F59" s="31" t="n">
        <v>1</v>
      </c>
      <c r="G59" s="13" t="n">
        <f aca="false">IF(INDEX(Articles!$G$2:$G$148,MATCH(C59,Articles!$A$2:$A$148,0))="","",INDEX(Articles!$G$2:$G$148,MATCH(C59,Articles!$A$2:$A$148,0)))</f>
        <v>500</v>
      </c>
      <c r="H59" s="13" t="n">
        <f aca="false">IF(G59="",0,F59*G59)</f>
        <v>500</v>
      </c>
      <c r="I59" s="13" t="n">
        <f aca="false">IF(INDEX(Articles!$E$2:$E$148,MATCH(C59,Articles!$A$2:$A$148,0))="","",INDEX(Articles!$E$2:$E$148,MATCH(C59,Articles!$A$2:$A$148,0)))</f>
        <v>350</v>
      </c>
      <c r="J59" s="13" t="n">
        <f aca="false">IF(I59="","",F59*I59)</f>
        <v>350</v>
      </c>
      <c r="K59" s="9" t="str">
        <f aca="false">INDEX(Articles!$H$2:$H$148,MATCH(C59,Articles!$A$2:$A$148,0))</f>
        <v>Estimé</v>
      </c>
      <c r="L59" s="9" t="str">
        <f aca="false">INDEX(Articles!$F$2:$F$148,MATCH(C59,Articles!$A$2:$A$148,0))</f>
        <v>Estimé</v>
      </c>
      <c r="M59" s="17" t="s">
        <v>765</v>
      </c>
      <c r="N59" s="9" t="s">
        <v>167</v>
      </c>
    </row>
    <row r="60" customFormat="false" ht="15" hidden="false" customHeight="false" outlineLevel="0" collapsed="false">
      <c r="A60" s="9" t="s">
        <v>675</v>
      </c>
      <c r="B60" s="9" t="s">
        <v>753</v>
      </c>
      <c r="C60" s="31" t="s">
        <v>248</v>
      </c>
      <c r="D60" s="9" t="str">
        <f aca="false">INDEX(Articles!$C$2:$C$148,MATCH(C60,Articles!$A$2:$A$148,0))</f>
        <v>Bâton de colle Giotto 20 g</v>
      </c>
      <c r="E60" s="9" t="str">
        <f aca="false">INDEX(Articles!$B$2:$B$148,MATCH(C60,Articles!$A$2:$A$148,0))</f>
        <v>Papex</v>
      </c>
      <c r="F60" s="31" t="n">
        <v>1</v>
      </c>
      <c r="G60" s="13" t="n">
        <f aca="false">IF(INDEX(Articles!$G$2:$G$148,MATCH(C60,Articles!$A$2:$A$148,0))="","",INDEX(Articles!$G$2:$G$148,MATCH(C60,Articles!$A$2:$A$148,0)))</f>
        <v>900</v>
      </c>
      <c r="H60" s="13" t="n">
        <f aca="false">IF(G60="",0,F60*G60)</f>
        <v>900</v>
      </c>
      <c r="I60" s="13" t="n">
        <f aca="false">IF(INDEX(Articles!$E$2:$E$148,MATCH(C60,Articles!$A$2:$A$148,0))="","",INDEX(Articles!$E$2:$E$148,MATCH(C60,Articles!$A$2:$A$148,0)))</f>
        <v>650</v>
      </c>
      <c r="J60" s="13" t="n">
        <f aca="false">IF(I60="","",F60*I60)</f>
        <v>650</v>
      </c>
      <c r="K60" s="9" t="str">
        <f aca="false">INDEX(Articles!$H$2:$H$148,MATCH(C60,Articles!$A$2:$A$148,0))</f>
        <v>Estimé</v>
      </c>
      <c r="L60" s="9" t="str">
        <f aca="false">INDEX(Articles!$F$2:$F$148,MATCH(C60,Articles!$A$2:$A$148,0))</f>
        <v>Estimé</v>
      </c>
      <c r="M60" s="17"/>
      <c r="N60" s="9" t="s">
        <v>167</v>
      </c>
    </row>
    <row r="61" customFormat="false" ht="15" hidden="false" customHeight="false" outlineLevel="0" collapsed="false">
      <c r="A61" s="9" t="s">
        <v>675</v>
      </c>
      <c r="B61" s="9" t="s">
        <v>754</v>
      </c>
      <c r="C61" s="31" t="s">
        <v>189</v>
      </c>
      <c r="D61" s="9" t="str">
        <f aca="false">INDEX(Articles!$C$2:$C$148,MATCH(C61,Articles!$A$2:$A$148,0))</f>
        <v>Ciseaux Maped 13 cm Security</v>
      </c>
      <c r="E61" s="9" t="str">
        <f aca="false">INDEX(Articles!$B$2:$B$148,MATCH(C61,Articles!$A$2:$A$148,0))</f>
        <v>Papex</v>
      </c>
      <c r="F61" s="31" t="n">
        <v>1</v>
      </c>
      <c r="G61" s="13" t="n">
        <f aca="false">IF(INDEX(Articles!$G$2:$G$148,MATCH(C61,Articles!$A$2:$A$148,0))="","",INDEX(Articles!$G$2:$G$148,MATCH(C61,Articles!$A$2:$A$148,0)))</f>
        <v>900</v>
      </c>
      <c r="H61" s="13" t="n">
        <f aca="false">IF(G61="",0,F61*G61)</f>
        <v>900</v>
      </c>
      <c r="I61" s="13" t="n">
        <f aca="false">IF(INDEX(Articles!$E$2:$E$148,MATCH(C61,Articles!$A$2:$A$148,0))="","",INDEX(Articles!$E$2:$E$148,MATCH(C61,Articles!$A$2:$A$148,0)))</f>
        <v>650</v>
      </c>
      <c r="J61" s="13" t="n">
        <f aca="false">IF(I61="","",F61*I61)</f>
        <v>650</v>
      </c>
      <c r="K61" s="9" t="str">
        <f aca="false">INDEX(Articles!$H$2:$H$148,MATCH(C61,Articles!$A$2:$A$148,0))</f>
        <v>Estimé</v>
      </c>
      <c r="L61" s="9" t="str">
        <f aca="false">INDEX(Articles!$F$2:$F$148,MATCH(C61,Articles!$A$2:$A$148,0))</f>
        <v>Estimé</v>
      </c>
      <c r="M61" s="17"/>
      <c r="N61" s="9" t="s">
        <v>167</v>
      </c>
    </row>
    <row r="62" customFormat="false" ht="15" hidden="false" customHeight="false" outlineLevel="0" collapsed="false">
      <c r="A62" s="9" t="s">
        <v>676</v>
      </c>
      <c r="B62" s="9" t="s">
        <v>755</v>
      </c>
      <c r="C62" s="31" t="s">
        <v>215</v>
      </c>
      <c r="D62" s="9" t="str">
        <f aca="false">INDEX(Articles!$C$2:$C$148,MATCH(C62,Articles!$A$2:$A$148,0))</f>
        <v>Kit géométrie Maped 30 cm (réf. 1930)</v>
      </c>
      <c r="E62" s="9" t="str">
        <f aca="false">INDEX(Articles!$B$2:$B$148,MATCH(C62,Articles!$A$2:$A$148,0))</f>
        <v>LPD</v>
      </c>
      <c r="F62" s="31" t="n">
        <v>1</v>
      </c>
      <c r="G62" s="13" t="n">
        <f aca="false">IF(INDEX(Articles!$G$2:$G$148,MATCH(C62,Articles!$A$2:$A$148,0))="","",INDEX(Articles!$G$2:$G$148,MATCH(C62,Articles!$A$2:$A$148,0)))</f>
        <v>1800</v>
      </c>
      <c r="H62" s="13" t="n">
        <f aca="false">IF(G62="",0,F62*G62)</f>
        <v>1800</v>
      </c>
      <c r="I62" s="13" t="n">
        <f aca="false">IF(INDEX(Articles!$E$2:$E$148,MATCH(C62,Articles!$A$2:$A$148,0))="","",INDEX(Articles!$E$2:$E$148,MATCH(C62,Articles!$A$2:$A$148,0)))</f>
        <v>1500</v>
      </c>
      <c r="J62" s="13" t="n">
        <f aca="false">IF(I62="","",F62*I62)</f>
        <v>1500</v>
      </c>
      <c r="K62" s="9" t="str">
        <f aca="false">INDEX(Articles!$H$2:$H$148,MATCH(C62,Articles!$A$2:$A$148,0))</f>
        <v>À trancher</v>
      </c>
      <c r="L62" s="9" t="str">
        <f aca="false">INDEX(Articles!$F$2:$F$148,MATCH(C62,Articles!$A$2:$A$148,0))</f>
        <v>Confirmé</v>
      </c>
      <c r="M62" s="17"/>
      <c r="N62" s="9" t="s">
        <v>167</v>
      </c>
    </row>
    <row r="63" customFormat="false" ht="15" hidden="false" customHeight="false" outlineLevel="0" collapsed="false">
      <c r="A63" s="9" t="s">
        <v>676</v>
      </c>
      <c r="B63" s="9" t="s">
        <v>756</v>
      </c>
      <c r="C63" s="31" t="s">
        <v>171</v>
      </c>
      <c r="D63" s="9" t="str">
        <f aca="false">INDEX(Articles!$C$2:$C$148,MATCH(C63,Articles!$A$2:$A$148,0))</f>
        <v>Compas Maped</v>
      </c>
      <c r="E63" s="9" t="str">
        <f aca="false">INDEX(Articles!$B$2:$B$148,MATCH(C63,Articles!$A$2:$A$148,0))</f>
        <v>Papex</v>
      </c>
      <c r="F63" s="31" t="n">
        <v>1</v>
      </c>
      <c r="G63" s="13" t="n">
        <f aca="false">IF(INDEX(Articles!$G$2:$G$148,MATCH(C63,Articles!$A$2:$A$148,0))="","",INDEX(Articles!$G$2:$G$148,MATCH(C63,Articles!$A$2:$A$148,0)))</f>
        <v>2000</v>
      </c>
      <c r="H63" s="13" t="n">
        <f aca="false">IF(G63="",0,F63*G63)</f>
        <v>2000</v>
      </c>
      <c r="I63" s="13" t="n">
        <f aca="false">IF(INDEX(Articles!$E$2:$E$148,MATCH(C63,Articles!$A$2:$A$148,0))="","",INDEX(Articles!$E$2:$E$148,MATCH(C63,Articles!$A$2:$A$148,0)))</f>
        <v>1750</v>
      </c>
      <c r="J63" s="13" t="n">
        <f aca="false">IF(I63="","",F63*I63)</f>
        <v>1750</v>
      </c>
      <c r="K63" s="9" t="str">
        <f aca="false">INDEX(Articles!$H$2:$H$148,MATCH(C63,Articles!$A$2:$A$148,0))</f>
        <v>Fixé</v>
      </c>
      <c r="L63" s="9" t="str">
        <f aca="false">INDEX(Articles!$F$2:$F$148,MATCH(C63,Articles!$A$2:$A$148,0))</f>
        <v>Confirmé</v>
      </c>
      <c r="M63" s="17"/>
      <c r="N63" s="9" t="s">
        <v>167</v>
      </c>
    </row>
    <row r="64" customFormat="false" ht="15" hidden="false" customHeight="false" outlineLevel="0" collapsed="false">
      <c r="A64" s="9" t="s">
        <v>681</v>
      </c>
      <c r="B64" s="9" t="s">
        <v>757</v>
      </c>
      <c r="C64" s="31" t="s">
        <v>198</v>
      </c>
      <c r="D64" s="9" t="str">
        <f aca="false">INDEX(Articles!$C$2:$C$148,MATCH(C64,Articles!$A$2:$A$148,0))</f>
        <v>Crayons de couleur Maped, boîte de 12</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678</v>
      </c>
      <c r="B65" s="9" t="s">
        <v>766</v>
      </c>
      <c r="C65" s="31" t="s">
        <v>200</v>
      </c>
      <c r="D65" s="9" t="str">
        <f aca="false">INDEX(Articles!$C$2:$C$148,MATCH(C65,Articles!$A$2:$A$148,0))</f>
        <v>Surligneurs Maped Fluo Peps, pochette de 4</v>
      </c>
      <c r="E65" s="9" t="str">
        <f aca="false">INDEX(Articles!$B$2:$B$148,MATCH(C65,Articles!$A$2:$A$148,0))</f>
        <v>Papex</v>
      </c>
      <c r="F65" s="31" t="n">
        <v>1</v>
      </c>
      <c r="G65" s="13" t="n">
        <f aca="false">IF(INDEX(Articles!$G$2:$G$148,MATCH(C65,Articles!$A$2:$A$148,0))="","",INDEX(Articles!$G$2:$G$148,MATCH(C65,Articles!$A$2:$A$148,0)))</f>
        <v>2500</v>
      </c>
      <c r="H65" s="13" t="n">
        <f aca="false">IF(G65="",0,F65*G65)</f>
        <v>2500</v>
      </c>
      <c r="I65" s="13" t="n">
        <f aca="false">IF(INDEX(Articles!$E$2:$E$148,MATCH(C65,Articles!$A$2:$A$148,0))="","",INDEX(Articles!$E$2:$E$148,MATCH(C65,Articles!$A$2:$A$148,0)))</f>
        <v>2000</v>
      </c>
      <c r="J65" s="13" t="n">
        <f aca="false">IF(I65="","",F65*I65)</f>
        <v>2000</v>
      </c>
      <c r="K65" s="9" t="str">
        <f aca="false">INDEX(Articles!$H$2:$H$148,MATCH(C65,Articles!$A$2:$A$148,0))</f>
        <v>Estimé</v>
      </c>
      <c r="L65" s="9" t="str">
        <f aca="false">INDEX(Articles!$F$2:$F$148,MATCH(C65,Articles!$A$2:$A$148,0))</f>
        <v>Confirmé</v>
      </c>
      <c r="M65" s="17" t="s">
        <v>767</v>
      </c>
      <c r="N65" s="9" t="s">
        <v>167</v>
      </c>
    </row>
    <row r="66" customFormat="false" ht="15" hidden="false" customHeight="false" outlineLevel="0" collapsed="false">
      <c r="A66" s="9" t="s">
        <v>768</v>
      </c>
      <c r="B66" s="9" t="s">
        <v>769</v>
      </c>
      <c r="C66" s="31" t="s">
        <v>446</v>
      </c>
      <c r="D66" s="9" t="str">
        <f aca="false">INDEX(Articles!$C$2:$C$148,MATCH(C66,Articles!$A$2:$A$148,0))</f>
        <v>Chemise 3 rabats à élastique</v>
      </c>
      <c r="E66" s="9" t="str">
        <f aca="false">INDEX(Articles!$B$2:$B$148,MATCH(C66,Articles!$A$2:$A$148,0))</f>
        <v>Papex</v>
      </c>
      <c r="F66" s="31" t="n">
        <v>1</v>
      </c>
      <c r="G66" s="13" t="n">
        <f aca="false">IF(INDEX(Articles!$G$2:$G$148,MATCH(C66,Articles!$A$2:$A$148,0))="","",INDEX(Articles!$G$2:$G$148,MATCH(C66,Articles!$A$2:$A$148,0)))</f>
        <v>500</v>
      </c>
      <c r="H66" s="13" t="n">
        <f aca="false">IF(G66="",0,F66*G66)</f>
        <v>500</v>
      </c>
      <c r="I66" s="13" t="str">
        <f aca="false">IF(INDEX(Articles!$E$2:$E$148,MATCH(C66,Articles!$A$2:$A$148,0))="","",INDEX(Articles!$E$2:$E$148,MATCH(C66,Articles!$A$2:$A$148,0)))</f>
        <v/>
      </c>
      <c r="J66" s="13" t="str">
        <f aca="false">IF(I66="","",F66*I66)</f>
        <v/>
      </c>
      <c r="K66" s="9" t="str">
        <f aca="false">INDEX(Articles!$H$2:$H$148,MATCH(C66,Articles!$A$2:$A$148,0))</f>
        <v>Estimé</v>
      </c>
      <c r="L66" s="9" t="str">
        <f aca="false">INDEX(Articles!$F$2:$F$148,MATCH(C66,Articles!$A$2:$A$148,0))</f>
        <v>Inconnu</v>
      </c>
      <c r="M66" s="17" t="s">
        <v>770</v>
      </c>
      <c r="N66" s="9" t="s">
        <v>167</v>
      </c>
    </row>
    <row r="67" customFormat="false" ht="15" hidden="false" customHeight="false" outlineLevel="0" collapsed="false">
      <c r="A67" s="9" t="s">
        <v>758</v>
      </c>
      <c r="B67" s="9" t="s">
        <v>759</v>
      </c>
      <c r="C67" s="31" t="s">
        <v>376</v>
      </c>
      <c r="D67" s="9" t="str">
        <f aca="false">INDEX(Articles!$C$2:$C$148,MATCH(C67,Articles!$A$2:$A$148,0))</f>
        <v>Paquet de copies doubles grand format</v>
      </c>
      <c r="E67" s="9" t="str">
        <f aca="false">INDEX(Articles!$B$2:$B$148,MATCH(C67,Articles!$A$2:$A$148,0))</f>
        <v>À préciser</v>
      </c>
      <c r="F67" s="31" t="n">
        <v>1</v>
      </c>
      <c r="G67" s="45" t="n">
        <f aca="false">IF(INDEX(Articles!$G$2:$G$148,MATCH(C67,Articles!$A$2:$A$148,0))="","",INDEX(Articles!$G$2:$G$148,MATCH(C67,Articles!$A$2:$A$148,0)))</f>
        <v>1800</v>
      </c>
      <c r="H67" s="13" t="n">
        <f aca="false">IF(G67="",0,F67*G67)</f>
        <v>1800</v>
      </c>
      <c r="I67" s="13" t="n">
        <f aca="false">IF(INDEX(Articles!$E$2:$E$148,MATCH(C67,Articles!$A$2:$A$148,0))="","",INDEX(Articles!$E$2:$E$148,MATCH(C67,Articles!$A$2:$A$148,0)))</f>
        <v>1300</v>
      </c>
      <c r="J67" s="13" t="n">
        <f aca="false">IF(I67="","",F67*I67)</f>
        <v>1300</v>
      </c>
      <c r="K67" s="9" t="str">
        <f aca="false">INDEX(Articles!$H$2:$H$148,MATCH(C67,Articles!$A$2:$A$148,0))</f>
        <v>Fixé</v>
      </c>
      <c r="L67" s="9" t="str">
        <f aca="false">INDEX(Articles!$F$2:$F$148,MATCH(C67,Articles!$A$2:$A$148,0))</f>
        <v>Confirmé</v>
      </c>
      <c r="M67" s="17"/>
      <c r="N67" s="9" t="s">
        <v>167</v>
      </c>
    </row>
    <row r="68" customFormat="false" ht="15" hidden="false" customHeight="false" outlineLevel="0" collapsed="false">
      <c r="A68" s="9" t="s">
        <v>771</v>
      </c>
      <c r="B68" s="9" t="s">
        <v>772</v>
      </c>
      <c r="C68" s="31" t="s">
        <v>160</v>
      </c>
      <c r="D68" s="9" t="str">
        <f aca="false">INDEX(Articles!$C$2:$C$148,MATCH(C68,Articles!$A$2:$A$148,0))</f>
        <v>Protège-cahier couleur petit format (à l'unité)</v>
      </c>
      <c r="E68" s="9" t="str">
        <f aca="false">INDEX(Articles!$B$2:$B$148,MATCH(C68,Articles!$A$2:$A$148,0))</f>
        <v>LPD</v>
      </c>
      <c r="F68" s="31" t="n">
        <v>7</v>
      </c>
      <c r="G68" s="13" t="n">
        <f aca="false">IF(INDEX(Articles!$G$2:$G$148,MATCH(C68,Articles!$A$2:$A$148,0))="","",INDEX(Articles!$G$2:$G$148,MATCH(C68,Articles!$A$2:$A$148,0)))</f>
        <v>150</v>
      </c>
      <c r="H68" s="13" t="n">
        <f aca="false">IF(G68="",0,F68*G68)</f>
        <v>1050</v>
      </c>
      <c r="I68" s="13" t="str">
        <f aca="false">IF(INDEX(Articles!$E$2:$E$148,MATCH(C68,Articles!$A$2:$A$148,0))="","",INDEX(Articles!$E$2:$E$148,MATCH(C68,Articles!$A$2:$A$148,0)))</f>
        <v/>
      </c>
      <c r="J68" s="13" t="str">
        <f aca="false">IF(I68="","",F68*I68)</f>
        <v/>
      </c>
      <c r="K68" s="9" t="str">
        <f aca="false">INDEX(Articles!$H$2:$H$148,MATCH(C68,Articles!$A$2:$A$148,0))</f>
        <v>Fixé</v>
      </c>
      <c r="L68" s="9" t="str">
        <f aca="false">INDEX(Articles!$F$2:$F$148,MATCH(C68,Articles!$A$2:$A$148,0))</f>
        <v>Inconnu</v>
      </c>
      <c r="M68" s="17"/>
      <c r="N68" s="9" t="s">
        <v>167</v>
      </c>
    </row>
    <row r="69" customFormat="false" ht="15" hidden="false" customHeight="false" outlineLevel="0" collapsed="false">
      <c r="A69" s="9" t="s">
        <v>771</v>
      </c>
      <c r="B69" s="9" t="s">
        <v>773</v>
      </c>
      <c r="C69" s="31" t="s">
        <v>419</v>
      </c>
      <c r="D69" s="9" t="str">
        <f aca="false">INDEX(Articles!$C$2:$C$148,MATCH(C69,Articles!$A$2:$A$148,0))</f>
        <v>Protège-cahier grand format (à l'unité)</v>
      </c>
      <c r="E69" s="9" t="str">
        <f aca="false">INDEX(Articles!$B$2:$B$148,MATCH(C69,Articles!$A$2:$A$148,0))</f>
        <v>À préciser</v>
      </c>
      <c r="F69" s="31" t="n">
        <v>4</v>
      </c>
      <c r="G69" s="13" t="str">
        <f aca="false">IF(INDEX(Articles!$G$2:$G$148,MATCH(C69,Articles!$A$2:$A$148,0))="","",INDEX(Articles!$G$2:$G$148,MATCH(C69,Articles!$A$2:$A$148,0)))</f>
        <v/>
      </c>
      <c r="H69" s="13" t="n">
        <f aca="false">IF(G69="",0,F69*G69)</f>
        <v>0</v>
      </c>
      <c r="I69" s="13" t="str">
        <f aca="false">IF(INDEX(Articles!$E$2:$E$148,MATCH(C69,Articles!$A$2:$A$148,0))="","",INDEX(Articles!$E$2:$E$148,MATCH(C69,Articles!$A$2:$A$148,0)))</f>
        <v/>
      </c>
      <c r="J69" s="13" t="str">
        <f aca="false">IF(I69="","",F69*I69)</f>
        <v/>
      </c>
      <c r="K69" s="9" t="str">
        <f aca="false">INDEX(Articles!$H$2:$H$148,MATCH(C69,Articles!$A$2:$A$148,0))</f>
        <v>À fournir</v>
      </c>
      <c r="L69" s="9" t="str">
        <f aca="false">INDEX(Articles!$F$2:$F$148,MATCH(C69,Articles!$A$2:$A$148,0))</f>
        <v>Inconnu</v>
      </c>
      <c r="M69" s="17"/>
      <c r="N69" s="9" t="s">
        <v>167</v>
      </c>
    </row>
    <row r="70" customFormat="false" ht="26.85" hidden="false" customHeight="false" outlineLevel="0" collapsed="false">
      <c r="A70" s="9" t="s">
        <v>760</v>
      </c>
      <c r="B70" s="9" t="s">
        <v>784</v>
      </c>
      <c r="C70" s="31" t="s">
        <v>483</v>
      </c>
      <c r="D70" s="9" t="str">
        <f aca="false">INDEX(Articles!$C$2:$C$148,MATCH(C70,Articles!$A$2:$A$148,0))</f>
        <v>La Belle Histoire de Leuk-le-Lièvre (Senghor et Sadji)</v>
      </c>
      <c r="E70" s="9" t="str">
        <f aca="false">INDEX(Articles!$B$2:$B$148,MATCH(C70,Articles!$A$2:$A$148,0))</f>
        <v>LPD</v>
      </c>
      <c r="F70" s="31" t="n">
        <v>1</v>
      </c>
      <c r="G70" s="13" t="n">
        <f aca="false">IF(INDEX(Articles!$G$2:$G$148,MATCH(C70,Articles!$A$2:$A$148,0))="","",INDEX(Articles!$G$2:$G$148,MATCH(C70,Articles!$A$2:$A$148,0)))</f>
        <v>3500</v>
      </c>
      <c r="H70" s="13" t="n">
        <f aca="false">IF(G70="",0,F70*G70)</f>
        <v>3500</v>
      </c>
      <c r="I70" s="13" t="n">
        <f aca="false">IF(INDEX(Articles!$E$2:$E$148,MATCH(C70,Articles!$A$2:$A$148,0))="","",INDEX(Articles!$E$2:$E$148,MATCH(C70,Articles!$A$2:$A$148,0)))</f>
        <v>2500</v>
      </c>
      <c r="J70" s="13" t="n">
        <f aca="false">IF(I70="","",F70*I70)</f>
        <v>2500</v>
      </c>
      <c r="K70" s="9" t="str">
        <f aca="false">INDEX(Articles!$H$2:$H$148,MATCH(C70,Articles!$A$2:$A$148,0))</f>
        <v>Fixé</v>
      </c>
      <c r="L70" s="9" t="str">
        <f aca="false">INDEX(Articles!$F$2:$F$148,MATCH(C70,Articles!$A$2:$A$148,0))</f>
        <v>Estimé</v>
      </c>
      <c r="M70" s="17" t="s">
        <v>795</v>
      </c>
      <c r="N70" s="9" t="s">
        <v>167</v>
      </c>
    </row>
    <row r="71" customFormat="false" ht="15" hidden="false" customHeight="false" outlineLevel="0" collapsed="false">
      <c r="D71" s="32" t="s">
        <v>683</v>
      </c>
      <c r="E71" s="32"/>
      <c r="F71" s="32"/>
      <c r="G71" s="32"/>
      <c r="H71" s="33" t="n">
        <f aca="false">COUNTIF(G45:G70,"")</f>
        <v>1</v>
      </c>
    </row>
    <row r="72" customFormat="false" ht="15" hidden="false" customHeight="false" outlineLevel="0" collapsed="false">
      <c r="D72" s="32" t="s">
        <v>684</v>
      </c>
      <c r="E72" s="32"/>
      <c r="F72" s="32"/>
      <c r="G72" s="32"/>
      <c r="H72" s="33" t="n">
        <f aca="false">SUM(H45:H70)</f>
        <v>29625</v>
      </c>
    </row>
    <row r="73" customFormat="false" ht="15" hidden="false" customHeight="false" outlineLevel="0" collapsed="false">
      <c r="D73" s="32" t="s">
        <v>28</v>
      </c>
      <c r="E73" s="32"/>
      <c r="F73" s="32"/>
      <c r="G73" s="32"/>
      <c r="H73" s="33" t="n">
        <f aca="false">SUM(J45:J70)</f>
        <v>22160</v>
      </c>
    </row>
    <row r="74" customFormat="false" ht="15" hidden="false" customHeight="false" outlineLevel="0" collapsed="false">
      <c r="D74" s="32" t="s">
        <v>685</v>
      </c>
      <c r="E74" s="32"/>
      <c r="F74" s="32"/>
      <c r="G74" s="32"/>
      <c r="H74" s="33" t="n">
        <f aca="false">COUNTIF(I45:I70,"")</f>
        <v>6</v>
      </c>
    </row>
    <row r="75" customFormat="false" ht="15" hidden="false" customHeight="false" outlineLevel="0" collapsed="false">
      <c r="D75" s="32" t="s">
        <v>686</v>
      </c>
      <c r="E75" s="32"/>
      <c r="F75" s="32"/>
      <c r="G75" s="32"/>
      <c r="H75" s="33" t="n">
        <f aca="false">SUMPRODUCT((I45:I70&lt;&gt;"")*H45:H70)-H73</f>
        <v>4890</v>
      </c>
    </row>
    <row r="76" customFormat="false" ht="15" hidden="false" customHeight="false" outlineLevel="0" collapsed="false">
      <c r="D76" s="32" t="s">
        <v>687</v>
      </c>
      <c r="E76" s="32"/>
      <c r="F76" s="32"/>
      <c r="G76" s="32"/>
      <c r="H76" s="33" t="n">
        <f aca="false">SUMIF(A45:A70,"Cahiers",F45:F70)</f>
        <v>11</v>
      </c>
    </row>
    <row r="77" customFormat="false" ht="15" hidden="false" customHeight="false" outlineLevel="0" collapsed="false">
      <c r="D77" s="32" t="s">
        <v>688</v>
      </c>
      <c r="E77" s="32"/>
      <c r="F77" s="32"/>
      <c r="G77" s="32"/>
      <c r="H77" s="34" t="n">
        <f aca="false">IF(H72=0,0,SUMIF(K45:K70,"&lt;&gt;Fixé",H45:H70)/H72)</f>
        <v>0.270042194092827</v>
      </c>
    </row>
    <row r="78" customFormat="false" ht="15" hidden="false" customHeight="false" outlineLevel="0" collapsed="false">
      <c r="D78" s="32" t="s">
        <v>689</v>
      </c>
      <c r="E78" s="32"/>
      <c r="F78" s="32"/>
      <c r="G78" s="32"/>
      <c r="H78" s="33" t="str">
        <f aca="false">IF(H71&gt;0,"Total incomplet : "&amp;H71&amp;" prix de vente à fournir",IF(H74&gt;0,"Coût incomplet : "&amp;H74&amp;" ligne(s) sans prix d'achat","Complet"))</f>
        <v>Total incomplet : 1 prix de vente à fournir</v>
      </c>
    </row>
    <row r="79" customFormat="false" ht="15" hidden="false" customHeight="false" outlineLevel="0" collapsed="false">
      <c r="D79" s="21" t="s">
        <v>696</v>
      </c>
      <c r="E79" s="21" t="str">
        <f aca="false">INDEX(Articles!$C$2:$C$148,MATCH("S020",Articles!$A$2:$A$148,0))</f>
        <v>Sac à dos bleu marine</v>
      </c>
      <c r="H79" s="41" t="n">
        <f aca="false">INDEX(Articles!$G$2:$G$148,MATCH("S020",Articles!$A$2:$A$148,0))</f>
        <v>7000</v>
      </c>
    </row>
    <row r="80" customFormat="false" ht="15" hidden="false" customHeight="false" outlineLevel="0" collapsed="false">
      <c r="D80" s="42" t="s">
        <v>697</v>
      </c>
      <c r="E80" s="43" t="s">
        <v>796</v>
      </c>
    </row>
    <row r="81" customFormat="false" ht="15" hidden="false" customHeight="false" outlineLevel="0" collapsed="false">
      <c r="E81" s="43" t="s">
        <v>797</v>
      </c>
    </row>
    <row r="84" customFormat="false" ht="15" hidden="false" customHeight="false" outlineLevel="0" collapsed="false">
      <c r="A84" s="28" t="s">
        <v>798</v>
      </c>
      <c r="B84" s="29"/>
      <c r="C84" s="29"/>
      <c r="D84" s="29"/>
      <c r="E84" s="29"/>
      <c r="F84" s="29"/>
      <c r="G84" s="29"/>
      <c r="H84" s="29"/>
      <c r="I84" s="29"/>
      <c r="J84" s="29"/>
      <c r="K84" s="29"/>
      <c r="L84" s="29"/>
      <c r="M84" s="29"/>
      <c r="N84" s="29"/>
    </row>
    <row r="85" customFormat="false" ht="39.55" hidden="false" customHeight="false" outlineLevel="0" collapsed="false">
      <c r="A85" s="30" t="s">
        <v>663</v>
      </c>
      <c r="B85" s="30" t="s">
        <v>664</v>
      </c>
      <c r="C85" s="30" t="s">
        <v>348</v>
      </c>
      <c r="D85" s="30" t="s">
        <v>350</v>
      </c>
      <c r="E85" s="30" t="s">
        <v>349</v>
      </c>
      <c r="F85" s="30" t="s">
        <v>665</v>
      </c>
      <c r="G85" s="30" t="s">
        <v>666</v>
      </c>
      <c r="H85" s="30" t="s">
        <v>667</v>
      </c>
      <c r="I85" s="30" t="s">
        <v>668</v>
      </c>
      <c r="J85" s="30" t="s">
        <v>669</v>
      </c>
      <c r="K85" s="30" t="s">
        <v>355</v>
      </c>
      <c r="L85" s="30" t="s">
        <v>353</v>
      </c>
      <c r="M85" s="30" t="s">
        <v>356</v>
      </c>
      <c r="N85" s="30" t="s">
        <v>670</v>
      </c>
    </row>
    <row r="86" customFormat="false" ht="15" hidden="false" customHeight="false" outlineLevel="0" collapsed="false">
      <c r="A86" s="9" t="s">
        <v>671</v>
      </c>
      <c r="B86" s="9" t="s">
        <v>737</v>
      </c>
      <c r="C86" s="31" t="s">
        <v>213</v>
      </c>
      <c r="D86" s="9" t="str">
        <f aca="false">INDEX(Articles!$C$2:$C$148,MATCH(C86,Articles!$A$2:$A$148,0))</f>
        <v>Cahier Calligraphe 192 pages 24x32 (grand format)</v>
      </c>
      <c r="E86" s="9" t="str">
        <f aca="false">INDEX(Articles!$B$2:$B$148,MATCH(C86,Articles!$A$2:$A$148,0))</f>
        <v>Papex</v>
      </c>
      <c r="F86" s="31" t="n">
        <v>1</v>
      </c>
      <c r="G86" s="13" t="n">
        <f aca="false">IF(INDEX(Articles!$G$2:$G$148,MATCH(C86,Articles!$A$2:$A$148,0))="","",INDEX(Articles!$G$2:$G$148,MATCH(C86,Articles!$A$2:$A$148,0)))</f>
        <v>1650</v>
      </c>
      <c r="H86" s="13" t="n">
        <f aca="false">IF(G86="",0,F86*G86)</f>
        <v>1650</v>
      </c>
      <c r="I86" s="13" t="n">
        <f aca="false">IF(INDEX(Articles!$E$2:$E$148,MATCH(C86,Articles!$A$2:$A$148,0))="","",INDEX(Articles!$E$2:$E$148,MATCH(C86,Articles!$A$2:$A$148,0)))</f>
        <v>1500</v>
      </c>
      <c r="J86" s="13" t="n">
        <f aca="false">IF(I86="","",F86*I86)</f>
        <v>1500</v>
      </c>
      <c r="K86" s="9" t="str">
        <f aca="false">INDEX(Articles!$H$2:$H$148,MATCH(C86,Articles!$A$2:$A$148,0))</f>
        <v>Fixé</v>
      </c>
      <c r="L86" s="9" t="str">
        <f aca="false">INDEX(Articles!$F$2:$F$148,MATCH(C86,Articles!$A$2:$A$148,0))</f>
        <v>Confirmé</v>
      </c>
      <c r="M86" s="17"/>
      <c r="N86" s="9" t="s">
        <v>167</v>
      </c>
    </row>
    <row r="87" customFormat="false" ht="15" hidden="false" customHeight="false" outlineLevel="0" collapsed="false">
      <c r="A87" s="9" t="s">
        <v>671</v>
      </c>
      <c r="B87" s="9" t="s">
        <v>739</v>
      </c>
      <c r="C87" s="31" t="s">
        <v>192</v>
      </c>
      <c r="D87" s="9" t="str">
        <f aca="false">INDEX(Articles!$C$2:$C$148,MATCH(C87,Articles!$A$2:$A$148,0))</f>
        <v>Cahier Calligraphe 192 pages 17x22 90 g seyès</v>
      </c>
      <c r="E87" s="9" t="str">
        <f aca="false">INDEX(Articles!$B$2:$B$148,MATCH(C87,Articles!$A$2:$A$148,0))</f>
        <v>Papex</v>
      </c>
      <c r="F87" s="31" t="n">
        <v>1</v>
      </c>
      <c r="G87" s="13" t="n">
        <f aca="false">IF(INDEX(Articles!$G$2:$G$148,MATCH(C87,Articles!$A$2:$A$148,0))="","",INDEX(Articles!$G$2:$G$148,MATCH(C87,Articles!$A$2:$A$148,0)))</f>
        <v>900</v>
      </c>
      <c r="H87" s="13" t="n">
        <f aca="false">IF(G87="",0,F87*G87)</f>
        <v>900</v>
      </c>
      <c r="I87" s="13" t="n">
        <f aca="false">IF(INDEX(Articles!$E$2:$E$148,MATCH(C87,Articles!$A$2:$A$148,0))="","",INDEX(Articles!$E$2:$E$148,MATCH(C87,Articles!$A$2:$A$148,0)))</f>
        <v>800</v>
      </c>
      <c r="J87" s="13" t="n">
        <f aca="false">IF(I87="","",F87*I87)</f>
        <v>800</v>
      </c>
      <c r="K87" s="9" t="str">
        <f aca="false">INDEX(Articles!$H$2:$H$148,MATCH(C87,Articles!$A$2:$A$148,0))</f>
        <v>Fixé</v>
      </c>
      <c r="L87" s="9" t="str">
        <f aca="false">INDEX(Articles!$F$2:$F$148,MATCH(C87,Articles!$A$2:$A$148,0))</f>
        <v>Confirmé</v>
      </c>
      <c r="M87" s="17"/>
      <c r="N87" s="9" t="s">
        <v>167</v>
      </c>
    </row>
    <row r="88" customFormat="false" ht="15" hidden="false" customHeight="false" outlineLevel="0" collapsed="false">
      <c r="A88" s="9" t="s">
        <v>671</v>
      </c>
      <c r="B88" s="9" t="s">
        <v>740</v>
      </c>
      <c r="C88" s="31" t="s">
        <v>192</v>
      </c>
      <c r="D88" s="9" t="str">
        <f aca="false">INDEX(Articles!$C$2:$C$148,MATCH(C88,Articles!$A$2:$A$148,0))</f>
        <v>Cahier Calligraphe 192 pages 17x22 90 g seyès</v>
      </c>
      <c r="E88" s="9" t="str">
        <f aca="false">INDEX(Articles!$B$2:$B$148,MATCH(C88,Articles!$A$2:$A$148,0))</f>
        <v>Papex</v>
      </c>
      <c r="F88" s="31" t="n">
        <v>2</v>
      </c>
      <c r="G88" s="13" t="n">
        <f aca="false">IF(INDEX(Articles!$G$2:$G$148,MATCH(C88,Articles!$A$2:$A$148,0))="","",INDEX(Articles!$G$2:$G$148,MATCH(C88,Articles!$A$2:$A$148,0)))</f>
        <v>900</v>
      </c>
      <c r="H88" s="13" t="n">
        <f aca="false">IF(G88="",0,F88*G88)</f>
        <v>1800</v>
      </c>
      <c r="I88" s="13" t="n">
        <f aca="false">IF(INDEX(Articles!$E$2:$E$148,MATCH(C88,Articles!$A$2:$A$148,0))="","",INDEX(Articles!$E$2:$E$148,MATCH(C88,Articles!$A$2:$A$148,0)))</f>
        <v>800</v>
      </c>
      <c r="J88" s="13" t="n">
        <f aca="false">IF(I88="","",F88*I88)</f>
        <v>1600</v>
      </c>
      <c r="K88" s="9" t="str">
        <f aca="false">INDEX(Articles!$H$2:$H$148,MATCH(C88,Articles!$A$2:$A$148,0))</f>
        <v>Fixé</v>
      </c>
      <c r="L88" s="9" t="str">
        <f aca="false">INDEX(Articles!$F$2:$F$148,MATCH(C88,Articles!$A$2:$A$148,0))</f>
        <v>Confirmé</v>
      </c>
      <c r="M88" s="17"/>
      <c r="N88" s="9" t="s">
        <v>167</v>
      </c>
    </row>
    <row r="89" customFormat="false" ht="15" hidden="false" customHeight="false" outlineLevel="0" collapsed="false">
      <c r="A89" s="9" t="s">
        <v>671</v>
      </c>
      <c r="B89" s="9" t="s">
        <v>741</v>
      </c>
      <c r="C89" s="31" t="s">
        <v>366</v>
      </c>
      <c r="D89" s="9" t="str">
        <f aca="false">INDEX(Articles!$C$2:$C$148,MATCH(C89,Articles!$A$2:$A$148,0))</f>
        <v>Cahier Calligraphe 140 pages 17x22 90 g seyès</v>
      </c>
      <c r="E89" s="9" t="str">
        <f aca="false">INDEX(Articles!$B$2:$B$148,MATCH(C89,Articles!$A$2:$A$148,0))</f>
        <v>Papex</v>
      </c>
      <c r="F89" s="31" t="n">
        <v>1</v>
      </c>
      <c r="G89" s="13" t="n">
        <f aca="false">IF(INDEX(Articles!$G$2:$G$148,MATCH(C89,Articles!$A$2:$A$148,0))="","",INDEX(Articles!$G$2:$G$148,MATCH(C89,Articles!$A$2:$A$148,0)))</f>
        <v>750</v>
      </c>
      <c r="H89" s="13" t="n">
        <f aca="false">IF(G89="",0,F89*G89)</f>
        <v>750</v>
      </c>
      <c r="I89" s="13" t="n">
        <f aca="false">IF(INDEX(Articles!$E$2:$E$148,MATCH(C89,Articles!$A$2:$A$148,0))="","",INDEX(Articles!$E$2:$E$148,MATCH(C89,Articles!$A$2:$A$148,0)))</f>
        <v>650</v>
      </c>
      <c r="J89" s="13" t="n">
        <f aca="false">IF(I89="","",F89*I89)</f>
        <v>650</v>
      </c>
      <c r="K89" s="9" t="str">
        <f aca="false">INDEX(Articles!$H$2:$H$148,MATCH(C89,Articles!$A$2:$A$148,0))</f>
        <v>Fixé</v>
      </c>
      <c r="L89" s="9" t="str">
        <f aca="false">INDEX(Articles!$F$2:$F$148,MATCH(C89,Articles!$A$2:$A$148,0))</f>
        <v>Estimé</v>
      </c>
      <c r="M89" s="17" t="s">
        <v>763</v>
      </c>
      <c r="N89" s="9" t="s">
        <v>167</v>
      </c>
    </row>
    <row r="90" customFormat="false" ht="15" hidden="false" customHeight="false" outlineLevel="0" collapsed="false">
      <c r="A90" s="9" t="s">
        <v>671</v>
      </c>
      <c r="B90" s="9" t="s">
        <v>742</v>
      </c>
      <c r="C90" s="31" t="s">
        <v>213</v>
      </c>
      <c r="D90" s="9" t="str">
        <f aca="false">INDEX(Articles!$C$2:$C$148,MATCH(C90,Articles!$A$2:$A$148,0))</f>
        <v>Cahier Calligraphe 192 pages 24x32 (grand format)</v>
      </c>
      <c r="E90" s="9" t="str">
        <f aca="false">INDEX(Articles!$B$2:$B$148,MATCH(C90,Articles!$A$2:$A$148,0))</f>
        <v>Papex</v>
      </c>
      <c r="F90" s="31" t="n">
        <v>1</v>
      </c>
      <c r="G90" s="13" t="n">
        <f aca="false">IF(INDEX(Articles!$G$2:$G$148,MATCH(C90,Articles!$A$2:$A$148,0))="","",INDEX(Articles!$G$2:$G$148,MATCH(C90,Articles!$A$2:$A$148,0)))</f>
        <v>1650</v>
      </c>
      <c r="H90" s="13" t="n">
        <f aca="false">IF(G90="",0,F90*G90)</f>
        <v>1650</v>
      </c>
      <c r="I90" s="13" t="n">
        <f aca="false">IF(INDEX(Articles!$E$2:$E$148,MATCH(C90,Articles!$A$2:$A$148,0))="","",INDEX(Articles!$E$2:$E$148,MATCH(C90,Articles!$A$2:$A$148,0)))</f>
        <v>1500</v>
      </c>
      <c r="J90" s="13" t="n">
        <f aca="false">IF(I90="","",F90*I90)</f>
        <v>1500</v>
      </c>
      <c r="K90" s="9" t="str">
        <f aca="false">INDEX(Articles!$H$2:$H$148,MATCH(C90,Articles!$A$2:$A$148,0))</f>
        <v>Fixé</v>
      </c>
      <c r="L90" s="9" t="str">
        <f aca="false">INDEX(Articles!$F$2:$F$148,MATCH(C90,Articles!$A$2:$A$148,0))</f>
        <v>Confirmé</v>
      </c>
      <c r="M90" s="17"/>
      <c r="N90" s="9" t="s">
        <v>167</v>
      </c>
    </row>
    <row r="91" customFormat="false" ht="15" hidden="false" customHeight="false" outlineLevel="0" collapsed="false">
      <c r="A91" s="9" t="s">
        <v>671</v>
      </c>
      <c r="B91" s="9" t="s">
        <v>743</v>
      </c>
      <c r="C91" s="31" t="s">
        <v>366</v>
      </c>
      <c r="D91" s="9" t="str">
        <f aca="false">INDEX(Articles!$C$2:$C$148,MATCH(C91,Articles!$A$2:$A$148,0))</f>
        <v>Cahier Calligraphe 140 pages 17x22 90 g seyès</v>
      </c>
      <c r="E91" s="9" t="str">
        <f aca="false">INDEX(Articles!$B$2:$B$148,MATCH(C91,Articles!$A$2:$A$148,0))</f>
        <v>Papex</v>
      </c>
      <c r="F91" s="31" t="n">
        <v>1</v>
      </c>
      <c r="G91" s="13" t="n">
        <f aca="false">IF(INDEX(Articles!$G$2:$G$148,MATCH(C91,Articles!$A$2:$A$148,0))="","",INDEX(Articles!$G$2:$G$148,MATCH(C91,Articles!$A$2:$A$148,0)))</f>
        <v>750</v>
      </c>
      <c r="H91" s="13" t="n">
        <f aca="false">IF(G91="",0,F91*G91)</f>
        <v>750</v>
      </c>
      <c r="I91" s="13" t="n">
        <f aca="false">IF(INDEX(Articles!$E$2:$E$148,MATCH(C91,Articles!$A$2:$A$148,0))="","",INDEX(Articles!$E$2:$E$148,MATCH(C91,Articles!$A$2:$A$148,0)))</f>
        <v>650</v>
      </c>
      <c r="J91" s="13" t="n">
        <f aca="false">IF(I91="","",F91*I91)</f>
        <v>650</v>
      </c>
      <c r="K91" s="9" t="str">
        <f aca="false">INDEX(Articles!$H$2:$H$148,MATCH(C91,Articles!$A$2:$A$148,0))</f>
        <v>Fixé</v>
      </c>
      <c r="L91" s="9" t="str">
        <f aca="false">INDEX(Articles!$F$2:$F$148,MATCH(C91,Articles!$A$2:$A$148,0))</f>
        <v>Estimé</v>
      </c>
      <c r="M91" s="17" t="s">
        <v>763</v>
      </c>
      <c r="N91" s="9" t="s">
        <v>167</v>
      </c>
    </row>
    <row r="92" customFormat="false" ht="15" hidden="false" customHeight="false" outlineLevel="0" collapsed="false">
      <c r="A92" s="9" t="s">
        <v>671</v>
      </c>
      <c r="B92" s="9" t="s">
        <v>744</v>
      </c>
      <c r="C92" s="31" t="s">
        <v>213</v>
      </c>
      <c r="D92" s="9" t="str">
        <f aca="false">INDEX(Articles!$C$2:$C$148,MATCH(C92,Articles!$A$2:$A$148,0))</f>
        <v>Cahier Calligraphe 192 pages 24x32 (grand format)</v>
      </c>
      <c r="E92" s="9" t="str">
        <f aca="false">INDEX(Articles!$B$2:$B$148,MATCH(C92,Articles!$A$2:$A$148,0))</f>
        <v>Papex</v>
      </c>
      <c r="F92" s="31" t="n">
        <v>1</v>
      </c>
      <c r="G92" s="13" t="n">
        <f aca="false">IF(INDEX(Articles!$G$2:$G$148,MATCH(C92,Articles!$A$2:$A$148,0))="","",INDEX(Articles!$G$2:$G$148,MATCH(C92,Articles!$A$2:$A$148,0)))</f>
        <v>1650</v>
      </c>
      <c r="H92" s="13" t="n">
        <f aca="false">IF(G92="",0,F92*G92)</f>
        <v>1650</v>
      </c>
      <c r="I92" s="13" t="n">
        <f aca="false">IF(INDEX(Articles!$E$2:$E$148,MATCH(C92,Articles!$A$2:$A$148,0))="","",INDEX(Articles!$E$2:$E$148,MATCH(C92,Articles!$A$2:$A$148,0)))</f>
        <v>1500</v>
      </c>
      <c r="J92" s="13" t="n">
        <f aca="false">IF(I92="","",F92*I92)</f>
        <v>1500</v>
      </c>
      <c r="K92" s="9" t="str">
        <f aca="false">INDEX(Articles!$H$2:$H$148,MATCH(C92,Articles!$A$2:$A$148,0))</f>
        <v>Fixé</v>
      </c>
      <c r="L92" s="9" t="str">
        <f aca="false">INDEX(Articles!$F$2:$F$148,MATCH(C92,Articles!$A$2:$A$148,0))</f>
        <v>Confirmé</v>
      </c>
      <c r="M92" s="17"/>
      <c r="N92" s="9" t="s">
        <v>167</v>
      </c>
    </row>
    <row r="93" customFormat="false" ht="15" hidden="false" customHeight="false" outlineLevel="0" collapsed="false">
      <c r="A93" s="9" t="s">
        <v>671</v>
      </c>
      <c r="B93" s="9" t="s">
        <v>745</v>
      </c>
      <c r="C93" s="31" t="s">
        <v>213</v>
      </c>
      <c r="D93" s="9" t="str">
        <f aca="false">INDEX(Articles!$C$2:$C$148,MATCH(C93,Articles!$A$2:$A$148,0))</f>
        <v>Cahier Calligraphe 192 pages 24x32 (grand format)</v>
      </c>
      <c r="E93" s="9" t="str">
        <f aca="false">INDEX(Articles!$B$2:$B$148,MATCH(C93,Articles!$A$2:$A$148,0))</f>
        <v>Papex</v>
      </c>
      <c r="F93" s="31" t="n">
        <v>1</v>
      </c>
      <c r="G93" s="13" t="n">
        <f aca="false">IF(INDEX(Articles!$G$2:$G$148,MATCH(C93,Articles!$A$2:$A$148,0))="","",INDEX(Articles!$G$2:$G$148,MATCH(C93,Articles!$A$2:$A$148,0)))</f>
        <v>1650</v>
      </c>
      <c r="H93" s="13" t="n">
        <f aca="false">IF(G93="",0,F93*G93)</f>
        <v>1650</v>
      </c>
      <c r="I93" s="13" t="n">
        <f aca="false">IF(INDEX(Articles!$E$2:$E$148,MATCH(C93,Articles!$A$2:$A$148,0))="","",INDEX(Articles!$E$2:$E$148,MATCH(C93,Articles!$A$2:$A$148,0)))</f>
        <v>1500</v>
      </c>
      <c r="J93" s="13" t="n">
        <f aca="false">IF(I93="","",F93*I93)</f>
        <v>1500</v>
      </c>
      <c r="K93" s="9" t="str">
        <f aca="false">INDEX(Articles!$H$2:$H$148,MATCH(C93,Articles!$A$2:$A$148,0))</f>
        <v>Fixé</v>
      </c>
      <c r="L93" s="9" t="str">
        <f aca="false">INDEX(Articles!$F$2:$F$148,MATCH(C93,Articles!$A$2:$A$148,0))</f>
        <v>Confirmé</v>
      </c>
      <c r="M93" s="17"/>
      <c r="N93" s="9" t="s">
        <v>167</v>
      </c>
    </row>
    <row r="94" customFormat="false" ht="15" hidden="false" customHeight="false" outlineLevel="0" collapsed="false">
      <c r="A94" s="9" t="s">
        <v>671</v>
      </c>
      <c r="B94" s="9" t="s">
        <v>746</v>
      </c>
      <c r="C94" s="31" t="s">
        <v>195</v>
      </c>
      <c r="D94" s="9" t="str">
        <f aca="false">INDEX(Articles!$C$2:$C$148,MATCH(C94,Articles!$A$2:$A$148,0))</f>
        <v>Cahier Calligraphe 96 pages 17x22 56 g seyès</v>
      </c>
      <c r="E94" s="9" t="str">
        <f aca="false">INDEX(Articles!$B$2:$B$148,MATCH(C94,Articles!$A$2:$A$148,0))</f>
        <v>Papex</v>
      </c>
      <c r="F94" s="31" t="n">
        <v>1</v>
      </c>
      <c r="G94" s="13" t="n">
        <f aca="false">IF(INDEX(Articles!$G$2:$G$148,MATCH(C94,Articles!$A$2:$A$148,0))="","",INDEX(Articles!$G$2:$G$148,MATCH(C94,Articles!$A$2:$A$148,0)))</f>
        <v>450</v>
      </c>
      <c r="H94" s="13" t="n">
        <f aca="false">IF(G94="",0,F94*G94)</f>
        <v>450</v>
      </c>
      <c r="I94" s="13" t="n">
        <f aca="false">IF(INDEX(Articles!$E$2:$E$148,MATCH(C94,Articles!$A$2:$A$148,0))="","",INDEX(Articles!$E$2:$E$148,MATCH(C94,Articles!$A$2:$A$148,0)))</f>
        <v>350</v>
      </c>
      <c r="J94" s="13" t="n">
        <f aca="false">IF(I94="","",F94*I94)</f>
        <v>350</v>
      </c>
      <c r="K94" s="9" t="str">
        <f aca="false">INDEX(Articles!$H$2:$H$148,MATCH(C94,Articles!$A$2:$A$148,0))</f>
        <v>Fixé</v>
      </c>
      <c r="L94" s="9" t="str">
        <f aca="false">INDEX(Articles!$F$2:$F$148,MATCH(C94,Articles!$A$2:$A$148,0))</f>
        <v>Confirmé</v>
      </c>
      <c r="M94" s="17" t="s">
        <v>764</v>
      </c>
      <c r="N94" s="9" t="s">
        <v>167</v>
      </c>
    </row>
    <row r="95" customFormat="false" ht="15" hidden="false" customHeight="false" outlineLevel="0" collapsed="false">
      <c r="A95" s="9" t="s">
        <v>671</v>
      </c>
      <c r="B95" s="9" t="s">
        <v>747</v>
      </c>
      <c r="C95" s="31" t="s">
        <v>366</v>
      </c>
      <c r="D95" s="9" t="str">
        <f aca="false">INDEX(Articles!$C$2:$C$148,MATCH(C95,Articles!$A$2:$A$148,0))</f>
        <v>Cahier Calligraphe 140 pages 17x22 90 g seyès</v>
      </c>
      <c r="E95" s="9" t="str">
        <f aca="false">INDEX(Articles!$B$2:$B$148,MATCH(C95,Articles!$A$2:$A$148,0))</f>
        <v>Papex</v>
      </c>
      <c r="F95" s="31" t="n">
        <v>1</v>
      </c>
      <c r="G95" s="13" t="n">
        <f aca="false">IF(INDEX(Articles!$G$2:$G$148,MATCH(C95,Articles!$A$2:$A$148,0))="","",INDEX(Articles!$G$2:$G$148,MATCH(C95,Articles!$A$2:$A$148,0)))</f>
        <v>750</v>
      </c>
      <c r="H95" s="13" t="n">
        <f aca="false">IF(G95="",0,F95*G95)</f>
        <v>750</v>
      </c>
      <c r="I95" s="13" t="n">
        <f aca="false">IF(INDEX(Articles!$E$2:$E$148,MATCH(C95,Articles!$A$2:$A$148,0))="","",INDEX(Articles!$E$2:$E$148,MATCH(C95,Articles!$A$2:$A$148,0)))</f>
        <v>650</v>
      </c>
      <c r="J95" s="13" t="n">
        <f aca="false">IF(I95="","",F95*I95)</f>
        <v>650</v>
      </c>
      <c r="K95" s="9" t="str">
        <f aca="false">INDEX(Articles!$H$2:$H$148,MATCH(C95,Articles!$A$2:$A$148,0))</f>
        <v>Fixé</v>
      </c>
      <c r="L95" s="9" t="str">
        <f aca="false">INDEX(Articles!$F$2:$F$148,MATCH(C95,Articles!$A$2:$A$148,0))</f>
        <v>Estimé</v>
      </c>
      <c r="M95" s="17" t="s">
        <v>763</v>
      </c>
      <c r="N95" s="9" t="s">
        <v>167</v>
      </c>
    </row>
    <row r="96" customFormat="false" ht="15" hidden="false" customHeight="false" outlineLevel="0" collapsed="false">
      <c r="A96" s="9" t="s">
        <v>681</v>
      </c>
      <c r="B96" s="9" t="s">
        <v>748</v>
      </c>
      <c r="C96" s="31" t="s">
        <v>177</v>
      </c>
      <c r="D96" s="9" t="str">
        <f aca="false">INDEX(Articles!$C$2:$C$148,MATCH(C96,Articles!$A$2:$A$148,0))</f>
        <v>Cahier de dessin TPG</v>
      </c>
      <c r="E96" s="9" t="str">
        <f aca="false">INDEX(Articles!$B$2:$B$148,MATCH(C96,Articles!$A$2:$A$148,0))</f>
        <v>LPD</v>
      </c>
      <c r="F96" s="31" t="n">
        <v>1</v>
      </c>
      <c r="G96" s="13" t="n">
        <f aca="false">IF(INDEX(Articles!$G$2:$G$148,MATCH(C96,Articles!$A$2:$A$148,0))="","",INDEX(Articles!$G$2:$G$148,MATCH(C96,Articles!$A$2:$A$148,0)))</f>
        <v>550</v>
      </c>
      <c r="H96" s="13" t="n">
        <f aca="false">IF(G96="",0,F96*G96)</f>
        <v>550</v>
      </c>
      <c r="I96" s="13" t="str">
        <f aca="false">IF(INDEX(Articles!$E$2:$E$148,MATCH(C96,Articles!$A$2:$A$148,0))="","",INDEX(Articles!$E$2:$E$148,MATCH(C96,Articles!$A$2:$A$148,0)))</f>
        <v/>
      </c>
      <c r="J96" s="13" t="str">
        <f aca="false">IF(I96="","",F96*I96)</f>
        <v/>
      </c>
      <c r="K96" s="9" t="str">
        <f aca="false">INDEX(Articles!$H$2:$H$148,MATCH(C96,Articles!$A$2:$A$148,0))</f>
        <v>Fixé</v>
      </c>
      <c r="L96" s="9" t="str">
        <f aca="false">INDEX(Articles!$F$2:$F$148,MATCH(C96,Articles!$A$2:$A$148,0))</f>
        <v>Inconnu</v>
      </c>
      <c r="M96" s="17"/>
      <c r="N96" s="9" t="s">
        <v>167</v>
      </c>
    </row>
    <row r="97" customFormat="false" ht="15" hidden="false" customHeight="false" outlineLevel="0" collapsed="false">
      <c r="A97" s="9" t="s">
        <v>678</v>
      </c>
      <c r="B97" s="9" t="s">
        <v>749</v>
      </c>
      <c r="C97" s="31" t="s">
        <v>222</v>
      </c>
      <c r="D97" s="9" t="str">
        <f aca="false">INDEX(Articles!$C$2:$C$148,MATCH(C97,Articles!$A$2:$A$148,0))</f>
        <v>Pack de 4 stylos Schneider Tops 505 M (bleu, noir, rouge, vert)</v>
      </c>
      <c r="E97" s="9" t="str">
        <f aca="false">INDEX(Articles!$B$2:$B$148,MATCH(C97,Articles!$A$2:$A$148,0))</f>
        <v>Papex</v>
      </c>
      <c r="F97" s="31" t="n">
        <v>1</v>
      </c>
      <c r="G97" s="13" t="n">
        <f aca="false">IF(INDEX(Articles!$G$2:$G$148,MATCH(C97,Articles!$A$2:$A$148,0))="","",INDEX(Articles!$G$2:$G$148,MATCH(C97,Articles!$A$2:$A$148,0)))</f>
        <v>400</v>
      </c>
      <c r="H97" s="13" t="n">
        <f aca="false">IF(G97="",0,F97*G97)</f>
        <v>400</v>
      </c>
      <c r="I97" s="13" t="str">
        <f aca="false">IF(INDEX(Articles!$E$2:$E$148,MATCH(C97,Articles!$A$2:$A$148,0))="","",INDEX(Articles!$E$2:$E$148,MATCH(C97,Articles!$A$2:$A$148,0)))</f>
        <v/>
      </c>
      <c r="J97" s="13" t="str">
        <f aca="false">IF(I97="","",F97*I97)</f>
        <v/>
      </c>
      <c r="K97" s="9" t="str">
        <f aca="false">INDEX(Articles!$H$2:$H$148,MATCH(C97,Articles!$A$2:$A$148,0))</f>
        <v>Fixé</v>
      </c>
      <c r="L97" s="9" t="str">
        <f aca="false">INDEX(Articles!$F$2:$F$148,MATCH(C97,Articles!$A$2:$A$148,0))</f>
        <v>Inconnu</v>
      </c>
      <c r="M97" s="17" t="s">
        <v>432</v>
      </c>
      <c r="N97" s="9" t="s">
        <v>167</v>
      </c>
    </row>
    <row r="98" customFormat="false" ht="15" hidden="false" customHeight="false" outlineLevel="0" collapsed="false">
      <c r="A98" s="9" t="s">
        <v>678</v>
      </c>
      <c r="B98" s="9" t="s">
        <v>750</v>
      </c>
      <c r="C98" s="31" t="s">
        <v>235</v>
      </c>
      <c r="D98" s="9" t="str">
        <f aca="false">INDEX(Articles!$C$2:$C$148,MATCH(C98,Articles!$A$2:$A$148,0))</f>
        <v>Crayon papier (vendu à l'unité)</v>
      </c>
      <c r="E98" s="9" t="str">
        <f aca="false">INDEX(Articles!$B$2:$B$148,MATCH(C98,Articles!$A$2:$A$148,0))</f>
        <v>LPD</v>
      </c>
      <c r="F98" s="31" t="n">
        <v>1</v>
      </c>
      <c r="G98" s="13" t="n">
        <f aca="false">IF(INDEX(Articles!$G$2:$G$148,MATCH(C98,Articles!$A$2:$A$148,0))="","",INDEX(Articles!$G$2:$G$148,MATCH(C98,Articles!$A$2:$A$148,0)))</f>
        <v>75</v>
      </c>
      <c r="H98" s="13" t="n">
        <f aca="false">IF(G98="",0,F98*G98)</f>
        <v>75</v>
      </c>
      <c r="I98" s="13" t="str">
        <f aca="false">IF(INDEX(Articles!$E$2:$E$148,MATCH(C98,Articles!$A$2:$A$148,0))="","",INDEX(Articles!$E$2:$E$148,MATCH(C98,Articles!$A$2:$A$148,0)))</f>
        <v/>
      </c>
      <c r="J98" s="13" t="str">
        <f aca="false">IF(I98="","",F98*I98)</f>
        <v/>
      </c>
      <c r="K98" s="9" t="str">
        <f aca="false">INDEX(Articles!$H$2:$H$148,MATCH(C98,Articles!$A$2:$A$148,0))</f>
        <v>Fixé</v>
      </c>
      <c r="L98" s="9" t="str">
        <f aca="false">INDEX(Articles!$F$2:$F$148,MATCH(C98,Articles!$A$2:$A$148,0))</f>
        <v>Inconnu</v>
      </c>
      <c r="M98" s="17"/>
      <c r="N98" s="9" t="s">
        <v>167</v>
      </c>
    </row>
    <row r="99" customFormat="false" ht="15" hidden="false" customHeight="false" outlineLevel="0" collapsed="false">
      <c r="A99" s="9" t="s">
        <v>675</v>
      </c>
      <c r="B99" s="9" t="s">
        <v>717</v>
      </c>
      <c r="C99" s="31" t="s">
        <v>180</v>
      </c>
      <c r="D99" s="9" t="str">
        <f aca="false">INDEX(Articles!$C$2:$C$148,MATCH(C99,Articles!$A$2:$A$148,0))</f>
        <v>Gomme Staedtler Mars Plastic</v>
      </c>
      <c r="E99" s="9" t="str">
        <f aca="false">INDEX(Articles!$B$2:$B$148,MATCH(C99,Articles!$A$2:$A$148,0))</f>
        <v>LPD</v>
      </c>
      <c r="F99" s="31" t="n">
        <v>1</v>
      </c>
      <c r="G99" s="13" t="n">
        <f aca="false">IF(INDEX(Articles!$G$2:$G$148,MATCH(C99,Articles!$A$2:$A$148,0))="","",INDEX(Articles!$G$2:$G$148,MATCH(C99,Articles!$A$2:$A$148,0)))</f>
        <v>250</v>
      </c>
      <c r="H99" s="13" t="n">
        <f aca="false">IF(G99="",0,F99*G99)</f>
        <v>250</v>
      </c>
      <c r="I99" s="13" t="n">
        <f aca="false">IF(INDEX(Articles!$E$2:$E$148,MATCH(C99,Articles!$A$2:$A$148,0))="","",INDEX(Articles!$E$2:$E$148,MATCH(C99,Articles!$A$2:$A$148,0)))</f>
        <v>110</v>
      </c>
      <c r="J99" s="13" t="n">
        <f aca="false">IF(I99="","",F99*I99)</f>
        <v>110</v>
      </c>
      <c r="K99" s="9" t="str">
        <f aca="false">INDEX(Articles!$H$2:$H$148,MATCH(C99,Articles!$A$2:$A$148,0))</f>
        <v>Fixé</v>
      </c>
      <c r="L99" s="9" t="str">
        <f aca="false">INDEX(Articles!$F$2:$F$148,MATCH(C99,Articles!$A$2:$A$148,0))</f>
        <v>Estimé</v>
      </c>
      <c r="M99" s="17"/>
      <c r="N99" s="9" t="s">
        <v>167</v>
      </c>
    </row>
    <row r="100" customFormat="false" ht="15" hidden="false" customHeight="false" outlineLevel="0" collapsed="false">
      <c r="A100" s="9" t="s">
        <v>675</v>
      </c>
      <c r="B100" s="9" t="s">
        <v>751</v>
      </c>
      <c r="C100" s="31" t="s">
        <v>183</v>
      </c>
      <c r="D100" s="9" t="str">
        <f aca="false">INDEX(Articles!$C$2:$C$148,MATCH(C100,Articles!$A$2:$A$148,0))</f>
        <v>Taille-crayon avec réservoir Maped</v>
      </c>
      <c r="E100" s="9" t="str">
        <f aca="false">INDEX(Articles!$B$2:$B$148,MATCH(C100,Articles!$A$2:$A$148,0))</f>
        <v>Papex</v>
      </c>
      <c r="F100" s="31" t="n">
        <v>1</v>
      </c>
      <c r="G100" s="13" t="n">
        <f aca="false">IF(INDEX(Articles!$G$2:$G$148,MATCH(C100,Articles!$A$2:$A$148,0))="","",INDEX(Articles!$G$2:$G$148,MATCH(C100,Articles!$A$2:$A$148,0)))</f>
        <v>500</v>
      </c>
      <c r="H100" s="13" t="n">
        <f aca="false">IF(G100="",0,F100*G100)</f>
        <v>500</v>
      </c>
      <c r="I100" s="13" t="n">
        <f aca="false">IF(INDEX(Articles!$E$2:$E$148,MATCH(C100,Articles!$A$2:$A$148,0))="","",INDEX(Articles!$E$2:$E$148,MATCH(C100,Articles!$A$2:$A$148,0)))</f>
        <v>350</v>
      </c>
      <c r="J100" s="13" t="n">
        <f aca="false">IF(I100="","",F100*I100)</f>
        <v>350</v>
      </c>
      <c r="K100" s="9" t="str">
        <f aca="false">INDEX(Articles!$H$2:$H$148,MATCH(C100,Articles!$A$2:$A$148,0))</f>
        <v>Estimé</v>
      </c>
      <c r="L100" s="9" t="str">
        <f aca="false">INDEX(Articles!$F$2:$F$148,MATCH(C100,Articles!$A$2:$A$148,0))</f>
        <v>Estimé</v>
      </c>
      <c r="M100" s="17" t="s">
        <v>765</v>
      </c>
      <c r="N100" s="9" t="s">
        <v>167</v>
      </c>
    </row>
    <row r="101" customFormat="false" ht="15" hidden="false" customHeight="false" outlineLevel="0" collapsed="false">
      <c r="A101" s="9" t="s">
        <v>675</v>
      </c>
      <c r="B101" s="9" t="s">
        <v>753</v>
      </c>
      <c r="C101" s="31" t="s">
        <v>248</v>
      </c>
      <c r="D101" s="9" t="str">
        <f aca="false">INDEX(Articles!$C$2:$C$148,MATCH(C101,Articles!$A$2:$A$148,0))</f>
        <v>Bâton de colle Giotto 20 g</v>
      </c>
      <c r="E101" s="9" t="str">
        <f aca="false">INDEX(Articles!$B$2:$B$148,MATCH(C101,Articles!$A$2:$A$148,0))</f>
        <v>Papex</v>
      </c>
      <c r="F101" s="31" t="n">
        <v>1</v>
      </c>
      <c r="G101" s="13" t="n">
        <f aca="false">IF(INDEX(Articles!$G$2:$G$148,MATCH(C101,Articles!$A$2:$A$148,0))="","",INDEX(Articles!$G$2:$G$148,MATCH(C101,Articles!$A$2:$A$148,0)))</f>
        <v>900</v>
      </c>
      <c r="H101" s="13" t="n">
        <f aca="false">IF(G101="",0,F101*G101)</f>
        <v>900</v>
      </c>
      <c r="I101" s="13" t="n">
        <f aca="false">IF(INDEX(Articles!$E$2:$E$148,MATCH(C101,Articles!$A$2:$A$148,0))="","",INDEX(Articles!$E$2:$E$148,MATCH(C101,Articles!$A$2:$A$148,0)))</f>
        <v>650</v>
      </c>
      <c r="J101" s="13" t="n">
        <f aca="false">IF(I101="","",F101*I101)</f>
        <v>650</v>
      </c>
      <c r="K101" s="9" t="str">
        <f aca="false">INDEX(Articles!$H$2:$H$148,MATCH(C101,Articles!$A$2:$A$148,0))</f>
        <v>Estimé</v>
      </c>
      <c r="L101" s="9" t="str">
        <f aca="false">INDEX(Articles!$F$2:$F$148,MATCH(C101,Articles!$A$2:$A$148,0))</f>
        <v>Estimé</v>
      </c>
      <c r="M101" s="17"/>
      <c r="N101" s="9" t="s">
        <v>167</v>
      </c>
    </row>
    <row r="102" customFormat="false" ht="15" hidden="false" customHeight="false" outlineLevel="0" collapsed="false">
      <c r="A102" s="9" t="s">
        <v>675</v>
      </c>
      <c r="B102" s="9" t="s">
        <v>754</v>
      </c>
      <c r="C102" s="31" t="s">
        <v>189</v>
      </c>
      <c r="D102" s="9" t="str">
        <f aca="false">INDEX(Articles!$C$2:$C$148,MATCH(C102,Articles!$A$2:$A$148,0))</f>
        <v>Ciseaux Maped 13 cm Security</v>
      </c>
      <c r="E102" s="9" t="str">
        <f aca="false">INDEX(Articles!$B$2:$B$148,MATCH(C102,Articles!$A$2:$A$148,0))</f>
        <v>Papex</v>
      </c>
      <c r="F102" s="31" t="n">
        <v>1</v>
      </c>
      <c r="G102" s="13" t="n">
        <f aca="false">IF(INDEX(Articles!$G$2:$G$148,MATCH(C102,Articles!$A$2:$A$148,0))="","",INDEX(Articles!$G$2:$G$148,MATCH(C102,Articles!$A$2:$A$148,0)))</f>
        <v>900</v>
      </c>
      <c r="H102" s="13" t="n">
        <f aca="false">IF(G102="",0,F102*G102)</f>
        <v>900</v>
      </c>
      <c r="I102" s="13" t="n">
        <f aca="false">IF(INDEX(Articles!$E$2:$E$148,MATCH(C102,Articles!$A$2:$A$148,0))="","",INDEX(Articles!$E$2:$E$148,MATCH(C102,Articles!$A$2:$A$148,0)))</f>
        <v>650</v>
      </c>
      <c r="J102" s="13" t="n">
        <f aca="false">IF(I102="","",F102*I102)</f>
        <v>650</v>
      </c>
      <c r="K102" s="9" t="str">
        <f aca="false">INDEX(Articles!$H$2:$H$148,MATCH(C102,Articles!$A$2:$A$148,0))</f>
        <v>Estimé</v>
      </c>
      <c r="L102" s="9" t="str">
        <f aca="false">INDEX(Articles!$F$2:$F$148,MATCH(C102,Articles!$A$2:$A$148,0))</f>
        <v>Estimé</v>
      </c>
      <c r="M102" s="17"/>
      <c r="N102" s="9" t="s">
        <v>167</v>
      </c>
    </row>
    <row r="103" customFormat="false" ht="15" hidden="false" customHeight="false" outlineLevel="0" collapsed="false">
      <c r="A103" s="9" t="s">
        <v>676</v>
      </c>
      <c r="B103" s="9" t="s">
        <v>755</v>
      </c>
      <c r="C103" s="31" t="s">
        <v>215</v>
      </c>
      <c r="D103" s="9" t="str">
        <f aca="false">INDEX(Articles!$C$2:$C$148,MATCH(C103,Articles!$A$2:$A$148,0))</f>
        <v>Kit géométrie Maped 30 cm (réf. 1930)</v>
      </c>
      <c r="E103" s="9" t="str">
        <f aca="false">INDEX(Articles!$B$2:$B$148,MATCH(C103,Articles!$A$2:$A$148,0))</f>
        <v>LPD</v>
      </c>
      <c r="F103" s="31" t="n">
        <v>1</v>
      </c>
      <c r="G103" s="13" t="n">
        <f aca="false">IF(INDEX(Articles!$G$2:$G$148,MATCH(C103,Articles!$A$2:$A$148,0))="","",INDEX(Articles!$G$2:$G$148,MATCH(C103,Articles!$A$2:$A$148,0)))</f>
        <v>1800</v>
      </c>
      <c r="H103" s="13" t="n">
        <f aca="false">IF(G103="",0,F103*G103)</f>
        <v>1800</v>
      </c>
      <c r="I103" s="13" t="n">
        <f aca="false">IF(INDEX(Articles!$E$2:$E$148,MATCH(C103,Articles!$A$2:$A$148,0))="","",INDEX(Articles!$E$2:$E$148,MATCH(C103,Articles!$A$2:$A$148,0)))</f>
        <v>1500</v>
      </c>
      <c r="J103" s="13" t="n">
        <f aca="false">IF(I103="","",F103*I103)</f>
        <v>1500</v>
      </c>
      <c r="K103" s="9" t="str">
        <f aca="false">INDEX(Articles!$H$2:$H$148,MATCH(C103,Articles!$A$2:$A$148,0))</f>
        <v>À trancher</v>
      </c>
      <c r="L103" s="9" t="str">
        <f aca="false">INDEX(Articles!$F$2:$F$148,MATCH(C103,Articles!$A$2:$A$148,0))</f>
        <v>Confirmé</v>
      </c>
      <c r="M103" s="17"/>
      <c r="N103" s="9" t="s">
        <v>167</v>
      </c>
    </row>
    <row r="104" customFormat="false" ht="15" hidden="false" customHeight="false" outlineLevel="0" collapsed="false">
      <c r="A104" s="9" t="s">
        <v>676</v>
      </c>
      <c r="B104" s="9" t="s">
        <v>756</v>
      </c>
      <c r="C104" s="31" t="s">
        <v>171</v>
      </c>
      <c r="D104" s="9" t="str">
        <f aca="false">INDEX(Articles!$C$2:$C$148,MATCH(C104,Articles!$A$2:$A$148,0))</f>
        <v>Compas Maped</v>
      </c>
      <c r="E104" s="9" t="str">
        <f aca="false">INDEX(Articles!$B$2:$B$148,MATCH(C104,Articles!$A$2:$A$148,0))</f>
        <v>Papex</v>
      </c>
      <c r="F104" s="31" t="n">
        <v>1</v>
      </c>
      <c r="G104" s="13" t="n">
        <f aca="false">IF(INDEX(Articles!$G$2:$G$148,MATCH(C104,Articles!$A$2:$A$148,0))="","",INDEX(Articles!$G$2:$G$148,MATCH(C104,Articles!$A$2:$A$148,0)))</f>
        <v>2000</v>
      </c>
      <c r="H104" s="13" t="n">
        <f aca="false">IF(G104="",0,F104*G104)</f>
        <v>2000</v>
      </c>
      <c r="I104" s="13" t="n">
        <f aca="false">IF(INDEX(Articles!$E$2:$E$148,MATCH(C104,Articles!$A$2:$A$148,0))="","",INDEX(Articles!$E$2:$E$148,MATCH(C104,Articles!$A$2:$A$148,0)))</f>
        <v>1750</v>
      </c>
      <c r="J104" s="13" t="n">
        <f aca="false">IF(I104="","",F104*I104)</f>
        <v>1750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681</v>
      </c>
      <c r="B105" s="9" t="s">
        <v>757</v>
      </c>
      <c r="C105" s="31" t="s">
        <v>198</v>
      </c>
      <c r="D105" s="9" t="str">
        <f aca="false">INDEX(Articles!$C$2:$C$148,MATCH(C105,Articles!$A$2:$A$148,0))</f>
        <v>Crayons de couleur Maped, boîte de 12</v>
      </c>
      <c r="E105" s="9" t="str">
        <f aca="false">INDEX(Articles!$B$2:$B$148,MATCH(C105,Articles!$A$2:$A$148,0))</f>
        <v>Papex</v>
      </c>
      <c r="F105" s="31" t="n">
        <v>1</v>
      </c>
      <c r="G105" s="13" t="n">
        <f aca="false">IF(INDEX(Articles!$G$2:$G$148,MATCH(C105,Articles!$A$2:$A$148,0))="","",INDEX(Articles!$G$2:$G$148,MATCH(C105,Articles!$A$2:$A$148,0)))</f>
        <v>900</v>
      </c>
      <c r="H105" s="13" t="n">
        <f aca="false">IF(G105="",0,F105*G105)</f>
        <v>900</v>
      </c>
      <c r="I105" s="13" t="n">
        <f aca="false">IF(INDEX(Articles!$E$2:$E$148,MATCH(C105,Articles!$A$2:$A$148,0))="","",INDEX(Articles!$E$2:$E$148,MATCH(C105,Articles!$A$2:$A$148,0)))</f>
        <v>650</v>
      </c>
      <c r="J105" s="13" t="n">
        <f aca="false">IF(I105="","",F105*I105)</f>
        <v>650</v>
      </c>
      <c r="K105" s="9" t="str">
        <f aca="false">INDEX(Articles!$H$2:$H$148,MATCH(C105,Articles!$A$2:$A$148,0))</f>
        <v>Estimé</v>
      </c>
      <c r="L105" s="9" t="str">
        <f aca="false">INDEX(Articles!$F$2:$F$148,MATCH(C105,Articles!$A$2:$A$148,0))</f>
        <v>Estimé</v>
      </c>
      <c r="M105" s="17"/>
      <c r="N105" s="9" t="s">
        <v>167</v>
      </c>
    </row>
    <row r="106" customFormat="false" ht="15" hidden="false" customHeight="false" outlineLevel="0" collapsed="false">
      <c r="A106" s="9" t="s">
        <v>678</v>
      </c>
      <c r="B106" s="9" t="s">
        <v>766</v>
      </c>
      <c r="C106" s="31" t="s">
        <v>200</v>
      </c>
      <c r="D106" s="9" t="str">
        <f aca="false">INDEX(Articles!$C$2:$C$148,MATCH(C106,Articles!$A$2:$A$148,0))</f>
        <v>Surligneurs Maped Fluo Peps, pochette de 4</v>
      </c>
      <c r="E106" s="9" t="str">
        <f aca="false">INDEX(Articles!$B$2:$B$148,MATCH(C106,Articles!$A$2:$A$148,0))</f>
        <v>Papex</v>
      </c>
      <c r="F106" s="31" t="n">
        <v>1</v>
      </c>
      <c r="G106" s="13" t="n">
        <f aca="false">IF(INDEX(Articles!$G$2:$G$148,MATCH(C106,Articles!$A$2:$A$148,0))="","",INDEX(Articles!$G$2:$G$148,MATCH(C106,Articles!$A$2:$A$148,0)))</f>
        <v>2500</v>
      </c>
      <c r="H106" s="13" t="n">
        <f aca="false">IF(G106="",0,F106*G106)</f>
        <v>2500</v>
      </c>
      <c r="I106" s="13" t="n">
        <f aca="false">IF(INDEX(Articles!$E$2:$E$148,MATCH(C106,Articles!$A$2:$A$148,0))="","",INDEX(Articles!$E$2:$E$148,MATCH(C106,Articles!$A$2:$A$148,0)))</f>
        <v>2000</v>
      </c>
      <c r="J106" s="13" t="n">
        <f aca="false">IF(I106="","",F106*I106)</f>
        <v>2000</v>
      </c>
      <c r="K106" s="9" t="str">
        <f aca="false">INDEX(Articles!$H$2:$H$148,MATCH(C106,Articles!$A$2:$A$148,0))</f>
        <v>Estimé</v>
      </c>
      <c r="L106" s="9" t="str">
        <f aca="false">INDEX(Articles!$F$2:$F$148,MATCH(C106,Articles!$A$2:$A$148,0))</f>
        <v>Confirmé</v>
      </c>
      <c r="M106" s="17" t="s">
        <v>767</v>
      </c>
      <c r="N106" s="9" t="s">
        <v>167</v>
      </c>
    </row>
    <row r="107" customFormat="false" ht="15" hidden="false" customHeight="false" outlineLevel="0" collapsed="false">
      <c r="A107" s="9" t="s">
        <v>768</v>
      </c>
      <c r="B107" s="9" t="s">
        <v>769</v>
      </c>
      <c r="C107" s="31" t="s">
        <v>446</v>
      </c>
      <c r="D107" s="9" t="str">
        <f aca="false">INDEX(Articles!$C$2:$C$148,MATCH(C107,Articles!$A$2:$A$148,0))</f>
        <v>Chemise 3 rabats à élastique</v>
      </c>
      <c r="E107" s="9" t="str">
        <f aca="false">INDEX(Articles!$B$2:$B$148,MATCH(C107,Articles!$A$2:$A$148,0))</f>
        <v>Papex</v>
      </c>
      <c r="F107" s="31" t="n">
        <v>1</v>
      </c>
      <c r="G107" s="13" t="n">
        <f aca="false">IF(INDEX(Articles!$G$2:$G$148,MATCH(C107,Articles!$A$2:$A$148,0))="","",INDEX(Articles!$G$2:$G$148,MATCH(C107,Articles!$A$2:$A$148,0)))</f>
        <v>500</v>
      </c>
      <c r="H107" s="13" t="n">
        <f aca="false">IF(G107="",0,F107*G107)</f>
        <v>500</v>
      </c>
      <c r="I107" s="13" t="str">
        <f aca="false">IF(INDEX(Articles!$E$2:$E$148,MATCH(C107,Articles!$A$2:$A$148,0))="","",INDEX(Articles!$E$2:$E$148,MATCH(C107,Articles!$A$2:$A$148,0)))</f>
        <v/>
      </c>
      <c r="J107" s="13" t="str">
        <f aca="false">IF(I107="","",F107*I107)</f>
        <v/>
      </c>
      <c r="K107" s="9" t="str">
        <f aca="false">INDEX(Articles!$H$2:$H$148,MATCH(C107,Articles!$A$2:$A$148,0))</f>
        <v>Estimé</v>
      </c>
      <c r="L107" s="9" t="str">
        <f aca="false">INDEX(Articles!$F$2:$F$148,MATCH(C107,Articles!$A$2:$A$148,0))</f>
        <v>Inconnu</v>
      </c>
      <c r="M107" s="17" t="s">
        <v>770</v>
      </c>
      <c r="N107" s="9" t="s">
        <v>167</v>
      </c>
    </row>
    <row r="108" customFormat="false" ht="15" hidden="false" customHeight="false" outlineLevel="0" collapsed="false">
      <c r="A108" s="9" t="s">
        <v>758</v>
      </c>
      <c r="B108" s="9" t="s">
        <v>759</v>
      </c>
      <c r="C108" s="31" t="s">
        <v>376</v>
      </c>
      <c r="D108" s="9" t="str">
        <f aca="false">INDEX(Articles!$C$2:$C$148,MATCH(C108,Articles!$A$2:$A$148,0))</f>
        <v>Paquet de copies doubles grand format</v>
      </c>
      <c r="E108" s="9" t="str">
        <f aca="false">INDEX(Articles!$B$2:$B$148,MATCH(C108,Articles!$A$2:$A$148,0))</f>
        <v>À préciser</v>
      </c>
      <c r="F108" s="31" t="n">
        <v>1</v>
      </c>
      <c r="G108" s="45" t="n">
        <f aca="false">IF(INDEX(Articles!$G$2:$G$148,MATCH(C108,Articles!$A$2:$A$148,0))="","",INDEX(Articles!$G$2:$G$148,MATCH(C108,Articles!$A$2:$A$148,0)))</f>
        <v>1800</v>
      </c>
      <c r="H108" s="13" t="n">
        <f aca="false">IF(G108="",0,F108*G108)</f>
        <v>1800</v>
      </c>
      <c r="I108" s="13" t="n">
        <f aca="false">IF(INDEX(Articles!$E$2:$E$148,MATCH(C108,Articles!$A$2:$A$148,0))="","",INDEX(Articles!$E$2:$E$148,MATCH(C108,Articles!$A$2:$A$148,0)))</f>
        <v>1300</v>
      </c>
      <c r="J108" s="13" t="n">
        <f aca="false">IF(I108="","",F108*I108)</f>
        <v>1300</v>
      </c>
      <c r="K108" s="9" t="str">
        <f aca="false">INDEX(Articles!$H$2:$H$148,MATCH(C108,Articles!$A$2:$A$148,0))</f>
        <v>Fixé</v>
      </c>
      <c r="L108" s="9" t="str">
        <f aca="false">INDEX(Articles!$F$2:$F$148,MATCH(C108,Articles!$A$2:$A$148,0))</f>
        <v>Confirmé</v>
      </c>
      <c r="M108" s="17"/>
      <c r="N108" s="9" t="s">
        <v>167</v>
      </c>
    </row>
    <row r="109" customFormat="false" ht="15" hidden="false" customHeight="false" outlineLevel="0" collapsed="false">
      <c r="A109" s="9" t="s">
        <v>771</v>
      </c>
      <c r="B109" s="9" t="s">
        <v>772</v>
      </c>
      <c r="C109" s="31" t="s">
        <v>160</v>
      </c>
      <c r="D109" s="9" t="str">
        <f aca="false">INDEX(Articles!$C$2:$C$148,MATCH(C109,Articles!$A$2:$A$148,0))</f>
        <v>Protège-cahier couleur petit format (à l'unité)</v>
      </c>
      <c r="E109" s="9" t="str">
        <f aca="false">INDEX(Articles!$B$2:$B$148,MATCH(C109,Articles!$A$2:$A$148,0))</f>
        <v>LPD</v>
      </c>
      <c r="F109" s="31" t="n">
        <v>7</v>
      </c>
      <c r="G109" s="13" t="n">
        <f aca="false">IF(INDEX(Articles!$G$2:$G$148,MATCH(C109,Articles!$A$2:$A$148,0))="","",INDEX(Articles!$G$2:$G$148,MATCH(C109,Articles!$A$2:$A$148,0)))</f>
        <v>150</v>
      </c>
      <c r="H109" s="13" t="n">
        <f aca="false">IF(G109="",0,F109*G109)</f>
        <v>1050</v>
      </c>
      <c r="I109" s="13" t="str">
        <f aca="false">IF(INDEX(Articles!$E$2:$E$148,MATCH(C109,Articles!$A$2:$A$148,0))="","",INDEX(Articles!$E$2:$E$148,MATCH(C109,Articles!$A$2:$A$148,0)))</f>
        <v/>
      </c>
      <c r="J109" s="13" t="str">
        <f aca="false">IF(I109="","",F109*I109)</f>
        <v/>
      </c>
      <c r="K109" s="9" t="str">
        <f aca="false">INDEX(Articles!$H$2:$H$148,MATCH(C109,Articles!$A$2:$A$148,0))</f>
        <v>Fixé</v>
      </c>
      <c r="L109" s="9" t="str">
        <f aca="false">INDEX(Articles!$F$2:$F$148,MATCH(C109,Articles!$A$2:$A$148,0))</f>
        <v>Inconnu</v>
      </c>
      <c r="M109" s="17"/>
      <c r="N109" s="9" t="s">
        <v>167</v>
      </c>
    </row>
    <row r="110" customFormat="false" ht="15" hidden="false" customHeight="false" outlineLevel="0" collapsed="false">
      <c r="A110" s="9" t="s">
        <v>771</v>
      </c>
      <c r="B110" s="9" t="s">
        <v>773</v>
      </c>
      <c r="C110" s="31" t="s">
        <v>419</v>
      </c>
      <c r="D110" s="9" t="str">
        <f aca="false">INDEX(Articles!$C$2:$C$148,MATCH(C110,Articles!$A$2:$A$148,0))</f>
        <v>Protège-cahier grand format (à l'unité)</v>
      </c>
      <c r="E110" s="9" t="str">
        <f aca="false">INDEX(Articles!$B$2:$B$148,MATCH(C110,Articles!$A$2:$A$148,0))</f>
        <v>À préciser</v>
      </c>
      <c r="F110" s="31" t="n">
        <v>4</v>
      </c>
      <c r="G110" s="13" t="str">
        <f aca="false">IF(INDEX(Articles!$G$2:$G$148,MATCH(C110,Articles!$A$2:$A$148,0))="","",INDEX(Articles!$G$2:$G$148,MATCH(C110,Articles!$A$2:$A$148,0)))</f>
        <v/>
      </c>
      <c r="H110" s="13" t="n">
        <f aca="false">IF(G110="",0,F110*G110)</f>
        <v>0</v>
      </c>
      <c r="I110" s="13" t="str">
        <f aca="false">IF(INDEX(Articles!$E$2:$E$148,MATCH(C110,Articles!$A$2:$A$148,0))="","",INDEX(Articles!$E$2:$E$148,MATCH(C110,Articles!$A$2:$A$148,0)))</f>
        <v/>
      </c>
      <c r="J110" s="13" t="str">
        <f aca="false">IF(I110="","",F110*I110)</f>
        <v/>
      </c>
      <c r="K110" s="9" t="str">
        <f aca="false">INDEX(Articles!$H$2:$H$148,MATCH(C110,Articles!$A$2:$A$148,0))</f>
        <v>À fournir</v>
      </c>
      <c r="L110" s="9" t="str">
        <f aca="false">INDEX(Articles!$F$2:$F$148,MATCH(C110,Articles!$A$2:$A$148,0))</f>
        <v>Inconnu</v>
      </c>
      <c r="M110" s="17"/>
      <c r="N110" s="9" t="s">
        <v>167</v>
      </c>
    </row>
    <row r="111" customFormat="false" ht="26.85" hidden="false" customHeight="false" outlineLevel="0" collapsed="false">
      <c r="A111" s="9" t="s">
        <v>760</v>
      </c>
      <c r="B111" s="9" t="s">
        <v>784</v>
      </c>
      <c r="C111" s="31" t="s">
        <v>483</v>
      </c>
      <c r="D111" s="9" t="str">
        <f aca="false">INDEX(Articles!$C$2:$C$148,MATCH(C111,Articles!$A$2:$A$148,0))</f>
        <v>La Belle Histoire de Leuk-le-Lièvre (Senghor et Sadji)</v>
      </c>
      <c r="E111" s="9" t="str">
        <f aca="false">INDEX(Articles!$B$2:$B$148,MATCH(C111,Articles!$A$2:$A$148,0))</f>
        <v>LPD</v>
      </c>
      <c r="F111" s="31" t="n">
        <v>1</v>
      </c>
      <c r="G111" s="13" t="n">
        <f aca="false">IF(INDEX(Articles!$G$2:$G$148,MATCH(C111,Articles!$A$2:$A$148,0))="","",INDEX(Articles!$G$2:$G$148,MATCH(C111,Articles!$A$2:$A$148,0)))</f>
        <v>3500</v>
      </c>
      <c r="H111" s="13" t="n">
        <f aca="false">IF(G111="",0,F111*G111)</f>
        <v>3500</v>
      </c>
      <c r="I111" s="13" t="n">
        <f aca="false">IF(INDEX(Articles!$E$2:$E$148,MATCH(C111,Articles!$A$2:$A$148,0))="","",INDEX(Articles!$E$2:$E$148,MATCH(C111,Articles!$A$2:$A$148,0)))</f>
        <v>2500</v>
      </c>
      <c r="J111" s="13" t="n">
        <f aca="false">IF(I111="","",F111*I111)</f>
        <v>2500</v>
      </c>
      <c r="K111" s="9" t="str">
        <f aca="false">INDEX(Articles!$H$2:$H$148,MATCH(C111,Articles!$A$2:$A$148,0))</f>
        <v>Fixé</v>
      </c>
      <c r="L111" s="9" t="str">
        <f aca="false">INDEX(Articles!$F$2:$F$148,MATCH(C111,Articles!$A$2:$A$148,0))</f>
        <v>Estimé</v>
      </c>
      <c r="M111" s="17" t="s">
        <v>795</v>
      </c>
      <c r="N111" s="9" t="s">
        <v>167</v>
      </c>
    </row>
    <row r="112" customFormat="false" ht="15" hidden="false" customHeight="false" outlineLevel="0" collapsed="false">
      <c r="A112" s="9" t="s">
        <v>777</v>
      </c>
      <c r="B112" s="9" t="s">
        <v>778</v>
      </c>
      <c r="C112" s="31" t="s">
        <v>591</v>
      </c>
      <c r="D112" s="9" t="str">
        <f aca="false">INDEX(Articles!$C$2:$C$148,MATCH(C112,Articles!$A$2:$A$148,0))</f>
        <v>Mathématiques 5éme</v>
      </c>
      <c r="E112" s="9" t="str">
        <f aca="false">INDEX(Articles!$B$2:$B$148,MATCH(C112,Articles!$A$2:$A$148,0))</f>
        <v>LPD</v>
      </c>
      <c r="F112" s="31" t="n">
        <v>1</v>
      </c>
      <c r="G112" s="13" t="n">
        <f aca="false">IF(INDEX(Articles!$G$2:$G$148,MATCH(C112,Articles!$A$2:$A$148,0))="","",INDEX(Articles!$G$2:$G$148,MATCH(C112,Articles!$A$2:$A$148,0)))</f>
        <v>3960</v>
      </c>
      <c r="H112" s="13" t="n">
        <f aca="false">IF(G112="",0,F112*G112)</f>
        <v>3960</v>
      </c>
      <c r="I112" s="13" t="n">
        <f aca="false">IF(INDEX(Articles!$E$2:$E$148,MATCH(C112,Articles!$A$2:$A$148,0))="","",INDEX(Articles!$E$2:$E$148,MATCH(C112,Articles!$A$2:$A$148,0)))</f>
        <v>2960</v>
      </c>
      <c r="J112" s="13" t="n">
        <f aca="false">IF(I112="","",F112*I112)</f>
        <v>2960</v>
      </c>
      <c r="K112" s="9" t="str">
        <f aca="false">INDEX(Articles!$H$2:$H$148,MATCH(C112,Articles!$A$2:$A$148,0))</f>
        <v>Fixé</v>
      </c>
      <c r="L112" s="9" t="str">
        <f aca="false">INDEX(Articles!$F$2:$F$148,MATCH(C112,Articles!$A$2:$A$148,0))</f>
        <v>Estimé</v>
      </c>
      <c r="M112" s="17"/>
      <c r="N112" s="9" t="s">
        <v>167</v>
      </c>
    </row>
    <row r="113" customFormat="false" ht="15" hidden="false" customHeight="false" outlineLevel="0" collapsed="false">
      <c r="A113" s="9" t="s">
        <v>777</v>
      </c>
      <c r="B113" s="9" t="s">
        <v>779</v>
      </c>
      <c r="C113" s="31" t="s">
        <v>593</v>
      </c>
      <c r="D113" s="9" t="str">
        <f aca="false">INDEX(Articles!$C$2:$C$148,MATCH(C113,Articles!$A$2:$A$148,0))</f>
        <v>Science de la vie et de la terre 5éme</v>
      </c>
      <c r="E113" s="9" t="str">
        <f aca="false">INDEX(Articles!$B$2:$B$148,MATCH(C113,Articles!$A$2:$A$148,0))</f>
        <v>LPD</v>
      </c>
      <c r="F113" s="31" t="n">
        <v>1</v>
      </c>
      <c r="G113" s="13" t="n">
        <f aca="false">IF(INDEX(Articles!$G$2:$G$148,MATCH(C113,Articles!$A$2:$A$148,0))="","",INDEX(Articles!$G$2:$G$148,MATCH(C113,Articles!$A$2:$A$148,0)))</f>
        <v>3960</v>
      </c>
      <c r="H113" s="13" t="n">
        <f aca="false">IF(G113="",0,F113*G113)</f>
        <v>3960</v>
      </c>
      <c r="I113" s="13" t="n">
        <f aca="false">IF(INDEX(Articles!$E$2:$E$148,MATCH(C113,Articles!$A$2:$A$148,0))="","",INDEX(Articles!$E$2:$E$148,MATCH(C113,Articles!$A$2:$A$148,0)))</f>
        <v>2960</v>
      </c>
      <c r="J113" s="13" t="n">
        <f aca="false">IF(I113="","",F113*I113)</f>
        <v>2960</v>
      </c>
      <c r="K113" s="9" t="str">
        <f aca="false">INDEX(Articles!$H$2:$H$148,MATCH(C113,Articles!$A$2:$A$148,0))</f>
        <v>Fixé</v>
      </c>
      <c r="L113" s="9" t="str">
        <f aca="false">INDEX(Articles!$F$2:$F$148,MATCH(C113,Articles!$A$2:$A$148,0))</f>
        <v>Estimé</v>
      </c>
      <c r="M113" s="17"/>
      <c r="N113" s="9" t="s">
        <v>167</v>
      </c>
    </row>
    <row r="114" customFormat="false" ht="15" hidden="false" customHeight="false" outlineLevel="0" collapsed="false">
      <c r="A114" s="9" t="s">
        <v>777</v>
      </c>
      <c r="B114" s="9" t="s">
        <v>799</v>
      </c>
      <c r="C114" s="31" t="s">
        <v>595</v>
      </c>
      <c r="D114" s="9" t="str">
        <f aca="false">INDEX(Articles!$C$2:$C$148,MATCH(C114,Articles!$A$2:$A$148,0))</f>
        <v>Le Français en 5ème</v>
      </c>
      <c r="E114" s="9" t="str">
        <f aca="false">INDEX(Articles!$B$2:$B$148,MATCH(C114,Articles!$A$2:$A$148,0))</f>
        <v>LPD</v>
      </c>
      <c r="F114" s="31" t="n">
        <v>1</v>
      </c>
      <c r="G114" s="13" t="n">
        <f aca="false">IF(INDEX(Articles!$G$2:$G$148,MATCH(C114,Articles!$A$2:$A$148,0))="","",INDEX(Articles!$G$2:$G$148,MATCH(C114,Articles!$A$2:$A$148,0)))</f>
        <v>4000</v>
      </c>
      <c r="H114" s="13" t="n">
        <f aca="false">IF(G114="",0,F114*G114)</f>
        <v>4000</v>
      </c>
      <c r="I114" s="13" t="n">
        <f aca="false">IF(INDEX(Articles!$E$2:$E$148,MATCH(C114,Articles!$A$2:$A$148,0))="","",INDEX(Articles!$E$2:$E$148,MATCH(C114,Articles!$A$2:$A$148,0)))</f>
        <v>3000</v>
      </c>
      <c r="J114" s="13" t="n">
        <f aca="false">IF(I114="","",F114*I114)</f>
        <v>3000</v>
      </c>
      <c r="K114" s="9" t="str">
        <f aca="false">INDEX(Articles!$H$2:$H$148,MATCH(C114,Articles!$A$2:$A$148,0))</f>
        <v>Fixé</v>
      </c>
      <c r="L114" s="9" t="str">
        <f aca="false">INDEX(Articles!$F$2:$F$148,MATCH(C114,Articles!$A$2:$A$148,0))</f>
        <v>Estimé</v>
      </c>
      <c r="M114" s="17"/>
      <c r="N114" s="9" t="s">
        <v>167</v>
      </c>
    </row>
    <row r="115" customFormat="false" ht="15" hidden="false" customHeight="false" outlineLevel="0" collapsed="false">
      <c r="A115" s="9" t="s">
        <v>777</v>
      </c>
      <c r="B115" s="9" t="s">
        <v>800</v>
      </c>
      <c r="C115" s="31" t="s">
        <v>224</v>
      </c>
      <c r="D115" s="9" t="str">
        <f aca="false">INDEX(Articles!$C$2:$C$148,MATCH(C115,Articles!$A$2:$A$148,0))</f>
        <v>Grammaire du Français 6/5e, IPAM Edicef</v>
      </c>
      <c r="E115" s="9" t="str">
        <f aca="false">INDEX(Articles!$B$2:$B$148,MATCH(C115,Articles!$A$2:$A$148,0))</f>
        <v>LPD</v>
      </c>
      <c r="F115" s="31" t="n">
        <v>1</v>
      </c>
      <c r="G115" s="13" t="n">
        <f aca="false">IF(INDEX(Articles!$G$2:$G$148,MATCH(C115,Articles!$A$2:$A$148,0))="","",INDEX(Articles!$G$2:$G$148,MATCH(C115,Articles!$A$2:$A$148,0)))</f>
        <v>4000</v>
      </c>
      <c r="H115" s="13" t="n">
        <f aca="false">IF(G115="",0,F115*G115)</f>
        <v>4000</v>
      </c>
      <c r="I115" s="13" t="n">
        <f aca="false">IF(INDEX(Articles!$E$2:$E$148,MATCH(C115,Articles!$A$2:$A$148,0))="","",INDEX(Articles!$E$2:$E$148,MATCH(C115,Articles!$A$2:$A$148,0)))</f>
        <v>3000</v>
      </c>
      <c r="J115" s="13" t="n">
        <f aca="false">IF(I115="","",F115*I115)</f>
        <v>3000</v>
      </c>
      <c r="K115" s="9" t="str">
        <f aca="false">INDEX(Articles!$H$2:$H$148,MATCH(C115,Articles!$A$2:$A$148,0))</f>
        <v>Fixé</v>
      </c>
      <c r="L115" s="9" t="str">
        <f aca="false">INDEX(Articles!$F$2:$F$148,MATCH(C115,Articles!$A$2:$A$148,0))</f>
        <v>Estimé</v>
      </c>
      <c r="M115" s="17"/>
      <c r="N115" s="9" t="s">
        <v>167</v>
      </c>
    </row>
    <row r="116" customFormat="false" ht="15" hidden="false" customHeight="false" outlineLevel="0" collapsed="false">
      <c r="A116" s="9" t="s">
        <v>678</v>
      </c>
      <c r="B116" s="9" t="s">
        <v>781</v>
      </c>
      <c r="C116" s="31" t="s">
        <v>434</v>
      </c>
      <c r="D116" s="9" t="str">
        <f aca="false">INDEX(Articles!$C$2:$C$148,MATCH(C116,Articles!$A$2:$A$148,0))</f>
        <v>Stylo 4 couleurs Schneider</v>
      </c>
      <c r="E116" s="9" t="str">
        <f aca="false">INDEX(Articles!$B$2:$B$148,MATCH(C116,Articles!$A$2:$A$148,0))</f>
        <v>Papex</v>
      </c>
      <c r="F116" s="31" t="n">
        <v>1</v>
      </c>
      <c r="G116" s="13" t="n">
        <f aca="false">IF(INDEX(Articles!$G$2:$G$148,MATCH(C116,Articles!$A$2:$A$148,0))="","",INDEX(Articles!$G$2:$G$148,MATCH(C116,Articles!$A$2:$A$148,0)))</f>
        <v>1750</v>
      </c>
      <c r="H116" s="13" t="n">
        <f aca="false">IF(G116="",0,F116*G116)</f>
        <v>1750</v>
      </c>
      <c r="I116" s="13" t="n">
        <f aca="false">IF(INDEX(Articles!$E$2:$E$148,MATCH(C116,Articles!$A$2:$A$148,0))="","",INDEX(Articles!$E$2:$E$148,MATCH(C116,Articles!$A$2:$A$148,0)))</f>
        <v>1500</v>
      </c>
      <c r="J116" s="13" t="n">
        <f aca="false">IF(I116="","",F116*I116)</f>
        <v>1500</v>
      </c>
      <c r="K116" s="9" t="str">
        <f aca="false">INDEX(Articles!$H$2:$H$148,MATCH(C116,Articles!$A$2:$A$148,0))</f>
        <v>Fixé</v>
      </c>
      <c r="L116" s="9" t="str">
        <f aca="false">INDEX(Articles!$F$2:$F$148,MATCH(C116,Articles!$A$2:$A$148,0))</f>
        <v>Confirmé</v>
      </c>
      <c r="M116" s="17"/>
      <c r="N116" s="9" t="s">
        <v>167</v>
      </c>
    </row>
    <row r="117" customFormat="false" ht="15" hidden="false" customHeight="false" outlineLevel="0" collapsed="false">
      <c r="A117" s="9" t="s">
        <v>678</v>
      </c>
      <c r="B117" s="9" t="s">
        <v>782</v>
      </c>
      <c r="C117" s="31" t="s">
        <v>174</v>
      </c>
      <c r="D117" s="9" t="str">
        <f aca="false">INDEX(Articles!$C$2:$C$148,MATCH(C117,Articles!$A$2:$A$148,0))</f>
        <v>Correcteur souris ARK</v>
      </c>
      <c r="E117" s="9" t="str">
        <f aca="false">INDEX(Articles!$B$2:$B$148,MATCH(C117,Articles!$A$2:$A$148,0))</f>
        <v>Papex</v>
      </c>
      <c r="F117" s="31" t="n">
        <v>1</v>
      </c>
      <c r="G117" s="13" t="n">
        <f aca="false">IF(INDEX(Articles!$G$2:$G$148,MATCH(C117,Articles!$A$2:$A$148,0))="","",INDEX(Articles!$G$2:$G$148,MATCH(C117,Articles!$A$2:$A$148,0)))</f>
        <v>1000</v>
      </c>
      <c r="H117" s="13" t="n">
        <f aca="false">IF(G117="",0,F117*G117)</f>
        <v>1000</v>
      </c>
      <c r="I117" s="13" t="n">
        <f aca="false">IF(INDEX(Articles!$E$2:$E$148,MATCH(C117,Articles!$A$2:$A$148,0))="","",INDEX(Articles!$E$2:$E$148,MATCH(C117,Articles!$A$2:$A$148,0)))</f>
        <v>700</v>
      </c>
      <c r="J117" s="13" t="n">
        <f aca="false">IF(I117="","",F117*I117)</f>
        <v>700</v>
      </c>
      <c r="K117" s="9" t="str">
        <f aca="false">INDEX(Articles!$H$2:$H$148,MATCH(C117,Articles!$A$2:$A$148,0))</f>
        <v>Fixé</v>
      </c>
      <c r="L117" s="9" t="str">
        <f aca="false">INDEX(Articles!$F$2:$F$148,MATCH(C117,Articles!$A$2:$A$148,0))</f>
        <v>Confirmé</v>
      </c>
      <c r="M117" s="17"/>
      <c r="N117" s="9" t="s">
        <v>167</v>
      </c>
    </row>
    <row r="118" customFormat="false" ht="15" hidden="false" customHeight="false" outlineLevel="0" collapsed="false">
      <c r="A118" s="9" t="s">
        <v>783</v>
      </c>
      <c r="B118" s="9" t="s">
        <v>801</v>
      </c>
      <c r="C118" s="31" t="s">
        <v>485</v>
      </c>
      <c r="D118" s="9" t="str">
        <f aca="false">INDEX(Articles!$C$2:$C$148,MATCH(C118,Articles!$A$2:$A$148,0))</f>
        <v>L'Os de Mor Lam (Birago Diop)</v>
      </c>
      <c r="E118" s="9" t="str">
        <f aca="false">INDEX(Articles!$B$2:$B$148,MATCH(C118,Articles!$A$2:$A$148,0))</f>
        <v>LPD</v>
      </c>
      <c r="F118" s="31" t="n">
        <v>1</v>
      </c>
      <c r="G118" s="13" t="n">
        <f aca="false">IF(INDEX(Articles!$G$2:$G$148,MATCH(C118,Articles!$A$2:$A$148,0))="","",INDEX(Articles!$G$2:$G$148,MATCH(C118,Articles!$A$2:$A$148,0)))</f>
        <v>3500</v>
      </c>
      <c r="H118" s="13" t="n">
        <f aca="false">IF(G118="",0,F118*G118)</f>
        <v>3500</v>
      </c>
      <c r="I118" s="13" t="n">
        <f aca="false">IF(INDEX(Articles!$E$2:$E$148,MATCH(C118,Articles!$A$2:$A$148,0))="","",INDEX(Articles!$E$2:$E$148,MATCH(C118,Articles!$A$2:$A$148,0)))</f>
        <v>2500</v>
      </c>
      <c r="J118" s="13" t="n">
        <f aca="false">IF(I118="","",F118*I118)</f>
        <v>2500</v>
      </c>
      <c r="K118" s="9" t="str">
        <f aca="false">INDEX(Articles!$H$2:$H$148,MATCH(C118,Articles!$A$2:$A$148,0))</f>
        <v>Fixé</v>
      </c>
      <c r="L118" s="9" t="str">
        <f aca="false">INDEX(Articles!$F$2:$F$148,MATCH(C118,Articles!$A$2:$A$148,0))</f>
        <v>Estimé</v>
      </c>
      <c r="M118" s="17"/>
      <c r="N118" s="9" t="s">
        <v>167</v>
      </c>
    </row>
    <row r="119" customFormat="false" ht="15" hidden="false" customHeight="false" outlineLevel="0" collapsed="false">
      <c r="A119" s="9" t="s">
        <v>783</v>
      </c>
      <c r="B119" s="9" t="s">
        <v>802</v>
      </c>
      <c r="C119" s="31" t="s">
        <v>488</v>
      </c>
      <c r="D119" s="9" t="str">
        <f aca="false">INDEX(Articles!$C$2:$C$148,MATCH(C119,Articles!$A$2:$A$148,0))</f>
        <v>Le Malade imaginaire (Molière)</v>
      </c>
      <c r="E119" s="9" t="str">
        <f aca="false">INDEX(Articles!$B$2:$B$148,MATCH(C119,Articles!$A$2:$A$148,0))</f>
        <v>LPD</v>
      </c>
      <c r="F119" s="31" t="n">
        <v>1</v>
      </c>
      <c r="G119" s="13" t="n">
        <f aca="false">IF(INDEX(Articles!$G$2:$G$148,MATCH(C119,Articles!$A$2:$A$148,0))="","",INDEX(Articles!$G$2:$G$148,MATCH(C119,Articles!$A$2:$A$148,0)))</f>
        <v>2800</v>
      </c>
      <c r="H119" s="13" t="n">
        <f aca="false">IF(G119="",0,F119*G119)</f>
        <v>2800</v>
      </c>
      <c r="I119" s="13" t="n">
        <f aca="false">IF(INDEX(Articles!$E$2:$E$148,MATCH(C119,Articles!$A$2:$A$148,0))="","",INDEX(Articles!$E$2:$E$148,MATCH(C119,Articles!$A$2:$A$148,0)))</f>
        <v>1800</v>
      </c>
      <c r="J119" s="13" t="n">
        <f aca="false">IF(I119="","",F119*I119)</f>
        <v>1800</v>
      </c>
      <c r="K119" s="9" t="str">
        <f aca="false">INDEX(Articles!$H$2:$H$148,MATCH(C119,Articles!$A$2:$A$148,0))</f>
        <v>Fixé</v>
      </c>
      <c r="L119" s="9" t="str">
        <f aca="false">INDEX(Articles!$F$2:$F$148,MATCH(C119,Articles!$A$2:$A$148,0))</f>
        <v>Estimé</v>
      </c>
      <c r="M119" s="17"/>
      <c r="N119" s="9" t="s">
        <v>167</v>
      </c>
    </row>
    <row r="120" customFormat="false" ht="15" hidden="false" customHeight="false" outlineLevel="0" collapsed="false">
      <c r="A120" s="9" t="s">
        <v>703</v>
      </c>
      <c r="B120" s="9" t="s">
        <v>803</v>
      </c>
      <c r="C120" s="31" t="s">
        <v>597</v>
      </c>
      <c r="D120" s="9" t="str">
        <f aca="false">INDEX(Articles!$C$2:$C$148,MATCH(C120,Articles!$A$2:$A$148,0))</f>
        <v>Excellence Maths 5ème, EENAS</v>
      </c>
      <c r="E120" s="9" t="str">
        <f aca="false">INDEX(Articles!$B$2:$B$148,MATCH(C120,Articles!$A$2:$A$148,0))</f>
        <v>LPD</v>
      </c>
      <c r="F120" s="31" t="n">
        <v>1</v>
      </c>
      <c r="G120" s="13" t="n">
        <f aca="false">IF(INDEX(Articles!$G$2:$G$148,MATCH(C120,Articles!$A$2:$A$148,0))="","",INDEX(Articles!$G$2:$G$148,MATCH(C120,Articles!$A$2:$A$148,0)))</f>
        <v>4000</v>
      </c>
      <c r="H120" s="13" t="n">
        <f aca="false">IF(G120="",0,F120*G120)</f>
        <v>4000</v>
      </c>
      <c r="I120" s="13" t="n">
        <f aca="false">IF(INDEX(Articles!$E$2:$E$148,MATCH(C120,Articles!$A$2:$A$148,0))="","",INDEX(Articles!$E$2:$E$148,MATCH(C120,Articles!$A$2:$A$148,0)))</f>
        <v>3000</v>
      </c>
      <c r="J120" s="13" t="n">
        <f aca="false">IF(I120="","",F120*I120)</f>
        <v>3000</v>
      </c>
      <c r="K120" s="9" t="str">
        <f aca="false">INDEX(Articles!$H$2:$H$148,MATCH(C120,Articles!$A$2:$A$148,0))</f>
        <v>Fixé</v>
      </c>
      <c r="L120" s="9" t="str">
        <f aca="false">INDEX(Articles!$F$2:$F$148,MATCH(C120,Articles!$A$2:$A$148,0))</f>
        <v>Estimé</v>
      </c>
      <c r="M120" s="17"/>
      <c r="N120" s="9" t="s">
        <v>167</v>
      </c>
    </row>
    <row r="121" customFormat="false" ht="15" hidden="false" customHeight="false" outlineLevel="0" collapsed="false">
      <c r="A121" s="9" t="s">
        <v>703</v>
      </c>
      <c r="B121" s="9" t="s">
        <v>804</v>
      </c>
      <c r="C121" s="31" t="s">
        <v>599</v>
      </c>
      <c r="D121" s="9" t="str">
        <f aca="false">INDEX(Articles!$C$2:$C$148,MATCH(C121,Articles!$A$2:$A$148,0))</f>
        <v>Cahier d’activités maths 5éme</v>
      </c>
      <c r="E121" s="9" t="str">
        <f aca="false">INDEX(Articles!$B$2:$B$148,MATCH(C121,Articles!$A$2:$A$148,0))</f>
        <v>LPD</v>
      </c>
      <c r="F121" s="31" t="n">
        <v>1</v>
      </c>
      <c r="G121" s="13" t="n">
        <f aca="false">IF(INDEX(Articles!$G$2:$G$148,MATCH(C121,Articles!$A$2:$A$148,0))="","",INDEX(Articles!$G$2:$G$148,MATCH(C121,Articles!$A$2:$A$148,0)))</f>
        <v>3130</v>
      </c>
      <c r="H121" s="13" t="n">
        <f aca="false">IF(G121="",0,F121*G121)</f>
        <v>3130</v>
      </c>
      <c r="I121" s="13" t="n">
        <f aca="false">IF(INDEX(Articles!$E$2:$E$148,MATCH(C121,Articles!$A$2:$A$148,0))="","",INDEX(Articles!$E$2:$E$148,MATCH(C121,Articles!$A$2:$A$148,0)))</f>
        <v>2130</v>
      </c>
      <c r="J121" s="13" t="n">
        <f aca="false">IF(I121="","",F121*I121)</f>
        <v>2130</v>
      </c>
      <c r="K121" s="9" t="str">
        <f aca="false">INDEX(Articles!$H$2:$H$148,MATCH(C121,Articles!$A$2:$A$148,0))</f>
        <v>Fixé</v>
      </c>
      <c r="L121" s="9" t="str">
        <f aca="false">INDEX(Articles!$F$2:$F$148,MATCH(C121,Articles!$A$2:$A$148,0))</f>
        <v>Estimé</v>
      </c>
      <c r="M121" s="17"/>
      <c r="N121" s="9" t="s">
        <v>167</v>
      </c>
    </row>
    <row r="122" customFormat="false" ht="15" hidden="false" customHeight="false" outlineLevel="0" collapsed="false">
      <c r="A122" s="9" t="s">
        <v>703</v>
      </c>
      <c r="B122" s="9" t="s">
        <v>805</v>
      </c>
      <c r="C122" s="31" t="s">
        <v>601</v>
      </c>
      <c r="D122" s="9" t="str">
        <f aca="false">INDEX(Articles!$C$2:$C$148,MATCH(C122,Articles!$A$2:$A$148,0))</f>
        <v>Cahier d’activités SVT 5éme</v>
      </c>
      <c r="E122" s="9" t="str">
        <f aca="false">INDEX(Articles!$B$2:$B$148,MATCH(C122,Articles!$A$2:$A$148,0))</f>
        <v>LPD</v>
      </c>
      <c r="F122" s="31" t="n">
        <v>1</v>
      </c>
      <c r="G122" s="13" t="n">
        <f aca="false">IF(INDEX(Articles!$G$2:$G$148,MATCH(C122,Articles!$A$2:$A$148,0))="","",INDEX(Articles!$G$2:$G$148,MATCH(C122,Articles!$A$2:$A$148,0)))</f>
        <v>3430</v>
      </c>
      <c r="H122" s="13" t="n">
        <f aca="false">IF(G122="",0,F122*G122)</f>
        <v>3430</v>
      </c>
      <c r="I122" s="13" t="n">
        <f aca="false">IF(INDEX(Articles!$E$2:$E$148,MATCH(C122,Articles!$A$2:$A$148,0))="","",INDEX(Articles!$E$2:$E$148,MATCH(C122,Articles!$A$2:$A$148,0)))</f>
        <v>2430</v>
      </c>
      <c r="J122" s="13" t="n">
        <f aca="false">IF(I122="","",F122*I122)</f>
        <v>2430</v>
      </c>
      <c r="K122" s="9" t="str">
        <f aca="false">INDEX(Articles!$H$2:$H$148,MATCH(C122,Articles!$A$2:$A$148,0))</f>
        <v>Fixé</v>
      </c>
      <c r="L122" s="9" t="str">
        <f aca="false">INDEX(Articles!$F$2:$F$148,MATCH(C122,Articles!$A$2:$A$148,0))</f>
        <v>Estimé</v>
      </c>
      <c r="M122" s="17"/>
      <c r="N122" s="9" t="s">
        <v>167</v>
      </c>
    </row>
    <row r="123" customFormat="false" ht="15" hidden="false" customHeight="false" outlineLevel="0" collapsed="false">
      <c r="A123" s="9" t="s">
        <v>703</v>
      </c>
      <c r="B123" s="9" t="s">
        <v>788</v>
      </c>
      <c r="C123" s="31" t="s">
        <v>451</v>
      </c>
      <c r="D123" s="9" t="str">
        <f aca="false">INDEX(Articles!$C$2:$C$148,MATCH(C123,Articles!$A$2:$A$148,0))</f>
        <v>Dictionnaire Le Robert de français, 65 000 mots</v>
      </c>
      <c r="E123" s="9" t="str">
        <f aca="false">INDEX(Articles!$B$2:$B$148,MATCH(C123,Articles!$A$2:$A$148,0))</f>
        <v>Papex</v>
      </c>
      <c r="F123" s="31" t="n">
        <v>1</v>
      </c>
      <c r="G123" s="13" t="n">
        <f aca="false">IF(INDEX(Articles!$G$2:$G$148,MATCH(C123,Articles!$A$2:$A$148,0))="","",INDEX(Articles!$G$2:$G$148,MATCH(C123,Articles!$A$2:$A$148,0)))</f>
        <v>3500</v>
      </c>
      <c r="H123" s="13" t="n">
        <f aca="false">IF(G123="",0,F123*G123)</f>
        <v>3500</v>
      </c>
      <c r="I123" s="13" t="n">
        <f aca="false">IF(INDEX(Articles!$E$2:$E$148,MATCH(C123,Articles!$A$2:$A$148,0))="","",INDEX(Articles!$E$2:$E$148,MATCH(C123,Articles!$A$2:$A$148,0)))</f>
        <v>3000</v>
      </c>
      <c r="J123" s="13" t="n">
        <f aca="false">IF(I123="","",F123*I123)</f>
        <v>3000</v>
      </c>
      <c r="K123" s="9" t="str">
        <f aca="false">INDEX(Articles!$H$2:$H$148,MATCH(C123,Articles!$A$2:$A$148,0))</f>
        <v>Fixé</v>
      </c>
      <c r="L123" s="9" t="str">
        <f aca="false">INDEX(Articles!$F$2:$F$148,MATCH(C123,Articles!$A$2:$A$148,0))</f>
        <v>Confirmé</v>
      </c>
      <c r="M123" s="17"/>
      <c r="N123" s="9" t="s">
        <v>167</v>
      </c>
    </row>
    <row r="124" customFormat="false" ht="15" hidden="false" customHeight="false" outlineLevel="0" collapsed="false">
      <c r="D124" s="32" t="s">
        <v>683</v>
      </c>
      <c r="E124" s="32"/>
      <c r="F124" s="32"/>
      <c r="G124" s="32"/>
      <c r="H124" s="33" t="n">
        <f aca="false">COUNTIF(G86:G123,"")</f>
        <v>1</v>
      </c>
    </row>
    <row r="125" customFormat="false" ht="15" hidden="false" customHeight="false" outlineLevel="0" collapsed="false">
      <c r="D125" s="32" t="s">
        <v>684</v>
      </c>
      <c r="E125" s="32"/>
      <c r="F125" s="32"/>
      <c r="G125" s="32"/>
      <c r="H125" s="33" t="n">
        <f aca="false">SUM(H86:H123)</f>
        <v>68655</v>
      </c>
    </row>
    <row r="126" customFormat="false" ht="15" hidden="false" customHeight="false" outlineLevel="0" collapsed="false">
      <c r="D126" s="32" t="s">
        <v>28</v>
      </c>
      <c r="E126" s="32"/>
      <c r="F126" s="32"/>
      <c r="G126" s="32"/>
      <c r="H126" s="33" t="n">
        <f aca="false">SUM(J86:J123)</f>
        <v>51140</v>
      </c>
    </row>
    <row r="127" customFormat="false" ht="15" hidden="false" customHeight="false" outlineLevel="0" collapsed="false">
      <c r="D127" s="32" t="s">
        <v>685</v>
      </c>
      <c r="E127" s="32"/>
      <c r="F127" s="32"/>
      <c r="G127" s="32"/>
      <c r="H127" s="33" t="n">
        <f aca="false">COUNTIF(I86:I123,"")</f>
        <v>6</v>
      </c>
    </row>
    <row r="128" customFormat="false" ht="15" hidden="false" customHeight="false" outlineLevel="0" collapsed="false">
      <c r="D128" s="32" t="s">
        <v>686</v>
      </c>
      <c r="E128" s="32"/>
      <c r="F128" s="32"/>
      <c r="G128" s="32"/>
      <c r="H128" s="33" t="n">
        <f aca="false">SUMPRODUCT((I86:I123&lt;&gt;"")*H86:H123)-H126</f>
        <v>14940</v>
      </c>
    </row>
    <row r="129" customFormat="false" ht="15" hidden="false" customHeight="false" outlineLevel="0" collapsed="false">
      <c r="D129" s="32" t="s">
        <v>687</v>
      </c>
      <c r="E129" s="32"/>
      <c r="F129" s="32"/>
      <c r="G129" s="32"/>
      <c r="H129" s="33" t="n">
        <f aca="false">SUMIF(A86:A123,"Cahiers",F86:F123)</f>
        <v>11</v>
      </c>
    </row>
    <row r="130" customFormat="false" ht="15" hidden="false" customHeight="false" outlineLevel="0" collapsed="false">
      <c r="D130" s="32" t="s">
        <v>688</v>
      </c>
      <c r="E130" s="32"/>
      <c r="F130" s="32"/>
      <c r="G130" s="32"/>
      <c r="H130" s="34" t="n">
        <f aca="false">IF(H125=0,0,SUMIF(K86:K123,"&lt;&gt;Fixé",H86:H123)/H125)</f>
        <v>0.116524652246741</v>
      </c>
    </row>
    <row r="131" customFormat="false" ht="15" hidden="false" customHeight="false" outlineLevel="0" collapsed="false">
      <c r="D131" s="32" t="s">
        <v>689</v>
      </c>
      <c r="E131" s="32"/>
      <c r="F131" s="32"/>
      <c r="G131" s="32"/>
      <c r="H131" s="33" t="str">
        <f aca="false">IF(H124&gt;0,"Total incomplet : "&amp;H124&amp;" prix de vente à fournir",IF(H127&gt;0,"Coût incomplet : "&amp;H127&amp;" ligne(s) sans prix d'achat","Complet"))</f>
        <v>Total incomplet : 1 prix de vente à fournir</v>
      </c>
    </row>
    <row r="132" customFormat="false" ht="15" hidden="false" customHeight="false" outlineLevel="0" collapsed="false">
      <c r="D132" s="21" t="s">
        <v>696</v>
      </c>
      <c r="E132" s="21" t="str">
        <f aca="false">INDEX(Articles!$C$2:$C$148,MATCH("S020",Articles!$A$2:$A$148,0))</f>
        <v>Sac à dos bleu marine</v>
      </c>
      <c r="H132" s="41" t="n">
        <f aca="false">INDEX(Articles!$G$2:$G$148,MATCH("S020",Articles!$A$2:$A$148,0))</f>
        <v>7000</v>
      </c>
    </row>
    <row r="133" customFormat="false" ht="15" hidden="false" customHeight="false" outlineLevel="0" collapsed="false">
      <c r="D133" s="42" t="s">
        <v>697</v>
      </c>
      <c r="E133" s="43" t="s">
        <v>796</v>
      </c>
    </row>
    <row r="134" customFormat="false" ht="15" hidden="false" customHeight="false" outlineLevel="0" collapsed="false">
      <c r="E134" s="43" t="s">
        <v>797</v>
      </c>
    </row>
    <row r="135" customFormat="false" ht="15" hidden="false" customHeight="false" outlineLevel="0" collapsed="false">
      <c r="E135" s="43" t="s">
        <v>806</v>
      </c>
    </row>
  </sheetData>
  <mergeCells count="24">
    <mergeCell ref="D27:G27"/>
    <mergeCell ref="D28:G28"/>
    <mergeCell ref="D29:G29"/>
    <mergeCell ref="D30:G30"/>
    <mergeCell ref="D31:G31"/>
    <mergeCell ref="D32:G32"/>
    <mergeCell ref="D33:G33"/>
    <mergeCell ref="D34:G34"/>
    <mergeCell ref="D71:G71"/>
    <mergeCell ref="D72:G72"/>
    <mergeCell ref="D73:G73"/>
    <mergeCell ref="D74:G74"/>
    <mergeCell ref="D75:G75"/>
    <mergeCell ref="D76:G76"/>
    <mergeCell ref="D77:G77"/>
    <mergeCell ref="D78:G78"/>
    <mergeCell ref="D124:G124"/>
    <mergeCell ref="D125:G125"/>
    <mergeCell ref="D126:G126"/>
    <mergeCell ref="D127:G127"/>
    <mergeCell ref="D128:G128"/>
    <mergeCell ref="D129:G129"/>
    <mergeCell ref="D130:G130"/>
    <mergeCell ref="D131:G1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807</v>
      </c>
    </row>
    <row r="2" customFormat="false" ht="15" hidden="false" customHeight="false" outlineLevel="0" collapsed="false">
      <c r="A2" s="21" t="s">
        <v>735</v>
      </c>
    </row>
    <row r="4" customFormat="false" ht="15" hidden="false" customHeight="false" outlineLevel="0" collapsed="false">
      <c r="A4" s="28" t="s">
        <v>808</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737</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739</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740</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741</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742</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809</v>
      </c>
      <c r="C11" s="31" t="s">
        <v>195</v>
      </c>
      <c r="D11" s="9" t="str">
        <f aca="false">INDEX(Articles!$C$2:$C$148,MATCH(C11,Articles!$A$2:$A$148,0))</f>
        <v>Cahier Calligraphe 96 pages 17x22 56 g seyès</v>
      </c>
      <c r="E11" s="9" t="str">
        <f aca="false">INDEX(Articles!$B$2:$B$148,MATCH(C11,Articles!$A$2:$A$148,0))</f>
        <v>Papex</v>
      </c>
      <c r="F11" s="31" t="n">
        <v>2</v>
      </c>
      <c r="G11" s="13" t="n">
        <f aca="false">IF(INDEX(Articles!$G$2:$G$148,MATCH(C11,Articles!$A$2:$A$148,0))="","",INDEX(Articles!$G$2:$G$148,MATCH(C11,Articles!$A$2:$A$148,0)))</f>
        <v>450</v>
      </c>
      <c r="H11" s="13" t="n">
        <f aca="false">IF(G11="",0,F11*G11)</f>
        <v>900</v>
      </c>
      <c r="I11" s="13" t="n">
        <f aca="false">IF(INDEX(Articles!$E$2:$E$148,MATCH(C11,Articles!$A$2:$A$148,0))="","",INDEX(Articles!$E$2:$E$148,MATCH(C11,Articles!$A$2:$A$148,0)))</f>
        <v>350</v>
      </c>
      <c r="J11" s="13" t="n">
        <f aca="false">IF(I11="","",F11*I11)</f>
        <v>700</v>
      </c>
      <c r="K11" s="9" t="str">
        <f aca="false">INDEX(Articles!$H$2:$H$148,MATCH(C11,Articles!$A$2:$A$148,0))</f>
        <v>Fixé</v>
      </c>
      <c r="L11" s="9" t="str">
        <f aca="false">INDEX(Articles!$F$2:$F$148,MATCH(C11,Articles!$A$2:$A$148,0))</f>
        <v>Confirmé</v>
      </c>
      <c r="M11" s="17"/>
      <c r="N11" s="9" t="s">
        <v>167</v>
      </c>
    </row>
    <row r="12" customFormat="false" ht="15" hidden="false" customHeight="false" outlineLevel="0" collapsed="false">
      <c r="A12" s="9" t="s">
        <v>671</v>
      </c>
      <c r="B12" s="9" t="s">
        <v>744</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745</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810</v>
      </c>
      <c r="C14" s="31" t="s">
        <v>195</v>
      </c>
      <c r="D14" s="9" t="str">
        <f aca="false">INDEX(Articles!$C$2:$C$148,MATCH(C14,Articles!$A$2:$A$148,0))</f>
        <v>Cahier Calligraphe 96 pages 17x22 56 g seyès</v>
      </c>
      <c r="E14" s="9" t="str">
        <f aca="false">INDEX(Articles!$B$2:$B$148,MATCH(C14,Articles!$A$2:$A$148,0))</f>
        <v>Papex</v>
      </c>
      <c r="F14" s="31" t="n">
        <v>2</v>
      </c>
      <c r="G14" s="13" t="n">
        <f aca="false">IF(INDEX(Articles!$G$2:$G$148,MATCH(C14,Articles!$A$2:$A$148,0))="","",INDEX(Articles!$G$2:$G$148,MATCH(C14,Articles!$A$2:$A$148,0)))</f>
        <v>450</v>
      </c>
      <c r="H14" s="13" t="n">
        <f aca="false">IF(G14="",0,F14*G14)</f>
        <v>900</v>
      </c>
      <c r="I14" s="13" t="n">
        <f aca="false">IF(INDEX(Articles!$E$2:$E$148,MATCH(C14,Articles!$A$2:$A$148,0))="","",INDEX(Articles!$E$2:$E$148,MATCH(C14,Articles!$A$2:$A$148,0)))</f>
        <v>350</v>
      </c>
      <c r="J14" s="13" t="n">
        <f aca="false">IF(I14="","",F14*I14)</f>
        <v>700</v>
      </c>
      <c r="K14" s="9" t="str">
        <f aca="false">INDEX(Articles!$H$2:$H$148,MATCH(C14,Articles!$A$2:$A$148,0))</f>
        <v>Fixé</v>
      </c>
      <c r="L14" s="9" t="str">
        <f aca="false">INDEX(Articles!$F$2:$F$148,MATCH(C14,Articles!$A$2:$A$148,0))</f>
        <v>Confirmé</v>
      </c>
      <c r="M14" s="17"/>
      <c r="N14" s="9" t="s">
        <v>167</v>
      </c>
    </row>
    <row r="15" customFormat="false" ht="15" hidden="false" customHeight="false" outlineLevel="0" collapsed="false">
      <c r="A15" s="9" t="s">
        <v>671</v>
      </c>
      <c r="B15" s="9" t="s">
        <v>811</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747</v>
      </c>
      <c r="C16" s="31" t="s">
        <v>195</v>
      </c>
      <c r="D16" s="9" t="str">
        <f aca="false">INDEX(Articles!$C$2:$C$148,MATCH(C16,Articles!$A$2:$A$148,0))</f>
        <v>Cahier Calligraphe 96 pages 17x22 56 g seyès</v>
      </c>
      <c r="E16" s="9" t="str">
        <f aca="false">INDEX(Articles!$B$2:$B$148,MATCH(C16,Articles!$A$2:$A$148,0))</f>
        <v>Papex</v>
      </c>
      <c r="F16" s="31" t="n">
        <v>1</v>
      </c>
      <c r="G16" s="13" t="n">
        <f aca="false">IF(INDEX(Articles!$G$2:$G$148,MATCH(C16,Articles!$A$2:$A$148,0))="","",INDEX(Articles!$G$2:$G$148,MATCH(C16,Articles!$A$2:$A$148,0)))</f>
        <v>450</v>
      </c>
      <c r="H16" s="13" t="n">
        <f aca="false">IF(G16="",0,F16*G16)</f>
        <v>450</v>
      </c>
      <c r="I16" s="13" t="n">
        <f aca="false">IF(INDEX(Articles!$E$2:$E$148,MATCH(C16,Articles!$A$2:$A$148,0))="","",INDEX(Articles!$E$2:$E$148,MATCH(C16,Articles!$A$2:$A$148,0)))</f>
        <v>350</v>
      </c>
      <c r="J16" s="13" t="n">
        <f aca="false">IF(I16="","",F16*I16)</f>
        <v>350</v>
      </c>
      <c r="K16" s="9" t="str">
        <f aca="false">INDEX(Articles!$H$2:$H$148,MATCH(C16,Articles!$A$2:$A$148,0))</f>
        <v>Fixé</v>
      </c>
      <c r="L16" s="9" t="str">
        <f aca="false">INDEX(Articles!$F$2:$F$148,MATCH(C16,Articles!$A$2:$A$148,0))</f>
        <v>Confirmé</v>
      </c>
      <c r="M16" s="17"/>
      <c r="N16" s="9" t="s">
        <v>167</v>
      </c>
    </row>
    <row r="17" customFormat="false" ht="15" hidden="false" customHeight="false" outlineLevel="0" collapsed="false">
      <c r="A17" s="9" t="s">
        <v>681</v>
      </c>
      <c r="B17" s="9" t="s">
        <v>748</v>
      </c>
      <c r="C17" s="31" t="s">
        <v>252</v>
      </c>
      <c r="D17" s="9" t="str">
        <f aca="false">INDEX(Articles!$C$2:$C$148,MATCH(C17,Articles!$A$2:$A$148,0))</f>
        <v>Cahier de dessin L'écolier 32 pages</v>
      </c>
      <c r="E17" s="9" t="str">
        <f aca="false">INDEX(Articles!$B$2:$B$148,MATCH(C17,Articles!$A$2:$A$148,0))</f>
        <v>Papex</v>
      </c>
      <c r="F17" s="31" t="n">
        <v>1</v>
      </c>
      <c r="G17" s="13" t="n">
        <f aca="false">IF(INDEX(Articles!$G$2:$G$148,MATCH(C17,Articles!$A$2:$A$148,0))="","",INDEX(Articles!$G$2:$G$148,MATCH(C17,Articles!$A$2:$A$148,0)))</f>
        <v>250</v>
      </c>
      <c r="H17" s="13" t="n">
        <f aca="false">IF(G17="",0,F17*G17)</f>
        <v>250</v>
      </c>
      <c r="I17" s="13" t="n">
        <f aca="false">IF(INDEX(Articles!$E$2:$E$148,MATCH(C17,Articles!$A$2:$A$148,0))="","",INDEX(Articles!$E$2:$E$148,MATCH(C17,Articles!$A$2:$A$148,0)))</f>
        <v>150</v>
      </c>
      <c r="J17" s="13" t="n">
        <f aca="false">IF(I17="","",F17*I17)</f>
        <v>150</v>
      </c>
      <c r="K17" s="9" t="str">
        <f aca="false">INDEX(Articles!$H$2:$H$148,MATCH(C17,Articles!$A$2:$A$148,0))</f>
        <v>Fixé</v>
      </c>
      <c r="L17" s="9" t="str">
        <f aca="false">INDEX(Articles!$F$2:$F$148,MATCH(C17,Articles!$A$2:$A$148,0))</f>
        <v>Confirmé</v>
      </c>
      <c r="M17" s="17"/>
      <c r="N17" s="9" t="s">
        <v>167</v>
      </c>
    </row>
    <row r="18" customFormat="false" ht="15" hidden="false" customHeight="false" outlineLevel="0" collapsed="false">
      <c r="A18" s="9" t="s">
        <v>678</v>
      </c>
      <c r="B18" s="9" t="s">
        <v>749</v>
      </c>
      <c r="C18" s="31" t="s">
        <v>222</v>
      </c>
      <c r="D18" s="9" t="str">
        <f aca="false">INDEX(Articles!$C$2:$C$148,MATCH(C18,Articles!$A$2:$A$148,0))</f>
        <v>Pack de 4 stylos Schneider Tops 505 M (bleu, noir, rouge, vert)</v>
      </c>
      <c r="E18" s="9" t="str">
        <f aca="false">INDEX(Articles!$B$2:$B$148,MATCH(C18,Articles!$A$2:$A$148,0))</f>
        <v>Papex</v>
      </c>
      <c r="F18" s="31" t="n">
        <v>1</v>
      </c>
      <c r="G18" s="13" t="n">
        <f aca="false">IF(INDEX(Articles!$G$2:$G$148,MATCH(C18,Articles!$A$2:$A$148,0))="","",INDEX(Articles!$G$2:$G$148,MATCH(C18,Articles!$A$2:$A$148,0)))</f>
        <v>400</v>
      </c>
      <c r="H18" s="13" t="n">
        <f aca="false">IF(G18="",0,F18*G18)</f>
        <v>400</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t="s">
        <v>432</v>
      </c>
      <c r="N18" s="9" t="s">
        <v>167</v>
      </c>
    </row>
    <row r="19" customFormat="false" ht="15" hidden="false" customHeight="false" outlineLevel="0" collapsed="false">
      <c r="A19" s="9" t="s">
        <v>678</v>
      </c>
      <c r="B19" s="9" t="s">
        <v>750</v>
      </c>
      <c r="C19" s="31" t="s">
        <v>235</v>
      </c>
      <c r="D19" s="9" t="str">
        <f aca="false">INDEX(Articles!$C$2:$C$148,MATCH(C19,Articles!$A$2:$A$148,0))</f>
        <v>Crayon papier (vendu à l'unité)</v>
      </c>
      <c r="E19" s="9" t="str">
        <f aca="false">INDEX(Articles!$B$2:$B$148,MATCH(C19,Articles!$A$2:$A$148,0))</f>
        <v>LPD</v>
      </c>
      <c r="F19" s="31" t="n">
        <v>1</v>
      </c>
      <c r="G19" s="13" t="n">
        <f aca="false">IF(INDEX(Articles!$G$2:$G$148,MATCH(C19,Articles!$A$2:$A$148,0))="","",INDEX(Articles!$G$2:$G$148,MATCH(C19,Articles!$A$2:$A$148,0)))</f>
        <v>75</v>
      </c>
      <c r="H19" s="13" t="n">
        <f aca="false">IF(G19="",0,F19*G19)</f>
        <v>75</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c r="N19" s="9" t="s">
        <v>167</v>
      </c>
    </row>
    <row r="20" customFormat="false" ht="15" hidden="false" customHeight="false" outlineLevel="0" collapsed="false">
      <c r="A20" s="9" t="s">
        <v>675</v>
      </c>
      <c r="B20" s="9" t="s">
        <v>717</v>
      </c>
      <c r="C20" s="31" t="s">
        <v>180</v>
      </c>
      <c r="D20" s="9" t="str">
        <f aca="false">INDEX(Articles!$C$2:$C$148,MATCH(C20,Articles!$A$2:$A$148,0))</f>
        <v>Gomme Staedtler Mars Plastic</v>
      </c>
      <c r="E20" s="9" t="str">
        <f aca="false">INDEX(Articles!$B$2:$B$148,MATCH(C20,Articles!$A$2:$A$148,0))</f>
        <v>LPD</v>
      </c>
      <c r="F20" s="31" t="n">
        <v>1</v>
      </c>
      <c r="G20" s="13" t="n">
        <f aca="false">IF(INDEX(Articles!$G$2:$G$148,MATCH(C20,Articles!$A$2:$A$148,0))="","",INDEX(Articles!$G$2:$G$148,MATCH(C20,Articles!$A$2:$A$148,0)))</f>
        <v>250</v>
      </c>
      <c r="H20" s="13" t="n">
        <f aca="false">IF(G20="",0,F20*G20)</f>
        <v>250</v>
      </c>
      <c r="I20" s="13" t="n">
        <f aca="false">IF(INDEX(Articles!$E$2:$E$148,MATCH(C20,Articles!$A$2:$A$148,0))="","",INDEX(Articles!$E$2:$E$148,MATCH(C20,Articles!$A$2:$A$148,0)))</f>
        <v>110</v>
      </c>
      <c r="J20" s="13" t="n">
        <f aca="false">IF(I20="","",F20*I20)</f>
        <v>110</v>
      </c>
      <c r="K20" s="9" t="str">
        <f aca="false">INDEX(Articles!$H$2:$H$148,MATCH(C20,Articles!$A$2:$A$148,0))</f>
        <v>Fixé</v>
      </c>
      <c r="L20" s="9" t="str">
        <f aca="false">INDEX(Articles!$F$2:$F$148,MATCH(C20,Articles!$A$2:$A$148,0))</f>
        <v>Estimé</v>
      </c>
      <c r="M20" s="17"/>
      <c r="N20" s="9" t="s">
        <v>167</v>
      </c>
    </row>
    <row r="21" customFormat="false" ht="15" hidden="false" customHeight="false" outlineLevel="0" collapsed="false">
      <c r="A21" s="9" t="s">
        <v>675</v>
      </c>
      <c r="B21" s="9" t="s">
        <v>751</v>
      </c>
      <c r="C21" s="31" t="s">
        <v>183</v>
      </c>
      <c r="D21" s="9" t="str">
        <f aca="false">INDEX(Articles!$C$2:$C$148,MATCH(C21,Articles!$A$2:$A$148,0))</f>
        <v>Taille-crayon avec réservoir Maped</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t="s">
        <v>752</v>
      </c>
      <c r="N21" s="9" t="s">
        <v>167</v>
      </c>
    </row>
    <row r="22" customFormat="false" ht="15" hidden="false" customHeight="false" outlineLevel="0" collapsed="false">
      <c r="A22" s="9" t="s">
        <v>675</v>
      </c>
      <c r="B22" s="9" t="s">
        <v>753</v>
      </c>
      <c r="C22" s="31" t="s">
        <v>250</v>
      </c>
      <c r="D22" s="9" t="str">
        <f aca="false">INDEX(Articles!$C$2:$C$148,MATCH(C22,Articles!$A$2:$A$148,0))</f>
        <v>Bâton de colle Giotto 10 g</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c r="N22" s="9" t="s">
        <v>167</v>
      </c>
    </row>
    <row r="23" customFormat="false" ht="15" hidden="false" customHeight="false" outlineLevel="0" collapsed="false">
      <c r="A23" s="9" t="s">
        <v>675</v>
      </c>
      <c r="B23" s="9" t="s">
        <v>754</v>
      </c>
      <c r="C23" s="31" t="s">
        <v>233</v>
      </c>
      <c r="D23" s="9" t="str">
        <f aca="false">INDEX(Articles!$C$2:$C$148,MATCH(C23,Articles!$A$2:$A$148,0))</f>
        <v>Ciseaux scolaires bouts ronds</v>
      </c>
      <c r="E23" s="9" t="str">
        <f aca="false">INDEX(Articles!$B$2:$B$148,MATCH(C23,Articles!$A$2:$A$148,0))</f>
        <v>LPD</v>
      </c>
      <c r="F23" s="31" t="n">
        <v>1</v>
      </c>
      <c r="G23" s="13" t="n">
        <f aca="false">IF(INDEX(Articles!$G$2:$G$148,MATCH(C23,Articles!$A$2:$A$148,0))="","",INDEX(Articles!$G$2:$G$148,MATCH(C23,Articles!$A$2:$A$148,0)))</f>
        <v>250</v>
      </c>
      <c r="H23" s="13" t="n">
        <f aca="false">IF(G23="",0,F23*G23)</f>
        <v>250</v>
      </c>
      <c r="I23" s="13" t="n">
        <f aca="false">IF(INDEX(Articles!$E$2:$E$148,MATCH(C23,Articles!$A$2:$A$148,0))="","",INDEX(Articles!$E$2:$E$148,MATCH(C23,Articles!$A$2:$A$148,0)))</f>
        <v>100</v>
      </c>
      <c r="J23" s="13" t="n">
        <f aca="false">IF(I23="","",F23*I23)</f>
        <v>100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676</v>
      </c>
      <c r="B24" s="9" t="s">
        <v>755</v>
      </c>
      <c r="C24" s="31" t="s">
        <v>239</v>
      </c>
      <c r="D24" s="9" t="str">
        <f aca="false">INDEX(Articles!$C$2:$C$148,MATCH(C24,Articles!$A$2:$A$148,0))</f>
        <v>Kit de traçage 30 cm, 4 pièces L'écolier</v>
      </c>
      <c r="E24" s="9" t="str">
        <f aca="false">INDEX(Articles!$B$2:$B$148,MATCH(C24,Articles!$A$2:$A$148,0))</f>
        <v>Papex</v>
      </c>
      <c r="F24" s="31" t="n">
        <v>1</v>
      </c>
      <c r="G24" s="13" t="n">
        <f aca="false">IF(INDEX(Articles!$G$2:$G$148,MATCH(C24,Articles!$A$2:$A$148,0))="","",INDEX(Articles!$G$2:$G$148,MATCH(C24,Articles!$A$2:$A$148,0)))</f>
        <v>900</v>
      </c>
      <c r="H24" s="13" t="n">
        <f aca="false">IF(G24="",0,F24*G24)</f>
        <v>900</v>
      </c>
      <c r="I24" s="13" t="n">
        <f aca="false">IF(INDEX(Articles!$E$2:$E$148,MATCH(C24,Articles!$A$2:$A$148,0))="","",INDEX(Articles!$E$2:$E$148,MATCH(C24,Articles!$A$2:$A$148,0)))</f>
        <v>650</v>
      </c>
      <c r="J24" s="13" t="n">
        <f aca="false">IF(I24="","",F24*I24)</f>
        <v>650</v>
      </c>
      <c r="K24" s="9" t="str">
        <f aca="false">INDEX(Articles!$H$2:$H$148,MATCH(C24,Articles!$A$2:$A$148,0))</f>
        <v>Estimé</v>
      </c>
      <c r="L24" s="9" t="str">
        <f aca="false">INDEX(Articles!$F$2:$F$148,MATCH(C24,Articles!$A$2:$A$148,0))</f>
        <v>Confirmé</v>
      </c>
      <c r="M24" s="17"/>
      <c r="N24" s="9" t="s">
        <v>167</v>
      </c>
    </row>
    <row r="25" customFormat="false" ht="15" hidden="false" customHeight="false" outlineLevel="0" collapsed="false">
      <c r="A25" s="9" t="s">
        <v>676</v>
      </c>
      <c r="B25" s="9" t="s">
        <v>756</v>
      </c>
      <c r="C25" s="31" t="s">
        <v>217</v>
      </c>
      <c r="D25" s="9" t="str">
        <f aca="false">INDEX(Articles!$C$2:$C$148,MATCH(C25,Articles!$A$2:$A$148,0))</f>
        <v>Compas de précision avec étui</v>
      </c>
      <c r="E25" s="9" t="str">
        <f aca="false">INDEX(Articles!$B$2:$B$148,MATCH(C25,Articles!$A$2:$A$148,0))</f>
        <v>LPD</v>
      </c>
      <c r="F25" s="31" t="n">
        <v>1</v>
      </c>
      <c r="G25" s="13" t="n">
        <f aca="false">IF(INDEX(Articles!$G$2:$G$148,MATCH(C25,Articles!$A$2:$A$148,0))="","",INDEX(Articles!$G$2:$G$148,MATCH(C25,Articles!$A$2:$A$148,0)))</f>
        <v>600</v>
      </c>
      <c r="H25" s="13" t="n">
        <f aca="false">IF(G25="",0,F25*G25)</f>
        <v>600</v>
      </c>
      <c r="I25" s="13" t="n">
        <f aca="false">IF(INDEX(Articles!$E$2:$E$148,MATCH(C25,Articles!$A$2:$A$148,0))="","",INDEX(Articles!$E$2:$E$148,MATCH(C25,Articles!$A$2:$A$148,0)))</f>
        <v>450</v>
      </c>
      <c r="J25" s="13" t="n">
        <f aca="false">IF(I25="","",F25*I25)</f>
        <v>450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681</v>
      </c>
      <c r="B26" s="9" t="s">
        <v>757</v>
      </c>
      <c r="C26" s="31" t="s">
        <v>198</v>
      </c>
      <c r="D26" s="9" t="str">
        <f aca="false">INDEX(Articles!$C$2:$C$148,MATCH(C26,Articles!$A$2:$A$148,0))</f>
        <v>Crayons de couleur Maped, boîte de 12</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Estimé</v>
      </c>
      <c r="M26" s="17"/>
      <c r="N26" s="9" t="s">
        <v>167</v>
      </c>
    </row>
    <row r="27" customFormat="false" ht="15" hidden="false" customHeight="false" outlineLevel="0" collapsed="false">
      <c r="A27" s="9" t="s">
        <v>676</v>
      </c>
      <c r="B27" s="9" t="s">
        <v>812</v>
      </c>
      <c r="C27" s="31" t="s">
        <v>242</v>
      </c>
      <c r="D27" s="9" t="str">
        <f aca="false">INDEX(Articles!$C$2:$C$148,MATCH(C27,Articles!$A$2:$A$148,0))</f>
        <v>Calculatrice scientifique Parpn YH-2000</v>
      </c>
      <c r="E27" s="9" t="str">
        <f aca="false">INDEX(Articles!$B$2:$B$148,MATCH(C27,Articles!$A$2:$A$148,0))</f>
        <v>LPD</v>
      </c>
      <c r="F27" s="31" t="n">
        <v>1</v>
      </c>
      <c r="G27" s="13" t="n">
        <f aca="false">IF(INDEX(Articles!$G$2:$G$148,MATCH(C27,Articles!$A$2:$A$148,0))="","",INDEX(Articles!$G$2:$G$148,MATCH(C27,Articles!$A$2:$A$148,0)))</f>
        <v>1400</v>
      </c>
      <c r="H27" s="13" t="n">
        <f aca="false">IF(G27="",0,F27*G27)</f>
        <v>1400</v>
      </c>
      <c r="I27" s="13" t="n">
        <f aca="false">IF(INDEX(Articles!$E$2:$E$148,MATCH(C27,Articles!$A$2:$A$148,0))="","",INDEX(Articles!$E$2:$E$148,MATCH(C27,Articles!$A$2:$A$148,0)))</f>
        <v>1100</v>
      </c>
      <c r="J27" s="13" t="n">
        <f aca="false">IF(I27="","",F27*I27)</f>
        <v>1100</v>
      </c>
      <c r="K27" s="9" t="str">
        <f aca="false">INDEX(Articles!$H$2:$H$148,MATCH(C27,Articles!$A$2:$A$148,0))</f>
        <v>Fixé</v>
      </c>
      <c r="L27" s="9" t="str">
        <f aca="false">INDEX(Articles!$F$2:$F$148,MATCH(C27,Articles!$A$2:$A$148,0))</f>
        <v>Confirmé</v>
      </c>
      <c r="M27" s="17" t="s">
        <v>813</v>
      </c>
      <c r="N27" s="9" t="s">
        <v>167</v>
      </c>
    </row>
    <row r="28" customFormat="false" ht="15" hidden="false" customHeight="false" outlineLevel="0" collapsed="false">
      <c r="A28" s="9" t="s">
        <v>758</v>
      </c>
      <c r="B28" s="9" t="s">
        <v>759</v>
      </c>
      <c r="C28" s="31" t="s">
        <v>376</v>
      </c>
      <c r="D28" s="9" t="str">
        <f aca="false">INDEX(Articles!$C$2:$C$148,MATCH(C28,Articles!$A$2:$A$148,0))</f>
        <v>Paquet de copies doubles grand format</v>
      </c>
      <c r="E28" s="9" t="str">
        <f aca="false">INDEX(Articles!$B$2:$B$148,MATCH(C28,Articles!$A$2:$A$148,0))</f>
        <v>À préciser</v>
      </c>
      <c r="F28" s="31" t="n">
        <v>1</v>
      </c>
      <c r="G28" s="45" t="n">
        <f aca="false">IF(INDEX(Articles!$G$2:$G$148,MATCH(C28,Articles!$A$2:$A$148,0))="","",INDEX(Articles!$G$2:$G$148,MATCH(C28,Articles!$A$2:$A$148,0)))</f>
        <v>1800</v>
      </c>
      <c r="H28" s="13" t="n">
        <f aca="false">IF(G28="",0,F28*G28)</f>
        <v>1800</v>
      </c>
      <c r="I28" s="13" t="n">
        <f aca="false">IF(INDEX(Articles!$E$2:$E$148,MATCH(C28,Articles!$A$2:$A$148,0))="","",INDEX(Articles!$E$2:$E$148,MATCH(C28,Articles!$A$2:$A$148,0)))</f>
        <v>1300</v>
      </c>
      <c r="J28" s="13" t="n">
        <f aca="false">IF(I28="","",F28*I28)</f>
        <v>1300</v>
      </c>
      <c r="K28" s="9" t="str">
        <f aca="false">INDEX(Articles!$H$2:$H$148,MATCH(C28,Articles!$A$2:$A$148,0))</f>
        <v>Fixé</v>
      </c>
      <c r="L28" s="9" t="str">
        <f aca="false">INDEX(Articles!$F$2:$F$148,MATCH(C28,Articles!$A$2:$A$148,0))</f>
        <v>Confirmé</v>
      </c>
      <c r="M28" s="17"/>
      <c r="N28" s="9" t="s">
        <v>167</v>
      </c>
    </row>
    <row r="29" customFormat="false" ht="15" hidden="false" customHeight="false" outlineLevel="0" collapsed="false">
      <c r="D29" s="32" t="s">
        <v>683</v>
      </c>
      <c r="E29" s="32"/>
      <c r="F29" s="32"/>
      <c r="G29" s="32"/>
      <c r="H29" s="33" t="n">
        <f aca="false">COUNTIF(G6:G28,"")</f>
        <v>0</v>
      </c>
    </row>
    <row r="30" customFormat="false" ht="15" hidden="false" customHeight="false" outlineLevel="0" collapsed="false">
      <c r="D30" s="32" t="s">
        <v>684</v>
      </c>
      <c r="E30" s="32"/>
      <c r="F30" s="32"/>
      <c r="G30" s="32"/>
      <c r="H30" s="33" t="n">
        <f aca="false">SUM(H6:H28)</f>
        <v>14025</v>
      </c>
    </row>
    <row r="31" customFormat="false" ht="15" hidden="false" customHeight="false" outlineLevel="0" collapsed="false">
      <c r="D31" s="32" t="s">
        <v>28</v>
      </c>
      <c r="E31" s="32"/>
      <c r="F31" s="32"/>
      <c r="G31" s="32"/>
      <c r="H31" s="33" t="n">
        <f aca="false">SUM(J6:J28)</f>
        <v>10110</v>
      </c>
    </row>
    <row r="32" customFormat="false" ht="15" hidden="false" customHeight="false" outlineLevel="0" collapsed="false">
      <c r="D32" s="32" t="s">
        <v>685</v>
      </c>
      <c r="E32" s="32"/>
      <c r="F32" s="32"/>
      <c r="G32" s="32"/>
      <c r="H32" s="33" t="n">
        <f aca="false">COUNTIF(I6:I28,"")</f>
        <v>2</v>
      </c>
    </row>
    <row r="33" customFormat="false" ht="15" hidden="false" customHeight="false" outlineLevel="0" collapsed="false">
      <c r="D33" s="32" t="s">
        <v>686</v>
      </c>
      <c r="E33" s="32"/>
      <c r="F33" s="32"/>
      <c r="G33" s="32"/>
      <c r="H33" s="33" t="n">
        <f aca="false">SUMPRODUCT((I6:I28&lt;&gt;"")*H6:H28)-H31</f>
        <v>3440</v>
      </c>
    </row>
    <row r="34" customFormat="false" ht="15" hidden="false" customHeight="false" outlineLevel="0" collapsed="false">
      <c r="D34" s="32" t="s">
        <v>687</v>
      </c>
      <c r="E34" s="32"/>
      <c r="F34" s="32"/>
      <c r="G34" s="32"/>
      <c r="H34" s="33" t="n">
        <f aca="false">SUMIF(A6:A28,"Cahiers",F6:F28)</f>
        <v>13</v>
      </c>
    </row>
    <row r="35" customFormat="false" ht="15" hidden="false" customHeight="false" outlineLevel="0" collapsed="false">
      <c r="D35" s="32" t="s">
        <v>688</v>
      </c>
      <c r="E35" s="32"/>
      <c r="F35" s="32"/>
      <c r="G35" s="32"/>
      <c r="H35" s="34" t="n">
        <f aca="false">IF(H30=0,0,SUMIF(K6:K28,"&lt;&gt;Fixé",H6:H28)/H30)</f>
        <v>0.449197860962567</v>
      </c>
    </row>
    <row r="36" customFormat="false" ht="15" hidden="false" customHeight="false" outlineLevel="0" collapsed="false">
      <c r="D36" s="32" t="s">
        <v>689</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690</v>
      </c>
    </row>
    <row r="39" customFormat="false" ht="15" hidden="false" customHeight="false" outlineLevel="0" collapsed="false">
      <c r="A39" s="36" t="s">
        <v>760</v>
      </c>
      <c r="B39" s="36" t="s">
        <v>814</v>
      </c>
      <c r="C39" s="31" t="s">
        <v>168</v>
      </c>
      <c r="D39" s="36" t="str">
        <f aca="false">INDEX(Articles!$C$2:$C$148,MATCH(C39,Articles!$A$2:$A$148,0))</f>
        <v>Sous l'orage (Seydou Badian)</v>
      </c>
      <c r="E39" s="37"/>
      <c r="F39" s="37"/>
      <c r="G39" s="38" t="n">
        <f aca="false">INDEX(Articles!$G$2:$G$148,MATCH(C39,Articles!$A$2:$A$148,0))</f>
        <v>3500</v>
      </c>
      <c r="H39" s="37"/>
      <c r="I39" s="37"/>
      <c r="J39" s="37"/>
      <c r="K39" s="37"/>
      <c r="L39" s="37"/>
      <c r="M39" s="37"/>
      <c r="N39" s="39" t="s">
        <v>271</v>
      </c>
    </row>
    <row r="40" customFormat="false" ht="15" hidden="false" customHeight="false" outlineLevel="0" collapsed="false">
      <c r="D40" s="40" t="s">
        <v>695</v>
      </c>
      <c r="H40" s="33" t="n">
        <f aca="false">H30+SUM(G39:G39)</f>
        <v>17525</v>
      </c>
    </row>
    <row r="41" customFormat="false" ht="15" hidden="false" customHeight="false" outlineLevel="0" collapsed="false">
      <c r="D41" s="21" t="s">
        <v>696</v>
      </c>
      <c r="E41" s="21" t="str">
        <f aca="false">INDEX(Articles!$C$2:$C$148,MATCH("S020",Articles!$A$2:$A$148,0))</f>
        <v>Sac à dos bleu marine</v>
      </c>
      <c r="H41" s="41" t="n">
        <f aca="false">INDEX(Articles!$G$2:$G$148,MATCH("S020",Articles!$A$2:$A$148,0))</f>
        <v>7000</v>
      </c>
    </row>
    <row r="42" customFormat="false" ht="15" hidden="false" customHeight="false" outlineLevel="0" collapsed="false">
      <c r="D42" s="42" t="s">
        <v>697</v>
      </c>
      <c r="E42" s="44" t="s">
        <v>711</v>
      </c>
    </row>
    <row r="45" customFormat="false" ht="15" hidden="false" customHeight="false" outlineLevel="0" collapsed="false">
      <c r="A45" s="28" t="s">
        <v>815</v>
      </c>
      <c r="B45" s="29"/>
      <c r="C45" s="29"/>
      <c r="D45" s="29"/>
      <c r="E45" s="29"/>
      <c r="F45" s="29"/>
      <c r="G45" s="29"/>
      <c r="H45" s="29"/>
      <c r="I45" s="29"/>
      <c r="J45" s="29"/>
      <c r="K45" s="29"/>
      <c r="L45" s="29"/>
      <c r="M45" s="29"/>
      <c r="N45" s="29"/>
    </row>
    <row r="46" customFormat="false" ht="39.55" hidden="false" customHeight="false" outlineLevel="0" collapsed="false">
      <c r="A46" s="30" t="s">
        <v>663</v>
      </c>
      <c r="B46" s="30" t="s">
        <v>664</v>
      </c>
      <c r="C46" s="30" t="s">
        <v>348</v>
      </c>
      <c r="D46" s="30" t="s">
        <v>350</v>
      </c>
      <c r="E46" s="30" t="s">
        <v>349</v>
      </c>
      <c r="F46" s="30" t="s">
        <v>665</v>
      </c>
      <c r="G46" s="30" t="s">
        <v>666</v>
      </c>
      <c r="H46" s="30" t="s">
        <v>667</v>
      </c>
      <c r="I46" s="30" t="s">
        <v>668</v>
      </c>
      <c r="J46" s="30" t="s">
        <v>669</v>
      </c>
      <c r="K46" s="30" t="s">
        <v>355</v>
      </c>
      <c r="L46" s="30" t="s">
        <v>353</v>
      </c>
      <c r="M46" s="30" t="s">
        <v>356</v>
      </c>
      <c r="N46" s="30" t="s">
        <v>670</v>
      </c>
    </row>
    <row r="47" customFormat="false" ht="15" hidden="false" customHeight="false" outlineLevel="0" collapsed="false">
      <c r="A47" s="9" t="s">
        <v>671</v>
      </c>
      <c r="B47" s="9" t="s">
        <v>737</v>
      </c>
      <c r="C47" s="31" t="s">
        <v>213</v>
      </c>
      <c r="D47" s="9" t="str">
        <f aca="false">INDEX(Articles!$C$2:$C$148,MATCH(C47,Articles!$A$2:$A$148,0))</f>
        <v>Cahier Calligraphe 192 pages 24x32 (grand format)</v>
      </c>
      <c r="E47" s="9" t="str">
        <f aca="false">INDEX(Articles!$B$2:$B$148,MATCH(C47,Articles!$A$2:$A$148,0))</f>
        <v>Papex</v>
      </c>
      <c r="F47" s="31" t="n">
        <v>1</v>
      </c>
      <c r="G47" s="13" t="n">
        <f aca="false">IF(INDEX(Articles!$G$2:$G$148,MATCH(C47,Articles!$A$2:$A$148,0))="","",INDEX(Articles!$G$2:$G$148,MATCH(C47,Articles!$A$2:$A$148,0)))</f>
        <v>1650</v>
      </c>
      <c r="H47" s="13" t="n">
        <f aca="false">IF(G47="",0,F47*G47)</f>
        <v>1650</v>
      </c>
      <c r="I47" s="13" t="n">
        <f aca="false">IF(INDEX(Articles!$E$2:$E$148,MATCH(C47,Articles!$A$2:$A$148,0))="","",INDEX(Articles!$E$2:$E$148,MATCH(C47,Articles!$A$2:$A$148,0)))</f>
        <v>1500</v>
      </c>
      <c r="J47" s="13" t="n">
        <f aca="false">IF(I47="","",F47*I47)</f>
        <v>1500</v>
      </c>
      <c r="K47" s="9" t="str">
        <f aca="false">INDEX(Articles!$H$2:$H$148,MATCH(C47,Articles!$A$2:$A$148,0))</f>
        <v>Fixé</v>
      </c>
      <c r="L47" s="9" t="str">
        <f aca="false">INDEX(Articles!$F$2:$F$148,MATCH(C47,Articles!$A$2:$A$148,0))</f>
        <v>Confirmé</v>
      </c>
      <c r="M47" s="17"/>
      <c r="N47" s="9" t="s">
        <v>167</v>
      </c>
    </row>
    <row r="48" customFormat="false" ht="15" hidden="false" customHeight="false" outlineLevel="0" collapsed="false">
      <c r="A48" s="9" t="s">
        <v>671</v>
      </c>
      <c r="B48" s="9" t="s">
        <v>739</v>
      </c>
      <c r="C48" s="31" t="s">
        <v>192</v>
      </c>
      <c r="D48" s="9" t="str">
        <f aca="false">INDEX(Articles!$C$2:$C$148,MATCH(C48,Articles!$A$2:$A$148,0))</f>
        <v>Cahier Calligraphe 192 pages 17x22 90 g seyès</v>
      </c>
      <c r="E48" s="9" t="str">
        <f aca="false">INDEX(Articles!$B$2:$B$148,MATCH(C48,Articles!$A$2:$A$148,0))</f>
        <v>Papex</v>
      </c>
      <c r="F48" s="31" t="n">
        <v>1</v>
      </c>
      <c r="G48" s="13" t="n">
        <f aca="false">IF(INDEX(Articles!$G$2:$G$148,MATCH(C48,Articles!$A$2:$A$148,0))="","",INDEX(Articles!$G$2:$G$148,MATCH(C48,Articles!$A$2:$A$148,0)))</f>
        <v>900</v>
      </c>
      <c r="H48" s="13" t="n">
        <f aca="false">IF(G48="",0,F48*G48)</f>
        <v>900</v>
      </c>
      <c r="I48" s="13" t="n">
        <f aca="false">IF(INDEX(Articles!$E$2:$E$148,MATCH(C48,Articles!$A$2:$A$148,0))="","",INDEX(Articles!$E$2:$E$148,MATCH(C48,Articles!$A$2:$A$148,0)))</f>
        <v>800</v>
      </c>
      <c r="J48" s="13" t="n">
        <f aca="false">IF(I48="","",F48*I48)</f>
        <v>800</v>
      </c>
      <c r="K48" s="9" t="str">
        <f aca="false">INDEX(Articles!$H$2:$H$148,MATCH(C48,Articles!$A$2:$A$148,0))</f>
        <v>Fixé</v>
      </c>
      <c r="L48" s="9" t="str">
        <f aca="false">INDEX(Articles!$F$2:$F$148,MATCH(C48,Articles!$A$2:$A$148,0))</f>
        <v>Confirmé</v>
      </c>
      <c r="M48" s="17"/>
      <c r="N48" s="9" t="s">
        <v>167</v>
      </c>
    </row>
    <row r="49" customFormat="false" ht="15" hidden="false" customHeight="false" outlineLevel="0" collapsed="false">
      <c r="A49" s="9" t="s">
        <v>671</v>
      </c>
      <c r="B49" s="9" t="s">
        <v>740</v>
      </c>
      <c r="C49" s="31" t="s">
        <v>192</v>
      </c>
      <c r="D49" s="9" t="str">
        <f aca="false">INDEX(Articles!$C$2:$C$148,MATCH(C49,Articles!$A$2:$A$148,0))</f>
        <v>Cahier Calligraphe 192 pages 17x22 90 g seyès</v>
      </c>
      <c r="E49" s="9" t="str">
        <f aca="false">INDEX(Articles!$B$2:$B$148,MATCH(C49,Articles!$A$2:$A$148,0))</f>
        <v>Papex</v>
      </c>
      <c r="F49" s="31" t="n">
        <v>1</v>
      </c>
      <c r="G49" s="13" t="n">
        <f aca="false">IF(INDEX(Articles!$G$2:$G$148,MATCH(C49,Articles!$A$2:$A$148,0))="","",INDEX(Articles!$G$2:$G$148,MATCH(C49,Articles!$A$2:$A$148,0)))</f>
        <v>900</v>
      </c>
      <c r="H49" s="13" t="n">
        <f aca="false">IF(G49="",0,F49*G49)</f>
        <v>900</v>
      </c>
      <c r="I49" s="13" t="n">
        <f aca="false">IF(INDEX(Articles!$E$2:$E$148,MATCH(C49,Articles!$A$2:$A$148,0))="","",INDEX(Articles!$E$2:$E$148,MATCH(C49,Articles!$A$2:$A$148,0)))</f>
        <v>800</v>
      </c>
      <c r="J49" s="13" t="n">
        <f aca="false">IF(I49="","",F49*I49)</f>
        <v>800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741</v>
      </c>
      <c r="C50" s="31" t="s">
        <v>366</v>
      </c>
      <c r="D50" s="9" t="str">
        <f aca="false">INDEX(Articles!$C$2:$C$148,MATCH(C50,Articles!$A$2:$A$148,0))</f>
        <v>Cahier Calligraphe 140 pages 17x22 90 g seyès</v>
      </c>
      <c r="E50" s="9" t="str">
        <f aca="false">INDEX(Articles!$B$2:$B$148,MATCH(C50,Articles!$A$2:$A$148,0))</f>
        <v>Papex</v>
      </c>
      <c r="F50" s="31" t="n">
        <v>1</v>
      </c>
      <c r="G50" s="13" t="n">
        <f aca="false">IF(INDEX(Articles!$G$2:$G$148,MATCH(C50,Articles!$A$2:$A$148,0))="","",INDEX(Articles!$G$2:$G$148,MATCH(C50,Articles!$A$2:$A$148,0)))</f>
        <v>750</v>
      </c>
      <c r="H50" s="13" t="n">
        <f aca="false">IF(G50="",0,F50*G50)</f>
        <v>750</v>
      </c>
      <c r="I50" s="13" t="n">
        <f aca="false">IF(INDEX(Articles!$E$2:$E$148,MATCH(C50,Articles!$A$2:$A$148,0))="","",INDEX(Articles!$E$2:$E$148,MATCH(C50,Articles!$A$2:$A$148,0)))</f>
        <v>650</v>
      </c>
      <c r="J50" s="13" t="n">
        <f aca="false">IF(I50="","",F50*I50)</f>
        <v>650</v>
      </c>
      <c r="K50" s="9" t="str">
        <f aca="false">INDEX(Articles!$H$2:$H$148,MATCH(C50,Articles!$A$2:$A$148,0))</f>
        <v>Fixé</v>
      </c>
      <c r="L50" s="9" t="str">
        <f aca="false">INDEX(Articles!$F$2:$F$148,MATCH(C50,Articles!$A$2:$A$148,0))</f>
        <v>Estimé</v>
      </c>
      <c r="M50" s="17" t="s">
        <v>763</v>
      </c>
      <c r="N50" s="9" t="s">
        <v>167</v>
      </c>
    </row>
    <row r="51" customFormat="false" ht="15" hidden="false" customHeight="false" outlineLevel="0" collapsed="false">
      <c r="A51" s="9" t="s">
        <v>671</v>
      </c>
      <c r="B51" s="9" t="s">
        <v>742</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809</v>
      </c>
      <c r="C52" s="31" t="s">
        <v>366</v>
      </c>
      <c r="D52" s="9" t="str">
        <f aca="false">INDEX(Articles!$C$2:$C$148,MATCH(C52,Articles!$A$2:$A$148,0))</f>
        <v>Cahier Calligraphe 140 pages 17x22 90 g seyès</v>
      </c>
      <c r="E52" s="9" t="str">
        <f aca="false">INDEX(Articles!$B$2:$B$148,MATCH(C52,Articles!$A$2:$A$148,0))</f>
        <v>Papex</v>
      </c>
      <c r="F52" s="31" t="n">
        <v>2</v>
      </c>
      <c r="G52" s="13" t="n">
        <f aca="false">IF(INDEX(Articles!$G$2:$G$148,MATCH(C52,Articles!$A$2:$A$148,0))="","",INDEX(Articles!$G$2:$G$148,MATCH(C52,Articles!$A$2:$A$148,0)))</f>
        <v>750</v>
      </c>
      <c r="H52" s="13" t="n">
        <f aca="false">IF(G52="",0,F52*G52)</f>
        <v>1500</v>
      </c>
      <c r="I52" s="13" t="n">
        <f aca="false">IF(INDEX(Articles!$E$2:$E$148,MATCH(C52,Articles!$A$2:$A$148,0))="","",INDEX(Articles!$E$2:$E$148,MATCH(C52,Articles!$A$2:$A$148,0)))</f>
        <v>650</v>
      </c>
      <c r="J52" s="13" t="n">
        <f aca="false">IF(I52="","",F52*I52)</f>
        <v>1300</v>
      </c>
      <c r="K52" s="9" t="str">
        <f aca="false">INDEX(Articles!$H$2:$H$148,MATCH(C52,Articles!$A$2:$A$148,0))</f>
        <v>Fixé</v>
      </c>
      <c r="L52" s="9" t="str">
        <f aca="false">INDEX(Articles!$F$2:$F$148,MATCH(C52,Articles!$A$2:$A$148,0))</f>
        <v>Estimé</v>
      </c>
      <c r="M52" s="17" t="s">
        <v>763</v>
      </c>
      <c r="N52" s="9" t="s">
        <v>167</v>
      </c>
    </row>
    <row r="53" customFormat="false" ht="15" hidden="false" customHeight="false" outlineLevel="0" collapsed="false">
      <c r="A53" s="9" t="s">
        <v>671</v>
      </c>
      <c r="B53" s="9" t="s">
        <v>744</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745</v>
      </c>
      <c r="C54" s="31" t="s">
        <v>213</v>
      </c>
      <c r="D54" s="9" t="str">
        <f aca="false">INDEX(Articles!$C$2:$C$148,MATCH(C54,Articles!$A$2:$A$148,0))</f>
        <v>Cahier Calligraphe 192 pages 24x32 (grand format)</v>
      </c>
      <c r="E54" s="9" t="str">
        <f aca="false">INDEX(Articles!$B$2:$B$148,MATCH(C54,Articles!$A$2:$A$148,0))</f>
        <v>Papex</v>
      </c>
      <c r="F54" s="31" t="n">
        <v>1</v>
      </c>
      <c r="G54" s="13" t="n">
        <f aca="false">IF(INDEX(Articles!$G$2:$G$148,MATCH(C54,Articles!$A$2:$A$148,0))="","",INDEX(Articles!$G$2:$G$148,MATCH(C54,Articles!$A$2:$A$148,0)))</f>
        <v>1650</v>
      </c>
      <c r="H54" s="13" t="n">
        <f aca="false">IF(G54="",0,F54*G54)</f>
        <v>1650</v>
      </c>
      <c r="I54" s="13" t="n">
        <f aca="false">IF(INDEX(Articles!$E$2:$E$148,MATCH(C54,Articles!$A$2:$A$148,0))="","",INDEX(Articles!$E$2:$E$148,MATCH(C54,Articles!$A$2:$A$148,0)))</f>
        <v>1500</v>
      </c>
      <c r="J54" s="13" t="n">
        <f aca="false">IF(I54="","",F54*I54)</f>
        <v>1500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810</v>
      </c>
      <c r="C55" s="31" t="s">
        <v>366</v>
      </c>
      <c r="D55" s="9" t="str">
        <f aca="false">INDEX(Articles!$C$2:$C$148,MATCH(C55,Articles!$A$2:$A$148,0))</f>
        <v>Cahier Calligraphe 140 pages 17x22 90 g seyès</v>
      </c>
      <c r="E55" s="9" t="str">
        <f aca="false">INDEX(Articles!$B$2:$B$148,MATCH(C55,Articles!$A$2:$A$148,0))</f>
        <v>Papex</v>
      </c>
      <c r="F55" s="31" t="n">
        <v>2</v>
      </c>
      <c r="G55" s="13" t="n">
        <f aca="false">IF(INDEX(Articles!$G$2:$G$148,MATCH(C55,Articles!$A$2:$A$148,0))="","",INDEX(Articles!$G$2:$G$148,MATCH(C55,Articles!$A$2:$A$148,0)))</f>
        <v>750</v>
      </c>
      <c r="H55" s="13" t="n">
        <f aca="false">IF(G55="",0,F55*G55)</f>
        <v>1500</v>
      </c>
      <c r="I55" s="13" t="n">
        <f aca="false">IF(INDEX(Articles!$E$2:$E$148,MATCH(C55,Articles!$A$2:$A$148,0))="","",INDEX(Articles!$E$2:$E$148,MATCH(C55,Articles!$A$2:$A$148,0)))</f>
        <v>650</v>
      </c>
      <c r="J55" s="13" t="n">
        <f aca="false">IF(I55="","",F55*I55)</f>
        <v>1300</v>
      </c>
      <c r="K55" s="9" t="str">
        <f aca="false">INDEX(Articles!$H$2:$H$148,MATCH(C55,Articles!$A$2:$A$148,0))</f>
        <v>Fixé</v>
      </c>
      <c r="L55" s="9" t="str">
        <f aca="false">INDEX(Articles!$F$2:$F$148,MATCH(C55,Articles!$A$2:$A$148,0))</f>
        <v>Estimé</v>
      </c>
      <c r="M55" s="17" t="s">
        <v>763</v>
      </c>
      <c r="N55" s="9" t="s">
        <v>167</v>
      </c>
    </row>
    <row r="56" customFormat="false" ht="15" hidden="false" customHeight="false" outlineLevel="0" collapsed="false">
      <c r="A56" s="9" t="s">
        <v>671</v>
      </c>
      <c r="B56" s="9" t="s">
        <v>811</v>
      </c>
      <c r="C56" s="31" t="s">
        <v>192</v>
      </c>
      <c r="D56" s="9" t="str">
        <f aca="false">INDEX(Articles!$C$2:$C$148,MATCH(C56,Articles!$A$2:$A$148,0))</f>
        <v>Cahier Calligraphe 192 pages 17x22 90 g seyès</v>
      </c>
      <c r="E56" s="9" t="str">
        <f aca="false">INDEX(Articles!$B$2:$B$148,MATCH(C56,Articles!$A$2:$A$148,0))</f>
        <v>Papex</v>
      </c>
      <c r="F56" s="31" t="n">
        <v>1</v>
      </c>
      <c r="G56" s="13" t="n">
        <f aca="false">IF(INDEX(Articles!$G$2:$G$148,MATCH(C56,Articles!$A$2:$A$148,0))="","",INDEX(Articles!$G$2:$G$148,MATCH(C56,Articles!$A$2:$A$148,0)))</f>
        <v>900</v>
      </c>
      <c r="H56" s="13" t="n">
        <f aca="false">IF(G56="",0,F56*G56)</f>
        <v>900</v>
      </c>
      <c r="I56" s="13" t="n">
        <f aca="false">IF(INDEX(Articles!$E$2:$E$148,MATCH(C56,Articles!$A$2:$A$148,0))="","",INDEX(Articles!$E$2:$E$148,MATCH(C56,Articles!$A$2:$A$148,0)))</f>
        <v>800</v>
      </c>
      <c r="J56" s="13" t="n">
        <f aca="false">IF(I56="","",F56*I56)</f>
        <v>800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747</v>
      </c>
      <c r="C57" s="31" t="s">
        <v>366</v>
      </c>
      <c r="D57" s="9" t="str">
        <f aca="false">INDEX(Articles!$C$2:$C$148,MATCH(C57,Articles!$A$2:$A$148,0))</f>
        <v>Cahier Calligraphe 140 pages 17x22 90 g seyès</v>
      </c>
      <c r="E57" s="9" t="str">
        <f aca="false">INDEX(Articles!$B$2:$B$148,MATCH(C57,Articles!$A$2:$A$148,0))</f>
        <v>Papex</v>
      </c>
      <c r="F57" s="31" t="n">
        <v>1</v>
      </c>
      <c r="G57" s="13" t="n">
        <f aca="false">IF(INDEX(Articles!$G$2:$G$148,MATCH(C57,Articles!$A$2:$A$148,0))="","",INDEX(Articles!$G$2:$G$148,MATCH(C57,Articles!$A$2:$A$148,0)))</f>
        <v>750</v>
      </c>
      <c r="H57" s="13" t="n">
        <f aca="false">IF(G57="",0,F57*G57)</f>
        <v>750</v>
      </c>
      <c r="I57" s="13" t="n">
        <f aca="false">IF(INDEX(Articles!$E$2:$E$148,MATCH(C57,Articles!$A$2:$A$148,0))="","",INDEX(Articles!$E$2:$E$148,MATCH(C57,Articles!$A$2:$A$148,0)))</f>
        <v>650</v>
      </c>
      <c r="J57" s="13" t="n">
        <f aca="false">IF(I57="","",F57*I57)</f>
        <v>650</v>
      </c>
      <c r="K57" s="9" t="str">
        <f aca="false">INDEX(Articles!$H$2:$H$148,MATCH(C57,Articles!$A$2:$A$148,0))</f>
        <v>Fixé</v>
      </c>
      <c r="L57" s="9" t="str">
        <f aca="false">INDEX(Articles!$F$2:$F$148,MATCH(C57,Articles!$A$2:$A$148,0))</f>
        <v>Estimé</v>
      </c>
      <c r="M57" s="17" t="s">
        <v>763</v>
      </c>
      <c r="N57" s="9" t="s">
        <v>167</v>
      </c>
    </row>
    <row r="58" customFormat="false" ht="15" hidden="false" customHeight="false" outlineLevel="0" collapsed="false">
      <c r="A58" s="9" t="s">
        <v>681</v>
      </c>
      <c r="B58" s="9" t="s">
        <v>748</v>
      </c>
      <c r="C58" s="31" t="s">
        <v>177</v>
      </c>
      <c r="D58" s="9" t="str">
        <f aca="false">INDEX(Articles!$C$2:$C$148,MATCH(C58,Articles!$A$2:$A$148,0))</f>
        <v>Cahier de dessin TPG</v>
      </c>
      <c r="E58" s="9" t="str">
        <f aca="false">INDEX(Articles!$B$2:$B$148,MATCH(C58,Articles!$A$2:$A$148,0))</f>
        <v>LPD</v>
      </c>
      <c r="F58" s="31" t="n">
        <v>1</v>
      </c>
      <c r="G58" s="13" t="n">
        <f aca="false">IF(INDEX(Articles!$G$2:$G$148,MATCH(C58,Articles!$A$2:$A$148,0))="","",INDEX(Articles!$G$2:$G$148,MATCH(C58,Articles!$A$2:$A$148,0)))</f>
        <v>550</v>
      </c>
      <c r="H58" s="13" t="n">
        <f aca="false">IF(G58="",0,F58*G58)</f>
        <v>550</v>
      </c>
      <c r="I58" s="13" t="str">
        <f aca="false">IF(INDEX(Articles!$E$2:$E$148,MATCH(C58,Articles!$A$2:$A$148,0))="","",INDEX(Articles!$E$2:$E$148,MATCH(C58,Articles!$A$2:$A$148,0)))</f>
        <v/>
      </c>
      <c r="J58" s="13" t="str">
        <f aca="false">IF(I58="","",F58*I58)</f>
        <v/>
      </c>
      <c r="K58" s="9" t="str">
        <f aca="false">INDEX(Articles!$H$2:$H$148,MATCH(C58,Articles!$A$2:$A$148,0))</f>
        <v>Fixé</v>
      </c>
      <c r="L58" s="9" t="str">
        <f aca="false">INDEX(Articles!$F$2:$F$148,MATCH(C58,Articles!$A$2:$A$148,0))</f>
        <v>Inconnu</v>
      </c>
      <c r="M58" s="17"/>
      <c r="N58" s="9" t="s">
        <v>167</v>
      </c>
    </row>
    <row r="59" customFormat="false" ht="15" hidden="false" customHeight="false" outlineLevel="0" collapsed="false">
      <c r="A59" s="9" t="s">
        <v>678</v>
      </c>
      <c r="B59" s="9" t="s">
        <v>749</v>
      </c>
      <c r="C59" s="31" t="s">
        <v>222</v>
      </c>
      <c r="D59" s="9" t="str">
        <f aca="false">INDEX(Articles!$C$2:$C$148,MATCH(C59,Articles!$A$2:$A$148,0))</f>
        <v>Pack de 4 stylos Schneider Tops 505 M (bleu, noir, rouge, vert)</v>
      </c>
      <c r="E59" s="9" t="str">
        <f aca="false">INDEX(Articles!$B$2:$B$148,MATCH(C59,Articles!$A$2:$A$148,0))</f>
        <v>Papex</v>
      </c>
      <c r="F59" s="31" t="n">
        <v>1</v>
      </c>
      <c r="G59" s="13" t="n">
        <f aca="false">IF(INDEX(Articles!$G$2:$G$148,MATCH(C59,Articles!$A$2:$A$148,0))="","",INDEX(Articles!$G$2:$G$148,MATCH(C59,Articles!$A$2:$A$148,0)))</f>
        <v>400</v>
      </c>
      <c r="H59" s="13" t="n">
        <f aca="false">IF(G59="",0,F59*G59)</f>
        <v>400</v>
      </c>
      <c r="I59" s="13" t="str">
        <f aca="false">IF(INDEX(Articles!$E$2:$E$148,MATCH(C59,Articles!$A$2:$A$148,0))="","",INDEX(Articles!$E$2:$E$148,MATCH(C59,Articles!$A$2:$A$148,0)))</f>
        <v/>
      </c>
      <c r="J59" s="13" t="str">
        <f aca="false">IF(I59="","",F59*I59)</f>
        <v/>
      </c>
      <c r="K59" s="9" t="str">
        <f aca="false">INDEX(Articles!$H$2:$H$148,MATCH(C59,Articles!$A$2:$A$148,0))</f>
        <v>Fixé</v>
      </c>
      <c r="L59" s="9" t="str">
        <f aca="false">INDEX(Articles!$F$2:$F$148,MATCH(C59,Articles!$A$2:$A$148,0))</f>
        <v>Inconnu</v>
      </c>
      <c r="M59" s="17" t="s">
        <v>432</v>
      </c>
      <c r="N59" s="9" t="s">
        <v>167</v>
      </c>
    </row>
    <row r="60" customFormat="false" ht="15" hidden="false" customHeight="false" outlineLevel="0" collapsed="false">
      <c r="A60" s="9" t="s">
        <v>678</v>
      </c>
      <c r="B60" s="9" t="s">
        <v>750</v>
      </c>
      <c r="C60" s="31" t="s">
        <v>235</v>
      </c>
      <c r="D60" s="9" t="str">
        <f aca="false">INDEX(Articles!$C$2:$C$148,MATCH(C60,Articles!$A$2:$A$148,0))</f>
        <v>Crayon papier (vendu à l'unité)</v>
      </c>
      <c r="E60" s="9" t="str">
        <f aca="false">INDEX(Articles!$B$2:$B$148,MATCH(C60,Articles!$A$2:$A$148,0))</f>
        <v>LPD</v>
      </c>
      <c r="F60" s="31" t="n">
        <v>1</v>
      </c>
      <c r="G60" s="13" t="n">
        <f aca="false">IF(INDEX(Articles!$G$2:$G$148,MATCH(C60,Articles!$A$2:$A$148,0))="","",INDEX(Articles!$G$2:$G$148,MATCH(C60,Articles!$A$2:$A$148,0)))</f>
        <v>75</v>
      </c>
      <c r="H60" s="13" t="n">
        <f aca="false">IF(G60="",0,F60*G60)</f>
        <v>75</v>
      </c>
      <c r="I60" s="13" t="str">
        <f aca="false">IF(INDEX(Articles!$E$2:$E$148,MATCH(C60,Articles!$A$2:$A$148,0))="","",INDEX(Articles!$E$2:$E$148,MATCH(C60,Articles!$A$2:$A$148,0)))</f>
        <v/>
      </c>
      <c r="J60" s="13" t="str">
        <f aca="false">IF(I60="","",F60*I60)</f>
        <v/>
      </c>
      <c r="K60" s="9" t="str">
        <f aca="false">INDEX(Articles!$H$2:$H$148,MATCH(C60,Articles!$A$2:$A$148,0))</f>
        <v>Fixé</v>
      </c>
      <c r="L60" s="9" t="str">
        <f aca="false">INDEX(Articles!$F$2:$F$148,MATCH(C60,Articles!$A$2:$A$148,0))</f>
        <v>Inconnu</v>
      </c>
      <c r="M60" s="17"/>
      <c r="N60" s="9" t="s">
        <v>167</v>
      </c>
    </row>
    <row r="61" customFormat="false" ht="15" hidden="false" customHeight="false" outlineLevel="0" collapsed="false">
      <c r="A61" s="9" t="s">
        <v>675</v>
      </c>
      <c r="B61" s="9" t="s">
        <v>717</v>
      </c>
      <c r="C61" s="31" t="s">
        <v>180</v>
      </c>
      <c r="D61" s="9" t="str">
        <f aca="false">INDEX(Articles!$C$2:$C$148,MATCH(C61,Articles!$A$2:$A$148,0))</f>
        <v>Gomme Staedtler Mars Plastic</v>
      </c>
      <c r="E61" s="9" t="str">
        <f aca="false">INDEX(Articles!$B$2:$B$148,MATCH(C61,Articles!$A$2:$A$148,0))</f>
        <v>LPD</v>
      </c>
      <c r="F61" s="31" t="n">
        <v>1</v>
      </c>
      <c r="G61" s="13" t="n">
        <f aca="false">IF(INDEX(Articles!$G$2:$G$148,MATCH(C61,Articles!$A$2:$A$148,0))="","",INDEX(Articles!$G$2:$G$148,MATCH(C61,Articles!$A$2:$A$148,0)))</f>
        <v>250</v>
      </c>
      <c r="H61" s="13" t="n">
        <f aca="false">IF(G61="",0,F61*G61)</f>
        <v>250</v>
      </c>
      <c r="I61" s="13" t="n">
        <f aca="false">IF(INDEX(Articles!$E$2:$E$148,MATCH(C61,Articles!$A$2:$A$148,0))="","",INDEX(Articles!$E$2:$E$148,MATCH(C61,Articles!$A$2:$A$148,0)))</f>
        <v>110</v>
      </c>
      <c r="J61" s="13" t="n">
        <f aca="false">IF(I61="","",F61*I61)</f>
        <v>110</v>
      </c>
      <c r="K61" s="9" t="str">
        <f aca="false">INDEX(Articles!$H$2:$H$148,MATCH(C61,Articles!$A$2:$A$148,0))</f>
        <v>Fixé</v>
      </c>
      <c r="L61" s="9" t="str">
        <f aca="false">INDEX(Articles!$F$2:$F$148,MATCH(C61,Articles!$A$2:$A$148,0))</f>
        <v>Estimé</v>
      </c>
      <c r="M61" s="17"/>
      <c r="N61" s="9" t="s">
        <v>167</v>
      </c>
    </row>
    <row r="62" customFormat="false" ht="15" hidden="false" customHeight="false" outlineLevel="0" collapsed="false">
      <c r="A62" s="9" t="s">
        <v>675</v>
      </c>
      <c r="B62" s="9" t="s">
        <v>751</v>
      </c>
      <c r="C62" s="31" t="s">
        <v>183</v>
      </c>
      <c r="D62" s="9" t="str">
        <f aca="false">INDEX(Articles!$C$2:$C$148,MATCH(C62,Articles!$A$2:$A$148,0))</f>
        <v>Taille-crayon avec réservoir Maped</v>
      </c>
      <c r="E62" s="9" t="str">
        <f aca="false">INDEX(Articles!$B$2:$B$148,MATCH(C62,Articles!$A$2:$A$148,0))</f>
        <v>Papex</v>
      </c>
      <c r="F62" s="31" t="n">
        <v>1</v>
      </c>
      <c r="G62" s="13" t="n">
        <f aca="false">IF(INDEX(Articles!$G$2:$G$148,MATCH(C62,Articles!$A$2:$A$148,0))="","",INDEX(Articles!$G$2:$G$148,MATCH(C62,Articles!$A$2:$A$148,0)))</f>
        <v>500</v>
      </c>
      <c r="H62" s="13" t="n">
        <f aca="false">IF(G62="",0,F62*G62)</f>
        <v>500</v>
      </c>
      <c r="I62" s="13" t="n">
        <f aca="false">IF(INDEX(Articles!$E$2:$E$148,MATCH(C62,Articles!$A$2:$A$148,0))="","",INDEX(Articles!$E$2:$E$148,MATCH(C62,Articles!$A$2:$A$148,0)))</f>
        <v>350</v>
      </c>
      <c r="J62" s="13" t="n">
        <f aca="false">IF(I62="","",F62*I62)</f>
        <v>350</v>
      </c>
      <c r="K62" s="9" t="str">
        <f aca="false">INDEX(Articles!$H$2:$H$148,MATCH(C62,Articles!$A$2:$A$148,0))</f>
        <v>Estimé</v>
      </c>
      <c r="L62" s="9" t="str">
        <f aca="false">INDEX(Articles!$F$2:$F$148,MATCH(C62,Articles!$A$2:$A$148,0))</f>
        <v>Estimé</v>
      </c>
      <c r="M62" s="17" t="s">
        <v>765</v>
      </c>
      <c r="N62" s="9" t="s">
        <v>167</v>
      </c>
    </row>
    <row r="63" customFormat="false" ht="15" hidden="false" customHeight="false" outlineLevel="0" collapsed="false">
      <c r="A63" s="9" t="s">
        <v>675</v>
      </c>
      <c r="B63" s="9" t="s">
        <v>753</v>
      </c>
      <c r="C63" s="31" t="s">
        <v>248</v>
      </c>
      <c r="D63" s="9" t="str">
        <f aca="false">INDEX(Articles!$C$2:$C$148,MATCH(C63,Articles!$A$2:$A$148,0))</f>
        <v>Bâton de colle Giotto 20 g</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650</v>
      </c>
      <c r="J63" s="13" t="n">
        <f aca="false">IF(I63="","",F63*I63)</f>
        <v>650</v>
      </c>
      <c r="K63" s="9" t="str">
        <f aca="false">INDEX(Articles!$H$2:$H$148,MATCH(C63,Articles!$A$2:$A$148,0))</f>
        <v>Estimé</v>
      </c>
      <c r="L63" s="9" t="str">
        <f aca="false">INDEX(Articles!$F$2:$F$148,MATCH(C63,Articles!$A$2:$A$148,0))</f>
        <v>Estimé</v>
      </c>
      <c r="M63" s="17"/>
      <c r="N63" s="9" t="s">
        <v>167</v>
      </c>
    </row>
    <row r="64" customFormat="false" ht="15" hidden="false" customHeight="false" outlineLevel="0" collapsed="false">
      <c r="A64" s="9" t="s">
        <v>675</v>
      </c>
      <c r="B64" s="9" t="s">
        <v>754</v>
      </c>
      <c r="C64" s="31" t="s">
        <v>189</v>
      </c>
      <c r="D64" s="9" t="str">
        <f aca="false">INDEX(Articles!$C$2:$C$148,MATCH(C64,Articles!$A$2:$A$148,0))</f>
        <v>Ciseaux Maped 13 cm Security</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676</v>
      </c>
      <c r="B65" s="9" t="s">
        <v>755</v>
      </c>
      <c r="C65" s="31" t="s">
        <v>215</v>
      </c>
      <c r="D65" s="9" t="str">
        <f aca="false">INDEX(Articles!$C$2:$C$148,MATCH(C65,Articles!$A$2:$A$148,0))</f>
        <v>Kit géométrie Maped 30 cm (réf. 1930)</v>
      </c>
      <c r="E65" s="9" t="str">
        <f aca="false">INDEX(Articles!$B$2:$B$148,MATCH(C65,Articles!$A$2:$A$148,0))</f>
        <v>LPD</v>
      </c>
      <c r="F65" s="31" t="n">
        <v>1</v>
      </c>
      <c r="G65" s="13" t="n">
        <f aca="false">IF(INDEX(Articles!$G$2:$G$148,MATCH(C65,Articles!$A$2:$A$148,0))="","",INDEX(Articles!$G$2:$G$148,MATCH(C65,Articles!$A$2:$A$148,0)))</f>
        <v>1800</v>
      </c>
      <c r="H65" s="13" t="n">
        <f aca="false">IF(G65="",0,F65*G65)</f>
        <v>1800</v>
      </c>
      <c r="I65" s="13" t="n">
        <f aca="false">IF(INDEX(Articles!$E$2:$E$148,MATCH(C65,Articles!$A$2:$A$148,0))="","",INDEX(Articles!$E$2:$E$148,MATCH(C65,Articles!$A$2:$A$148,0)))</f>
        <v>1500</v>
      </c>
      <c r="J65" s="13" t="n">
        <f aca="false">IF(I65="","",F65*I65)</f>
        <v>1500</v>
      </c>
      <c r="K65" s="9" t="str">
        <f aca="false">INDEX(Articles!$H$2:$H$148,MATCH(C65,Articles!$A$2:$A$148,0))</f>
        <v>À trancher</v>
      </c>
      <c r="L65" s="9" t="str">
        <f aca="false">INDEX(Articles!$F$2:$F$148,MATCH(C65,Articles!$A$2:$A$148,0))</f>
        <v>Confirmé</v>
      </c>
      <c r="M65" s="17"/>
      <c r="N65" s="9" t="s">
        <v>167</v>
      </c>
    </row>
    <row r="66" customFormat="false" ht="15" hidden="false" customHeight="false" outlineLevel="0" collapsed="false">
      <c r="A66" s="9" t="s">
        <v>676</v>
      </c>
      <c r="B66" s="9" t="s">
        <v>756</v>
      </c>
      <c r="C66" s="31" t="s">
        <v>171</v>
      </c>
      <c r="D66" s="9" t="str">
        <f aca="false">INDEX(Articles!$C$2:$C$148,MATCH(C66,Articles!$A$2:$A$148,0))</f>
        <v>Compas Maped</v>
      </c>
      <c r="E66" s="9" t="str">
        <f aca="false">INDEX(Articles!$B$2:$B$148,MATCH(C66,Articles!$A$2:$A$148,0))</f>
        <v>Papex</v>
      </c>
      <c r="F66" s="31" t="n">
        <v>1</v>
      </c>
      <c r="G66" s="13" t="n">
        <f aca="false">IF(INDEX(Articles!$G$2:$G$148,MATCH(C66,Articles!$A$2:$A$148,0))="","",INDEX(Articles!$G$2:$G$148,MATCH(C66,Articles!$A$2:$A$148,0)))</f>
        <v>2000</v>
      </c>
      <c r="H66" s="13" t="n">
        <f aca="false">IF(G66="",0,F66*G66)</f>
        <v>2000</v>
      </c>
      <c r="I66" s="13" t="n">
        <f aca="false">IF(INDEX(Articles!$E$2:$E$148,MATCH(C66,Articles!$A$2:$A$148,0))="","",INDEX(Articles!$E$2:$E$148,MATCH(C66,Articles!$A$2:$A$148,0)))</f>
        <v>1750</v>
      </c>
      <c r="J66" s="13" t="n">
        <f aca="false">IF(I66="","",F66*I66)</f>
        <v>1750</v>
      </c>
      <c r="K66" s="9" t="str">
        <f aca="false">INDEX(Articles!$H$2:$H$148,MATCH(C66,Articles!$A$2:$A$148,0))</f>
        <v>Fixé</v>
      </c>
      <c r="L66" s="9" t="str">
        <f aca="false">INDEX(Articles!$F$2:$F$148,MATCH(C66,Articles!$A$2:$A$148,0))</f>
        <v>Confirmé</v>
      </c>
      <c r="M66" s="17"/>
      <c r="N66" s="9" t="s">
        <v>167</v>
      </c>
    </row>
    <row r="67" customFormat="false" ht="15" hidden="false" customHeight="false" outlineLevel="0" collapsed="false">
      <c r="A67" s="9" t="s">
        <v>681</v>
      </c>
      <c r="B67" s="9" t="s">
        <v>757</v>
      </c>
      <c r="C67" s="31" t="s">
        <v>198</v>
      </c>
      <c r="D67" s="9" t="str">
        <f aca="false">INDEX(Articles!$C$2:$C$148,MATCH(C67,Articles!$A$2:$A$148,0))</f>
        <v>Crayons de couleur Maped, boîte de 12</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678</v>
      </c>
      <c r="B68" s="9" t="s">
        <v>766</v>
      </c>
      <c r="C68" s="31" t="s">
        <v>200</v>
      </c>
      <c r="D68" s="9" t="str">
        <f aca="false">INDEX(Articles!$C$2:$C$148,MATCH(C68,Articles!$A$2:$A$148,0))</f>
        <v>Surligneurs Maped Fluo Peps, pochette de 4</v>
      </c>
      <c r="E68" s="9" t="str">
        <f aca="false">INDEX(Articles!$B$2:$B$148,MATCH(C68,Articles!$A$2:$A$148,0))</f>
        <v>Papex</v>
      </c>
      <c r="F68" s="31" t="n">
        <v>1</v>
      </c>
      <c r="G68" s="13" t="n">
        <f aca="false">IF(INDEX(Articles!$G$2:$G$148,MATCH(C68,Articles!$A$2:$A$148,0))="","",INDEX(Articles!$G$2:$G$148,MATCH(C68,Articles!$A$2:$A$148,0)))</f>
        <v>2500</v>
      </c>
      <c r="H68" s="13" t="n">
        <f aca="false">IF(G68="",0,F68*G68)</f>
        <v>2500</v>
      </c>
      <c r="I68" s="13" t="n">
        <f aca="false">IF(INDEX(Articles!$E$2:$E$148,MATCH(C68,Articles!$A$2:$A$148,0))="","",INDEX(Articles!$E$2:$E$148,MATCH(C68,Articles!$A$2:$A$148,0)))</f>
        <v>2000</v>
      </c>
      <c r="J68" s="13" t="n">
        <f aca="false">IF(I68="","",F68*I68)</f>
        <v>2000</v>
      </c>
      <c r="K68" s="9" t="str">
        <f aca="false">INDEX(Articles!$H$2:$H$148,MATCH(C68,Articles!$A$2:$A$148,0))</f>
        <v>Estimé</v>
      </c>
      <c r="L68" s="9" t="str">
        <f aca="false">INDEX(Articles!$F$2:$F$148,MATCH(C68,Articles!$A$2:$A$148,0))</f>
        <v>Confirmé</v>
      </c>
      <c r="M68" s="17" t="s">
        <v>767</v>
      </c>
      <c r="N68" s="9" t="s">
        <v>167</v>
      </c>
    </row>
    <row r="69" customFormat="false" ht="15" hidden="false" customHeight="false" outlineLevel="0" collapsed="false">
      <c r="A69" s="9" t="s">
        <v>768</v>
      </c>
      <c r="B69" s="9" t="s">
        <v>769</v>
      </c>
      <c r="C69" s="31" t="s">
        <v>446</v>
      </c>
      <c r="D69" s="9" t="str">
        <f aca="false">INDEX(Articles!$C$2:$C$148,MATCH(C69,Articles!$A$2:$A$148,0))</f>
        <v>Chemise 3 rabats à élastique</v>
      </c>
      <c r="E69" s="9" t="str">
        <f aca="false">INDEX(Articles!$B$2:$B$148,MATCH(C69,Articles!$A$2:$A$148,0))</f>
        <v>Papex</v>
      </c>
      <c r="F69" s="31" t="n">
        <v>1</v>
      </c>
      <c r="G69" s="13" t="n">
        <f aca="false">IF(INDEX(Articles!$G$2:$G$148,MATCH(C69,Articles!$A$2:$A$148,0))="","",INDEX(Articles!$G$2:$G$148,MATCH(C69,Articles!$A$2:$A$148,0)))</f>
        <v>500</v>
      </c>
      <c r="H69" s="13" t="n">
        <f aca="false">IF(G69="",0,F69*G69)</f>
        <v>500</v>
      </c>
      <c r="I69" s="13" t="str">
        <f aca="false">IF(INDEX(Articles!$E$2:$E$148,MATCH(C69,Articles!$A$2:$A$148,0))="","",INDEX(Articles!$E$2:$E$148,MATCH(C69,Articles!$A$2:$A$148,0)))</f>
        <v/>
      </c>
      <c r="J69" s="13" t="str">
        <f aca="false">IF(I69="","",F69*I69)</f>
        <v/>
      </c>
      <c r="K69" s="9" t="str">
        <f aca="false">INDEX(Articles!$H$2:$H$148,MATCH(C69,Articles!$A$2:$A$148,0))</f>
        <v>Estimé</v>
      </c>
      <c r="L69" s="9" t="str">
        <f aca="false">INDEX(Articles!$F$2:$F$148,MATCH(C69,Articles!$A$2:$A$148,0))</f>
        <v>Inconnu</v>
      </c>
      <c r="M69" s="17" t="s">
        <v>770</v>
      </c>
      <c r="N69" s="9" t="s">
        <v>167</v>
      </c>
    </row>
    <row r="70" customFormat="false" ht="26.85" hidden="false" customHeight="false" outlineLevel="0" collapsed="false">
      <c r="A70" s="9" t="s">
        <v>676</v>
      </c>
      <c r="B70" s="9" t="s">
        <v>812</v>
      </c>
      <c r="C70" s="31" t="s">
        <v>242</v>
      </c>
      <c r="D70" s="9" t="str">
        <f aca="false">INDEX(Articles!$C$2:$C$148,MATCH(C70,Articles!$A$2:$A$148,0))</f>
        <v>Calculatrice scientifique Parpn YH-2000</v>
      </c>
      <c r="E70" s="9" t="str">
        <f aca="false">INDEX(Articles!$B$2:$B$148,MATCH(C70,Articles!$A$2:$A$148,0))</f>
        <v>LPD</v>
      </c>
      <c r="F70" s="31" t="n">
        <v>1</v>
      </c>
      <c r="G70" s="13" t="n">
        <f aca="false">IF(INDEX(Articles!$G$2:$G$148,MATCH(C70,Articles!$A$2:$A$148,0))="","",INDEX(Articles!$G$2:$G$148,MATCH(C70,Articles!$A$2:$A$148,0)))</f>
        <v>1400</v>
      </c>
      <c r="H70" s="13" t="n">
        <f aca="false">IF(G70="",0,F70*G70)</f>
        <v>1400</v>
      </c>
      <c r="I70" s="13" t="n">
        <f aca="false">IF(INDEX(Articles!$E$2:$E$148,MATCH(C70,Articles!$A$2:$A$148,0))="","",INDEX(Articles!$E$2:$E$148,MATCH(C70,Articles!$A$2:$A$148,0)))</f>
        <v>1100</v>
      </c>
      <c r="J70" s="13" t="n">
        <f aca="false">IF(I70="","",F70*I70)</f>
        <v>1100</v>
      </c>
      <c r="K70" s="9" t="str">
        <f aca="false">INDEX(Articles!$H$2:$H$148,MATCH(C70,Articles!$A$2:$A$148,0))</f>
        <v>Fixé</v>
      </c>
      <c r="L70" s="9" t="str">
        <f aca="false">INDEX(Articles!$F$2:$F$148,MATCH(C70,Articles!$A$2:$A$148,0))</f>
        <v>Confirmé</v>
      </c>
      <c r="M70" s="17" t="s">
        <v>816</v>
      </c>
      <c r="N70" s="9" t="s">
        <v>167</v>
      </c>
    </row>
    <row r="71" customFormat="false" ht="15" hidden="false" customHeight="false" outlineLevel="0" collapsed="false">
      <c r="A71" s="9" t="s">
        <v>758</v>
      </c>
      <c r="B71" s="9" t="s">
        <v>759</v>
      </c>
      <c r="C71" s="31" t="s">
        <v>376</v>
      </c>
      <c r="D71" s="9" t="str">
        <f aca="false">INDEX(Articles!$C$2:$C$148,MATCH(C71,Articles!$A$2:$A$148,0))</f>
        <v>Paquet de copies doubles grand format</v>
      </c>
      <c r="E71" s="9" t="str">
        <f aca="false">INDEX(Articles!$B$2:$B$148,MATCH(C71,Articles!$A$2:$A$148,0))</f>
        <v>À préciser</v>
      </c>
      <c r="F71" s="31" t="n">
        <v>1</v>
      </c>
      <c r="G71" s="45" t="n">
        <f aca="false">IF(INDEX(Articles!$G$2:$G$148,MATCH(C71,Articles!$A$2:$A$148,0))="","",INDEX(Articles!$G$2:$G$148,MATCH(C71,Articles!$A$2:$A$148,0)))</f>
        <v>1800</v>
      </c>
      <c r="H71" s="13" t="n">
        <f aca="false">IF(G71="",0,F71*G71)</f>
        <v>1800</v>
      </c>
      <c r="I71" s="13" t="n">
        <f aca="false">IF(INDEX(Articles!$E$2:$E$148,MATCH(C71,Articles!$A$2:$A$148,0))="","",INDEX(Articles!$E$2:$E$148,MATCH(C71,Articles!$A$2:$A$148,0)))</f>
        <v>1300</v>
      </c>
      <c r="J71" s="13" t="n">
        <f aca="false">IF(I71="","",F71*I71)</f>
        <v>1300</v>
      </c>
      <c r="K71" s="9" t="str">
        <f aca="false">INDEX(Articles!$H$2:$H$148,MATCH(C71,Articles!$A$2:$A$148,0))</f>
        <v>Fixé</v>
      </c>
      <c r="L71" s="9" t="str">
        <f aca="false">INDEX(Articles!$F$2:$F$148,MATCH(C71,Articles!$A$2:$A$148,0))</f>
        <v>Confirmé</v>
      </c>
      <c r="M71" s="17"/>
      <c r="N71" s="9" t="s">
        <v>167</v>
      </c>
    </row>
    <row r="72" customFormat="false" ht="15" hidden="false" customHeight="false" outlineLevel="0" collapsed="false">
      <c r="A72" s="9" t="s">
        <v>771</v>
      </c>
      <c r="B72" s="9" t="s">
        <v>772</v>
      </c>
      <c r="C72" s="31" t="s">
        <v>160</v>
      </c>
      <c r="D72" s="9" t="str">
        <f aca="false">INDEX(Articles!$C$2:$C$148,MATCH(C72,Articles!$A$2:$A$148,0))</f>
        <v>Protège-cahier couleur petit format (à l'unité)</v>
      </c>
      <c r="E72" s="9" t="str">
        <f aca="false">INDEX(Articles!$B$2:$B$148,MATCH(C72,Articles!$A$2:$A$148,0))</f>
        <v>LPD</v>
      </c>
      <c r="F72" s="31" t="n">
        <v>9</v>
      </c>
      <c r="G72" s="13" t="n">
        <f aca="false">IF(INDEX(Articles!$G$2:$G$148,MATCH(C72,Articles!$A$2:$A$148,0))="","",INDEX(Articles!$G$2:$G$148,MATCH(C72,Articles!$A$2:$A$148,0)))</f>
        <v>150</v>
      </c>
      <c r="H72" s="13" t="n">
        <f aca="false">IF(G72="",0,F72*G72)</f>
        <v>1350</v>
      </c>
      <c r="I72" s="13" t="str">
        <f aca="false">IF(INDEX(Articles!$E$2:$E$148,MATCH(C72,Articles!$A$2:$A$148,0))="","",INDEX(Articles!$E$2:$E$148,MATCH(C72,Articles!$A$2:$A$148,0)))</f>
        <v/>
      </c>
      <c r="J72" s="13" t="str">
        <f aca="false">IF(I72="","",F72*I72)</f>
        <v/>
      </c>
      <c r="K72" s="9" t="str">
        <f aca="false">INDEX(Articles!$H$2:$H$148,MATCH(C72,Articles!$A$2:$A$148,0))</f>
        <v>Fixé</v>
      </c>
      <c r="L72" s="9" t="str">
        <f aca="false">INDEX(Articles!$F$2:$F$148,MATCH(C72,Articles!$A$2:$A$148,0))</f>
        <v>Inconnu</v>
      </c>
      <c r="M72" s="17"/>
      <c r="N72" s="9" t="s">
        <v>167</v>
      </c>
    </row>
    <row r="73" customFormat="false" ht="15" hidden="false" customHeight="false" outlineLevel="0" collapsed="false">
      <c r="A73" s="9" t="s">
        <v>771</v>
      </c>
      <c r="B73" s="9" t="s">
        <v>773</v>
      </c>
      <c r="C73" s="31" t="s">
        <v>419</v>
      </c>
      <c r="D73" s="9" t="str">
        <f aca="false">INDEX(Articles!$C$2:$C$148,MATCH(C73,Articles!$A$2:$A$148,0))</f>
        <v>Protège-cahier grand format (à l'unité)</v>
      </c>
      <c r="E73" s="9" t="str">
        <f aca="false">INDEX(Articles!$B$2:$B$148,MATCH(C73,Articles!$A$2:$A$148,0))</f>
        <v>À préciser</v>
      </c>
      <c r="F73" s="31" t="n">
        <v>4</v>
      </c>
      <c r="G73" s="13" t="str">
        <f aca="false">IF(INDEX(Articles!$G$2:$G$148,MATCH(C73,Articles!$A$2:$A$148,0))="","",INDEX(Articles!$G$2:$G$148,MATCH(C73,Articles!$A$2:$A$148,0)))</f>
        <v/>
      </c>
      <c r="H73" s="13" t="n">
        <f aca="false">IF(G73="",0,F73*G73)</f>
        <v>0</v>
      </c>
      <c r="I73" s="13" t="str">
        <f aca="false">IF(INDEX(Articles!$E$2:$E$148,MATCH(C73,Articles!$A$2:$A$148,0))="","",INDEX(Articles!$E$2:$E$148,MATCH(C73,Articles!$A$2:$A$148,0)))</f>
        <v/>
      </c>
      <c r="J73" s="13" t="str">
        <f aca="false">IF(I73="","",F73*I73)</f>
        <v/>
      </c>
      <c r="K73" s="9" t="str">
        <f aca="false">INDEX(Articles!$H$2:$H$148,MATCH(C73,Articles!$A$2:$A$148,0))</f>
        <v>À fournir</v>
      </c>
      <c r="L73" s="9" t="str">
        <f aca="false">INDEX(Articles!$F$2:$F$148,MATCH(C73,Articles!$A$2:$A$148,0))</f>
        <v>Inconnu</v>
      </c>
      <c r="M73" s="17"/>
      <c r="N73" s="9" t="s">
        <v>167</v>
      </c>
    </row>
    <row r="74" customFormat="false" ht="15" hidden="false" customHeight="false" outlineLevel="0" collapsed="false">
      <c r="A74" s="9" t="s">
        <v>760</v>
      </c>
      <c r="B74" s="9" t="s">
        <v>814</v>
      </c>
      <c r="C74" s="31" t="s">
        <v>168</v>
      </c>
      <c r="D74" s="9" t="str">
        <f aca="false">INDEX(Articles!$C$2:$C$148,MATCH(C74,Articles!$A$2:$A$148,0))</f>
        <v>Sous l'orage (Seydou Badian)</v>
      </c>
      <c r="E74" s="9" t="str">
        <f aca="false">INDEX(Articles!$B$2:$B$148,MATCH(C74,Articles!$A$2:$A$148,0))</f>
        <v>LPD</v>
      </c>
      <c r="F74" s="31" t="n">
        <v>1</v>
      </c>
      <c r="G74" s="13" t="n">
        <f aca="false">IF(INDEX(Articles!$G$2:$G$148,MATCH(C74,Articles!$A$2:$A$148,0))="","",INDEX(Articles!$G$2:$G$148,MATCH(C74,Articles!$A$2:$A$148,0)))</f>
        <v>3500</v>
      </c>
      <c r="H74" s="13" t="n">
        <f aca="false">IF(G74="",0,F74*G74)</f>
        <v>3500</v>
      </c>
      <c r="I74" s="13" t="n">
        <f aca="false">IF(INDEX(Articles!$E$2:$E$148,MATCH(C74,Articles!$A$2:$A$148,0))="","",INDEX(Articles!$E$2:$E$148,MATCH(C74,Articles!$A$2:$A$148,0)))</f>
        <v>2500</v>
      </c>
      <c r="J74" s="13" t="n">
        <f aca="false">IF(I74="","",F74*I74)</f>
        <v>2500</v>
      </c>
      <c r="K74" s="9" t="str">
        <f aca="false">INDEX(Articles!$H$2:$H$148,MATCH(C74,Articles!$A$2:$A$148,0))</f>
        <v>Fixé</v>
      </c>
      <c r="L74" s="9" t="str">
        <f aca="false">INDEX(Articles!$F$2:$F$148,MATCH(C74,Articles!$A$2:$A$148,0))</f>
        <v>Estimé</v>
      </c>
      <c r="M74" s="17"/>
      <c r="N74" s="9" t="s">
        <v>167</v>
      </c>
    </row>
    <row r="75" customFormat="false" ht="15" hidden="false" customHeight="false" outlineLevel="0" collapsed="false">
      <c r="D75" s="32" t="s">
        <v>683</v>
      </c>
      <c r="E75" s="32"/>
      <c r="F75" s="32"/>
      <c r="G75" s="32"/>
      <c r="H75" s="33" t="n">
        <f aca="false">COUNTIF(G47:G74,"")</f>
        <v>1</v>
      </c>
    </row>
    <row r="76" customFormat="false" ht="15" hidden="false" customHeight="false" outlineLevel="0" collapsed="false">
      <c r="D76" s="32" t="s">
        <v>684</v>
      </c>
      <c r="E76" s="32"/>
      <c r="F76" s="32"/>
      <c r="G76" s="32"/>
      <c r="H76" s="33" t="n">
        <f aca="false">SUM(H47:H74)</f>
        <v>33125</v>
      </c>
    </row>
    <row r="77" customFormat="false" ht="15" hidden="false" customHeight="false" outlineLevel="0" collapsed="false">
      <c r="D77" s="32" t="s">
        <v>28</v>
      </c>
      <c r="E77" s="32"/>
      <c r="F77" s="32"/>
      <c r="G77" s="32"/>
      <c r="H77" s="33" t="n">
        <f aca="false">SUM(J47:J74)</f>
        <v>24860</v>
      </c>
    </row>
    <row r="78" customFormat="false" ht="15" hidden="false" customHeight="false" outlineLevel="0" collapsed="false">
      <c r="D78" s="32" t="s">
        <v>685</v>
      </c>
      <c r="E78" s="32"/>
      <c r="F78" s="32"/>
      <c r="G78" s="32"/>
      <c r="H78" s="33" t="n">
        <f aca="false">COUNTIF(I47:I74,"")</f>
        <v>6</v>
      </c>
    </row>
    <row r="79" customFormat="false" ht="15" hidden="false" customHeight="false" outlineLevel="0" collapsed="false">
      <c r="D79" s="32" t="s">
        <v>686</v>
      </c>
      <c r="E79" s="32"/>
      <c r="F79" s="32"/>
      <c r="G79" s="32"/>
      <c r="H79" s="33" t="n">
        <f aca="false">SUMPRODUCT((I47:I74&lt;&gt;"")*H47:H74)-H77</f>
        <v>5390</v>
      </c>
    </row>
    <row r="80" customFormat="false" ht="15" hidden="false" customHeight="false" outlineLevel="0" collapsed="false">
      <c r="D80" s="32" t="s">
        <v>687</v>
      </c>
      <c r="E80" s="32"/>
      <c r="F80" s="32"/>
      <c r="G80" s="32"/>
      <c r="H80" s="33" t="n">
        <f aca="false">SUMIF(A47:A74,"Cahiers",F47:F74)</f>
        <v>13</v>
      </c>
    </row>
    <row r="81" customFormat="false" ht="15" hidden="false" customHeight="false" outlineLevel="0" collapsed="false">
      <c r="D81" s="32" t="s">
        <v>688</v>
      </c>
      <c r="E81" s="32"/>
      <c r="F81" s="32"/>
      <c r="G81" s="32"/>
      <c r="H81" s="34" t="n">
        <f aca="false">IF(H76=0,0,SUMIF(K47:K74,"&lt;&gt;Fixé",H47:H74)/H76)</f>
        <v>0.241509433962264</v>
      </c>
    </row>
    <row r="82" customFormat="false" ht="15" hidden="false" customHeight="false" outlineLevel="0" collapsed="false">
      <c r="D82" s="32" t="s">
        <v>689</v>
      </c>
      <c r="E82" s="32"/>
      <c r="F82" s="32"/>
      <c r="G82" s="32"/>
      <c r="H82" s="33" t="str">
        <f aca="false">IF(H75&gt;0,"Total incomplet : "&amp;H75&amp;" prix de vente à fournir",IF(H78&gt;0,"Coût incomplet : "&amp;H78&amp;" ligne(s) sans prix d'achat","Complet"))</f>
        <v>Total incomplet : 1 prix de vente à fournir</v>
      </c>
    </row>
    <row r="83" customFormat="false" ht="15" hidden="false" customHeight="false" outlineLevel="0" collapsed="false">
      <c r="D83" s="21" t="s">
        <v>696</v>
      </c>
      <c r="E83" s="21" t="str">
        <f aca="false">INDEX(Articles!$C$2:$C$148,MATCH("S020",Articles!$A$2:$A$148,0))</f>
        <v>Sac à dos bleu marine</v>
      </c>
      <c r="H83" s="41" t="n">
        <f aca="false">INDEX(Articles!$G$2:$G$148,MATCH("S020",Articles!$A$2:$A$148,0))</f>
        <v>7000</v>
      </c>
    </row>
    <row r="84" customFormat="false" ht="15" hidden="false" customHeight="false" outlineLevel="0" collapsed="false">
      <c r="D84" s="42" t="s">
        <v>697</v>
      </c>
      <c r="E84" s="43" t="s">
        <v>817</v>
      </c>
    </row>
    <row r="85" customFormat="false" ht="15" hidden="false" customHeight="false" outlineLevel="0" collapsed="false">
      <c r="E85" s="43" t="s">
        <v>797</v>
      </c>
    </row>
    <row r="86" customFormat="false" ht="15" hidden="false" customHeight="false" outlineLevel="0" collapsed="false">
      <c r="E86" s="43" t="s">
        <v>818</v>
      </c>
    </row>
    <row r="89" customFormat="false" ht="15" hidden="false" customHeight="false" outlineLevel="0" collapsed="false">
      <c r="A89" s="28" t="s">
        <v>819</v>
      </c>
      <c r="B89" s="29"/>
      <c r="C89" s="29"/>
      <c r="D89" s="29"/>
      <c r="E89" s="29"/>
      <c r="F89" s="29"/>
      <c r="G89" s="29"/>
      <c r="H89" s="29"/>
      <c r="I89" s="29"/>
      <c r="J89" s="29"/>
      <c r="K89" s="29"/>
      <c r="L89" s="29"/>
      <c r="M89" s="29"/>
      <c r="N89" s="29"/>
    </row>
    <row r="90" customFormat="false" ht="39.55" hidden="false" customHeight="false" outlineLevel="0" collapsed="false">
      <c r="A90" s="30" t="s">
        <v>663</v>
      </c>
      <c r="B90" s="30" t="s">
        <v>664</v>
      </c>
      <c r="C90" s="30" t="s">
        <v>348</v>
      </c>
      <c r="D90" s="30" t="s">
        <v>350</v>
      </c>
      <c r="E90" s="30" t="s">
        <v>349</v>
      </c>
      <c r="F90" s="30" t="s">
        <v>665</v>
      </c>
      <c r="G90" s="30" t="s">
        <v>666</v>
      </c>
      <c r="H90" s="30" t="s">
        <v>667</v>
      </c>
      <c r="I90" s="30" t="s">
        <v>668</v>
      </c>
      <c r="J90" s="30" t="s">
        <v>669</v>
      </c>
      <c r="K90" s="30" t="s">
        <v>355</v>
      </c>
      <c r="L90" s="30" t="s">
        <v>353</v>
      </c>
      <c r="M90" s="30" t="s">
        <v>356</v>
      </c>
      <c r="N90" s="30" t="s">
        <v>670</v>
      </c>
    </row>
    <row r="91" customFormat="false" ht="15" hidden="false" customHeight="false" outlineLevel="0" collapsed="false">
      <c r="A91" s="9" t="s">
        <v>671</v>
      </c>
      <c r="B91" s="9" t="s">
        <v>737</v>
      </c>
      <c r="C91" s="31" t="s">
        <v>213</v>
      </c>
      <c r="D91" s="9" t="str">
        <f aca="false">INDEX(Articles!$C$2:$C$148,MATCH(C91,Articles!$A$2:$A$148,0))</f>
        <v>Cahier Calligraphe 192 pages 24x32 (grand format)</v>
      </c>
      <c r="E91" s="9" t="str">
        <f aca="false">INDEX(Articles!$B$2:$B$148,MATCH(C91,Articles!$A$2:$A$148,0))</f>
        <v>Papex</v>
      </c>
      <c r="F91" s="31" t="n">
        <v>1</v>
      </c>
      <c r="G91" s="13" t="n">
        <f aca="false">IF(INDEX(Articles!$G$2:$G$148,MATCH(C91,Articles!$A$2:$A$148,0))="","",INDEX(Articles!$G$2:$G$148,MATCH(C91,Articles!$A$2:$A$148,0)))</f>
        <v>1650</v>
      </c>
      <c r="H91" s="13" t="n">
        <f aca="false">IF(G91="",0,F91*G91)</f>
        <v>1650</v>
      </c>
      <c r="I91" s="13" t="n">
        <f aca="false">IF(INDEX(Articles!$E$2:$E$148,MATCH(C91,Articles!$A$2:$A$148,0))="","",INDEX(Articles!$E$2:$E$148,MATCH(C91,Articles!$A$2:$A$148,0)))</f>
        <v>1500</v>
      </c>
      <c r="J91" s="13" t="n">
        <f aca="false">IF(I91="","",F91*I91)</f>
        <v>1500</v>
      </c>
      <c r="K91" s="9" t="str">
        <f aca="false">INDEX(Articles!$H$2:$H$148,MATCH(C91,Articles!$A$2:$A$148,0))</f>
        <v>Fixé</v>
      </c>
      <c r="L91" s="9" t="str">
        <f aca="false">INDEX(Articles!$F$2:$F$148,MATCH(C91,Articles!$A$2:$A$148,0))</f>
        <v>Confirmé</v>
      </c>
      <c r="M91" s="17"/>
      <c r="N91" s="9" t="s">
        <v>167</v>
      </c>
    </row>
    <row r="92" customFormat="false" ht="15" hidden="false" customHeight="false" outlineLevel="0" collapsed="false">
      <c r="A92" s="9" t="s">
        <v>671</v>
      </c>
      <c r="B92" s="9" t="s">
        <v>739</v>
      </c>
      <c r="C92" s="31" t="s">
        <v>192</v>
      </c>
      <c r="D92" s="9" t="str">
        <f aca="false">INDEX(Articles!$C$2:$C$148,MATCH(C92,Articles!$A$2:$A$148,0))</f>
        <v>Cahier Calligraphe 192 pages 17x22 90 g seyès</v>
      </c>
      <c r="E92" s="9" t="str">
        <f aca="false">INDEX(Articles!$B$2:$B$148,MATCH(C92,Articles!$A$2:$A$148,0))</f>
        <v>Papex</v>
      </c>
      <c r="F92" s="31" t="n">
        <v>1</v>
      </c>
      <c r="G92" s="13" t="n">
        <f aca="false">IF(INDEX(Articles!$G$2:$G$148,MATCH(C92,Articles!$A$2:$A$148,0))="","",INDEX(Articles!$G$2:$G$148,MATCH(C92,Articles!$A$2:$A$148,0)))</f>
        <v>900</v>
      </c>
      <c r="H92" s="13" t="n">
        <f aca="false">IF(G92="",0,F92*G92)</f>
        <v>900</v>
      </c>
      <c r="I92" s="13" t="n">
        <f aca="false">IF(INDEX(Articles!$E$2:$E$148,MATCH(C92,Articles!$A$2:$A$148,0))="","",INDEX(Articles!$E$2:$E$148,MATCH(C92,Articles!$A$2:$A$148,0)))</f>
        <v>800</v>
      </c>
      <c r="J92" s="13" t="n">
        <f aca="false">IF(I92="","",F92*I92)</f>
        <v>800</v>
      </c>
      <c r="K92" s="9" t="str">
        <f aca="false">INDEX(Articles!$H$2:$H$148,MATCH(C92,Articles!$A$2:$A$148,0))</f>
        <v>Fixé</v>
      </c>
      <c r="L92" s="9" t="str">
        <f aca="false">INDEX(Articles!$F$2:$F$148,MATCH(C92,Articles!$A$2:$A$148,0))</f>
        <v>Confirmé</v>
      </c>
      <c r="M92" s="17"/>
      <c r="N92" s="9" t="s">
        <v>167</v>
      </c>
    </row>
    <row r="93" customFormat="false" ht="15" hidden="false" customHeight="false" outlineLevel="0" collapsed="false">
      <c r="A93" s="9" t="s">
        <v>671</v>
      </c>
      <c r="B93" s="9" t="s">
        <v>740</v>
      </c>
      <c r="C93" s="31" t="s">
        <v>192</v>
      </c>
      <c r="D93" s="9" t="str">
        <f aca="false">INDEX(Articles!$C$2:$C$148,MATCH(C93,Articles!$A$2:$A$148,0))</f>
        <v>Cahier Calligraphe 192 pages 17x22 90 g seyès</v>
      </c>
      <c r="E93" s="9" t="str">
        <f aca="false">INDEX(Articles!$B$2:$B$148,MATCH(C93,Articles!$A$2:$A$148,0))</f>
        <v>Papex</v>
      </c>
      <c r="F93" s="31" t="n">
        <v>1</v>
      </c>
      <c r="G93" s="13" t="n">
        <f aca="false">IF(INDEX(Articles!$G$2:$G$148,MATCH(C93,Articles!$A$2:$A$148,0))="","",INDEX(Articles!$G$2:$G$148,MATCH(C93,Articles!$A$2:$A$148,0)))</f>
        <v>900</v>
      </c>
      <c r="H93" s="13" t="n">
        <f aca="false">IF(G93="",0,F93*G93)</f>
        <v>900</v>
      </c>
      <c r="I93" s="13" t="n">
        <f aca="false">IF(INDEX(Articles!$E$2:$E$148,MATCH(C93,Articles!$A$2:$A$148,0))="","",INDEX(Articles!$E$2:$E$148,MATCH(C93,Articles!$A$2:$A$148,0)))</f>
        <v>800</v>
      </c>
      <c r="J93" s="13" t="n">
        <f aca="false">IF(I93="","",F93*I93)</f>
        <v>800</v>
      </c>
      <c r="K93" s="9" t="str">
        <f aca="false">INDEX(Articles!$H$2:$H$148,MATCH(C93,Articles!$A$2:$A$148,0))</f>
        <v>Fixé</v>
      </c>
      <c r="L93" s="9" t="str">
        <f aca="false">INDEX(Articles!$F$2:$F$148,MATCH(C93,Articles!$A$2:$A$148,0))</f>
        <v>Confirmé</v>
      </c>
      <c r="M93" s="17"/>
      <c r="N93" s="9" t="s">
        <v>167</v>
      </c>
    </row>
    <row r="94" customFormat="false" ht="15" hidden="false" customHeight="false" outlineLevel="0" collapsed="false">
      <c r="A94" s="9" t="s">
        <v>671</v>
      </c>
      <c r="B94" s="9" t="s">
        <v>741</v>
      </c>
      <c r="C94" s="31" t="s">
        <v>366</v>
      </c>
      <c r="D94" s="9" t="str">
        <f aca="false">INDEX(Articles!$C$2:$C$148,MATCH(C94,Articles!$A$2:$A$148,0))</f>
        <v>Cahier Calligraphe 140 pages 17x22 90 g seyès</v>
      </c>
      <c r="E94" s="9" t="str">
        <f aca="false">INDEX(Articles!$B$2:$B$148,MATCH(C94,Articles!$A$2:$A$148,0))</f>
        <v>Papex</v>
      </c>
      <c r="F94" s="31" t="n">
        <v>1</v>
      </c>
      <c r="G94" s="13" t="n">
        <f aca="false">IF(INDEX(Articles!$G$2:$G$148,MATCH(C94,Articles!$A$2:$A$148,0))="","",INDEX(Articles!$G$2:$G$148,MATCH(C94,Articles!$A$2:$A$148,0)))</f>
        <v>750</v>
      </c>
      <c r="H94" s="13" t="n">
        <f aca="false">IF(G94="",0,F94*G94)</f>
        <v>750</v>
      </c>
      <c r="I94" s="13" t="n">
        <f aca="false">IF(INDEX(Articles!$E$2:$E$148,MATCH(C94,Articles!$A$2:$A$148,0))="","",INDEX(Articles!$E$2:$E$148,MATCH(C94,Articles!$A$2:$A$148,0)))</f>
        <v>650</v>
      </c>
      <c r="J94" s="13" t="n">
        <f aca="false">IF(I94="","",F94*I94)</f>
        <v>650</v>
      </c>
      <c r="K94" s="9" t="str">
        <f aca="false">INDEX(Articles!$H$2:$H$148,MATCH(C94,Articles!$A$2:$A$148,0))</f>
        <v>Fixé</v>
      </c>
      <c r="L94" s="9" t="str">
        <f aca="false">INDEX(Articles!$F$2:$F$148,MATCH(C94,Articles!$A$2:$A$148,0))</f>
        <v>Estimé</v>
      </c>
      <c r="M94" s="17" t="s">
        <v>763</v>
      </c>
      <c r="N94" s="9" t="s">
        <v>167</v>
      </c>
    </row>
    <row r="95" customFormat="false" ht="15" hidden="false" customHeight="false" outlineLevel="0" collapsed="false">
      <c r="A95" s="9" t="s">
        <v>671</v>
      </c>
      <c r="B95" s="9" t="s">
        <v>742</v>
      </c>
      <c r="C95" s="31" t="s">
        <v>213</v>
      </c>
      <c r="D95" s="9" t="str">
        <f aca="false">INDEX(Articles!$C$2:$C$148,MATCH(C95,Articles!$A$2:$A$148,0))</f>
        <v>Cahier Calligraphe 192 pages 24x32 (grand format)</v>
      </c>
      <c r="E95" s="9" t="str">
        <f aca="false">INDEX(Articles!$B$2:$B$148,MATCH(C95,Articles!$A$2:$A$148,0))</f>
        <v>Papex</v>
      </c>
      <c r="F95" s="31" t="n">
        <v>1</v>
      </c>
      <c r="G95" s="13" t="n">
        <f aca="false">IF(INDEX(Articles!$G$2:$G$148,MATCH(C95,Articles!$A$2:$A$148,0))="","",INDEX(Articles!$G$2:$G$148,MATCH(C95,Articles!$A$2:$A$148,0)))</f>
        <v>1650</v>
      </c>
      <c r="H95" s="13" t="n">
        <f aca="false">IF(G95="",0,F95*G95)</f>
        <v>1650</v>
      </c>
      <c r="I95" s="13" t="n">
        <f aca="false">IF(INDEX(Articles!$E$2:$E$148,MATCH(C95,Articles!$A$2:$A$148,0))="","",INDEX(Articles!$E$2:$E$148,MATCH(C95,Articles!$A$2:$A$148,0)))</f>
        <v>1500</v>
      </c>
      <c r="J95" s="13" t="n">
        <f aca="false">IF(I95="","",F95*I95)</f>
        <v>1500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809</v>
      </c>
      <c r="C96" s="31" t="s">
        <v>366</v>
      </c>
      <c r="D96" s="9" t="str">
        <f aca="false">INDEX(Articles!$C$2:$C$148,MATCH(C96,Articles!$A$2:$A$148,0))</f>
        <v>Cahier Calligraphe 140 pages 17x22 90 g seyès</v>
      </c>
      <c r="E96" s="9" t="str">
        <f aca="false">INDEX(Articles!$B$2:$B$148,MATCH(C96,Articles!$A$2:$A$148,0))</f>
        <v>Papex</v>
      </c>
      <c r="F96" s="31" t="n">
        <v>2</v>
      </c>
      <c r="G96" s="13" t="n">
        <f aca="false">IF(INDEX(Articles!$G$2:$G$148,MATCH(C96,Articles!$A$2:$A$148,0))="","",INDEX(Articles!$G$2:$G$148,MATCH(C96,Articles!$A$2:$A$148,0)))</f>
        <v>750</v>
      </c>
      <c r="H96" s="13" t="n">
        <f aca="false">IF(G96="",0,F96*G96)</f>
        <v>1500</v>
      </c>
      <c r="I96" s="13" t="n">
        <f aca="false">IF(INDEX(Articles!$E$2:$E$148,MATCH(C96,Articles!$A$2:$A$148,0))="","",INDEX(Articles!$E$2:$E$148,MATCH(C96,Articles!$A$2:$A$148,0)))</f>
        <v>650</v>
      </c>
      <c r="J96" s="13" t="n">
        <f aca="false">IF(I96="","",F96*I96)</f>
        <v>1300</v>
      </c>
      <c r="K96" s="9" t="str">
        <f aca="false">INDEX(Articles!$H$2:$H$148,MATCH(C96,Articles!$A$2:$A$148,0))</f>
        <v>Fixé</v>
      </c>
      <c r="L96" s="9" t="str">
        <f aca="false">INDEX(Articles!$F$2:$F$148,MATCH(C96,Articles!$A$2:$A$148,0))</f>
        <v>Estimé</v>
      </c>
      <c r="M96" s="17" t="s">
        <v>763</v>
      </c>
      <c r="N96" s="9" t="s">
        <v>167</v>
      </c>
    </row>
    <row r="97" customFormat="false" ht="15" hidden="false" customHeight="false" outlineLevel="0" collapsed="false">
      <c r="A97" s="9" t="s">
        <v>671</v>
      </c>
      <c r="B97" s="9" t="s">
        <v>744</v>
      </c>
      <c r="C97" s="31" t="s">
        <v>213</v>
      </c>
      <c r="D97" s="9" t="str">
        <f aca="false">INDEX(Articles!$C$2:$C$148,MATCH(C97,Articles!$A$2:$A$148,0))</f>
        <v>Cahier Calligraphe 192 pages 24x32 (grand format)</v>
      </c>
      <c r="E97" s="9" t="str">
        <f aca="false">INDEX(Articles!$B$2:$B$148,MATCH(C97,Articles!$A$2:$A$148,0))</f>
        <v>Papex</v>
      </c>
      <c r="F97" s="31" t="n">
        <v>1</v>
      </c>
      <c r="G97" s="13" t="n">
        <f aca="false">IF(INDEX(Articles!$G$2:$G$148,MATCH(C97,Articles!$A$2:$A$148,0))="","",INDEX(Articles!$G$2:$G$148,MATCH(C97,Articles!$A$2:$A$148,0)))</f>
        <v>1650</v>
      </c>
      <c r="H97" s="13" t="n">
        <f aca="false">IF(G97="",0,F97*G97)</f>
        <v>1650</v>
      </c>
      <c r="I97" s="13" t="n">
        <f aca="false">IF(INDEX(Articles!$E$2:$E$148,MATCH(C97,Articles!$A$2:$A$148,0))="","",INDEX(Articles!$E$2:$E$148,MATCH(C97,Articles!$A$2:$A$148,0)))</f>
        <v>1500</v>
      </c>
      <c r="J97" s="13" t="n">
        <f aca="false">IF(I97="","",F97*I97)</f>
        <v>1500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671</v>
      </c>
      <c r="B98" s="9" t="s">
        <v>745</v>
      </c>
      <c r="C98" s="31" t="s">
        <v>213</v>
      </c>
      <c r="D98" s="9" t="str">
        <f aca="false">INDEX(Articles!$C$2:$C$148,MATCH(C98,Articles!$A$2:$A$148,0))</f>
        <v>Cahier Calligraphe 192 pages 24x32 (grand format)</v>
      </c>
      <c r="E98" s="9" t="str">
        <f aca="false">INDEX(Articles!$B$2:$B$148,MATCH(C98,Articles!$A$2:$A$148,0))</f>
        <v>Papex</v>
      </c>
      <c r="F98" s="31" t="n">
        <v>1</v>
      </c>
      <c r="G98" s="13" t="n">
        <f aca="false">IF(INDEX(Articles!$G$2:$G$148,MATCH(C98,Articles!$A$2:$A$148,0))="","",INDEX(Articles!$G$2:$G$148,MATCH(C98,Articles!$A$2:$A$148,0)))</f>
        <v>1650</v>
      </c>
      <c r="H98" s="13" t="n">
        <f aca="false">IF(G98="",0,F98*G98)</f>
        <v>1650</v>
      </c>
      <c r="I98" s="13" t="n">
        <f aca="false">IF(INDEX(Articles!$E$2:$E$148,MATCH(C98,Articles!$A$2:$A$148,0))="","",INDEX(Articles!$E$2:$E$148,MATCH(C98,Articles!$A$2:$A$148,0)))</f>
        <v>1500</v>
      </c>
      <c r="J98" s="13" t="n">
        <f aca="false">IF(I98="","",F98*I98)</f>
        <v>1500</v>
      </c>
      <c r="K98" s="9" t="str">
        <f aca="false">INDEX(Articles!$H$2:$H$148,MATCH(C98,Articles!$A$2:$A$148,0))</f>
        <v>Fixé</v>
      </c>
      <c r="L98" s="9" t="str">
        <f aca="false">INDEX(Articles!$F$2:$F$148,MATCH(C98,Articles!$A$2:$A$148,0))</f>
        <v>Confirmé</v>
      </c>
      <c r="M98" s="17"/>
      <c r="N98" s="9" t="s">
        <v>167</v>
      </c>
    </row>
    <row r="99" customFormat="false" ht="15" hidden="false" customHeight="false" outlineLevel="0" collapsed="false">
      <c r="A99" s="9" t="s">
        <v>671</v>
      </c>
      <c r="B99" s="9" t="s">
        <v>810</v>
      </c>
      <c r="C99" s="31" t="s">
        <v>366</v>
      </c>
      <c r="D99" s="9" t="str">
        <f aca="false">INDEX(Articles!$C$2:$C$148,MATCH(C99,Articles!$A$2:$A$148,0))</f>
        <v>Cahier Calligraphe 140 pages 17x22 90 g seyès</v>
      </c>
      <c r="E99" s="9" t="str">
        <f aca="false">INDEX(Articles!$B$2:$B$148,MATCH(C99,Articles!$A$2:$A$148,0))</f>
        <v>Papex</v>
      </c>
      <c r="F99" s="31" t="n">
        <v>2</v>
      </c>
      <c r="G99" s="13" t="n">
        <f aca="false">IF(INDEX(Articles!$G$2:$G$148,MATCH(C99,Articles!$A$2:$A$148,0))="","",INDEX(Articles!$G$2:$G$148,MATCH(C99,Articles!$A$2:$A$148,0)))</f>
        <v>750</v>
      </c>
      <c r="H99" s="13" t="n">
        <f aca="false">IF(G99="",0,F99*G99)</f>
        <v>1500</v>
      </c>
      <c r="I99" s="13" t="n">
        <f aca="false">IF(INDEX(Articles!$E$2:$E$148,MATCH(C99,Articles!$A$2:$A$148,0))="","",INDEX(Articles!$E$2:$E$148,MATCH(C99,Articles!$A$2:$A$148,0)))</f>
        <v>650</v>
      </c>
      <c r="J99" s="13" t="n">
        <f aca="false">IF(I99="","",F99*I99)</f>
        <v>1300</v>
      </c>
      <c r="K99" s="9" t="str">
        <f aca="false">INDEX(Articles!$H$2:$H$148,MATCH(C99,Articles!$A$2:$A$148,0))</f>
        <v>Fixé</v>
      </c>
      <c r="L99" s="9" t="str">
        <f aca="false">INDEX(Articles!$F$2:$F$148,MATCH(C99,Articles!$A$2:$A$148,0))</f>
        <v>Estimé</v>
      </c>
      <c r="M99" s="17" t="s">
        <v>763</v>
      </c>
      <c r="N99" s="9" t="s">
        <v>167</v>
      </c>
    </row>
    <row r="100" customFormat="false" ht="15" hidden="false" customHeight="false" outlineLevel="0" collapsed="false">
      <c r="A100" s="9" t="s">
        <v>671</v>
      </c>
      <c r="B100" s="9" t="s">
        <v>811</v>
      </c>
      <c r="C100" s="31" t="s">
        <v>192</v>
      </c>
      <c r="D100" s="9" t="str">
        <f aca="false">INDEX(Articles!$C$2:$C$148,MATCH(C100,Articles!$A$2:$A$148,0))</f>
        <v>Cahier Calligraphe 192 pages 17x22 90 g seyès</v>
      </c>
      <c r="E100" s="9" t="str">
        <f aca="false">INDEX(Articles!$B$2:$B$148,MATCH(C100,Articles!$A$2:$A$148,0))</f>
        <v>Papex</v>
      </c>
      <c r="F100" s="31" t="n">
        <v>1</v>
      </c>
      <c r="G100" s="13" t="n">
        <f aca="false">IF(INDEX(Articles!$G$2:$G$148,MATCH(C100,Articles!$A$2:$A$148,0))="","",INDEX(Articles!$G$2:$G$148,MATCH(C100,Articles!$A$2:$A$148,0)))</f>
        <v>900</v>
      </c>
      <c r="H100" s="13" t="n">
        <f aca="false">IF(G100="",0,F100*G100)</f>
        <v>900</v>
      </c>
      <c r="I100" s="13" t="n">
        <f aca="false">IF(INDEX(Articles!$E$2:$E$148,MATCH(C100,Articles!$A$2:$A$148,0))="","",INDEX(Articles!$E$2:$E$148,MATCH(C100,Articles!$A$2:$A$148,0)))</f>
        <v>800</v>
      </c>
      <c r="J100" s="13" t="n">
        <f aca="false">IF(I100="","",F100*I100)</f>
        <v>800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747</v>
      </c>
      <c r="C101" s="31" t="s">
        <v>366</v>
      </c>
      <c r="D101" s="9" t="str">
        <f aca="false">INDEX(Articles!$C$2:$C$148,MATCH(C101,Articles!$A$2:$A$148,0))</f>
        <v>Cahier Calligraphe 140 pages 17x22 90 g seyès</v>
      </c>
      <c r="E101" s="9" t="str">
        <f aca="false">INDEX(Articles!$B$2:$B$148,MATCH(C101,Articles!$A$2:$A$148,0))</f>
        <v>Papex</v>
      </c>
      <c r="F101" s="31" t="n">
        <v>1</v>
      </c>
      <c r="G101" s="13" t="n">
        <f aca="false">IF(INDEX(Articles!$G$2:$G$148,MATCH(C101,Articles!$A$2:$A$148,0))="","",INDEX(Articles!$G$2:$G$148,MATCH(C101,Articles!$A$2:$A$148,0)))</f>
        <v>750</v>
      </c>
      <c r="H101" s="13" t="n">
        <f aca="false">IF(G101="",0,F101*G101)</f>
        <v>750</v>
      </c>
      <c r="I101" s="13" t="n">
        <f aca="false">IF(INDEX(Articles!$E$2:$E$148,MATCH(C101,Articles!$A$2:$A$148,0))="","",INDEX(Articles!$E$2:$E$148,MATCH(C101,Articles!$A$2:$A$148,0)))</f>
        <v>650</v>
      </c>
      <c r="J101" s="13" t="n">
        <f aca="false">IF(I101="","",F101*I101)</f>
        <v>650</v>
      </c>
      <c r="K101" s="9" t="str">
        <f aca="false">INDEX(Articles!$H$2:$H$148,MATCH(C101,Articles!$A$2:$A$148,0))</f>
        <v>Fixé</v>
      </c>
      <c r="L101" s="9" t="str">
        <f aca="false">INDEX(Articles!$F$2:$F$148,MATCH(C101,Articles!$A$2:$A$148,0))</f>
        <v>Estimé</v>
      </c>
      <c r="M101" s="17" t="s">
        <v>763</v>
      </c>
      <c r="N101" s="9" t="s">
        <v>167</v>
      </c>
    </row>
    <row r="102" customFormat="false" ht="15" hidden="false" customHeight="false" outlineLevel="0" collapsed="false">
      <c r="A102" s="9" t="s">
        <v>681</v>
      </c>
      <c r="B102" s="9" t="s">
        <v>748</v>
      </c>
      <c r="C102" s="31" t="s">
        <v>177</v>
      </c>
      <c r="D102" s="9" t="str">
        <f aca="false">INDEX(Articles!$C$2:$C$148,MATCH(C102,Articles!$A$2:$A$148,0))</f>
        <v>Cahier de dessin TPG</v>
      </c>
      <c r="E102" s="9" t="str">
        <f aca="false">INDEX(Articles!$B$2:$B$148,MATCH(C102,Articles!$A$2:$A$148,0))</f>
        <v>LPD</v>
      </c>
      <c r="F102" s="31" t="n">
        <v>1</v>
      </c>
      <c r="G102" s="13" t="n">
        <f aca="false">IF(INDEX(Articles!$G$2:$G$148,MATCH(C102,Articles!$A$2:$A$148,0))="","",INDEX(Articles!$G$2:$G$148,MATCH(C102,Articles!$A$2:$A$148,0)))</f>
        <v>550</v>
      </c>
      <c r="H102" s="13" t="n">
        <f aca="false">IF(G102="",0,F102*G102)</f>
        <v>550</v>
      </c>
      <c r="I102" s="13" t="str">
        <f aca="false">IF(INDEX(Articles!$E$2:$E$148,MATCH(C102,Articles!$A$2:$A$148,0))="","",INDEX(Articles!$E$2:$E$148,MATCH(C102,Articles!$A$2:$A$148,0)))</f>
        <v/>
      </c>
      <c r="J102" s="13" t="str">
        <f aca="false">IF(I102="","",F102*I102)</f>
        <v/>
      </c>
      <c r="K102" s="9" t="str">
        <f aca="false">INDEX(Articles!$H$2:$H$148,MATCH(C102,Articles!$A$2:$A$148,0))</f>
        <v>Fixé</v>
      </c>
      <c r="L102" s="9" t="str">
        <f aca="false">INDEX(Articles!$F$2:$F$148,MATCH(C102,Articles!$A$2:$A$148,0))</f>
        <v>Inconnu</v>
      </c>
      <c r="M102" s="17"/>
      <c r="N102" s="9" t="s">
        <v>167</v>
      </c>
    </row>
    <row r="103" customFormat="false" ht="15" hidden="false" customHeight="false" outlineLevel="0" collapsed="false">
      <c r="A103" s="9" t="s">
        <v>678</v>
      </c>
      <c r="B103" s="9" t="s">
        <v>749</v>
      </c>
      <c r="C103" s="31" t="s">
        <v>222</v>
      </c>
      <c r="D103" s="9" t="str">
        <f aca="false">INDEX(Articles!$C$2:$C$148,MATCH(C103,Articles!$A$2:$A$148,0))</f>
        <v>Pack de 4 stylos Schneider Tops 505 M (bleu, noir, rouge, vert)</v>
      </c>
      <c r="E103" s="9" t="str">
        <f aca="false">INDEX(Articles!$B$2:$B$148,MATCH(C103,Articles!$A$2:$A$148,0))</f>
        <v>Papex</v>
      </c>
      <c r="F103" s="31" t="n">
        <v>1</v>
      </c>
      <c r="G103" s="13" t="n">
        <f aca="false">IF(INDEX(Articles!$G$2:$G$148,MATCH(C103,Articles!$A$2:$A$148,0))="","",INDEX(Articles!$G$2:$G$148,MATCH(C103,Articles!$A$2:$A$148,0)))</f>
        <v>400</v>
      </c>
      <c r="H103" s="13" t="n">
        <f aca="false">IF(G103="",0,F103*G103)</f>
        <v>400</v>
      </c>
      <c r="I103" s="13" t="str">
        <f aca="false">IF(INDEX(Articles!$E$2:$E$148,MATCH(C103,Articles!$A$2:$A$148,0))="","",INDEX(Articles!$E$2:$E$148,MATCH(C103,Articles!$A$2:$A$148,0)))</f>
        <v/>
      </c>
      <c r="J103" s="13" t="str">
        <f aca="false">IF(I103="","",F103*I103)</f>
        <v/>
      </c>
      <c r="K103" s="9" t="str">
        <f aca="false">INDEX(Articles!$H$2:$H$148,MATCH(C103,Articles!$A$2:$A$148,0))</f>
        <v>Fixé</v>
      </c>
      <c r="L103" s="9" t="str">
        <f aca="false">INDEX(Articles!$F$2:$F$148,MATCH(C103,Articles!$A$2:$A$148,0))</f>
        <v>Inconnu</v>
      </c>
      <c r="M103" s="17" t="s">
        <v>432</v>
      </c>
      <c r="N103" s="9" t="s">
        <v>167</v>
      </c>
    </row>
    <row r="104" customFormat="false" ht="15" hidden="false" customHeight="false" outlineLevel="0" collapsed="false">
      <c r="A104" s="9" t="s">
        <v>678</v>
      </c>
      <c r="B104" s="9" t="s">
        <v>750</v>
      </c>
      <c r="C104" s="31" t="s">
        <v>235</v>
      </c>
      <c r="D104" s="9" t="str">
        <f aca="false">INDEX(Articles!$C$2:$C$148,MATCH(C104,Articles!$A$2:$A$148,0))</f>
        <v>Crayon papier (vendu à l'unité)</v>
      </c>
      <c r="E104" s="9" t="str">
        <f aca="false">INDEX(Articles!$B$2:$B$148,MATCH(C104,Articles!$A$2:$A$148,0))</f>
        <v>LPD</v>
      </c>
      <c r="F104" s="31" t="n">
        <v>1</v>
      </c>
      <c r="G104" s="13" t="n">
        <f aca="false">IF(INDEX(Articles!$G$2:$G$148,MATCH(C104,Articles!$A$2:$A$148,0))="","",INDEX(Articles!$G$2:$G$148,MATCH(C104,Articles!$A$2:$A$148,0)))</f>
        <v>75</v>
      </c>
      <c r="H104" s="13" t="n">
        <f aca="false">IF(G104="",0,F104*G104)</f>
        <v>75</v>
      </c>
      <c r="I104" s="13" t="str">
        <f aca="false">IF(INDEX(Articles!$E$2:$E$148,MATCH(C104,Articles!$A$2:$A$148,0))="","",INDEX(Articles!$E$2:$E$148,MATCH(C104,Articles!$A$2:$A$148,0)))</f>
        <v/>
      </c>
      <c r="J104" s="13" t="str">
        <f aca="false">IF(I104="","",F104*I104)</f>
        <v/>
      </c>
      <c r="K104" s="9" t="str">
        <f aca="false">INDEX(Articles!$H$2:$H$148,MATCH(C104,Articles!$A$2:$A$148,0))</f>
        <v>Fixé</v>
      </c>
      <c r="L104" s="9" t="str">
        <f aca="false">INDEX(Articles!$F$2:$F$148,MATCH(C104,Articles!$A$2:$A$148,0))</f>
        <v>Inconnu</v>
      </c>
      <c r="M104" s="17"/>
      <c r="N104" s="9" t="s">
        <v>167</v>
      </c>
    </row>
    <row r="105" customFormat="false" ht="15" hidden="false" customHeight="false" outlineLevel="0" collapsed="false">
      <c r="A105" s="9" t="s">
        <v>675</v>
      </c>
      <c r="B105" s="9" t="s">
        <v>717</v>
      </c>
      <c r="C105" s="31" t="s">
        <v>180</v>
      </c>
      <c r="D105" s="9" t="str">
        <f aca="false">INDEX(Articles!$C$2:$C$148,MATCH(C105,Articles!$A$2:$A$148,0))</f>
        <v>Gomme Staedtler Mars Plastic</v>
      </c>
      <c r="E105" s="9" t="str">
        <f aca="false">INDEX(Articles!$B$2:$B$148,MATCH(C105,Articles!$A$2:$A$148,0))</f>
        <v>LPD</v>
      </c>
      <c r="F105" s="31" t="n">
        <v>1</v>
      </c>
      <c r="G105" s="13" t="n">
        <f aca="false">IF(INDEX(Articles!$G$2:$G$148,MATCH(C105,Articles!$A$2:$A$148,0))="","",INDEX(Articles!$G$2:$G$148,MATCH(C105,Articles!$A$2:$A$148,0)))</f>
        <v>250</v>
      </c>
      <c r="H105" s="13" t="n">
        <f aca="false">IF(G105="",0,F105*G105)</f>
        <v>250</v>
      </c>
      <c r="I105" s="13" t="n">
        <f aca="false">IF(INDEX(Articles!$E$2:$E$148,MATCH(C105,Articles!$A$2:$A$148,0))="","",INDEX(Articles!$E$2:$E$148,MATCH(C105,Articles!$A$2:$A$148,0)))</f>
        <v>110</v>
      </c>
      <c r="J105" s="13" t="n">
        <f aca="false">IF(I105="","",F105*I105)</f>
        <v>110</v>
      </c>
      <c r="K105" s="9" t="str">
        <f aca="false">INDEX(Articles!$H$2:$H$148,MATCH(C105,Articles!$A$2:$A$148,0))</f>
        <v>Fixé</v>
      </c>
      <c r="L105" s="9" t="str">
        <f aca="false">INDEX(Articles!$F$2:$F$148,MATCH(C105,Articles!$A$2:$A$148,0))</f>
        <v>Estimé</v>
      </c>
      <c r="M105" s="17"/>
      <c r="N105" s="9" t="s">
        <v>167</v>
      </c>
    </row>
    <row r="106" customFormat="false" ht="15" hidden="false" customHeight="false" outlineLevel="0" collapsed="false">
      <c r="A106" s="9" t="s">
        <v>675</v>
      </c>
      <c r="B106" s="9" t="s">
        <v>751</v>
      </c>
      <c r="C106" s="31" t="s">
        <v>183</v>
      </c>
      <c r="D106" s="9" t="str">
        <f aca="false">INDEX(Articles!$C$2:$C$148,MATCH(C106,Articles!$A$2:$A$148,0))</f>
        <v>Taille-crayon avec réservoir Maped</v>
      </c>
      <c r="E106" s="9" t="str">
        <f aca="false">INDEX(Articles!$B$2:$B$148,MATCH(C106,Articles!$A$2:$A$148,0))</f>
        <v>Papex</v>
      </c>
      <c r="F106" s="31" t="n">
        <v>1</v>
      </c>
      <c r="G106" s="13" t="n">
        <f aca="false">IF(INDEX(Articles!$G$2:$G$148,MATCH(C106,Articles!$A$2:$A$148,0))="","",INDEX(Articles!$G$2:$G$148,MATCH(C106,Articles!$A$2:$A$148,0)))</f>
        <v>500</v>
      </c>
      <c r="H106" s="13" t="n">
        <f aca="false">IF(G106="",0,F106*G106)</f>
        <v>500</v>
      </c>
      <c r="I106" s="13" t="n">
        <f aca="false">IF(INDEX(Articles!$E$2:$E$148,MATCH(C106,Articles!$A$2:$A$148,0))="","",INDEX(Articles!$E$2:$E$148,MATCH(C106,Articles!$A$2:$A$148,0)))</f>
        <v>350</v>
      </c>
      <c r="J106" s="13" t="n">
        <f aca="false">IF(I106="","",F106*I106)</f>
        <v>350</v>
      </c>
      <c r="K106" s="9" t="str">
        <f aca="false">INDEX(Articles!$H$2:$H$148,MATCH(C106,Articles!$A$2:$A$148,0))</f>
        <v>Estimé</v>
      </c>
      <c r="L106" s="9" t="str">
        <f aca="false">INDEX(Articles!$F$2:$F$148,MATCH(C106,Articles!$A$2:$A$148,0))</f>
        <v>Estimé</v>
      </c>
      <c r="M106" s="17" t="s">
        <v>765</v>
      </c>
      <c r="N106" s="9" t="s">
        <v>167</v>
      </c>
    </row>
    <row r="107" customFormat="false" ht="15" hidden="false" customHeight="false" outlineLevel="0" collapsed="false">
      <c r="A107" s="9" t="s">
        <v>675</v>
      </c>
      <c r="B107" s="9" t="s">
        <v>753</v>
      </c>
      <c r="C107" s="31" t="s">
        <v>248</v>
      </c>
      <c r="D107" s="9" t="str">
        <f aca="false">INDEX(Articles!$C$2:$C$148,MATCH(C107,Articles!$A$2:$A$148,0))</f>
        <v>Bâton de colle Giotto 20 g</v>
      </c>
      <c r="E107" s="9" t="str">
        <f aca="false">INDEX(Articles!$B$2:$B$148,MATCH(C107,Articles!$A$2:$A$148,0))</f>
        <v>Papex</v>
      </c>
      <c r="F107" s="31" t="n">
        <v>1</v>
      </c>
      <c r="G107" s="13" t="n">
        <f aca="false">IF(INDEX(Articles!$G$2:$G$148,MATCH(C107,Articles!$A$2:$A$148,0))="","",INDEX(Articles!$G$2:$G$148,MATCH(C107,Articles!$A$2:$A$148,0)))</f>
        <v>900</v>
      </c>
      <c r="H107" s="13" t="n">
        <f aca="false">IF(G107="",0,F107*G107)</f>
        <v>900</v>
      </c>
      <c r="I107" s="13" t="n">
        <f aca="false">IF(INDEX(Articles!$E$2:$E$148,MATCH(C107,Articles!$A$2:$A$148,0))="","",INDEX(Articles!$E$2:$E$148,MATCH(C107,Articles!$A$2:$A$148,0)))</f>
        <v>650</v>
      </c>
      <c r="J107" s="13" t="n">
        <f aca="false">IF(I107="","",F107*I107)</f>
        <v>650</v>
      </c>
      <c r="K107" s="9" t="str">
        <f aca="false">INDEX(Articles!$H$2:$H$148,MATCH(C107,Articles!$A$2:$A$148,0))</f>
        <v>Estimé</v>
      </c>
      <c r="L107" s="9" t="str">
        <f aca="false">INDEX(Articles!$F$2:$F$148,MATCH(C107,Articles!$A$2:$A$148,0))</f>
        <v>Estimé</v>
      </c>
      <c r="M107" s="17"/>
      <c r="N107" s="9" t="s">
        <v>167</v>
      </c>
    </row>
    <row r="108" customFormat="false" ht="15" hidden="false" customHeight="false" outlineLevel="0" collapsed="false">
      <c r="A108" s="9" t="s">
        <v>675</v>
      </c>
      <c r="B108" s="9" t="s">
        <v>754</v>
      </c>
      <c r="C108" s="31" t="s">
        <v>189</v>
      </c>
      <c r="D108" s="9" t="str">
        <f aca="false">INDEX(Articles!$C$2:$C$148,MATCH(C108,Articles!$A$2:$A$148,0))</f>
        <v>Ciseaux Maped 13 cm Security</v>
      </c>
      <c r="E108" s="9" t="str">
        <f aca="false">INDEX(Articles!$B$2:$B$148,MATCH(C108,Articles!$A$2:$A$148,0))</f>
        <v>Papex</v>
      </c>
      <c r="F108" s="31" t="n">
        <v>1</v>
      </c>
      <c r="G108" s="13" t="n">
        <f aca="false">IF(INDEX(Articles!$G$2:$G$148,MATCH(C108,Articles!$A$2:$A$148,0))="","",INDEX(Articles!$G$2:$G$148,MATCH(C108,Articles!$A$2:$A$148,0)))</f>
        <v>900</v>
      </c>
      <c r="H108" s="13" t="n">
        <f aca="false">IF(G108="",0,F108*G108)</f>
        <v>900</v>
      </c>
      <c r="I108" s="13" t="n">
        <f aca="false">IF(INDEX(Articles!$E$2:$E$148,MATCH(C108,Articles!$A$2:$A$148,0))="","",INDEX(Articles!$E$2:$E$148,MATCH(C108,Articles!$A$2:$A$148,0)))</f>
        <v>650</v>
      </c>
      <c r="J108" s="13" t="n">
        <f aca="false">IF(I108="","",F108*I108)</f>
        <v>650</v>
      </c>
      <c r="K108" s="9" t="str">
        <f aca="false">INDEX(Articles!$H$2:$H$148,MATCH(C108,Articles!$A$2:$A$148,0))</f>
        <v>Estimé</v>
      </c>
      <c r="L108" s="9" t="str">
        <f aca="false">INDEX(Articles!$F$2:$F$148,MATCH(C108,Articles!$A$2:$A$148,0))</f>
        <v>Estimé</v>
      </c>
      <c r="M108" s="17"/>
      <c r="N108" s="9" t="s">
        <v>167</v>
      </c>
    </row>
    <row r="109" customFormat="false" ht="15" hidden="false" customHeight="false" outlineLevel="0" collapsed="false">
      <c r="A109" s="9" t="s">
        <v>676</v>
      </c>
      <c r="B109" s="9" t="s">
        <v>755</v>
      </c>
      <c r="C109" s="31" t="s">
        <v>215</v>
      </c>
      <c r="D109" s="9" t="str">
        <f aca="false">INDEX(Articles!$C$2:$C$148,MATCH(C109,Articles!$A$2:$A$148,0))</f>
        <v>Kit géométrie Maped 30 cm (réf. 1930)</v>
      </c>
      <c r="E109" s="9" t="str">
        <f aca="false">INDEX(Articles!$B$2:$B$148,MATCH(C109,Articles!$A$2:$A$148,0))</f>
        <v>LPD</v>
      </c>
      <c r="F109" s="31" t="n">
        <v>1</v>
      </c>
      <c r="G109" s="13" t="n">
        <f aca="false">IF(INDEX(Articles!$G$2:$G$148,MATCH(C109,Articles!$A$2:$A$148,0))="","",INDEX(Articles!$G$2:$G$148,MATCH(C109,Articles!$A$2:$A$148,0)))</f>
        <v>1800</v>
      </c>
      <c r="H109" s="13" t="n">
        <f aca="false">IF(G109="",0,F109*G109)</f>
        <v>1800</v>
      </c>
      <c r="I109" s="13" t="n">
        <f aca="false">IF(INDEX(Articles!$E$2:$E$148,MATCH(C109,Articles!$A$2:$A$148,0))="","",INDEX(Articles!$E$2:$E$148,MATCH(C109,Articles!$A$2:$A$148,0)))</f>
        <v>1500</v>
      </c>
      <c r="J109" s="13" t="n">
        <f aca="false">IF(I109="","",F109*I109)</f>
        <v>1500</v>
      </c>
      <c r="K109" s="9" t="str">
        <f aca="false">INDEX(Articles!$H$2:$H$148,MATCH(C109,Articles!$A$2:$A$148,0))</f>
        <v>À trancher</v>
      </c>
      <c r="L109" s="9" t="str">
        <f aca="false">INDEX(Articles!$F$2:$F$148,MATCH(C109,Articles!$A$2:$A$148,0))</f>
        <v>Confirmé</v>
      </c>
      <c r="M109" s="17"/>
      <c r="N109" s="9" t="s">
        <v>167</v>
      </c>
    </row>
    <row r="110" customFormat="false" ht="15" hidden="false" customHeight="false" outlineLevel="0" collapsed="false">
      <c r="A110" s="9" t="s">
        <v>676</v>
      </c>
      <c r="B110" s="9" t="s">
        <v>756</v>
      </c>
      <c r="C110" s="31" t="s">
        <v>171</v>
      </c>
      <c r="D110" s="9" t="str">
        <f aca="false">INDEX(Articles!$C$2:$C$148,MATCH(C110,Articles!$A$2:$A$148,0))</f>
        <v>Compas Maped</v>
      </c>
      <c r="E110" s="9" t="str">
        <f aca="false">INDEX(Articles!$B$2:$B$148,MATCH(C110,Articles!$A$2:$A$148,0))</f>
        <v>Papex</v>
      </c>
      <c r="F110" s="31" t="n">
        <v>1</v>
      </c>
      <c r="G110" s="13" t="n">
        <f aca="false">IF(INDEX(Articles!$G$2:$G$148,MATCH(C110,Articles!$A$2:$A$148,0))="","",INDEX(Articles!$G$2:$G$148,MATCH(C110,Articles!$A$2:$A$148,0)))</f>
        <v>2000</v>
      </c>
      <c r="H110" s="13" t="n">
        <f aca="false">IF(G110="",0,F110*G110)</f>
        <v>2000</v>
      </c>
      <c r="I110" s="13" t="n">
        <f aca="false">IF(INDEX(Articles!$E$2:$E$148,MATCH(C110,Articles!$A$2:$A$148,0))="","",INDEX(Articles!$E$2:$E$148,MATCH(C110,Articles!$A$2:$A$148,0)))</f>
        <v>1750</v>
      </c>
      <c r="J110" s="13" t="n">
        <f aca="false">IF(I110="","",F110*I110)</f>
        <v>1750</v>
      </c>
      <c r="K110" s="9" t="str">
        <f aca="false">INDEX(Articles!$H$2:$H$148,MATCH(C110,Articles!$A$2:$A$148,0))</f>
        <v>Fixé</v>
      </c>
      <c r="L110" s="9" t="str">
        <f aca="false">INDEX(Articles!$F$2:$F$148,MATCH(C110,Articles!$A$2:$A$148,0))</f>
        <v>Confirmé</v>
      </c>
      <c r="M110" s="17"/>
      <c r="N110" s="9" t="s">
        <v>167</v>
      </c>
    </row>
    <row r="111" customFormat="false" ht="15" hidden="false" customHeight="false" outlineLevel="0" collapsed="false">
      <c r="A111" s="9" t="s">
        <v>681</v>
      </c>
      <c r="B111" s="9" t="s">
        <v>757</v>
      </c>
      <c r="C111" s="31" t="s">
        <v>198</v>
      </c>
      <c r="D111" s="9" t="str">
        <f aca="false">INDEX(Articles!$C$2:$C$148,MATCH(C111,Articles!$A$2:$A$148,0))</f>
        <v>Crayons de couleur Maped, boîte de 12</v>
      </c>
      <c r="E111" s="9" t="str">
        <f aca="false">INDEX(Articles!$B$2:$B$148,MATCH(C111,Articles!$A$2:$A$148,0))</f>
        <v>Papex</v>
      </c>
      <c r="F111" s="31" t="n">
        <v>1</v>
      </c>
      <c r="G111" s="13" t="n">
        <f aca="false">IF(INDEX(Articles!$G$2:$G$148,MATCH(C111,Articles!$A$2:$A$148,0))="","",INDEX(Articles!$G$2:$G$148,MATCH(C111,Articles!$A$2:$A$148,0)))</f>
        <v>900</v>
      </c>
      <c r="H111" s="13" t="n">
        <f aca="false">IF(G111="",0,F111*G111)</f>
        <v>900</v>
      </c>
      <c r="I111" s="13" t="n">
        <f aca="false">IF(INDEX(Articles!$E$2:$E$148,MATCH(C111,Articles!$A$2:$A$148,0))="","",INDEX(Articles!$E$2:$E$148,MATCH(C111,Articles!$A$2:$A$148,0)))</f>
        <v>650</v>
      </c>
      <c r="J111" s="13" t="n">
        <f aca="false">IF(I111="","",F111*I111)</f>
        <v>650</v>
      </c>
      <c r="K111" s="9" t="str">
        <f aca="false">INDEX(Articles!$H$2:$H$148,MATCH(C111,Articles!$A$2:$A$148,0))</f>
        <v>Estimé</v>
      </c>
      <c r="L111" s="9" t="str">
        <f aca="false">INDEX(Articles!$F$2:$F$148,MATCH(C111,Articles!$A$2:$A$148,0))</f>
        <v>Estimé</v>
      </c>
      <c r="M111" s="17"/>
      <c r="N111" s="9" t="s">
        <v>167</v>
      </c>
    </row>
    <row r="112" customFormat="false" ht="15" hidden="false" customHeight="false" outlineLevel="0" collapsed="false">
      <c r="A112" s="9" t="s">
        <v>678</v>
      </c>
      <c r="B112" s="9" t="s">
        <v>766</v>
      </c>
      <c r="C112" s="31" t="s">
        <v>200</v>
      </c>
      <c r="D112" s="9" t="str">
        <f aca="false">INDEX(Articles!$C$2:$C$148,MATCH(C112,Articles!$A$2:$A$148,0))</f>
        <v>Surligneurs Maped Fluo Peps, pochette de 4</v>
      </c>
      <c r="E112" s="9" t="str">
        <f aca="false">INDEX(Articles!$B$2:$B$148,MATCH(C112,Articles!$A$2:$A$148,0))</f>
        <v>Papex</v>
      </c>
      <c r="F112" s="31" t="n">
        <v>1</v>
      </c>
      <c r="G112" s="13" t="n">
        <f aca="false">IF(INDEX(Articles!$G$2:$G$148,MATCH(C112,Articles!$A$2:$A$148,0))="","",INDEX(Articles!$G$2:$G$148,MATCH(C112,Articles!$A$2:$A$148,0)))</f>
        <v>2500</v>
      </c>
      <c r="H112" s="13" t="n">
        <f aca="false">IF(G112="",0,F112*G112)</f>
        <v>2500</v>
      </c>
      <c r="I112" s="13" t="n">
        <f aca="false">IF(INDEX(Articles!$E$2:$E$148,MATCH(C112,Articles!$A$2:$A$148,0))="","",INDEX(Articles!$E$2:$E$148,MATCH(C112,Articles!$A$2:$A$148,0)))</f>
        <v>2000</v>
      </c>
      <c r="J112" s="13" t="n">
        <f aca="false">IF(I112="","",F112*I112)</f>
        <v>2000</v>
      </c>
      <c r="K112" s="9" t="str">
        <f aca="false">INDEX(Articles!$H$2:$H$148,MATCH(C112,Articles!$A$2:$A$148,0))</f>
        <v>Estimé</v>
      </c>
      <c r="L112" s="9" t="str">
        <f aca="false">INDEX(Articles!$F$2:$F$148,MATCH(C112,Articles!$A$2:$A$148,0))</f>
        <v>Confirmé</v>
      </c>
      <c r="M112" s="17" t="s">
        <v>767</v>
      </c>
      <c r="N112" s="9" t="s">
        <v>167</v>
      </c>
    </row>
    <row r="113" customFormat="false" ht="15" hidden="false" customHeight="false" outlineLevel="0" collapsed="false">
      <c r="A113" s="9" t="s">
        <v>768</v>
      </c>
      <c r="B113" s="9" t="s">
        <v>769</v>
      </c>
      <c r="C113" s="31" t="s">
        <v>446</v>
      </c>
      <c r="D113" s="9" t="str">
        <f aca="false">INDEX(Articles!$C$2:$C$148,MATCH(C113,Articles!$A$2:$A$148,0))</f>
        <v>Chemise 3 rabats à élastique</v>
      </c>
      <c r="E113" s="9" t="str">
        <f aca="false">INDEX(Articles!$B$2:$B$148,MATCH(C113,Articles!$A$2:$A$148,0))</f>
        <v>Papex</v>
      </c>
      <c r="F113" s="31" t="n">
        <v>1</v>
      </c>
      <c r="G113" s="13" t="n">
        <f aca="false">IF(INDEX(Articles!$G$2:$G$148,MATCH(C113,Articles!$A$2:$A$148,0))="","",INDEX(Articles!$G$2:$G$148,MATCH(C113,Articles!$A$2:$A$148,0)))</f>
        <v>500</v>
      </c>
      <c r="H113" s="13" t="n">
        <f aca="false">IF(G113="",0,F113*G113)</f>
        <v>500</v>
      </c>
      <c r="I113" s="13" t="str">
        <f aca="false">IF(INDEX(Articles!$E$2:$E$148,MATCH(C113,Articles!$A$2:$A$148,0))="","",INDEX(Articles!$E$2:$E$148,MATCH(C113,Articles!$A$2:$A$148,0)))</f>
        <v/>
      </c>
      <c r="J113" s="13" t="str">
        <f aca="false">IF(I113="","",F113*I113)</f>
        <v/>
      </c>
      <c r="K113" s="9" t="str">
        <f aca="false">INDEX(Articles!$H$2:$H$148,MATCH(C113,Articles!$A$2:$A$148,0))</f>
        <v>Estimé</v>
      </c>
      <c r="L113" s="9" t="str">
        <f aca="false">INDEX(Articles!$F$2:$F$148,MATCH(C113,Articles!$A$2:$A$148,0))</f>
        <v>Inconnu</v>
      </c>
      <c r="M113" s="17" t="s">
        <v>770</v>
      </c>
      <c r="N113" s="9" t="s">
        <v>167</v>
      </c>
    </row>
    <row r="114" customFormat="false" ht="15" hidden="false" customHeight="false" outlineLevel="0" collapsed="false">
      <c r="A114" s="9" t="s">
        <v>676</v>
      </c>
      <c r="B114" s="9" t="s">
        <v>812</v>
      </c>
      <c r="C114" s="31" t="s">
        <v>205</v>
      </c>
      <c r="D114" s="9" t="str">
        <f aca="false">INDEX(Articles!$C$2:$C$148,MATCH(C114,Articles!$A$2:$A$148,0))</f>
        <v>Calculatrice Casio fx-92 Collège</v>
      </c>
      <c r="E114" s="9" t="str">
        <f aca="false">INDEX(Articles!$B$2:$B$148,MATCH(C114,Articles!$A$2:$A$148,0))</f>
        <v>Papex</v>
      </c>
      <c r="F114" s="31" t="n">
        <v>1</v>
      </c>
      <c r="G114" s="13" t="n">
        <f aca="false">IF(INDEX(Articles!$G$2:$G$148,MATCH(C114,Articles!$A$2:$A$148,0))="","",INDEX(Articles!$G$2:$G$148,MATCH(C114,Articles!$A$2:$A$148,0)))</f>
        <v>8000</v>
      </c>
      <c r="H114" s="13" t="n">
        <f aca="false">IF(G114="",0,F114*G114)</f>
        <v>8000</v>
      </c>
      <c r="I114" s="13" t="n">
        <f aca="false">IF(INDEX(Articles!$E$2:$E$148,MATCH(C114,Articles!$A$2:$A$148,0))="","",INDEX(Articles!$E$2:$E$148,MATCH(C114,Articles!$A$2:$A$148,0)))</f>
        <v>7000</v>
      </c>
      <c r="J114" s="13" t="n">
        <f aca="false">IF(I114="","",F114*I114)</f>
        <v>7000</v>
      </c>
      <c r="K114" s="9" t="str">
        <f aca="false">INDEX(Articles!$H$2:$H$148,MATCH(C114,Articles!$A$2:$A$148,0))</f>
        <v>Fixé</v>
      </c>
      <c r="L114" s="9" t="str">
        <f aca="false">INDEX(Articles!$F$2:$F$148,MATCH(C114,Articles!$A$2:$A$148,0))</f>
        <v>Confirmé</v>
      </c>
      <c r="M114" s="17" t="s">
        <v>820</v>
      </c>
      <c r="N114" s="9" t="s">
        <v>167</v>
      </c>
    </row>
    <row r="115" customFormat="false" ht="15" hidden="false" customHeight="false" outlineLevel="0" collapsed="false">
      <c r="A115" s="9" t="s">
        <v>758</v>
      </c>
      <c r="B115" s="9" t="s">
        <v>759</v>
      </c>
      <c r="C115" s="31" t="s">
        <v>376</v>
      </c>
      <c r="D115" s="9" t="str">
        <f aca="false">INDEX(Articles!$C$2:$C$148,MATCH(C115,Articles!$A$2:$A$148,0))</f>
        <v>Paquet de copies doubles grand format</v>
      </c>
      <c r="E115" s="9" t="str">
        <f aca="false">INDEX(Articles!$B$2:$B$148,MATCH(C115,Articles!$A$2:$A$148,0))</f>
        <v>À préciser</v>
      </c>
      <c r="F115" s="31" t="n">
        <v>1</v>
      </c>
      <c r="G115" s="45" t="n">
        <f aca="false">IF(INDEX(Articles!$G$2:$G$148,MATCH(C115,Articles!$A$2:$A$148,0))="","",INDEX(Articles!$G$2:$G$148,MATCH(C115,Articles!$A$2:$A$148,0)))</f>
        <v>1800</v>
      </c>
      <c r="H115" s="13" t="n">
        <f aca="false">IF(G115="",0,F115*G115)</f>
        <v>1800</v>
      </c>
      <c r="I115" s="13" t="n">
        <f aca="false">IF(INDEX(Articles!$E$2:$E$148,MATCH(C115,Articles!$A$2:$A$148,0))="","",INDEX(Articles!$E$2:$E$148,MATCH(C115,Articles!$A$2:$A$148,0)))</f>
        <v>1300</v>
      </c>
      <c r="J115" s="13" t="n">
        <f aca="false">IF(I115="","",F115*I115)</f>
        <v>1300</v>
      </c>
      <c r="K115" s="9" t="str">
        <f aca="false">INDEX(Articles!$H$2:$H$148,MATCH(C115,Articles!$A$2:$A$148,0))</f>
        <v>Fixé</v>
      </c>
      <c r="L115" s="9" t="str">
        <f aca="false">INDEX(Articles!$F$2:$F$148,MATCH(C115,Articles!$A$2:$A$148,0))</f>
        <v>Confirmé</v>
      </c>
      <c r="M115" s="17"/>
      <c r="N115" s="9" t="s">
        <v>167</v>
      </c>
    </row>
    <row r="116" customFormat="false" ht="15" hidden="false" customHeight="false" outlineLevel="0" collapsed="false">
      <c r="A116" s="9" t="s">
        <v>771</v>
      </c>
      <c r="B116" s="9" t="s">
        <v>772</v>
      </c>
      <c r="C116" s="31" t="s">
        <v>160</v>
      </c>
      <c r="D116" s="9" t="str">
        <f aca="false">INDEX(Articles!$C$2:$C$148,MATCH(C116,Articles!$A$2:$A$148,0))</f>
        <v>Protège-cahier couleur petit format (à l'unité)</v>
      </c>
      <c r="E116" s="9" t="str">
        <f aca="false">INDEX(Articles!$B$2:$B$148,MATCH(C116,Articles!$A$2:$A$148,0))</f>
        <v>LPD</v>
      </c>
      <c r="F116" s="31" t="n">
        <v>9</v>
      </c>
      <c r="G116" s="13" t="n">
        <f aca="false">IF(INDEX(Articles!$G$2:$G$148,MATCH(C116,Articles!$A$2:$A$148,0))="","",INDEX(Articles!$G$2:$G$148,MATCH(C116,Articles!$A$2:$A$148,0)))</f>
        <v>150</v>
      </c>
      <c r="H116" s="13" t="n">
        <f aca="false">IF(G116="",0,F116*G116)</f>
        <v>1350</v>
      </c>
      <c r="I116" s="13" t="str">
        <f aca="false">IF(INDEX(Articles!$E$2:$E$148,MATCH(C116,Articles!$A$2:$A$148,0))="","",INDEX(Articles!$E$2:$E$148,MATCH(C116,Articles!$A$2:$A$148,0)))</f>
        <v/>
      </c>
      <c r="J116" s="13" t="str">
        <f aca="false">IF(I116="","",F116*I116)</f>
        <v/>
      </c>
      <c r="K116" s="9" t="str">
        <f aca="false">INDEX(Articles!$H$2:$H$148,MATCH(C116,Articles!$A$2:$A$148,0))</f>
        <v>Fixé</v>
      </c>
      <c r="L116" s="9" t="str">
        <f aca="false">INDEX(Articles!$F$2:$F$148,MATCH(C116,Articles!$A$2:$A$148,0))</f>
        <v>Inconnu</v>
      </c>
      <c r="M116" s="17"/>
      <c r="N116" s="9" t="s">
        <v>167</v>
      </c>
    </row>
    <row r="117" customFormat="false" ht="15" hidden="false" customHeight="false" outlineLevel="0" collapsed="false">
      <c r="A117" s="9" t="s">
        <v>771</v>
      </c>
      <c r="B117" s="9" t="s">
        <v>773</v>
      </c>
      <c r="C117" s="31" t="s">
        <v>419</v>
      </c>
      <c r="D117" s="9" t="str">
        <f aca="false">INDEX(Articles!$C$2:$C$148,MATCH(C117,Articles!$A$2:$A$148,0))</f>
        <v>Protège-cahier grand format (à l'unité)</v>
      </c>
      <c r="E117" s="9" t="str">
        <f aca="false">INDEX(Articles!$B$2:$B$148,MATCH(C117,Articles!$A$2:$A$148,0))</f>
        <v>À préciser</v>
      </c>
      <c r="F117" s="31" t="n">
        <v>4</v>
      </c>
      <c r="G117" s="13" t="str">
        <f aca="false">IF(INDEX(Articles!$G$2:$G$148,MATCH(C117,Articles!$A$2:$A$148,0))="","",INDEX(Articles!$G$2:$G$148,MATCH(C117,Articles!$A$2:$A$148,0)))</f>
        <v/>
      </c>
      <c r="H117" s="13" t="n">
        <f aca="false">IF(G117="",0,F117*G117)</f>
        <v>0</v>
      </c>
      <c r="I117" s="13" t="str">
        <f aca="false">IF(INDEX(Articles!$E$2:$E$148,MATCH(C117,Articles!$A$2:$A$148,0))="","",INDEX(Articles!$E$2:$E$148,MATCH(C117,Articles!$A$2:$A$148,0)))</f>
        <v/>
      </c>
      <c r="J117" s="13" t="str">
        <f aca="false">IF(I117="","",F117*I117)</f>
        <v/>
      </c>
      <c r="K117" s="9" t="str">
        <f aca="false">INDEX(Articles!$H$2:$H$148,MATCH(C117,Articles!$A$2:$A$148,0))</f>
        <v>À fournir</v>
      </c>
      <c r="L117" s="9" t="str">
        <f aca="false">INDEX(Articles!$F$2:$F$148,MATCH(C117,Articles!$A$2:$A$148,0))</f>
        <v>Inconnu</v>
      </c>
      <c r="M117" s="17"/>
      <c r="N117" s="9" t="s">
        <v>167</v>
      </c>
    </row>
    <row r="118" customFormat="false" ht="15" hidden="false" customHeight="false" outlineLevel="0" collapsed="false">
      <c r="A118" s="9" t="s">
        <v>760</v>
      </c>
      <c r="B118" s="9" t="s">
        <v>814</v>
      </c>
      <c r="C118" s="31" t="s">
        <v>168</v>
      </c>
      <c r="D118" s="9" t="str">
        <f aca="false">INDEX(Articles!$C$2:$C$148,MATCH(C118,Articles!$A$2:$A$148,0))</f>
        <v>Sous l'orage (Seydou Badian)</v>
      </c>
      <c r="E118" s="9" t="str">
        <f aca="false">INDEX(Articles!$B$2:$B$148,MATCH(C118,Articles!$A$2:$A$148,0))</f>
        <v>LPD</v>
      </c>
      <c r="F118" s="31" t="n">
        <v>1</v>
      </c>
      <c r="G118" s="13" t="n">
        <f aca="false">IF(INDEX(Articles!$G$2:$G$148,MATCH(C118,Articles!$A$2:$A$148,0))="","",INDEX(Articles!$G$2:$G$148,MATCH(C118,Articles!$A$2:$A$148,0)))</f>
        <v>3500</v>
      </c>
      <c r="H118" s="13" t="n">
        <f aca="false">IF(G118="",0,F118*G118)</f>
        <v>3500</v>
      </c>
      <c r="I118" s="13" t="n">
        <f aca="false">IF(INDEX(Articles!$E$2:$E$148,MATCH(C118,Articles!$A$2:$A$148,0))="","",INDEX(Articles!$E$2:$E$148,MATCH(C118,Articles!$A$2:$A$148,0)))</f>
        <v>2500</v>
      </c>
      <c r="J118" s="13" t="n">
        <f aca="false">IF(I118="","",F118*I118)</f>
        <v>2500</v>
      </c>
      <c r="K118" s="9" t="str">
        <f aca="false">INDEX(Articles!$H$2:$H$148,MATCH(C118,Articles!$A$2:$A$148,0))</f>
        <v>Fixé</v>
      </c>
      <c r="L118" s="9" t="str">
        <f aca="false">INDEX(Articles!$F$2:$F$148,MATCH(C118,Articles!$A$2:$A$148,0))</f>
        <v>Estimé</v>
      </c>
      <c r="M118" s="17"/>
      <c r="N118" s="9" t="s">
        <v>167</v>
      </c>
    </row>
    <row r="119" customFormat="false" ht="15" hidden="false" customHeight="false" outlineLevel="0" collapsed="false">
      <c r="A119" s="9" t="s">
        <v>777</v>
      </c>
      <c r="B119" s="9" t="s">
        <v>821</v>
      </c>
      <c r="C119" s="31" t="s">
        <v>603</v>
      </c>
      <c r="D119" s="9" t="str">
        <f aca="false">INDEX(Articles!$C$2:$C$148,MATCH(C119,Articles!$A$2:$A$148,0))</f>
        <v>Mathématiques 4eme</v>
      </c>
      <c r="E119" s="9" t="str">
        <f aca="false">INDEX(Articles!$B$2:$B$148,MATCH(C119,Articles!$A$2:$A$148,0))</f>
        <v>LPD</v>
      </c>
      <c r="F119" s="31" t="n">
        <v>1</v>
      </c>
      <c r="G119" s="13" t="n">
        <f aca="false">IF(INDEX(Articles!$G$2:$G$148,MATCH(C119,Articles!$A$2:$A$148,0))="","",INDEX(Articles!$G$2:$G$148,MATCH(C119,Articles!$A$2:$A$148,0)))</f>
        <v>3960</v>
      </c>
      <c r="H119" s="13" t="n">
        <f aca="false">IF(G119="",0,F119*G119)</f>
        <v>3960</v>
      </c>
      <c r="I119" s="13" t="n">
        <f aca="false">IF(INDEX(Articles!$E$2:$E$148,MATCH(C119,Articles!$A$2:$A$148,0))="","",INDEX(Articles!$E$2:$E$148,MATCH(C119,Articles!$A$2:$A$148,0)))</f>
        <v>2960</v>
      </c>
      <c r="J119" s="13" t="n">
        <f aca="false">IF(I119="","",F119*I119)</f>
        <v>2960</v>
      </c>
      <c r="K119" s="9" t="str">
        <f aca="false">INDEX(Articles!$H$2:$H$148,MATCH(C119,Articles!$A$2:$A$148,0))</f>
        <v>Fixé</v>
      </c>
      <c r="L119" s="9" t="str">
        <f aca="false">INDEX(Articles!$F$2:$F$148,MATCH(C119,Articles!$A$2:$A$148,0))</f>
        <v>Estimé</v>
      </c>
      <c r="M119" s="17"/>
      <c r="N119" s="9" t="s">
        <v>167</v>
      </c>
    </row>
    <row r="120" customFormat="false" ht="15" hidden="false" customHeight="false" outlineLevel="0" collapsed="false">
      <c r="A120" s="9" t="s">
        <v>777</v>
      </c>
      <c r="B120" s="9" t="s">
        <v>779</v>
      </c>
      <c r="C120" s="31" t="s">
        <v>605</v>
      </c>
      <c r="D120" s="9" t="str">
        <f aca="false">INDEX(Articles!$C$2:$C$148,MATCH(C120,Articles!$A$2:$A$148,0))</f>
        <v>Science de la vie et de la terre 4éme</v>
      </c>
      <c r="E120" s="9" t="str">
        <f aca="false">INDEX(Articles!$B$2:$B$148,MATCH(C120,Articles!$A$2:$A$148,0))</f>
        <v>LPD</v>
      </c>
      <c r="F120" s="31" t="n">
        <v>1</v>
      </c>
      <c r="G120" s="13" t="n">
        <f aca="false">IF(INDEX(Articles!$G$2:$G$148,MATCH(C120,Articles!$A$2:$A$148,0))="","",INDEX(Articles!$G$2:$G$148,MATCH(C120,Articles!$A$2:$A$148,0)))</f>
        <v>3960</v>
      </c>
      <c r="H120" s="13" t="n">
        <f aca="false">IF(G120="",0,F120*G120)</f>
        <v>3960</v>
      </c>
      <c r="I120" s="13" t="n">
        <f aca="false">IF(INDEX(Articles!$E$2:$E$148,MATCH(C120,Articles!$A$2:$A$148,0))="","",INDEX(Articles!$E$2:$E$148,MATCH(C120,Articles!$A$2:$A$148,0)))</f>
        <v>2960</v>
      </c>
      <c r="J120" s="13" t="n">
        <f aca="false">IF(I120="","",F120*I120)</f>
        <v>2960</v>
      </c>
      <c r="K120" s="9" t="str">
        <f aca="false">INDEX(Articles!$H$2:$H$148,MATCH(C120,Articles!$A$2:$A$148,0))</f>
        <v>Fixé</v>
      </c>
      <c r="L120" s="9" t="str">
        <f aca="false">INDEX(Articles!$F$2:$F$148,MATCH(C120,Articles!$A$2:$A$148,0))</f>
        <v>Estimé</v>
      </c>
      <c r="M120" s="17"/>
      <c r="N120" s="9" t="s">
        <v>167</v>
      </c>
    </row>
    <row r="121" customFormat="false" ht="15" hidden="false" customHeight="false" outlineLevel="0" collapsed="false">
      <c r="A121" s="9" t="s">
        <v>777</v>
      </c>
      <c r="B121" s="9" t="s">
        <v>822</v>
      </c>
      <c r="C121" s="31" t="s">
        <v>607</v>
      </c>
      <c r="D121" s="9" t="str">
        <f aca="false">INDEX(Articles!$C$2:$C$148,MATCH(C121,Articles!$A$2:$A$148,0))</f>
        <v>Sciences physiques 4éme</v>
      </c>
      <c r="E121" s="9" t="str">
        <f aca="false">INDEX(Articles!$B$2:$B$148,MATCH(C121,Articles!$A$2:$A$148,0))</f>
        <v>LPD</v>
      </c>
      <c r="F121" s="31" t="n">
        <v>1</v>
      </c>
      <c r="G121" s="13" t="n">
        <f aca="false">IF(INDEX(Articles!$G$2:$G$148,MATCH(C121,Articles!$A$2:$A$148,0))="","",INDEX(Articles!$G$2:$G$148,MATCH(C121,Articles!$A$2:$A$148,0)))</f>
        <v>3960</v>
      </c>
      <c r="H121" s="13" t="n">
        <f aca="false">IF(G121="",0,F121*G121)</f>
        <v>3960</v>
      </c>
      <c r="I121" s="13" t="n">
        <f aca="false">IF(INDEX(Articles!$E$2:$E$148,MATCH(C121,Articles!$A$2:$A$148,0))="","",INDEX(Articles!$E$2:$E$148,MATCH(C121,Articles!$A$2:$A$148,0)))</f>
        <v>2960</v>
      </c>
      <c r="J121" s="13" t="n">
        <f aca="false">IF(I121="","",F121*I121)</f>
        <v>2960</v>
      </c>
      <c r="K121" s="9" t="str">
        <f aca="false">INDEX(Articles!$H$2:$H$148,MATCH(C121,Articles!$A$2:$A$148,0))</f>
        <v>Fixé</v>
      </c>
      <c r="L121" s="9" t="str">
        <f aca="false">INDEX(Articles!$F$2:$F$148,MATCH(C121,Articles!$A$2:$A$148,0))</f>
        <v>Estimé</v>
      </c>
      <c r="M121" s="17" t="s">
        <v>823</v>
      </c>
      <c r="N121" s="9" t="s">
        <v>167</v>
      </c>
    </row>
    <row r="122" customFormat="false" ht="15" hidden="false" customHeight="false" outlineLevel="0" collapsed="false">
      <c r="A122" s="9" t="s">
        <v>777</v>
      </c>
      <c r="B122" s="9" t="s">
        <v>824</v>
      </c>
      <c r="C122" s="31" t="s">
        <v>609</v>
      </c>
      <c r="D122" s="9" t="str">
        <f aca="false">INDEX(Articles!$C$2:$C$148,MATCH(C122,Articles!$A$2:$A$148,0))</f>
        <v>Grammaire du Français 4/3e, IPAM Edicef</v>
      </c>
      <c r="E122" s="9" t="str">
        <f aca="false">INDEX(Articles!$B$2:$B$148,MATCH(C122,Articles!$A$2:$A$148,0))</f>
        <v>LPD</v>
      </c>
      <c r="F122" s="31" t="n">
        <v>1</v>
      </c>
      <c r="G122" s="13" t="n">
        <f aca="false">IF(INDEX(Articles!$G$2:$G$148,MATCH(C122,Articles!$A$2:$A$148,0))="","",INDEX(Articles!$G$2:$G$148,MATCH(C122,Articles!$A$2:$A$148,0)))</f>
        <v>4000</v>
      </c>
      <c r="H122" s="13" t="n">
        <f aca="false">IF(G122="",0,F122*G122)</f>
        <v>4000</v>
      </c>
      <c r="I122" s="13" t="n">
        <f aca="false">IF(INDEX(Articles!$E$2:$E$148,MATCH(C122,Articles!$A$2:$A$148,0))="","",INDEX(Articles!$E$2:$E$148,MATCH(C122,Articles!$A$2:$A$148,0)))</f>
        <v>3000</v>
      </c>
      <c r="J122" s="13" t="n">
        <f aca="false">IF(I122="","",F122*I122)</f>
        <v>3000</v>
      </c>
      <c r="K122" s="9" t="str">
        <f aca="false">INDEX(Articles!$H$2:$H$148,MATCH(C122,Articles!$A$2:$A$148,0))</f>
        <v>Fixé</v>
      </c>
      <c r="L122" s="9" t="str">
        <f aca="false">INDEX(Articles!$F$2:$F$148,MATCH(C122,Articles!$A$2:$A$148,0))</f>
        <v>Estimé</v>
      </c>
      <c r="M122" s="17"/>
      <c r="N122" s="9" t="s">
        <v>167</v>
      </c>
    </row>
    <row r="123" customFormat="false" ht="15" hidden="false" customHeight="false" outlineLevel="0" collapsed="false">
      <c r="A123" s="9" t="s">
        <v>678</v>
      </c>
      <c r="B123" s="9" t="s">
        <v>781</v>
      </c>
      <c r="C123" s="31" t="s">
        <v>434</v>
      </c>
      <c r="D123" s="9" t="str">
        <f aca="false">INDEX(Articles!$C$2:$C$148,MATCH(C123,Articles!$A$2:$A$148,0))</f>
        <v>Stylo 4 couleurs Schneider</v>
      </c>
      <c r="E123" s="9" t="str">
        <f aca="false">INDEX(Articles!$B$2:$B$148,MATCH(C123,Articles!$A$2:$A$148,0))</f>
        <v>Papex</v>
      </c>
      <c r="F123" s="31" t="n">
        <v>1</v>
      </c>
      <c r="G123" s="13" t="n">
        <f aca="false">IF(INDEX(Articles!$G$2:$G$148,MATCH(C123,Articles!$A$2:$A$148,0))="","",INDEX(Articles!$G$2:$G$148,MATCH(C123,Articles!$A$2:$A$148,0)))</f>
        <v>1750</v>
      </c>
      <c r="H123" s="13" t="n">
        <f aca="false">IF(G123="",0,F123*G123)</f>
        <v>1750</v>
      </c>
      <c r="I123" s="13" t="n">
        <f aca="false">IF(INDEX(Articles!$E$2:$E$148,MATCH(C123,Articles!$A$2:$A$148,0))="","",INDEX(Articles!$E$2:$E$148,MATCH(C123,Articles!$A$2:$A$148,0)))</f>
        <v>1500</v>
      </c>
      <c r="J123" s="13" t="n">
        <f aca="false">IF(I123="","",F123*I123)</f>
        <v>1500</v>
      </c>
      <c r="K123" s="9" t="str">
        <f aca="false">INDEX(Articles!$H$2:$H$148,MATCH(C123,Articles!$A$2:$A$148,0))</f>
        <v>Fixé</v>
      </c>
      <c r="L123" s="9" t="str">
        <f aca="false">INDEX(Articles!$F$2:$F$148,MATCH(C123,Articles!$A$2:$A$148,0))</f>
        <v>Confirmé</v>
      </c>
      <c r="M123" s="17"/>
      <c r="N123" s="9" t="s">
        <v>167</v>
      </c>
    </row>
    <row r="124" customFormat="false" ht="15" hidden="false" customHeight="false" outlineLevel="0" collapsed="false">
      <c r="A124" s="9" t="s">
        <v>678</v>
      </c>
      <c r="B124" s="9" t="s">
        <v>782</v>
      </c>
      <c r="C124" s="31" t="s">
        <v>174</v>
      </c>
      <c r="D124" s="9" t="str">
        <f aca="false">INDEX(Articles!$C$2:$C$148,MATCH(C124,Articles!$A$2:$A$148,0))</f>
        <v>Correcteur souris ARK</v>
      </c>
      <c r="E124" s="9" t="str">
        <f aca="false">INDEX(Articles!$B$2:$B$148,MATCH(C124,Articles!$A$2:$A$148,0))</f>
        <v>Papex</v>
      </c>
      <c r="F124" s="31" t="n">
        <v>1</v>
      </c>
      <c r="G124" s="13" t="n">
        <f aca="false">IF(INDEX(Articles!$G$2:$G$148,MATCH(C124,Articles!$A$2:$A$148,0))="","",INDEX(Articles!$G$2:$G$148,MATCH(C124,Articles!$A$2:$A$148,0)))</f>
        <v>1000</v>
      </c>
      <c r="H124" s="13" t="n">
        <f aca="false">IF(G124="",0,F124*G124)</f>
        <v>1000</v>
      </c>
      <c r="I124" s="13" t="n">
        <f aca="false">IF(INDEX(Articles!$E$2:$E$148,MATCH(C124,Articles!$A$2:$A$148,0))="","",INDEX(Articles!$E$2:$E$148,MATCH(C124,Articles!$A$2:$A$148,0)))</f>
        <v>700</v>
      </c>
      <c r="J124" s="13" t="n">
        <f aca="false">IF(I124="","",F124*I124)</f>
        <v>700</v>
      </c>
      <c r="K124" s="9" t="str">
        <f aca="false">INDEX(Articles!$H$2:$H$148,MATCH(C124,Articles!$A$2:$A$148,0))</f>
        <v>Fixé</v>
      </c>
      <c r="L124" s="9" t="str">
        <f aca="false">INDEX(Articles!$F$2:$F$148,MATCH(C124,Articles!$A$2:$A$148,0))</f>
        <v>Confirmé</v>
      </c>
      <c r="M124" s="17"/>
      <c r="N124" s="9" t="s">
        <v>167</v>
      </c>
    </row>
    <row r="125" customFormat="false" ht="15" hidden="false" customHeight="false" outlineLevel="0" collapsed="false">
      <c r="A125" s="9" t="s">
        <v>783</v>
      </c>
      <c r="B125" s="9" t="s">
        <v>802</v>
      </c>
      <c r="C125" s="31" t="s">
        <v>491</v>
      </c>
      <c r="D125" s="9" t="str">
        <f aca="false">INDEX(Articles!$C$2:$C$148,MATCH(C125,Articles!$A$2:$A$148,0))</f>
        <v>Eugénie Grandet (Balzac)</v>
      </c>
      <c r="E125" s="9" t="str">
        <f aca="false">INDEX(Articles!$B$2:$B$148,MATCH(C125,Articles!$A$2:$A$148,0))</f>
        <v>LPD</v>
      </c>
      <c r="F125" s="31" t="n">
        <v>1</v>
      </c>
      <c r="G125" s="13" t="n">
        <f aca="false">IF(INDEX(Articles!$G$2:$G$148,MATCH(C125,Articles!$A$2:$A$148,0))="","",INDEX(Articles!$G$2:$G$148,MATCH(C125,Articles!$A$2:$A$148,0)))</f>
        <v>3900</v>
      </c>
      <c r="H125" s="13" t="n">
        <f aca="false">IF(G125="",0,F125*G125)</f>
        <v>3900</v>
      </c>
      <c r="I125" s="13" t="n">
        <f aca="false">IF(INDEX(Articles!$E$2:$E$148,MATCH(C125,Articles!$A$2:$A$148,0))="","",INDEX(Articles!$E$2:$E$148,MATCH(C125,Articles!$A$2:$A$148,0)))</f>
        <v>2900</v>
      </c>
      <c r="J125" s="13" t="n">
        <f aca="false">IF(I125="","",F125*I125)</f>
        <v>2900</v>
      </c>
      <c r="K125" s="9" t="str">
        <f aca="false">INDEX(Articles!$H$2:$H$148,MATCH(C125,Articles!$A$2:$A$148,0))</f>
        <v>Fixé</v>
      </c>
      <c r="L125" s="9" t="str">
        <f aca="false">INDEX(Articles!$F$2:$F$148,MATCH(C125,Articles!$A$2:$A$148,0))</f>
        <v>Estimé</v>
      </c>
      <c r="M125" s="17"/>
      <c r="N125" s="9" t="s">
        <v>167</v>
      </c>
    </row>
    <row r="126" customFormat="false" ht="15" hidden="false" customHeight="false" outlineLevel="0" collapsed="false">
      <c r="A126" s="9" t="s">
        <v>703</v>
      </c>
      <c r="B126" s="9" t="s">
        <v>825</v>
      </c>
      <c r="C126" s="31" t="s">
        <v>611</v>
      </c>
      <c r="D126" s="9" t="str">
        <f aca="false">INDEX(Articles!$C$2:$C$148,MATCH(C126,Articles!$A$2:$A$148,0))</f>
        <v>Excellence Maths 4ème, EENAS</v>
      </c>
      <c r="E126" s="9" t="str">
        <f aca="false">INDEX(Articles!$B$2:$B$148,MATCH(C126,Articles!$A$2:$A$148,0))</f>
        <v>LPD</v>
      </c>
      <c r="F126" s="31" t="n">
        <v>1</v>
      </c>
      <c r="G126" s="13" t="n">
        <f aca="false">IF(INDEX(Articles!$G$2:$G$148,MATCH(C126,Articles!$A$2:$A$148,0))="","",INDEX(Articles!$G$2:$G$148,MATCH(C126,Articles!$A$2:$A$148,0)))</f>
        <v>4000</v>
      </c>
      <c r="H126" s="13" t="n">
        <f aca="false">IF(G126="",0,F126*G126)</f>
        <v>4000</v>
      </c>
      <c r="I126" s="13" t="n">
        <f aca="false">IF(INDEX(Articles!$E$2:$E$148,MATCH(C126,Articles!$A$2:$A$148,0))="","",INDEX(Articles!$E$2:$E$148,MATCH(C126,Articles!$A$2:$A$148,0)))</f>
        <v>3000</v>
      </c>
      <c r="J126" s="13" t="n">
        <f aca="false">IF(I126="","",F126*I126)</f>
        <v>3000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A127" s="9" t="s">
        <v>703</v>
      </c>
      <c r="B127" s="9" t="s">
        <v>804</v>
      </c>
      <c r="C127" s="31" t="s">
        <v>613</v>
      </c>
      <c r="D127" s="9" t="str">
        <f aca="false">INDEX(Articles!$C$2:$C$148,MATCH(C127,Articles!$A$2:$A$148,0))</f>
        <v>Cahier d’activités mathématiques 4éme</v>
      </c>
      <c r="E127" s="9" t="str">
        <f aca="false">INDEX(Articles!$B$2:$B$148,MATCH(C127,Articles!$A$2:$A$148,0))</f>
        <v>LPD</v>
      </c>
      <c r="F127" s="31" t="n">
        <v>1</v>
      </c>
      <c r="G127" s="13" t="n">
        <f aca="false">IF(INDEX(Articles!$G$2:$G$148,MATCH(C127,Articles!$A$2:$A$148,0))="","",INDEX(Articles!$G$2:$G$148,MATCH(C127,Articles!$A$2:$A$148,0)))</f>
        <v>3130</v>
      </c>
      <c r="H127" s="13" t="n">
        <f aca="false">IF(G127="",0,F127*G127)</f>
        <v>3130</v>
      </c>
      <c r="I127" s="13" t="n">
        <f aca="false">IF(INDEX(Articles!$E$2:$E$148,MATCH(C127,Articles!$A$2:$A$148,0))="","",INDEX(Articles!$E$2:$E$148,MATCH(C127,Articles!$A$2:$A$148,0)))</f>
        <v>2130</v>
      </c>
      <c r="J127" s="13" t="n">
        <f aca="false">IF(I127="","",F127*I127)</f>
        <v>2130</v>
      </c>
      <c r="K127" s="9" t="str">
        <f aca="false">INDEX(Articles!$H$2:$H$148,MATCH(C127,Articles!$A$2:$A$148,0))</f>
        <v>Fixé</v>
      </c>
      <c r="L127" s="9" t="str">
        <f aca="false">INDEX(Articles!$F$2:$F$148,MATCH(C127,Articles!$A$2:$A$148,0))</f>
        <v>Estimé</v>
      </c>
      <c r="M127" s="17"/>
      <c r="N127" s="9" t="s">
        <v>167</v>
      </c>
    </row>
    <row r="128" customFormat="false" ht="15" hidden="false" customHeight="false" outlineLevel="0" collapsed="false">
      <c r="A128" s="9" t="s">
        <v>703</v>
      </c>
      <c r="B128" s="9" t="s">
        <v>805</v>
      </c>
      <c r="C128" s="31" t="s">
        <v>615</v>
      </c>
      <c r="D128" s="9" t="str">
        <f aca="false">INDEX(Articles!$C$2:$C$148,MATCH(C128,Articles!$A$2:$A$148,0))</f>
        <v>Cahier d’activités SVT 4éme</v>
      </c>
      <c r="E128" s="9" t="str">
        <f aca="false">INDEX(Articles!$B$2:$B$148,MATCH(C128,Articles!$A$2:$A$148,0))</f>
        <v>LPD</v>
      </c>
      <c r="F128" s="31" t="n">
        <v>1</v>
      </c>
      <c r="G128" s="13" t="n">
        <f aca="false">IF(INDEX(Articles!$G$2:$G$148,MATCH(C128,Articles!$A$2:$A$148,0))="","",INDEX(Articles!$G$2:$G$148,MATCH(C128,Articles!$A$2:$A$148,0)))</f>
        <v>3430</v>
      </c>
      <c r="H128" s="13" t="n">
        <f aca="false">IF(G128="",0,F128*G128)</f>
        <v>3430</v>
      </c>
      <c r="I128" s="13" t="n">
        <f aca="false">IF(INDEX(Articles!$E$2:$E$148,MATCH(C128,Articles!$A$2:$A$148,0))="","",INDEX(Articles!$E$2:$E$148,MATCH(C128,Articles!$A$2:$A$148,0)))</f>
        <v>2430</v>
      </c>
      <c r="J128" s="13" t="n">
        <f aca="false">IF(I128="","",F128*I128)</f>
        <v>2430</v>
      </c>
      <c r="K128" s="9" t="str">
        <f aca="false">INDEX(Articles!$H$2:$H$148,MATCH(C128,Articles!$A$2:$A$148,0))</f>
        <v>Fixé</v>
      </c>
      <c r="L128" s="9" t="str">
        <f aca="false">INDEX(Articles!$F$2:$F$148,MATCH(C128,Articles!$A$2:$A$148,0))</f>
        <v>Estimé</v>
      </c>
      <c r="M128" s="17"/>
      <c r="N128" s="9" t="s">
        <v>167</v>
      </c>
    </row>
    <row r="129" customFormat="false" ht="15" hidden="false" customHeight="false" outlineLevel="0" collapsed="false">
      <c r="A129" s="9" t="s">
        <v>703</v>
      </c>
      <c r="B129" s="9" t="s">
        <v>826</v>
      </c>
      <c r="C129" s="31" t="s">
        <v>617</v>
      </c>
      <c r="D129" s="9" t="str">
        <f aca="false">INDEX(Articles!$C$2:$C$148,MATCH(C129,Articles!$A$2:$A$148,0))</f>
        <v>Cahier d’activités PC 4eme</v>
      </c>
      <c r="E129" s="9" t="str">
        <f aca="false">INDEX(Articles!$B$2:$B$148,MATCH(C129,Articles!$A$2:$A$148,0))</f>
        <v>LPD</v>
      </c>
      <c r="F129" s="31" t="n">
        <v>1</v>
      </c>
      <c r="G129" s="13" t="n">
        <f aca="false">IF(INDEX(Articles!$G$2:$G$148,MATCH(C129,Articles!$A$2:$A$148,0))="","",INDEX(Articles!$G$2:$G$148,MATCH(C129,Articles!$A$2:$A$148,0)))</f>
        <v>3130</v>
      </c>
      <c r="H129" s="13" t="n">
        <f aca="false">IF(G129="",0,F129*G129)</f>
        <v>3130</v>
      </c>
      <c r="I129" s="13" t="n">
        <f aca="false">IF(INDEX(Articles!$E$2:$E$148,MATCH(C129,Articles!$A$2:$A$148,0))="","",INDEX(Articles!$E$2:$E$148,MATCH(C129,Articles!$A$2:$A$148,0)))</f>
        <v>2130</v>
      </c>
      <c r="J129" s="13" t="n">
        <f aca="false">IF(I129="","",F129*I129)</f>
        <v>2130</v>
      </c>
      <c r="K129" s="9" t="str">
        <f aca="false">INDEX(Articles!$H$2:$H$148,MATCH(C129,Articles!$A$2:$A$148,0))</f>
        <v>Fixé</v>
      </c>
      <c r="L129" s="9" t="str">
        <f aca="false">INDEX(Articles!$F$2:$F$148,MATCH(C129,Articles!$A$2:$A$148,0))</f>
        <v>Estimé</v>
      </c>
      <c r="M129" s="17"/>
      <c r="N129" s="9" t="s">
        <v>167</v>
      </c>
    </row>
    <row r="130" customFormat="false" ht="15" hidden="false" customHeight="false" outlineLevel="0" collapsed="false">
      <c r="A130" s="9" t="s">
        <v>703</v>
      </c>
      <c r="B130" s="9" t="s">
        <v>788</v>
      </c>
      <c r="C130" s="31" t="s">
        <v>451</v>
      </c>
      <c r="D130" s="9" t="str">
        <f aca="false">INDEX(Articles!$C$2:$C$148,MATCH(C130,Articles!$A$2:$A$148,0))</f>
        <v>Dictionnaire Le Robert de français, 65 000 mots</v>
      </c>
      <c r="E130" s="9" t="str">
        <f aca="false">INDEX(Articles!$B$2:$B$148,MATCH(C130,Articles!$A$2:$A$148,0))</f>
        <v>Papex</v>
      </c>
      <c r="F130" s="31" t="n">
        <v>1</v>
      </c>
      <c r="G130" s="13" t="n">
        <f aca="false">IF(INDEX(Articles!$G$2:$G$148,MATCH(C130,Articles!$A$2:$A$148,0))="","",INDEX(Articles!$G$2:$G$148,MATCH(C130,Articles!$A$2:$A$148,0)))</f>
        <v>3500</v>
      </c>
      <c r="H130" s="13" t="n">
        <f aca="false">IF(G130="",0,F130*G130)</f>
        <v>3500</v>
      </c>
      <c r="I130" s="13" t="n">
        <f aca="false">IF(INDEX(Articles!$E$2:$E$148,MATCH(C130,Articles!$A$2:$A$148,0))="","",INDEX(Articles!$E$2:$E$148,MATCH(C130,Articles!$A$2:$A$148,0)))</f>
        <v>3000</v>
      </c>
      <c r="J130" s="13" t="n">
        <f aca="false">IF(I130="","",F130*I130)</f>
        <v>3000</v>
      </c>
      <c r="K130" s="9" t="str">
        <f aca="false">INDEX(Articles!$H$2:$H$148,MATCH(C130,Articles!$A$2:$A$148,0))</f>
        <v>Fixé</v>
      </c>
      <c r="L130" s="9" t="str">
        <f aca="false">INDEX(Articles!$F$2:$F$148,MATCH(C130,Articles!$A$2:$A$148,0))</f>
        <v>Confirmé</v>
      </c>
      <c r="M130" s="17"/>
      <c r="N130" s="9" t="s">
        <v>167</v>
      </c>
    </row>
    <row r="131" customFormat="false" ht="15" hidden="false" customHeight="false" outlineLevel="0" collapsed="false">
      <c r="D131" s="32" t="s">
        <v>683</v>
      </c>
      <c r="E131" s="32"/>
      <c r="F131" s="32"/>
      <c r="G131" s="32"/>
      <c r="H131" s="33" t="n">
        <f aca="false">COUNTIF(G91:G130,"")</f>
        <v>1</v>
      </c>
    </row>
    <row r="132" customFormat="false" ht="15" hidden="false" customHeight="false" outlineLevel="0" collapsed="false">
      <c r="D132" s="32" t="s">
        <v>684</v>
      </c>
      <c r="E132" s="32"/>
      <c r="F132" s="32"/>
      <c r="G132" s="32"/>
      <c r="H132" s="33" t="n">
        <f aca="false">SUM(H91:H130)</f>
        <v>79445</v>
      </c>
    </row>
    <row r="133" customFormat="false" ht="15" hidden="false" customHeight="false" outlineLevel="0" collapsed="false">
      <c r="D133" s="32" t="s">
        <v>28</v>
      </c>
      <c r="E133" s="32"/>
      <c r="F133" s="32"/>
      <c r="G133" s="32"/>
      <c r="H133" s="33" t="n">
        <f aca="false">SUM(J91:J130)</f>
        <v>60430</v>
      </c>
    </row>
    <row r="134" customFormat="false" ht="15" hidden="false" customHeight="false" outlineLevel="0" collapsed="false">
      <c r="D134" s="32" t="s">
        <v>685</v>
      </c>
      <c r="E134" s="32"/>
      <c r="F134" s="32"/>
      <c r="G134" s="32"/>
      <c r="H134" s="33" t="n">
        <f aca="false">COUNTIF(I91:I130,"")</f>
        <v>6</v>
      </c>
    </row>
    <row r="135" customFormat="false" ht="15" hidden="false" customHeight="false" outlineLevel="0" collapsed="false">
      <c r="D135" s="32" t="s">
        <v>686</v>
      </c>
      <c r="E135" s="32"/>
      <c r="F135" s="32"/>
      <c r="G135" s="32"/>
      <c r="H135" s="33" t="n">
        <f aca="false">SUMPRODUCT((I91:I130&lt;&gt;"")*H91:H130)-H133</f>
        <v>16140</v>
      </c>
    </row>
    <row r="136" customFormat="false" ht="15" hidden="false" customHeight="false" outlineLevel="0" collapsed="false">
      <c r="D136" s="32" t="s">
        <v>687</v>
      </c>
      <c r="E136" s="32"/>
      <c r="F136" s="32"/>
      <c r="G136" s="32"/>
      <c r="H136" s="33" t="n">
        <f aca="false">SUMIF(A91:A130,"Cahiers",F91:F130)</f>
        <v>13</v>
      </c>
    </row>
    <row r="137" customFormat="false" ht="15" hidden="false" customHeight="false" outlineLevel="0" collapsed="false">
      <c r="D137" s="32" t="s">
        <v>688</v>
      </c>
      <c r="E137" s="32"/>
      <c r="F137" s="32"/>
      <c r="G137" s="32"/>
      <c r="H137" s="34" t="n">
        <f aca="false">IF(H132=0,0,SUMIF(K91:K130,"&lt;&gt;Fixé",H91:H130)/H132)</f>
        <v>0.100698596513311</v>
      </c>
    </row>
    <row r="138" customFormat="false" ht="15" hidden="false" customHeight="false" outlineLevel="0" collapsed="false">
      <c r="D138" s="32" t="s">
        <v>689</v>
      </c>
      <c r="E138" s="32"/>
      <c r="F138" s="32"/>
      <c r="G138" s="32"/>
      <c r="H138" s="33" t="str">
        <f aca="false">IF(H131&gt;0,"Total incomplet : "&amp;H131&amp;" prix de vente à fournir",IF(H134&gt;0,"Coût incomplet : "&amp;H134&amp;" ligne(s) sans prix d'achat","Complet"))</f>
        <v>Total incomplet : 1 prix de vente à fournir</v>
      </c>
    </row>
    <row r="139" customFormat="false" ht="15" hidden="false" customHeight="false" outlineLevel="0" collapsed="false">
      <c r="D139" s="21" t="s">
        <v>696</v>
      </c>
      <c r="E139" s="21" t="str">
        <f aca="false">INDEX(Articles!$C$2:$C$148,MATCH("S020",Articles!$A$2:$A$148,0))</f>
        <v>Sac à dos bleu marine</v>
      </c>
      <c r="H139" s="41" t="n">
        <f aca="false">INDEX(Articles!$G$2:$G$148,MATCH("S020",Articles!$A$2:$A$148,0))</f>
        <v>7000</v>
      </c>
    </row>
    <row r="140" customFormat="false" ht="15" hidden="false" customHeight="false" outlineLevel="0" collapsed="false">
      <c r="D140" s="42" t="s">
        <v>697</v>
      </c>
      <c r="E140" s="43" t="s">
        <v>817</v>
      </c>
    </row>
    <row r="141" customFormat="false" ht="15" hidden="false" customHeight="false" outlineLevel="0" collapsed="false">
      <c r="E141" s="43" t="s">
        <v>797</v>
      </c>
    </row>
    <row r="142" customFormat="false" ht="15" hidden="false" customHeight="false" outlineLevel="0" collapsed="false">
      <c r="E142" s="43" t="s">
        <v>818</v>
      </c>
    </row>
    <row r="143" customFormat="false" ht="15" hidden="false" customHeight="false" outlineLevel="0" collapsed="false">
      <c r="E143" s="43" t="s">
        <v>827</v>
      </c>
    </row>
    <row r="144" customFormat="false" ht="15" hidden="false" customHeight="false" outlineLevel="0" collapsed="false">
      <c r="E144" s="43" t="s">
        <v>828</v>
      </c>
    </row>
  </sheetData>
  <mergeCells count="24">
    <mergeCell ref="D29:G29"/>
    <mergeCell ref="D30:G30"/>
    <mergeCell ref="D31:G31"/>
    <mergeCell ref="D32:G32"/>
    <mergeCell ref="D33:G33"/>
    <mergeCell ref="D34:G34"/>
    <mergeCell ref="D35:G35"/>
    <mergeCell ref="D36:G36"/>
    <mergeCell ref="D75:G75"/>
    <mergeCell ref="D76:G76"/>
    <mergeCell ref="D77:G77"/>
    <mergeCell ref="D78:G78"/>
    <mergeCell ref="D79:G79"/>
    <mergeCell ref="D80:G80"/>
    <mergeCell ref="D81:G81"/>
    <mergeCell ref="D82:G82"/>
    <mergeCell ref="D131:G131"/>
    <mergeCell ref="D132:G132"/>
    <mergeCell ref="D133:G133"/>
    <mergeCell ref="D134:G134"/>
    <mergeCell ref="D135:G135"/>
    <mergeCell ref="D136:G136"/>
    <mergeCell ref="D137:G137"/>
    <mergeCell ref="D138:G1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829</v>
      </c>
    </row>
    <row r="2" customFormat="false" ht="15" hidden="false" customHeight="false" outlineLevel="0" collapsed="false">
      <c r="A2" s="21" t="s">
        <v>735</v>
      </c>
    </row>
    <row r="4" customFormat="false" ht="15" hidden="false" customHeight="false" outlineLevel="0" collapsed="false">
      <c r="A4" s="28" t="s">
        <v>830</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737</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739</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740</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741</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742</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809</v>
      </c>
      <c r="C11" s="31" t="s">
        <v>195</v>
      </c>
      <c r="D11" s="9" t="str">
        <f aca="false">INDEX(Articles!$C$2:$C$148,MATCH(C11,Articles!$A$2:$A$148,0))</f>
        <v>Cahier Calligraphe 96 pages 17x22 56 g seyès</v>
      </c>
      <c r="E11" s="9" t="str">
        <f aca="false">INDEX(Articles!$B$2:$B$148,MATCH(C11,Articles!$A$2:$A$148,0))</f>
        <v>Papex</v>
      </c>
      <c r="F11" s="31" t="n">
        <v>2</v>
      </c>
      <c r="G11" s="13" t="n">
        <f aca="false">IF(INDEX(Articles!$G$2:$G$148,MATCH(C11,Articles!$A$2:$A$148,0))="","",INDEX(Articles!$G$2:$G$148,MATCH(C11,Articles!$A$2:$A$148,0)))</f>
        <v>450</v>
      </c>
      <c r="H11" s="13" t="n">
        <f aca="false">IF(G11="",0,F11*G11)</f>
        <v>900</v>
      </c>
      <c r="I11" s="13" t="n">
        <f aca="false">IF(INDEX(Articles!$E$2:$E$148,MATCH(C11,Articles!$A$2:$A$148,0))="","",INDEX(Articles!$E$2:$E$148,MATCH(C11,Articles!$A$2:$A$148,0)))</f>
        <v>350</v>
      </c>
      <c r="J11" s="13" t="n">
        <f aca="false">IF(I11="","",F11*I11)</f>
        <v>700</v>
      </c>
      <c r="K11" s="9" t="str">
        <f aca="false">INDEX(Articles!$H$2:$H$148,MATCH(C11,Articles!$A$2:$A$148,0))</f>
        <v>Fixé</v>
      </c>
      <c r="L11" s="9" t="str">
        <f aca="false">INDEX(Articles!$F$2:$F$148,MATCH(C11,Articles!$A$2:$A$148,0))</f>
        <v>Confirmé</v>
      </c>
      <c r="M11" s="17"/>
      <c r="N11" s="9" t="s">
        <v>167</v>
      </c>
    </row>
    <row r="12" customFormat="false" ht="15" hidden="false" customHeight="false" outlineLevel="0" collapsed="false">
      <c r="A12" s="9" t="s">
        <v>671</v>
      </c>
      <c r="B12" s="9" t="s">
        <v>744</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745</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831</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832</v>
      </c>
      <c r="C15" s="31" t="s">
        <v>195</v>
      </c>
      <c r="D15" s="9" t="str">
        <f aca="false">INDEX(Articles!$C$2:$C$148,MATCH(C15,Articles!$A$2:$A$148,0))</f>
        <v>Cahier Calligraphe 96 pages 17x22 56 g seyès</v>
      </c>
      <c r="E15" s="9" t="str">
        <f aca="false">INDEX(Articles!$B$2:$B$148,MATCH(C15,Articles!$A$2:$A$148,0))</f>
        <v>Papex</v>
      </c>
      <c r="F15" s="31" t="n">
        <v>1</v>
      </c>
      <c r="G15" s="13" t="n">
        <f aca="false">IF(INDEX(Articles!$G$2:$G$148,MATCH(C15,Articles!$A$2:$A$148,0))="","",INDEX(Articles!$G$2:$G$148,MATCH(C15,Articles!$A$2:$A$148,0)))</f>
        <v>450</v>
      </c>
      <c r="H15" s="13" t="n">
        <f aca="false">IF(G15="",0,F15*G15)</f>
        <v>450</v>
      </c>
      <c r="I15" s="13" t="n">
        <f aca="false">IF(INDEX(Articles!$E$2:$E$148,MATCH(C15,Articles!$A$2:$A$148,0))="","",INDEX(Articles!$E$2:$E$148,MATCH(C15,Articles!$A$2:$A$148,0)))</f>
        <v>350</v>
      </c>
      <c r="J15" s="13" t="n">
        <f aca="false">IF(I15="","",F15*I15)</f>
        <v>350</v>
      </c>
      <c r="K15" s="9" t="str">
        <f aca="false">INDEX(Articles!$H$2:$H$148,MATCH(C15,Articles!$A$2:$A$148,0))</f>
        <v>Fixé</v>
      </c>
      <c r="L15" s="9" t="str">
        <f aca="false">INDEX(Articles!$F$2:$F$148,MATCH(C15,Articles!$A$2:$A$148,0))</f>
        <v>Confirmé</v>
      </c>
      <c r="M15" s="17"/>
      <c r="N15" s="9" t="s">
        <v>167</v>
      </c>
    </row>
    <row r="16" customFormat="false" ht="15" hidden="false" customHeight="false" outlineLevel="0" collapsed="false">
      <c r="A16" s="9" t="s">
        <v>671</v>
      </c>
      <c r="B16" s="9" t="s">
        <v>811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747</v>
      </c>
      <c r="C17" s="31" t="s">
        <v>195</v>
      </c>
      <c r="D17" s="9" t="str">
        <f aca="false">INDEX(Articles!$C$2:$C$148,MATCH(C17,Articles!$A$2:$A$148,0))</f>
        <v>Cahier Calligraphe 96 pages 17x22 56 g seyès</v>
      </c>
      <c r="E17" s="9" t="str">
        <f aca="false">INDEX(Articles!$B$2:$B$148,MATCH(C17,Articles!$A$2:$A$148,0))</f>
        <v>Papex</v>
      </c>
      <c r="F17" s="31" t="n">
        <v>1</v>
      </c>
      <c r="G17" s="13" t="n">
        <f aca="false">IF(INDEX(Articles!$G$2:$G$148,MATCH(C17,Articles!$A$2:$A$148,0))="","",INDEX(Articles!$G$2:$G$148,MATCH(C17,Articles!$A$2:$A$148,0)))</f>
        <v>450</v>
      </c>
      <c r="H17" s="13" t="n">
        <f aca="false">IF(G17="",0,F17*G17)</f>
        <v>450</v>
      </c>
      <c r="I17" s="13" t="n">
        <f aca="false">IF(INDEX(Articles!$E$2:$E$148,MATCH(C17,Articles!$A$2:$A$148,0))="","",INDEX(Articles!$E$2:$E$148,MATCH(C17,Articles!$A$2:$A$148,0)))</f>
        <v>350</v>
      </c>
      <c r="J17" s="13" t="n">
        <f aca="false">IF(I17="","",F17*I17)</f>
        <v>350</v>
      </c>
      <c r="K17" s="9" t="str">
        <f aca="false">INDEX(Articles!$H$2:$H$148,MATCH(C17,Articles!$A$2:$A$148,0))</f>
        <v>Fixé</v>
      </c>
      <c r="L17" s="9" t="str">
        <f aca="false">INDEX(Articles!$F$2:$F$148,MATCH(C17,Articles!$A$2:$A$148,0))</f>
        <v>Confirmé</v>
      </c>
      <c r="M17" s="17"/>
      <c r="N17" s="9" t="s">
        <v>167</v>
      </c>
    </row>
    <row r="18" customFormat="false" ht="15" hidden="false" customHeight="false" outlineLevel="0" collapsed="false">
      <c r="A18" s="9" t="s">
        <v>681</v>
      </c>
      <c r="B18" s="9" t="s">
        <v>748</v>
      </c>
      <c r="C18" s="31" t="s">
        <v>252</v>
      </c>
      <c r="D18" s="9" t="str">
        <f aca="false">INDEX(Articles!$C$2:$C$148,MATCH(C18,Articles!$A$2:$A$148,0))</f>
        <v>Cahier de dessin L'écolier 32 pages</v>
      </c>
      <c r="E18" s="9" t="str">
        <f aca="false">INDEX(Articles!$B$2:$B$148,MATCH(C18,Articles!$A$2:$A$148,0))</f>
        <v>Papex</v>
      </c>
      <c r="F18" s="31" t="n">
        <v>1</v>
      </c>
      <c r="G18" s="13" t="n">
        <f aca="false">IF(INDEX(Articles!$G$2:$G$148,MATCH(C18,Articles!$A$2:$A$148,0))="","",INDEX(Articles!$G$2:$G$148,MATCH(C18,Articles!$A$2:$A$148,0)))</f>
        <v>250</v>
      </c>
      <c r="H18" s="13" t="n">
        <f aca="false">IF(G18="",0,F18*G18)</f>
        <v>250</v>
      </c>
      <c r="I18" s="13" t="n">
        <f aca="false">IF(INDEX(Articles!$E$2:$E$148,MATCH(C18,Articles!$A$2:$A$148,0))="","",INDEX(Articles!$E$2:$E$148,MATCH(C18,Articles!$A$2:$A$148,0)))</f>
        <v>150</v>
      </c>
      <c r="J18" s="13" t="n">
        <f aca="false">IF(I18="","",F18*I18)</f>
        <v>150</v>
      </c>
      <c r="K18" s="9" t="str">
        <f aca="false">INDEX(Articles!$H$2:$H$148,MATCH(C18,Articles!$A$2:$A$148,0))</f>
        <v>Fixé</v>
      </c>
      <c r="L18" s="9" t="str">
        <f aca="false">INDEX(Articles!$F$2:$F$148,MATCH(C18,Articles!$A$2:$A$148,0))</f>
        <v>Confirmé</v>
      </c>
      <c r="M18" s="17"/>
      <c r="N18" s="9" t="s">
        <v>167</v>
      </c>
    </row>
    <row r="19" customFormat="false" ht="15" hidden="false" customHeight="false" outlineLevel="0" collapsed="false">
      <c r="A19" s="9" t="s">
        <v>678</v>
      </c>
      <c r="B19" s="9" t="s">
        <v>749</v>
      </c>
      <c r="C19" s="31" t="s">
        <v>222</v>
      </c>
      <c r="D19" s="9" t="str">
        <f aca="false">INDEX(Articles!$C$2:$C$148,MATCH(C19,Articles!$A$2:$A$148,0))</f>
        <v>Pack de 4 stylos Schneider Tops 505 M (bleu, noir, rouge, vert)</v>
      </c>
      <c r="E19" s="9" t="str">
        <f aca="false">INDEX(Articles!$B$2:$B$148,MATCH(C19,Articles!$A$2:$A$148,0))</f>
        <v>Papex</v>
      </c>
      <c r="F19" s="31" t="n">
        <v>1</v>
      </c>
      <c r="G19" s="13" t="n">
        <f aca="false">IF(INDEX(Articles!$G$2:$G$148,MATCH(C19,Articles!$A$2:$A$148,0))="","",INDEX(Articles!$G$2:$G$148,MATCH(C19,Articles!$A$2:$A$148,0)))</f>
        <v>400</v>
      </c>
      <c r="H19" s="13" t="n">
        <f aca="false">IF(G19="",0,F19*G19)</f>
        <v>400</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t="s">
        <v>432</v>
      </c>
      <c r="N19" s="9" t="s">
        <v>167</v>
      </c>
    </row>
    <row r="20" customFormat="false" ht="15" hidden="false" customHeight="false" outlineLevel="0" collapsed="false">
      <c r="A20" s="9" t="s">
        <v>678</v>
      </c>
      <c r="B20" s="9" t="s">
        <v>750</v>
      </c>
      <c r="C20" s="31" t="s">
        <v>235</v>
      </c>
      <c r="D20" s="9" t="str">
        <f aca="false">INDEX(Articles!$C$2:$C$148,MATCH(C20,Articles!$A$2:$A$148,0))</f>
        <v>Crayon papier (vendu à l'unité)</v>
      </c>
      <c r="E20" s="9" t="str">
        <f aca="false">INDEX(Articles!$B$2:$B$148,MATCH(C20,Articles!$A$2:$A$148,0))</f>
        <v>LPD</v>
      </c>
      <c r="F20" s="31" t="n">
        <v>1</v>
      </c>
      <c r="G20" s="13" t="n">
        <f aca="false">IF(INDEX(Articles!$G$2:$G$148,MATCH(C20,Articles!$A$2:$A$148,0))="","",INDEX(Articles!$G$2:$G$148,MATCH(C20,Articles!$A$2:$A$148,0)))</f>
        <v>75</v>
      </c>
      <c r="H20" s="13" t="n">
        <f aca="false">IF(G20="",0,F20*G20)</f>
        <v>75</v>
      </c>
      <c r="I20" s="13" t="str">
        <f aca="false">IF(INDEX(Articles!$E$2:$E$148,MATCH(C20,Articles!$A$2:$A$148,0))="","",INDEX(Articles!$E$2:$E$148,MATCH(C20,Articles!$A$2:$A$148,0)))</f>
        <v/>
      </c>
      <c r="J20" s="13" t="str">
        <f aca="false">IF(I20="","",F20*I20)</f>
        <v/>
      </c>
      <c r="K20" s="9" t="str">
        <f aca="false">INDEX(Articles!$H$2:$H$148,MATCH(C20,Articles!$A$2:$A$148,0))</f>
        <v>Fixé</v>
      </c>
      <c r="L20" s="9" t="str">
        <f aca="false">INDEX(Articles!$F$2:$F$148,MATCH(C20,Articles!$A$2:$A$148,0))</f>
        <v>Inconnu</v>
      </c>
      <c r="M20" s="17"/>
      <c r="N20" s="9" t="s">
        <v>167</v>
      </c>
    </row>
    <row r="21" customFormat="false" ht="15" hidden="false" customHeight="false" outlineLevel="0" collapsed="false">
      <c r="A21" s="9" t="s">
        <v>675</v>
      </c>
      <c r="B21" s="9" t="s">
        <v>717</v>
      </c>
      <c r="C21" s="31" t="s">
        <v>180</v>
      </c>
      <c r="D21" s="9" t="str">
        <f aca="false">INDEX(Articles!$C$2:$C$148,MATCH(C21,Articles!$A$2:$A$148,0))</f>
        <v>Gomme Staedtler Mars Plastic</v>
      </c>
      <c r="E21" s="9" t="str">
        <f aca="false">INDEX(Articles!$B$2:$B$148,MATCH(C21,Articles!$A$2:$A$148,0))</f>
        <v>LPD</v>
      </c>
      <c r="F21" s="31" t="n">
        <v>1</v>
      </c>
      <c r="G21" s="13" t="n">
        <f aca="false">IF(INDEX(Articles!$G$2:$G$148,MATCH(C21,Articles!$A$2:$A$148,0))="","",INDEX(Articles!$G$2:$G$148,MATCH(C21,Articles!$A$2:$A$148,0)))</f>
        <v>250</v>
      </c>
      <c r="H21" s="13" t="n">
        <f aca="false">IF(G21="",0,F21*G21)</f>
        <v>250</v>
      </c>
      <c r="I21" s="13" t="n">
        <f aca="false">IF(INDEX(Articles!$E$2:$E$148,MATCH(C21,Articles!$A$2:$A$148,0))="","",INDEX(Articles!$E$2:$E$148,MATCH(C21,Articles!$A$2:$A$148,0)))</f>
        <v>110</v>
      </c>
      <c r="J21" s="13" t="n">
        <f aca="false">IF(I21="","",F21*I21)</f>
        <v>110</v>
      </c>
      <c r="K21" s="9" t="str">
        <f aca="false">INDEX(Articles!$H$2:$H$148,MATCH(C21,Articles!$A$2:$A$148,0))</f>
        <v>Fixé</v>
      </c>
      <c r="L21" s="9" t="str">
        <f aca="false">INDEX(Articles!$F$2:$F$148,MATCH(C21,Articles!$A$2:$A$148,0))</f>
        <v>Estimé</v>
      </c>
      <c r="M21" s="17"/>
      <c r="N21" s="9" t="s">
        <v>167</v>
      </c>
    </row>
    <row r="22" customFormat="false" ht="15" hidden="false" customHeight="false" outlineLevel="0" collapsed="false">
      <c r="A22" s="9" t="s">
        <v>675</v>
      </c>
      <c r="B22" s="9" t="s">
        <v>751</v>
      </c>
      <c r="C22" s="31" t="s">
        <v>183</v>
      </c>
      <c r="D22" s="9" t="str">
        <f aca="false">INDEX(Articles!$C$2:$C$148,MATCH(C22,Articles!$A$2:$A$148,0))</f>
        <v>Taille-crayon avec réservoir Maped</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t="s">
        <v>752</v>
      </c>
      <c r="N22" s="9" t="s">
        <v>167</v>
      </c>
    </row>
    <row r="23" customFormat="false" ht="15" hidden="false" customHeight="false" outlineLevel="0" collapsed="false">
      <c r="A23" s="9" t="s">
        <v>675</v>
      </c>
      <c r="B23" s="9" t="s">
        <v>753</v>
      </c>
      <c r="C23" s="31" t="s">
        <v>250</v>
      </c>
      <c r="D23" s="9" t="str">
        <f aca="false">INDEX(Articles!$C$2:$C$148,MATCH(C23,Articles!$A$2:$A$148,0))</f>
        <v>Bâton de colle Giotto 10 g</v>
      </c>
      <c r="E23" s="9" t="str">
        <f aca="false">INDEX(Articles!$B$2:$B$148,MATCH(C23,Articles!$A$2:$A$148,0))</f>
        <v>Papex</v>
      </c>
      <c r="F23" s="31" t="n">
        <v>1</v>
      </c>
      <c r="G23" s="13" t="n">
        <f aca="false">IF(INDEX(Articles!$G$2:$G$148,MATCH(C23,Articles!$A$2:$A$148,0))="","",INDEX(Articles!$G$2:$G$148,MATCH(C23,Articles!$A$2:$A$148,0)))</f>
        <v>500</v>
      </c>
      <c r="H23" s="13" t="n">
        <f aca="false">IF(G23="",0,F23*G23)</f>
        <v>500</v>
      </c>
      <c r="I23" s="13" t="n">
        <f aca="false">IF(INDEX(Articles!$E$2:$E$148,MATCH(C23,Articles!$A$2:$A$148,0))="","",INDEX(Articles!$E$2:$E$148,MATCH(C23,Articles!$A$2:$A$148,0)))</f>
        <v>350</v>
      </c>
      <c r="J23" s="13" t="n">
        <f aca="false">IF(I23="","",F23*I23)</f>
        <v>350</v>
      </c>
      <c r="K23" s="9" t="str">
        <f aca="false">INDEX(Articles!$H$2:$H$148,MATCH(C23,Articles!$A$2:$A$148,0))</f>
        <v>Estimé</v>
      </c>
      <c r="L23" s="9" t="str">
        <f aca="false">INDEX(Articles!$F$2:$F$148,MATCH(C23,Articles!$A$2:$A$148,0))</f>
        <v>Estimé</v>
      </c>
      <c r="M23" s="17"/>
      <c r="N23" s="9" t="s">
        <v>167</v>
      </c>
    </row>
    <row r="24" customFormat="false" ht="15" hidden="false" customHeight="false" outlineLevel="0" collapsed="false">
      <c r="A24" s="9" t="s">
        <v>675</v>
      </c>
      <c r="B24" s="9" t="s">
        <v>754</v>
      </c>
      <c r="C24" s="31" t="s">
        <v>233</v>
      </c>
      <c r="D24" s="9" t="str">
        <f aca="false">INDEX(Articles!$C$2:$C$148,MATCH(C24,Articles!$A$2:$A$148,0))</f>
        <v>Ciseaux scolaires bouts ronds</v>
      </c>
      <c r="E24" s="9" t="str">
        <f aca="false">INDEX(Articles!$B$2:$B$148,MATCH(C24,Articles!$A$2:$A$148,0))</f>
        <v>LPD</v>
      </c>
      <c r="F24" s="31" t="n">
        <v>1</v>
      </c>
      <c r="G24" s="13" t="n">
        <f aca="false">IF(INDEX(Articles!$G$2:$G$148,MATCH(C24,Articles!$A$2:$A$148,0))="","",INDEX(Articles!$G$2:$G$148,MATCH(C24,Articles!$A$2:$A$148,0)))</f>
        <v>250</v>
      </c>
      <c r="H24" s="13" t="n">
        <f aca="false">IF(G24="",0,F24*G24)</f>
        <v>250</v>
      </c>
      <c r="I24" s="13" t="n">
        <f aca="false">IF(INDEX(Articles!$E$2:$E$148,MATCH(C24,Articles!$A$2:$A$148,0))="","",INDEX(Articles!$E$2:$E$148,MATCH(C24,Articles!$A$2:$A$148,0)))</f>
        <v>100</v>
      </c>
      <c r="J24" s="13" t="n">
        <f aca="false">IF(I24="","",F24*I24)</f>
        <v>100</v>
      </c>
      <c r="K24" s="9" t="str">
        <f aca="false">INDEX(Articles!$H$2:$H$148,MATCH(C24,Articles!$A$2:$A$148,0))</f>
        <v>Fixé</v>
      </c>
      <c r="L24" s="9" t="str">
        <f aca="false">INDEX(Articles!$F$2:$F$148,MATCH(C24,Articles!$A$2:$A$148,0))</f>
        <v>Estimé</v>
      </c>
      <c r="M24" s="17"/>
      <c r="N24" s="9" t="s">
        <v>167</v>
      </c>
    </row>
    <row r="25" customFormat="false" ht="15" hidden="false" customHeight="false" outlineLevel="0" collapsed="false">
      <c r="A25" s="9" t="s">
        <v>676</v>
      </c>
      <c r="B25" s="9" t="s">
        <v>755</v>
      </c>
      <c r="C25" s="31" t="s">
        <v>239</v>
      </c>
      <c r="D25" s="9" t="str">
        <f aca="false">INDEX(Articles!$C$2:$C$148,MATCH(C25,Articles!$A$2:$A$148,0))</f>
        <v>Kit de traçage 30 cm, 4 pièces L'écolier</v>
      </c>
      <c r="E25" s="9" t="str">
        <f aca="false">INDEX(Articles!$B$2:$B$148,MATCH(C25,Articles!$A$2:$A$148,0))</f>
        <v>Papex</v>
      </c>
      <c r="F25" s="31" t="n">
        <v>1</v>
      </c>
      <c r="G25" s="13" t="n">
        <f aca="false">IF(INDEX(Articles!$G$2:$G$148,MATCH(C25,Articles!$A$2:$A$148,0))="","",INDEX(Articles!$G$2:$G$148,MATCH(C25,Articles!$A$2:$A$148,0)))</f>
        <v>900</v>
      </c>
      <c r="H25" s="13" t="n">
        <f aca="false">IF(G25="",0,F25*G25)</f>
        <v>900</v>
      </c>
      <c r="I25" s="13" t="n">
        <f aca="false">IF(INDEX(Articles!$E$2:$E$148,MATCH(C25,Articles!$A$2:$A$148,0))="","",INDEX(Articles!$E$2:$E$148,MATCH(C25,Articles!$A$2:$A$148,0)))</f>
        <v>650</v>
      </c>
      <c r="J25" s="13" t="n">
        <f aca="false">IF(I25="","",F25*I25)</f>
        <v>650</v>
      </c>
      <c r="K25" s="9" t="str">
        <f aca="false">INDEX(Articles!$H$2:$H$148,MATCH(C25,Articles!$A$2:$A$148,0))</f>
        <v>Estimé</v>
      </c>
      <c r="L25" s="9" t="str">
        <f aca="false">INDEX(Articles!$F$2:$F$148,MATCH(C25,Articles!$A$2:$A$148,0))</f>
        <v>Confirmé</v>
      </c>
      <c r="M25" s="17"/>
      <c r="N25" s="9" t="s">
        <v>167</v>
      </c>
    </row>
    <row r="26" customFormat="false" ht="15" hidden="false" customHeight="false" outlineLevel="0" collapsed="false">
      <c r="A26" s="9" t="s">
        <v>676</v>
      </c>
      <c r="B26" s="9" t="s">
        <v>756</v>
      </c>
      <c r="C26" s="31" t="s">
        <v>217</v>
      </c>
      <c r="D26" s="9" t="str">
        <f aca="false">INDEX(Articles!$C$2:$C$148,MATCH(C26,Articles!$A$2:$A$148,0))</f>
        <v>Compas de précision avec étui</v>
      </c>
      <c r="E26" s="9" t="str">
        <f aca="false">INDEX(Articles!$B$2:$B$148,MATCH(C26,Articles!$A$2:$A$148,0))</f>
        <v>LPD</v>
      </c>
      <c r="F26" s="31" t="n">
        <v>1</v>
      </c>
      <c r="G26" s="13" t="n">
        <f aca="false">IF(INDEX(Articles!$G$2:$G$148,MATCH(C26,Articles!$A$2:$A$148,0))="","",INDEX(Articles!$G$2:$G$148,MATCH(C26,Articles!$A$2:$A$148,0)))</f>
        <v>600</v>
      </c>
      <c r="H26" s="13" t="n">
        <f aca="false">IF(G26="",0,F26*G26)</f>
        <v>600</v>
      </c>
      <c r="I26" s="13" t="n">
        <f aca="false">IF(INDEX(Articles!$E$2:$E$148,MATCH(C26,Articles!$A$2:$A$148,0))="","",INDEX(Articles!$E$2:$E$148,MATCH(C26,Articles!$A$2:$A$148,0)))</f>
        <v>450</v>
      </c>
      <c r="J26" s="13" t="n">
        <f aca="false">IF(I26="","",F26*I26)</f>
        <v>450</v>
      </c>
      <c r="K26" s="9" t="str">
        <f aca="false">INDEX(Articles!$H$2:$H$148,MATCH(C26,Articles!$A$2:$A$148,0))</f>
        <v>Fixé</v>
      </c>
      <c r="L26" s="9" t="str">
        <f aca="false">INDEX(Articles!$F$2:$F$148,MATCH(C26,Articles!$A$2:$A$148,0))</f>
        <v>Estimé</v>
      </c>
      <c r="M26" s="17"/>
      <c r="N26" s="9" t="s">
        <v>167</v>
      </c>
    </row>
    <row r="27" customFormat="false" ht="15" hidden="false" customHeight="false" outlineLevel="0" collapsed="false">
      <c r="A27" s="9" t="s">
        <v>681</v>
      </c>
      <c r="B27" s="9" t="s">
        <v>757</v>
      </c>
      <c r="C27" s="31" t="s">
        <v>198</v>
      </c>
      <c r="D27" s="9" t="str">
        <f aca="false">INDEX(Articles!$C$2:$C$148,MATCH(C27,Articles!$A$2:$A$148,0))</f>
        <v>Crayons de couleur Maped, boîte de 12</v>
      </c>
      <c r="E27" s="9" t="str">
        <f aca="false">INDEX(Articles!$B$2:$B$148,MATCH(C27,Articles!$A$2:$A$148,0))</f>
        <v>Papex</v>
      </c>
      <c r="F27" s="31" t="n">
        <v>1</v>
      </c>
      <c r="G27" s="13" t="n">
        <f aca="false">IF(INDEX(Articles!$G$2:$G$148,MATCH(C27,Articles!$A$2:$A$148,0))="","",INDEX(Articles!$G$2:$G$148,MATCH(C27,Articles!$A$2:$A$148,0)))</f>
        <v>900</v>
      </c>
      <c r="H27" s="13" t="n">
        <f aca="false">IF(G27="",0,F27*G27)</f>
        <v>900</v>
      </c>
      <c r="I27" s="13" t="n">
        <f aca="false">IF(INDEX(Articles!$E$2:$E$148,MATCH(C27,Articles!$A$2:$A$148,0))="","",INDEX(Articles!$E$2:$E$148,MATCH(C27,Articles!$A$2:$A$148,0)))</f>
        <v>650</v>
      </c>
      <c r="J27" s="13" t="n">
        <f aca="false">IF(I27="","",F27*I27)</f>
        <v>650</v>
      </c>
      <c r="K27" s="9" t="str">
        <f aca="false">INDEX(Articles!$H$2:$H$148,MATCH(C27,Articles!$A$2:$A$148,0))</f>
        <v>Estimé</v>
      </c>
      <c r="L27" s="9" t="str">
        <f aca="false">INDEX(Articles!$F$2:$F$148,MATCH(C27,Articles!$A$2:$A$148,0))</f>
        <v>Estimé</v>
      </c>
      <c r="M27" s="17"/>
      <c r="N27" s="9" t="s">
        <v>167</v>
      </c>
    </row>
    <row r="28" customFormat="false" ht="15" hidden="false" customHeight="false" outlineLevel="0" collapsed="false">
      <c r="A28" s="9" t="s">
        <v>676</v>
      </c>
      <c r="B28" s="9" t="s">
        <v>812</v>
      </c>
      <c r="C28" s="31" t="s">
        <v>242</v>
      </c>
      <c r="D28" s="9" t="str">
        <f aca="false">INDEX(Articles!$C$2:$C$148,MATCH(C28,Articles!$A$2:$A$148,0))</f>
        <v>Calculatrice scientifique Parpn YH-2000</v>
      </c>
      <c r="E28" s="9" t="str">
        <f aca="false">INDEX(Articles!$B$2:$B$148,MATCH(C28,Articles!$A$2:$A$148,0))</f>
        <v>LPD</v>
      </c>
      <c r="F28" s="31" t="n">
        <v>1</v>
      </c>
      <c r="G28" s="13" t="n">
        <f aca="false">IF(INDEX(Articles!$G$2:$G$148,MATCH(C28,Articles!$A$2:$A$148,0))="","",INDEX(Articles!$G$2:$G$148,MATCH(C28,Articles!$A$2:$A$148,0)))</f>
        <v>1400</v>
      </c>
      <c r="H28" s="13" t="n">
        <f aca="false">IF(G28="",0,F28*G28)</f>
        <v>1400</v>
      </c>
      <c r="I28" s="13" t="n">
        <f aca="false">IF(INDEX(Articles!$E$2:$E$148,MATCH(C28,Articles!$A$2:$A$148,0))="","",INDEX(Articles!$E$2:$E$148,MATCH(C28,Articles!$A$2:$A$148,0)))</f>
        <v>1100</v>
      </c>
      <c r="J28" s="13" t="n">
        <f aca="false">IF(I28="","",F28*I28)</f>
        <v>1100</v>
      </c>
      <c r="K28" s="9" t="str">
        <f aca="false">INDEX(Articles!$H$2:$H$148,MATCH(C28,Articles!$A$2:$A$148,0))</f>
        <v>Fixé</v>
      </c>
      <c r="L28" s="9" t="str">
        <f aca="false">INDEX(Articles!$F$2:$F$148,MATCH(C28,Articles!$A$2:$A$148,0))</f>
        <v>Confirmé</v>
      </c>
      <c r="M28" s="17" t="s">
        <v>813</v>
      </c>
      <c r="N28" s="9" t="s">
        <v>167</v>
      </c>
    </row>
    <row r="29" customFormat="false" ht="15" hidden="false" customHeight="false" outlineLevel="0" collapsed="false">
      <c r="A29" s="9" t="s">
        <v>758</v>
      </c>
      <c r="B29" s="9" t="s">
        <v>759</v>
      </c>
      <c r="C29" s="31" t="s">
        <v>376</v>
      </c>
      <c r="D29" s="9" t="str">
        <f aca="false">INDEX(Articles!$C$2:$C$148,MATCH(C29,Articles!$A$2:$A$148,0))</f>
        <v>Paquet de copies doubles grand format</v>
      </c>
      <c r="E29" s="9" t="str">
        <f aca="false">INDEX(Articles!$B$2:$B$148,MATCH(C29,Articles!$A$2:$A$148,0))</f>
        <v>À préciser</v>
      </c>
      <c r="F29" s="31" t="n">
        <v>1</v>
      </c>
      <c r="G29" s="45" t="n">
        <f aca="false">IF(INDEX(Articles!$G$2:$G$148,MATCH(C29,Articles!$A$2:$A$148,0))="","",INDEX(Articles!$G$2:$G$148,MATCH(C29,Articles!$A$2:$A$148,0)))</f>
        <v>1800</v>
      </c>
      <c r="H29" s="13" t="n">
        <f aca="false">IF(G29="",0,F29*G29)</f>
        <v>1800</v>
      </c>
      <c r="I29" s="13" t="n">
        <f aca="false">IF(INDEX(Articles!$E$2:$E$148,MATCH(C29,Articles!$A$2:$A$148,0))="","",INDEX(Articles!$E$2:$E$148,MATCH(C29,Articles!$A$2:$A$148,0)))</f>
        <v>1300</v>
      </c>
      <c r="J29" s="13" t="n">
        <f aca="false">IF(I29="","",F29*I29)</f>
        <v>1300</v>
      </c>
      <c r="K29" s="9" t="str">
        <f aca="false">INDEX(Articles!$H$2:$H$148,MATCH(C29,Articles!$A$2:$A$148,0))</f>
        <v>Fixé</v>
      </c>
      <c r="L29" s="9" t="str">
        <f aca="false">INDEX(Articles!$F$2:$F$148,MATCH(C29,Articles!$A$2:$A$148,0))</f>
        <v>Confirmé</v>
      </c>
      <c r="M29" s="17"/>
      <c r="N29" s="9" t="s">
        <v>167</v>
      </c>
    </row>
    <row r="30" customFormat="false" ht="15" hidden="false" customHeight="false" outlineLevel="0" collapsed="false">
      <c r="D30" s="32" t="s">
        <v>683</v>
      </c>
      <c r="E30" s="32"/>
      <c r="F30" s="32"/>
      <c r="G30" s="32"/>
      <c r="H30" s="33" t="n">
        <f aca="false">COUNTIF(G6:G29,"")</f>
        <v>0</v>
      </c>
    </row>
    <row r="31" customFormat="false" ht="15" hidden="false" customHeight="false" outlineLevel="0" collapsed="false">
      <c r="D31" s="32" t="s">
        <v>684</v>
      </c>
      <c r="E31" s="32"/>
      <c r="F31" s="32"/>
      <c r="G31" s="32"/>
      <c r="H31" s="33" t="n">
        <f aca="false">SUM(H6:H29)</f>
        <v>14075</v>
      </c>
    </row>
    <row r="32" customFormat="false" ht="15" hidden="false" customHeight="false" outlineLevel="0" collapsed="false">
      <c r="D32" s="32" t="s">
        <v>28</v>
      </c>
      <c r="E32" s="32"/>
      <c r="F32" s="32"/>
      <c r="G32" s="32"/>
      <c r="H32" s="33" t="n">
        <f aca="false">SUM(J6:J29)</f>
        <v>10160</v>
      </c>
    </row>
    <row r="33" customFormat="false" ht="15" hidden="false" customHeight="false" outlineLevel="0" collapsed="false">
      <c r="D33" s="32" t="s">
        <v>685</v>
      </c>
      <c r="E33" s="32"/>
      <c r="F33" s="32"/>
      <c r="G33" s="32"/>
      <c r="H33" s="33" t="n">
        <f aca="false">COUNTIF(I6:I29,"")</f>
        <v>2</v>
      </c>
    </row>
    <row r="34" customFormat="false" ht="15" hidden="false" customHeight="false" outlineLevel="0" collapsed="false">
      <c r="D34" s="32" t="s">
        <v>686</v>
      </c>
      <c r="E34" s="32"/>
      <c r="F34" s="32"/>
      <c r="G34" s="32"/>
      <c r="H34" s="33" t="n">
        <f aca="false">SUMPRODUCT((I6:I29&lt;&gt;"")*H6:H29)-H32</f>
        <v>3440</v>
      </c>
    </row>
    <row r="35" customFormat="false" ht="15" hidden="false" customHeight="false" outlineLevel="0" collapsed="false">
      <c r="D35" s="32" t="s">
        <v>687</v>
      </c>
      <c r="E35" s="32"/>
      <c r="F35" s="32"/>
      <c r="G35" s="32"/>
      <c r="H35" s="33" t="n">
        <f aca="false">SUMIF(A6:A29,"Cahiers",F6:F29)</f>
        <v>13</v>
      </c>
    </row>
    <row r="36" customFormat="false" ht="15" hidden="false" customHeight="false" outlineLevel="0" collapsed="false">
      <c r="D36" s="32" t="s">
        <v>688</v>
      </c>
      <c r="E36" s="32"/>
      <c r="F36" s="32"/>
      <c r="G36" s="32"/>
      <c r="H36" s="34" t="n">
        <f aca="false">IF(H31=0,0,SUMIF(K6:K29,"&lt;&gt;Fixé",H6:H29)/H31)</f>
        <v>0.483126110124334</v>
      </c>
    </row>
    <row r="37" customFormat="false" ht="15" hidden="false" customHeight="false" outlineLevel="0" collapsed="false">
      <c r="D37" s="32" t="s">
        <v>689</v>
      </c>
      <c r="E37" s="32"/>
      <c r="F37" s="32"/>
      <c r="G37" s="32"/>
      <c r="H37" s="33" t="str">
        <f aca="false">IF(H30&gt;0,"Total incomplet : "&amp;H30&amp;" prix de vente à fournir",IF(H33&gt;0,"Coût incomplet : "&amp;H33&amp;" ligne(s) sans prix d'achat","Complet"))</f>
        <v>Coût incomplet : 2 ligne(s) sans prix d'achat</v>
      </c>
    </row>
    <row r="39" customFormat="false" ht="15" hidden="false" customHeight="false" outlineLevel="0" collapsed="false">
      <c r="D39" s="35" t="s">
        <v>690</v>
      </c>
    </row>
    <row r="40" customFormat="false" ht="15" hidden="false" customHeight="false" outlineLevel="0" collapsed="false">
      <c r="A40" s="36" t="s">
        <v>760</v>
      </c>
      <c r="B40" s="36" t="s">
        <v>814</v>
      </c>
      <c r="C40" s="31" t="s">
        <v>493</v>
      </c>
      <c r="D40" s="36" t="str">
        <f aca="false">INDEX(Articles!$C$2:$C$148,MATCH(C40,Articles!$A$2:$A$148,0))</f>
        <v>Une si longue lettre (Mariama Bâ)</v>
      </c>
      <c r="E40" s="37"/>
      <c r="F40" s="37"/>
      <c r="G40" s="38" t="n">
        <f aca="false">INDEX(Articles!$G$2:$G$148,MATCH(C40,Articles!$A$2:$A$148,0))</f>
        <v>3500</v>
      </c>
      <c r="H40" s="37"/>
      <c r="I40" s="37"/>
      <c r="J40" s="37"/>
      <c r="K40" s="37"/>
      <c r="L40" s="37"/>
      <c r="M40" s="37"/>
      <c r="N40" s="39" t="s">
        <v>271</v>
      </c>
    </row>
    <row r="41" customFormat="false" ht="15" hidden="false" customHeight="false" outlineLevel="0" collapsed="false">
      <c r="A41" s="36" t="s">
        <v>760</v>
      </c>
      <c r="B41" s="36" t="s">
        <v>833</v>
      </c>
      <c r="C41" s="31" t="s">
        <v>495</v>
      </c>
      <c r="D41" s="36" t="str">
        <f aca="false">INDEX(Articles!$C$2:$C$148,MATCH(C41,Articles!$A$2:$A$148,0))</f>
        <v>Vol de nuit (Saint-Exupéry)</v>
      </c>
      <c r="E41" s="37"/>
      <c r="F41" s="37"/>
      <c r="G41" s="38" t="n">
        <f aca="false">INDEX(Articles!$G$2:$G$148,MATCH(C41,Articles!$A$2:$A$148,0))</f>
        <v>2800</v>
      </c>
      <c r="H41" s="37"/>
      <c r="I41" s="37"/>
      <c r="J41" s="37"/>
      <c r="K41" s="37"/>
      <c r="L41" s="37"/>
      <c r="M41" s="37"/>
      <c r="N41" s="39" t="s">
        <v>271</v>
      </c>
    </row>
    <row r="42" customFormat="false" ht="15" hidden="false" customHeight="false" outlineLevel="0" collapsed="false">
      <c r="D42" s="40" t="s">
        <v>695</v>
      </c>
      <c r="H42" s="33" t="n">
        <f aca="false">H31+SUM(G40:G41)</f>
        <v>20375</v>
      </c>
    </row>
    <row r="43" customFormat="false" ht="15" hidden="false" customHeight="false" outlineLevel="0" collapsed="false">
      <c r="D43" s="21" t="s">
        <v>696</v>
      </c>
      <c r="E43" s="21" t="str">
        <f aca="false">INDEX(Articles!$C$2:$C$148,MATCH("S020",Articles!$A$2:$A$148,0))</f>
        <v>Sac à dos bleu marine</v>
      </c>
      <c r="H43" s="41" t="n">
        <f aca="false">INDEX(Articles!$G$2:$G$148,MATCH("S020",Articles!$A$2:$A$148,0))</f>
        <v>7000</v>
      </c>
    </row>
    <row r="44" customFormat="false" ht="15" hidden="false" customHeight="false" outlineLevel="0" collapsed="false">
      <c r="D44" s="42" t="s">
        <v>697</v>
      </c>
      <c r="E44" s="44" t="s">
        <v>711</v>
      </c>
    </row>
    <row r="47" customFormat="false" ht="15" hidden="false" customHeight="false" outlineLevel="0" collapsed="false">
      <c r="A47" s="28" t="s">
        <v>834</v>
      </c>
      <c r="B47" s="29"/>
      <c r="C47" s="29"/>
      <c r="D47" s="29"/>
      <c r="E47" s="29"/>
      <c r="F47" s="29"/>
      <c r="G47" s="29"/>
      <c r="H47" s="29"/>
      <c r="I47" s="29"/>
      <c r="J47" s="29"/>
      <c r="K47" s="29"/>
      <c r="L47" s="29"/>
      <c r="M47" s="29"/>
      <c r="N47" s="29"/>
    </row>
    <row r="48" customFormat="false" ht="39.55" hidden="false" customHeight="false" outlineLevel="0" collapsed="false">
      <c r="A48" s="30" t="s">
        <v>663</v>
      </c>
      <c r="B48" s="30" t="s">
        <v>664</v>
      </c>
      <c r="C48" s="30" t="s">
        <v>348</v>
      </c>
      <c r="D48" s="30" t="s">
        <v>350</v>
      </c>
      <c r="E48" s="30" t="s">
        <v>349</v>
      </c>
      <c r="F48" s="30" t="s">
        <v>665</v>
      </c>
      <c r="G48" s="30" t="s">
        <v>666</v>
      </c>
      <c r="H48" s="30" t="s">
        <v>667</v>
      </c>
      <c r="I48" s="30" t="s">
        <v>668</v>
      </c>
      <c r="J48" s="30" t="s">
        <v>669</v>
      </c>
      <c r="K48" s="30" t="s">
        <v>355</v>
      </c>
      <c r="L48" s="30" t="s">
        <v>353</v>
      </c>
      <c r="M48" s="30" t="s">
        <v>356</v>
      </c>
      <c r="N48" s="30" t="s">
        <v>670</v>
      </c>
    </row>
    <row r="49" customFormat="false" ht="15" hidden="false" customHeight="false" outlineLevel="0" collapsed="false">
      <c r="A49" s="9" t="s">
        <v>671</v>
      </c>
      <c r="B49" s="9" t="s">
        <v>737</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739</v>
      </c>
      <c r="C50" s="31" t="s">
        <v>192</v>
      </c>
      <c r="D50" s="9" t="str">
        <f aca="false">INDEX(Articles!$C$2:$C$148,MATCH(C50,Articles!$A$2:$A$148,0))</f>
        <v>Cahier Calligraphe 192 pages 17x22 90 g seyès</v>
      </c>
      <c r="E50" s="9" t="str">
        <f aca="false">INDEX(Articles!$B$2:$B$148,MATCH(C50,Articles!$A$2:$A$148,0))</f>
        <v>Papex</v>
      </c>
      <c r="F50" s="31" t="n">
        <v>1</v>
      </c>
      <c r="G50" s="13" t="n">
        <f aca="false">IF(INDEX(Articles!$G$2:$G$148,MATCH(C50,Articles!$A$2:$A$148,0))="","",INDEX(Articles!$G$2:$G$148,MATCH(C50,Articles!$A$2:$A$148,0)))</f>
        <v>900</v>
      </c>
      <c r="H50" s="13" t="n">
        <f aca="false">IF(G50="",0,F50*G50)</f>
        <v>900</v>
      </c>
      <c r="I50" s="13" t="n">
        <f aca="false">IF(INDEX(Articles!$E$2:$E$148,MATCH(C50,Articles!$A$2:$A$148,0))="","",INDEX(Articles!$E$2:$E$148,MATCH(C50,Articles!$A$2:$A$148,0)))</f>
        <v>800</v>
      </c>
      <c r="J50" s="13" t="n">
        <f aca="false">IF(I50="","",F50*I50)</f>
        <v>800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740</v>
      </c>
      <c r="C51" s="31" t="s">
        <v>192</v>
      </c>
      <c r="D51" s="9" t="str">
        <f aca="false">INDEX(Articles!$C$2:$C$148,MATCH(C51,Articles!$A$2:$A$148,0))</f>
        <v>Cahier Calligraphe 192 pages 17x22 90 g seyès</v>
      </c>
      <c r="E51" s="9" t="str">
        <f aca="false">INDEX(Articles!$B$2:$B$148,MATCH(C51,Articles!$A$2:$A$148,0))</f>
        <v>Papex</v>
      </c>
      <c r="F51" s="31" t="n">
        <v>1</v>
      </c>
      <c r="G51" s="13" t="n">
        <f aca="false">IF(INDEX(Articles!$G$2:$G$148,MATCH(C51,Articles!$A$2:$A$148,0))="","",INDEX(Articles!$G$2:$G$148,MATCH(C51,Articles!$A$2:$A$148,0)))</f>
        <v>900</v>
      </c>
      <c r="H51" s="13" t="n">
        <f aca="false">IF(G51="",0,F51*G51)</f>
        <v>900</v>
      </c>
      <c r="I51" s="13" t="n">
        <f aca="false">IF(INDEX(Articles!$E$2:$E$148,MATCH(C51,Articles!$A$2:$A$148,0))="","",INDEX(Articles!$E$2:$E$148,MATCH(C51,Articles!$A$2:$A$148,0)))</f>
        <v>800</v>
      </c>
      <c r="J51" s="13" t="n">
        <f aca="false">IF(I51="","",F51*I51)</f>
        <v>800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741</v>
      </c>
      <c r="C52" s="31" t="s">
        <v>366</v>
      </c>
      <c r="D52" s="9" t="str">
        <f aca="false">INDEX(Articles!$C$2:$C$148,MATCH(C52,Articles!$A$2:$A$148,0))</f>
        <v>Cahier Calligraphe 140 pages 17x22 90 g seyès</v>
      </c>
      <c r="E52" s="9" t="str">
        <f aca="false">INDEX(Articles!$B$2:$B$148,MATCH(C52,Articles!$A$2:$A$148,0))</f>
        <v>Papex</v>
      </c>
      <c r="F52" s="31" t="n">
        <v>1</v>
      </c>
      <c r="G52" s="13" t="n">
        <f aca="false">IF(INDEX(Articles!$G$2:$G$148,MATCH(C52,Articles!$A$2:$A$148,0))="","",INDEX(Articles!$G$2:$G$148,MATCH(C52,Articles!$A$2:$A$148,0)))</f>
        <v>750</v>
      </c>
      <c r="H52" s="13" t="n">
        <f aca="false">IF(G52="",0,F52*G52)</f>
        <v>750</v>
      </c>
      <c r="I52" s="13" t="n">
        <f aca="false">IF(INDEX(Articles!$E$2:$E$148,MATCH(C52,Articles!$A$2:$A$148,0))="","",INDEX(Articles!$E$2:$E$148,MATCH(C52,Articles!$A$2:$A$148,0)))</f>
        <v>650</v>
      </c>
      <c r="J52" s="13" t="n">
        <f aca="false">IF(I52="","",F52*I52)</f>
        <v>650</v>
      </c>
      <c r="K52" s="9" t="str">
        <f aca="false">INDEX(Articles!$H$2:$H$148,MATCH(C52,Articles!$A$2:$A$148,0))</f>
        <v>Fixé</v>
      </c>
      <c r="L52" s="9" t="str">
        <f aca="false">INDEX(Articles!$F$2:$F$148,MATCH(C52,Articles!$A$2:$A$148,0))</f>
        <v>Estimé</v>
      </c>
      <c r="M52" s="17" t="s">
        <v>763</v>
      </c>
      <c r="N52" s="9" t="s">
        <v>167</v>
      </c>
    </row>
    <row r="53" customFormat="false" ht="15" hidden="false" customHeight="false" outlineLevel="0" collapsed="false">
      <c r="A53" s="9" t="s">
        <v>671</v>
      </c>
      <c r="B53" s="9" t="s">
        <v>742</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809</v>
      </c>
      <c r="C54" s="31" t="s">
        <v>366</v>
      </c>
      <c r="D54" s="9" t="str">
        <f aca="false">INDEX(Articles!$C$2:$C$148,MATCH(C54,Articles!$A$2:$A$148,0))</f>
        <v>Cahier Calligraphe 140 pages 17x22 90 g seyès</v>
      </c>
      <c r="E54" s="9" t="str">
        <f aca="false">INDEX(Articles!$B$2:$B$148,MATCH(C54,Articles!$A$2:$A$148,0))</f>
        <v>Papex</v>
      </c>
      <c r="F54" s="31" t="n">
        <v>2</v>
      </c>
      <c r="G54" s="13" t="n">
        <f aca="false">IF(INDEX(Articles!$G$2:$G$148,MATCH(C54,Articles!$A$2:$A$148,0))="","",INDEX(Articles!$G$2:$G$148,MATCH(C54,Articles!$A$2:$A$148,0)))</f>
        <v>750</v>
      </c>
      <c r="H54" s="13" t="n">
        <f aca="false">IF(G54="",0,F54*G54)</f>
        <v>1500</v>
      </c>
      <c r="I54" s="13" t="n">
        <f aca="false">IF(INDEX(Articles!$E$2:$E$148,MATCH(C54,Articles!$A$2:$A$148,0))="","",INDEX(Articles!$E$2:$E$148,MATCH(C54,Articles!$A$2:$A$148,0)))</f>
        <v>650</v>
      </c>
      <c r="J54" s="13" t="n">
        <f aca="false">IF(I54="","",F54*I54)</f>
        <v>1300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671</v>
      </c>
      <c r="B55" s="9" t="s">
        <v>744</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745</v>
      </c>
      <c r="C56" s="31" t="s">
        <v>213</v>
      </c>
      <c r="D56" s="9" t="str">
        <f aca="false">INDEX(Articles!$C$2:$C$148,MATCH(C56,Articles!$A$2:$A$148,0))</f>
        <v>Cahier Calligraphe 192 pages 24x32 (grand format)</v>
      </c>
      <c r="E56" s="9" t="str">
        <f aca="false">INDEX(Articles!$B$2:$B$148,MATCH(C56,Articles!$A$2:$A$148,0))</f>
        <v>Papex</v>
      </c>
      <c r="F56" s="31" t="n">
        <v>1</v>
      </c>
      <c r="G56" s="13" t="n">
        <f aca="false">IF(INDEX(Articles!$G$2:$G$148,MATCH(C56,Articles!$A$2:$A$148,0))="","",INDEX(Articles!$G$2:$G$148,MATCH(C56,Articles!$A$2:$A$148,0)))</f>
        <v>1650</v>
      </c>
      <c r="H56" s="13" t="n">
        <f aca="false">IF(G56="",0,F56*G56)</f>
        <v>1650</v>
      </c>
      <c r="I56" s="13" t="n">
        <f aca="false">IF(INDEX(Articles!$E$2:$E$148,MATCH(C56,Articles!$A$2:$A$148,0))="","",INDEX(Articles!$E$2:$E$148,MATCH(C56,Articles!$A$2:$A$148,0)))</f>
        <v>1500</v>
      </c>
      <c r="J56" s="13" t="n">
        <f aca="false">IF(I56="","",F56*I56)</f>
        <v>1500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831</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832</v>
      </c>
      <c r="C58" s="31" t="s">
        <v>366</v>
      </c>
      <c r="D58" s="9" t="str">
        <f aca="false">INDEX(Articles!$C$2:$C$148,MATCH(C58,Articles!$A$2:$A$148,0))</f>
        <v>Cahier Calligraphe 140 pages 17x22 90 g seyès</v>
      </c>
      <c r="E58" s="9" t="str">
        <f aca="false">INDEX(Articles!$B$2:$B$148,MATCH(C58,Articles!$A$2:$A$148,0))</f>
        <v>Papex</v>
      </c>
      <c r="F58" s="31" t="n">
        <v>1</v>
      </c>
      <c r="G58" s="13" t="n">
        <f aca="false">IF(INDEX(Articles!$G$2:$G$148,MATCH(C58,Articles!$A$2:$A$148,0))="","",INDEX(Articles!$G$2:$G$148,MATCH(C58,Articles!$A$2:$A$148,0)))</f>
        <v>750</v>
      </c>
      <c r="H58" s="13" t="n">
        <f aca="false">IF(G58="",0,F58*G58)</f>
        <v>750</v>
      </c>
      <c r="I58" s="13" t="n">
        <f aca="false">IF(INDEX(Articles!$E$2:$E$148,MATCH(C58,Articles!$A$2:$A$148,0))="","",INDEX(Articles!$E$2:$E$148,MATCH(C58,Articles!$A$2:$A$148,0)))</f>
        <v>650</v>
      </c>
      <c r="J58" s="13" t="n">
        <f aca="false">IF(I58="","",F58*I58)</f>
        <v>650</v>
      </c>
      <c r="K58" s="9" t="str">
        <f aca="false">INDEX(Articles!$H$2:$H$148,MATCH(C58,Articles!$A$2:$A$148,0))</f>
        <v>Fixé</v>
      </c>
      <c r="L58" s="9" t="str">
        <f aca="false">INDEX(Articles!$F$2:$F$148,MATCH(C58,Articles!$A$2:$A$148,0))</f>
        <v>Estimé</v>
      </c>
      <c r="M58" s="17" t="s">
        <v>763</v>
      </c>
      <c r="N58" s="9" t="s">
        <v>167</v>
      </c>
    </row>
    <row r="59" customFormat="false" ht="15" hidden="false" customHeight="false" outlineLevel="0" collapsed="false">
      <c r="A59" s="9" t="s">
        <v>671</v>
      </c>
      <c r="B59" s="9" t="s">
        <v>811</v>
      </c>
      <c r="C59" s="31" t="s">
        <v>192</v>
      </c>
      <c r="D59" s="9" t="str">
        <f aca="false">INDEX(Articles!$C$2:$C$148,MATCH(C59,Articles!$A$2:$A$148,0))</f>
        <v>Cahier Calligraphe 192 pages 17x22 90 g seyès</v>
      </c>
      <c r="E59" s="9" t="str">
        <f aca="false">INDEX(Articles!$B$2:$B$148,MATCH(C59,Articles!$A$2:$A$148,0))</f>
        <v>Papex</v>
      </c>
      <c r="F59" s="31" t="n">
        <v>1</v>
      </c>
      <c r="G59" s="13" t="n">
        <f aca="false">IF(INDEX(Articles!$G$2:$G$148,MATCH(C59,Articles!$A$2:$A$148,0))="","",INDEX(Articles!$G$2:$G$148,MATCH(C59,Articles!$A$2:$A$148,0)))</f>
        <v>900</v>
      </c>
      <c r="H59" s="13" t="n">
        <f aca="false">IF(G59="",0,F59*G59)</f>
        <v>900</v>
      </c>
      <c r="I59" s="13" t="n">
        <f aca="false">IF(INDEX(Articles!$E$2:$E$148,MATCH(C59,Articles!$A$2:$A$148,0))="","",INDEX(Articles!$E$2:$E$148,MATCH(C59,Articles!$A$2:$A$148,0)))</f>
        <v>800</v>
      </c>
      <c r="J59" s="13" t="n">
        <f aca="false">IF(I59="","",F59*I59)</f>
        <v>800</v>
      </c>
      <c r="K59" s="9" t="str">
        <f aca="false">INDEX(Articles!$H$2:$H$148,MATCH(C59,Articles!$A$2:$A$148,0))</f>
        <v>Fixé</v>
      </c>
      <c r="L59" s="9" t="str">
        <f aca="false">INDEX(Articles!$F$2:$F$148,MATCH(C59,Articles!$A$2:$A$148,0))</f>
        <v>Confirmé</v>
      </c>
      <c r="M59" s="17"/>
      <c r="N59" s="9" t="s">
        <v>167</v>
      </c>
    </row>
    <row r="60" customFormat="false" ht="15" hidden="false" customHeight="false" outlineLevel="0" collapsed="false">
      <c r="A60" s="9" t="s">
        <v>671</v>
      </c>
      <c r="B60" s="9" t="s">
        <v>747</v>
      </c>
      <c r="C60" s="31" t="s">
        <v>366</v>
      </c>
      <c r="D60" s="9" t="str">
        <f aca="false">INDEX(Articles!$C$2:$C$148,MATCH(C60,Articles!$A$2:$A$148,0))</f>
        <v>Cahier Calligraphe 140 pages 17x22 90 g seyès</v>
      </c>
      <c r="E60" s="9" t="str">
        <f aca="false">INDEX(Articles!$B$2:$B$148,MATCH(C60,Articles!$A$2:$A$148,0))</f>
        <v>Papex</v>
      </c>
      <c r="F60" s="31" t="n">
        <v>1</v>
      </c>
      <c r="G60" s="13" t="n">
        <f aca="false">IF(INDEX(Articles!$G$2:$G$148,MATCH(C60,Articles!$A$2:$A$148,0))="","",INDEX(Articles!$G$2:$G$148,MATCH(C60,Articles!$A$2:$A$148,0)))</f>
        <v>750</v>
      </c>
      <c r="H60" s="13" t="n">
        <f aca="false">IF(G60="",0,F60*G60)</f>
        <v>750</v>
      </c>
      <c r="I60" s="13" t="n">
        <f aca="false">IF(INDEX(Articles!$E$2:$E$148,MATCH(C60,Articles!$A$2:$A$148,0))="","",INDEX(Articles!$E$2:$E$148,MATCH(C60,Articles!$A$2:$A$148,0)))</f>
        <v>650</v>
      </c>
      <c r="J60" s="13" t="n">
        <f aca="false">IF(I60="","",F60*I60)</f>
        <v>650</v>
      </c>
      <c r="K60" s="9" t="str">
        <f aca="false">INDEX(Articles!$H$2:$H$148,MATCH(C60,Articles!$A$2:$A$148,0))</f>
        <v>Fixé</v>
      </c>
      <c r="L60" s="9" t="str">
        <f aca="false">INDEX(Articles!$F$2:$F$148,MATCH(C60,Articles!$A$2:$A$148,0))</f>
        <v>Estimé</v>
      </c>
      <c r="M60" s="17" t="s">
        <v>763</v>
      </c>
      <c r="N60" s="9" t="s">
        <v>167</v>
      </c>
    </row>
    <row r="61" customFormat="false" ht="15" hidden="false" customHeight="false" outlineLevel="0" collapsed="false">
      <c r="A61" s="9" t="s">
        <v>681</v>
      </c>
      <c r="B61" s="9" t="s">
        <v>748</v>
      </c>
      <c r="C61" s="31" t="s">
        <v>177</v>
      </c>
      <c r="D61" s="9" t="str">
        <f aca="false">INDEX(Articles!$C$2:$C$148,MATCH(C61,Articles!$A$2:$A$148,0))</f>
        <v>Cahier de dessin TPG</v>
      </c>
      <c r="E61" s="9" t="str">
        <f aca="false">INDEX(Articles!$B$2:$B$148,MATCH(C61,Articles!$A$2:$A$148,0))</f>
        <v>LPD</v>
      </c>
      <c r="F61" s="31" t="n">
        <v>1</v>
      </c>
      <c r="G61" s="13" t="n">
        <f aca="false">IF(INDEX(Articles!$G$2:$G$148,MATCH(C61,Articles!$A$2:$A$148,0))="","",INDEX(Articles!$G$2:$G$148,MATCH(C61,Articles!$A$2:$A$148,0)))</f>
        <v>550</v>
      </c>
      <c r="H61" s="13" t="n">
        <f aca="false">IF(G61="",0,F61*G61)</f>
        <v>550</v>
      </c>
      <c r="I61" s="13" t="str">
        <f aca="false">IF(INDEX(Articles!$E$2:$E$148,MATCH(C61,Articles!$A$2:$A$148,0))="","",INDEX(Articles!$E$2:$E$148,MATCH(C61,Articles!$A$2:$A$148,0)))</f>
        <v/>
      </c>
      <c r="J61" s="13" t="str">
        <f aca="false">IF(I61="","",F61*I61)</f>
        <v/>
      </c>
      <c r="K61" s="9" t="str">
        <f aca="false">INDEX(Articles!$H$2:$H$148,MATCH(C61,Articles!$A$2:$A$148,0))</f>
        <v>Fixé</v>
      </c>
      <c r="L61" s="9" t="str">
        <f aca="false">INDEX(Articles!$F$2:$F$148,MATCH(C61,Articles!$A$2:$A$148,0))</f>
        <v>Inconnu</v>
      </c>
      <c r="M61" s="17"/>
      <c r="N61" s="9" t="s">
        <v>167</v>
      </c>
    </row>
    <row r="62" customFormat="false" ht="15" hidden="false" customHeight="false" outlineLevel="0" collapsed="false">
      <c r="A62" s="9" t="s">
        <v>678</v>
      </c>
      <c r="B62" s="9" t="s">
        <v>749</v>
      </c>
      <c r="C62" s="31" t="s">
        <v>222</v>
      </c>
      <c r="D62" s="9" t="str">
        <f aca="false">INDEX(Articles!$C$2:$C$148,MATCH(C62,Articles!$A$2:$A$148,0))</f>
        <v>Pack de 4 stylos Schneider Tops 505 M (bleu, noir, rouge, vert)</v>
      </c>
      <c r="E62" s="9" t="str">
        <f aca="false">INDEX(Articles!$B$2:$B$148,MATCH(C62,Articles!$A$2:$A$148,0))</f>
        <v>Papex</v>
      </c>
      <c r="F62" s="31" t="n">
        <v>1</v>
      </c>
      <c r="G62" s="13" t="n">
        <f aca="false">IF(INDEX(Articles!$G$2:$G$148,MATCH(C62,Articles!$A$2:$A$148,0))="","",INDEX(Articles!$G$2:$G$148,MATCH(C62,Articles!$A$2:$A$148,0)))</f>
        <v>400</v>
      </c>
      <c r="H62" s="13" t="n">
        <f aca="false">IF(G62="",0,F62*G62)</f>
        <v>400</v>
      </c>
      <c r="I62" s="13" t="str">
        <f aca="false">IF(INDEX(Articles!$E$2:$E$148,MATCH(C62,Articles!$A$2:$A$148,0))="","",INDEX(Articles!$E$2:$E$148,MATCH(C62,Articles!$A$2:$A$148,0)))</f>
        <v/>
      </c>
      <c r="J62" s="13" t="str">
        <f aca="false">IF(I62="","",F62*I62)</f>
        <v/>
      </c>
      <c r="K62" s="9" t="str">
        <f aca="false">INDEX(Articles!$H$2:$H$148,MATCH(C62,Articles!$A$2:$A$148,0))</f>
        <v>Fixé</v>
      </c>
      <c r="L62" s="9" t="str">
        <f aca="false">INDEX(Articles!$F$2:$F$148,MATCH(C62,Articles!$A$2:$A$148,0))</f>
        <v>Inconnu</v>
      </c>
      <c r="M62" s="17" t="s">
        <v>432</v>
      </c>
      <c r="N62" s="9" t="s">
        <v>167</v>
      </c>
    </row>
    <row r="63" customFormat="false" ht="15" hidden="false" customHeight="false" outlineLevel="0" collapsed="false">
      <c r="A63" s="9" t="s">
        <v>678</v>
      </c>
      <c r="B63" s="9" t="s">
        <v>750</v>
      </c>
      <c r="C63" s="31" t="s">
        <v>235</v>
      </c>
      <c r="D63" s="9" t="str">
        <f aca="false">INDEX(Articles!$C$2:$C$148,MATCH(C63,Articles!$A$2:$A$148,0))</f>
        <v>Crayon papier (vendu à l'unité)</v>
      </c>
      <c r="E63" s="9" t="str">
        <f aca="false">INDEX(Articles!$B$2:$B$148,MATCH(C63,Articles!$A$2:$A$148,0))</f>
        <v>LPD</v>
      </c>
      <c r="F63" s="31" t="n">
        <v>1</v>
      </c>
      <c r="G63" s="13" t="n">
        <f aca="false">IF(INDEX(Articles!$G$2:$G$148,MATCH(C63,Articles!$A$2:$A$148,0))="","",INDEX(Articles!$G$2:$G$148,MATCH(C63,Articles!$A$2:$A$148,0)))</f>
        <v>75</v>
      </c>
      <c r="H63" s="13" t="n">
        <f aca="false">IF(G63="",0,F63*G63)</f>
        <v>75</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c r="N63" s="9" t="s">
        <v>167</v>
      </c>
    </row>
    <row r="64" customFormat="false" ht="15" hidden="false" customHeight="false" outlineLevel="0" collapsed="false">
      <c r="A64" s="9" t="s">
        <v>675</v>
      </c>
      <c r="B64" s="9" t="s">
        <v>717</v>
      </c>
      <c r="C64" s="31" t="s">
        <v>180</v>
      </c>
      <c r="D64" s="9" t="str">
        <f aca="false">INDEX(Articles!$C$2:$C$148,MATCH(C64,Articles!$A$2:$A$148,0))</f>
        <v>Gomme Staedtler Mars Plastic</v>
      </c>
      <c r="E64" s="9" t="str">
        <f aca="false">INDEX(Articles!$B$2:$B$148,MATCH(C64,Articles!$A$2:$A$148,0))</f>
        <v>LPD</v>
      </c>
      <c r="F64" s="31" t="n">
        <v>1</v>
      </c>
      <c r="G64" s="13" t="n">
        <f aca="false">IF(INDEX(Articles!$G$2:$G$148,MATCH(C64,Articles!$A$2:$A$148,0))="","",INDEX(Articles!$G$2:$G$148,MATCH(C64,Articles!$A$2:$A$148,0)))</f>
        <v>250</v>
      </c>
      <c r="H64" s="13" t="n">
        <f aca="false">IF(G64="",0,F64*G64)</f>
        <v>250</v>
      </c>
      <c r="I64" s="13" t="n">
        <f aca="false">IF(INDEX(Articles!$E$2:$E$148,MATCH(C64,Articles!$A$2:$A$148,0))="","",INDEX(Articles!$E$2:$E$148,MATCH(C64,Articles!$A$2:$A$148,0)))</f>
        <v>110</v>
      </c>
      <c r="J64" s="13" t="n">
        <f aca="false">IF(I64="","",F64*I64)</f>
        <v>110</v>
      </c>
      <c r="K64" s="9" t="str">
        <f aca="false">INDEX(Articles!$H$2:$H$148,MATCH(C64,Articles!$A$2:$A$148,0))</f>
        <v>Fixé</v>
      </c>
      <c r="L64" s="9" t="str">
        <f aca="false">INDEX(Articles!$F$2:$F$148,MATCH(C64,Articles!$A$2:$A$148,0))</f>
        <v>Estimé</v>
      </c>
      <c r="M64" s="17"/>
      <c r="N64" s="9" t="s">
        <v>167</v>
      </c>
    </row>
    <row r="65" customFormat="false" ht="15" hidden="false" customHeight="false" outlineLevel="0" collapsed="false">
      <c r="A65" s="9" t="s">
        <v>675</v>
      </c>
      <c r="B65" s="9" t="s">
        <v>751</v>
      </c>
      <c r="C65" s="31" t="s">
        <v>183</v>
      </c>
      <c r="D65" s="9" t="str">
        <f aca="false">INDEX(Articles!$C$2:$C$148,MATCH(C65,Articles!$A$2:$A$148,0))</f>
        <v>Taille-crayon avec réservoir Maped</v>
      </c>
      <c r="E65" s="9" t="str">
        <f aca="false">INDEX(Articles!$B$2:$B$148,MATCH(C65,Articles!$A$2:$A$148,0))</f>
        <v>Papex</v>
      </c>
      <c r="F65" s="31" t="n">
        <v>1</v>
      </c>
      <c r="G65" s="13" t="n">
        <f aca="false">IF(INDEX(Articles!$G$2:$G$148,MATCH(C65,Articles!$A$2:$A$148,0))="","",INDEX(Articles!$G$2:$G$148,MATCH(C65,Articles!$A$2:$A$148,0)))</f>
        <v>500</v>
      </c>
      <c r="H65" s="13" t="n">
        <f aca="false">IF(G65="",0,F65*G65)</f>
        <v>500</v>
      </c>
      <c r="I65" s="13" t="n">
        <f aca="false">IF(INDEX(Articles!$E$2:$E$148,MATCH(C65,Articles!$A$2:$A$148,0))="","",INDEX(Articles!$E$2:$E$148,MATCH(C65,Articles!$A$2:$A$148,0)))</f>
        <v>350</v>
      </c>
      <c r="J65" s="13" t="n">
        <f aca="false">IF(I65="","",F65*I65)</f>
        <v>350</v>
      </c>
      <c r="K65" s="9" t="str">
        <f aca="false">INDEX(Articles!$H$2:$H$148,MATCH(C65,Articles!$A$2:$A$148,0))</f>
        <v>Estimé</v>
      </c>
      <c r="L65" s="9" t="str">
        <f aca="false">INDEX(Articles!$F$2:$F$148,MATCH(C65,Articles!$A$2:$A$148,0))</f>
        <v>Estimé</v>
      </c>
      <c r="M65" s="17" t="s">
        <v>765</v>
      </c>
      <c r="N65" s="9" t="s">
        <v>167</v>
      </c>
    </row>
    <row r="66" customFormat="false" ht="15" hidden="false" customHeight="false" outlineLevel="0" collapsed="false">
      <c r="A66" s="9" t="s">
        <v>675</v>
      </c>
      <c r="B66" s="9" t="s">
        <v>753</v>
      </c>
      <c r="C66" s="31" t="s">
        <v>248</v>
      </c>
      <c r="D66" s="9" t="str">
        <f aca="false">INDEX(Articles!$C$2:$C$148,MATCH(C66,Articles!$A$2:$A$148,0))</f>
        <v>Bâton de colle Giotto 20 g</v>
      </c>
      <c r="E66" s="9" t="str">
        <f aca="false">INDEX(Articles!$B$2:$B$148,MATCH(C66,Articles!$A$2:$A$148,0))</f>
        <v>Papex</v>
      </c>
      <c r="F66" s="31" t="n">
        <v>1</v>
      </c>
      <c r="G66" s="13" t="n">
        <f aca="false">IF(INDEX(Articles!$G$2:$G$148,MATCH(C66,Articles!$A$2:$A$148,0))="","",INDEX(Articles!$G$2:$G$148,MATCH(C66,Articles!$A$2:$A$148,0)))</f>
        <v>900</v>
      </c>
      <c r="H66" s="13" t="n">
        <f aca="false">IF(G66="",0,F66*G66)</f>
        <v>900</v>
      </c>
      <c r="I66" s="13" t="n">
        <f aca="false">IF(INDEX(Articles!$E$2:$E$148,MATCH(C66,Articles!$A$2:$A$148,0))="","",INDEX(Articles!$E$2:$E$148,MATCH(C66,Articles!$A$2:$A$148,0)))</f>
        <v>650</v>
      </c>
      <c r="J66" s="13" t="n">
        <f aca="false">IF(I66="","",F66*I66)</f>
        <v>650</v>
      </c>
      <c r="K66" s="9" t="str">
        <f aca="false">INDEX(Articles!$H$2:$H$148,MATCH(C66,Articles!$A$2:$A$148,0))</f>
        <v>Estimé</v>
      </c>
      <c r="L66" s="9" t="str">
        <f aca="false">INDEX(Articles!$F$2:$F$148,MATCH(C66,Articles!$A$2:$A$148,0))</f>
        <v>Estimé</v>
      </c>
      <c r="M66" s="17"/>
      <c r="N66" s="9" t="s">
        <v>167</v>
      </c>
    </row>
    <row r="67" customFormat="false" ht="15" hidden="false" customHeight="false" outlineLevel="0" collapsed="false">
      <c r="A67" s="9" t="s">
        <v>675</v>
      </c>
      <c r="B67" s="9" t="s">
        <v>754</v>
      </c>
      <c r="C67" s="31" t="s">
        <v>189</v>
      </c>
      <c r="D67" s="9" t="str">
        <f aca="false">INDEX(Articles!$C$2:$C$148,MATCH(C67,Articles!$A$2:$A$148,0))</f>
        <v>Ciseaux Maped 13 cm Security</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676</v>
      </c>
      <c r="B68" s="9" t="s">
        <v>755</v>
      </c>
      <c r="C68" s="31" t="s">
        <v>215</v>
      </c>
      <c r="D68" s="9" t="str">
        <f aca="false">INDEX(Articles!$C$2:$C$148,MATCH(C68,Articles!$A$2:$A$148,0))</f>
        <v>Kit géométrie Maped 30 cm (réf. 1930)</v>
      </c>
      <c r="E68" s="9" t="str">
        <f aca="false">INDEX(Articles!$B$2:$B$148,MATCH(C68,Articles!$A$2:$A$148,0))</f>
        <v>LPD</v>
      </c>
      <c r="F68" s="31" t="n">
        <v>1</v>
      </c>
      <c r="G68" s="13" t="n">
        <f aca="false">IF(INDEX(Articles!$G$2:$G$148,MATCH(C68,Articles!$A$2:$A$148,0))="","",INDEX(Articles!$G$2:$G$148,MATCH(C68,Articles!$A$2:$A$148,0)))</f>
        <v>1800</v>
      </c>
      <c r="H68" s="13" t="n">
        <f aca="false">IF(G68="",0,F68*G68)</f>
        <v>1800</v>
      </c>
      <c r="I68" s="13" t="n">
        <f aca="false">IF(INDEX(Articles!$E$2:$E$148,MATCH(C68,Articles!$A$2:$A$148,0))="","",INDEX(Articles!$E$2:$E$148,MATCH(C68,Articles!$A$2:$A$148,0)))</f>
        <v>1500</v>
      </c>
      <c r="J68" s="13" t="n">
        <f aca="false">IF(I68="","",F68*I68)</f>
        <v>1500</v>
      </c>
      <c r="K68" s="9" t="str">
        <f aca="false">INDEX(Articles!$H$2:$H$148,MATCH(C68,Articles!$A$2:$A$148,0))</f>
        <v>À trancher</v>
      </c>
      <c r="L68" s="9" t="str">
        <f aca="false">INDEX(Articles!$F$2:$F$148,MATCH(C68,Articles!$A$2:$A$148,0))</f>
        <v>Confirmé</v>
      </c>
      <c r="M68" s="17"/>
      <c r="N68" s="9" t="s">
        <v>167</v>
      </c>
    </row>
    <row r="69" customFormat="false" ht="15" hidden="false" customHeight="false" outlineLevel="0" collapsed="false">
      <c r="A69" s="9" t="s">
        <v>676</v>
      </c>
      <c r="B69" s="9" t="s">
        <v>756</v>
      </c>
      <c r="C69" s="31" t="s">
        <v>171</v>
      </c>
      <c r="D69" s="9" t="str">
        <f aca="false">INDEX(Articles!$C$2:$C$148,MATCH(C69,Articles!$A$2:$A$148,0))</f>
        <v>Compas Maped</v>
      </c>
      <c r="E69" s="9" t="str">
        <f aca="false">INDEX(Articles!$B$2:$B$148,MATCH(C69,Articles!$A$2:$A$148,0))</f>
        <v>Papex</v>
      </c>
      <c r="F69" s="31" t="n">
        <v>1</v>
      </c>
      <c r="G69" s="13" t="n">
        <f aca="false">IF(INDEX(Articles!$G$2:$G$148,MATCH(C69,Articles!$A$2:$A$148,0))="","",INDEX(Articles!$G$2:$G$148,MATCH(C69,Articles!$A$2:$A$148,0)))</f>
        <v>2000</v>
      </c>
      <c r="H69" s="13" t="n">
        <f aca="false">IF(G69="",0,F69*G69)</f>
        <v>2000</v>
      </c>
      <c r="I69" s="13" t="n">
        <f aca="false">IF(INDEX(Articles!$E$2:$E$148,MATCH(C69,Articles!$A$2:$A$148,0))="","",INDEX(Articles!$E$2:$E$148,MATCH(C69,Articles!$A$2:$A$148,0)))</f>
        <v>1750</v>
      </c>
      <c r="J69" s="13" t="n">
        <f aca="false">IF(I69="","",F69*I69)</f>
        <v>1750</v>
      </c>
      <c r="K69" s="9" t="str">
        <f aca="false">INDEX(Articles!$H$2:$H$148,MATCH(C69,Articles!$A$2:$A$148,0))</f>
        <v>Fixé</v>
      </c>
      <c r="L69" s="9" t="str">
        <f aca="false">INDEX(Articles!$F$2:$F$148,MATCH(C69,Articles!$A$2:$A$148,0))</f>
        <v>Confirmé</v>
      </c>
      <c r="M69" s="17"/>
      <c r="N69" s="9" t="s">
        <v>167</v>
      </c>
    </row>
    <row r="70" customFormat="false" ht="15" hidden="false" customHeight="false" outlineLevel="0" collapsed="false">
      <c r="A70" s="9" t="s">
        <v>681</v>
      </c>
      <c r="B70" s="9" t="s">
        <v>757</v>
      </c>
      <c r="C70" s="31" t="s">
        <v>198</v>
      </c>
      <c r="D70" s="9" t="str">
        <f aca="false">INDEX(Articles!$C$2:$C$148,MATCH(C70,Articles!$A$2:$A$148,0))</f>
        <v>Crayons de couleur Maped, boîte de 12</v>
      </c>
      <c r="E70" s="9" t="str">
        <f aca="false">INDEX(Articles!$B$2:$B$148,MATCH(C70,Articles!$A$2:$A$148,0))</f>
        <v>Papex</v>
      </c>
      <c r="F70" s="31" t="n">
        <v>1</v>
      </c>
      <c r="G70" s="13" t="n">
        <f aca="false">IF(INDEX(Articles!$G$2:$G$148,MATCH(C70,Articles!$A$2:$A$148,0))="","",INDEX(Articles!$G$2:$G$148,MATCH(C70,Articles!$A$2:$A$148,0)))</f>
        <v>900</v>
      </c>
      <c r="H70" s="13" t="n">
        <f aca="false">IF(G70="",0,F70*G70)</f>
        <v>900</v>
      </c>
      <c r="I70" s="13" t="n">
        <f aca="false">IF(INDEX(Articles!$E$2:$E$148,MATCH(C70,Articles!$A$2:$A$148,0))="","",INDEX(Articles!$E$2:$E$148,MATCH(C70,Articles!$A$2:$A$148,0)))</f>
        <v>650</v>
      </c>
      <c r="J70" s="13" t="n">
        <f aca="false">IF(I70="","",F70*I70)</f>
        <v>650</v>
      </c>
      <c r="K70" s="9" t="str">
        <f aca="false">INDEX(Articles!$H$2:$H$148,MATCH(C70,Articles!$A$2:$A$148,0))</f>
        <v>Estimé</v>
      </c>
      <c r="L70" s="9" t="str">
        <f aca="false">INDEX(Articles!$F$2:$F$148,MATCH(C70,Articles!$A$2:$A$148,0))</f>
        <v>Estimé</v>
      </c>
      <c r="M70" s="17"/>
      <c r="N70" s="9" t="s">
        <v>167</v>
      </c>
    </row>
    <row r="71" customFormat="false" ht="15" hidden="false" customHeight="false" outlineLevel="0" collapsed="false">
      <c r="A71" s="9" t="s">
        <v>678</v>
      </c>
      <c r="B71" s="9" t="s">
        <v>766</v>
      </c>
      <c r="C71" s="31" t="s">
        <v>200</v>
      </c>
      <c r="D71" s="9" t="str">
        <f aca="false">INDEX(Articles!$C$2:$C$148,MATCH(C71,Articles!$A$2:$A$148,0))</f>
        <v>Surligneurs Maped Fluo Peps, pochette de 4</v>
      </c>
      <c r="E71" s="9" t="str">
        <f aca="false">INDEX(Articles!$B$2:$B$148,MATCH(C71,Articles!$A$2:$A$148,0))</f>
        <v>Papex</v>
      </c>
      <c r="F71" s="31" t="n">
        <v>1</v>
      </c>
      <c r="G71" s="13" t="n">
        <f aca="false">IF(INDEX(Articles!$G$2:$G$148,MATCH(C71,Articles!$A$2:$A$148,0))="","",INDEX(Articles!$G$2:$G$148,MATCH(C71,Articles!$A$2:$A$148,0)))</f>
        <v>2500</v>
      </c>
      <c r="H71" s="13" t="n">
        <f aca="false">IF(G71="",0,F71*G71)</f>
        <v>2500</v>
      </c>
      <c r="I71" s="13" t="n">
        <f aca="false">IF(INDEX(Articles!$E$2:$E$148,MATCH(C71,Articles!$A$2:$A$148,0))="","",INDEX(Articles!$E$2:$E$148,MATCH(C71,Articles!$A$2:$A$148,0)))</f>
        <v>2000</v>
      </c>
      <c r="J71" s="13" t="n">
        <f aca="false">IF(I71="","",F71*I71)</f>
        <v>2000</v>
      </c>
      <c r="K71" s="9" t="str">
        <f aca="false">INDEX(Articles!$H$2:$H$148,MATCH(C71,Articles!$A$2:$A$148,0))</f>
        <v>Estimé</v>
      </c>
      <c r="L71" s="9" t="str">
        <f aca="false">INDEX(Articles!$F$2:$F$148,MATCH(C71,Articles!$A$2:$A$148,0))</f>
        <v>Confirmé</v>
      </c>
      <c r="M71" s="17" t="s">
        <v>767</v>
      </c>
      <c r="N71" s="9" t="s">
        <v>167</v>
      </c>
    </row>
    <row r="72" customFormat="false" ht="15" hidden="false" customHeight="false" outlineLevel="0" collapsed="false">
      <c r="A72" s="9" t="s">
        <v>768</v>
      </c>
      <c r="B72" s="9" t="s">
        <v>769</v>
      </c>
      <c r="C72" s="31" t="s">
        <v>446</v>
      </c>
      <c r="D72" s="9" t="str">
        <f aca="false">INDEX(Articles!$C$2:$C$148,MATCH(C72,Articles!$A$2:$A$148,0))</f>
        <v>Chemise 3 rabats à élastique</v>
      </c>
      <c r="E72" s="9" t="str">
        <f aca="false">INDEX(Articles!$B$2:$B$148,MATCH(C72,Articles!$A$2:$A$148,0))</f>
        <v>Papex</v>
      </c>
      <c r="F72" s="31" t="n">
        <v>1</v>
      </c>
      <c r="G72" s="13" t="n">
        <f aca="false">IF(INDEX(Articles!$G$2:$G$148,MATCH(C72,Articles!$A$2:$A$148,0))="","",INDEX(Articles!$G$2:$G$148,MATCH(C72,Articles!$A$2:$A$148,0)))</f>
        <v>500</v>
      </c>
      <c r="H72" s="13" t="n">
        <f aca="false">IF(G72="",0,F72*G72)</f>
        <v>500</v>
      </c>
      <c r="I72" s="13" t="str">
        <f aca="false">IF(INDEX(Articles!$E$2:$E$148,MATCH(C72,Articles!$A$2:$A$148,0))="","",INDEX(Articles!$E$2:$E$148,MATCH(C72,Articles!$A$2:$A$148,0)))</f>
        <v/>
      </c>
      <c r="J72" s="13" t="str">
        <f aca="false">IF(I72="","",F72*I72)</f>
        <v/>
      </c>
      <c r="K72" s="9" t="str">
        <f aca="false">INDEX(Articles!$H$2:$H$148,MATCH(C72,Articles!$A$2:$A$148,0))</f>
        <v>Estimé</v>
      </c>
      <c r="L72" s="9" t="str">
        <f aca="false">INDEX(Articles!$F$2:$F$148,MATCH(C72,Articles!$A$2:$A$148,0))</f>
        <v>Inconnu</v>
      </c>
      <c r="M72" s="17" t="s">
        <v>770</v>
      </c>
      <c r="N72" s="9" t="s">
        <v>167</v>
      </c>
    </row>
    <row r="73" customFormat="false" ht="26.85" hidden="false" customHeight="false" outlineLevel="0" collapsed="false">
      <c r="A73" s="9" t="s">
        <v>676</v>
      </c>
      <c r="B73" s="9" t="s">
        <v>812</v>
      </c>
      <c r="C73" s="31" t="s">
        <v>242</v>
      </c>
      <c r="D73" s="9" t="str">
        <f aca="false">INDEX(Articles!$C$2:$C$148,MATCH(C73,Articles!$A$2:$A$148,0))</f>
        <v>Calculatrice scientifique Parpn YH-2000</v>
      </c>
      <c r="E73" s="9" t="str">
        <f aca="false">INDEX(Articles!$B$2:$B$148,MATCH(C73,Articles!$A$2:$A$148,0))</f>
        <v>LPD</v>
      </c>
      <c r="F73" s="31" t="n">
        <v>1</v>
      </c>
      <c r="G73" s="13" t="n">
        <f aca="false">IF(INDEX(Articles!$G$2:$G$148,MATCH(C73,Articles!$A$2:$A$148,0))="","",INDEX(Articles!$G$2:$G$148,MATCH(C73,Articles!$A$2:$A$148,0)))</f>
        <v>1400</v>
      </c>
      <c r="H73" s="13" t="n">
        <f aca="false">IF(G73="",0,F73*G73)</f>
        <v>1400</v>
      </c>
      <c r="I73" s="13" t="n">
        <f aca="false">IF(INDEX(Articles!$E$2:$E$148,MATCH(C73,Articles!$A$2:$A$148,0))="","",INDEX(Articles!$E$2:$E$148,MATCH(C73,Articles!$A$2:$A$148,0)))</f>
        <v>1100</v>
      </c>
      <c r="J73" s="13" t="n">
        <f aca="false">IF(I73="","",F73*I73)</f>
        <v>1100</v>
      </c>
      <c r="K73" s="9" t="str">
        <f aca="false">INDEX(Articles!$H$2:$H$148,MATCH(C73,Articles!$A$2:$A$148,0))</f>
        <v>Fixé</v>
      </c>
      <c r="L73" s="9" t="str">
        <f aca="false">INDEX(Articles!$F$2:$F$148,MATCH(C73,Articles!$A$2:$A$148,0))</f>
        <v>Confirmé</v>
      </c>
      <c r="M73" s="17" t="s">
        <v>816</v>
      </c>
      <c r="N73" s="9" t="s">
        <v>167</v>
      </c>
    </row>
    <row r="74" customFormat="false" ht="15" hidden="false" customHeight="false" outlineLevel="0" collapsed="false">
      <c r="A74" s="9" t="s">
        <v>758</v>
      </c>
      <c r="B74" s="9" t="s">
        <v>759</v>
      </c>
      <c r="C74" s="31" t="s">
        <v>376</v>
      </c>
      <c r="D74" s="9" t="str">
        <f aca="false">INDEX(Articles!$C$2:$C$148,MATCH(C74,Articles!$A$2:$A$148,0))</f>
        <v>Paquet de copies doubles grand format</v>
      </c>
      <c r="E74" s="9" t="str">
        <f aca="false">INDEX(Articles!$B$2:$B$148,MATCH(C74,Articles!$A$2:$A$148,0))</f>
        <v>À préciser</v>
      </c>
      <c r="F74" s="31" t="n">
        <v>1</v>
      </c>
      <c r="G74" s="45" t="n">
        <f aca="false">IF(INDEX(Articles!$G$2:$G$148,MATCH(C74,Articles!$A$2:$A$148,0))="","",INDEX(Articles!$G$2:$G$148,MATCH(C74,Articles!$A$2:$A$148,0)))</f>
        <v>1800</v>
      </c>
      <c r="H74" s="13" t="n">
        <f aca="false">IF(G74="",0,F74*G74)</f>
        <v>1800</v>
      </c>
      <c r="I74" s="13" t="n">
        <f aca="false">IF(INDEX(Articles!$E$2:$E$148,MATCH(C74,Articles!$A$2:$A$148,0))="","",INDEX(Articles!$E$2:$E$148,MATCH(C74,Articles!$A$2:$A$148,0)))</f>
        <v>1300</v>
      </c>
      <c r="J74" s="13" t="n">
        <f aca="false">IF(I74="","",F74*I74)</f>
        <v>1300</v>
      </c>
      <c r="K74" s="9" t="str">
        <f aca="false">INDEX(Articles!$H$2:$H$148,MATCH(C74,Articles!$A$2:$A$148,0))</f>
        <v>Fixé</v>
      </c>
      <c r="L74" s="9" t="str">
        <f aca="false">INDEX(Articles!$F$2:$F$148,MATCH(C74,Articles!$A$2:$A$148,0))</f>
        <v>Confirmé</v>
      </c>
      <c r="M74" s="17"/>
      <c r="N74" s="9" t="s">
        <v>167</v>
      </c>
    </row>
    <row r="75" customFormat="false" ht="15" hidden="false" customHeight="false" outlineLevel="0" collapsed="false">
      <c r="A75" s="9" t="s">
        <v>771</v>
      </c>
      <c r="B75" s="9" t="s">
        <v>772</v>
      </c>
      <c r="C75" s="31" t="s">
        <v>160</v>
      </c>
      <c r="D75" s="9" t="str">
        <f aca="false">INDEX(Articles!$C$2:$C$148,MATCH(C75,Articles!$A$2:$A$148,0))</f>
        <v>Protège-cahier couleur petit format (à l'unité)</v>
      </c>
      <c r="E75" s="9" t="str">
        <f aca="false">INDEX(Articles!$B$2:$B$148,MATCH(C75,Articles!$A$2:$A$148,0))</f>
        <v>LPD</v>
      </c>
      <c r="F75" s="31" t="n">
        <v>8</v>
      </c>
      <c r="G75" s="13" t="n">
        <f aca="false">IF(INDEX(Articles!$G$2:$G$148,MATCH(C75,Articles!$A$2:$A$148,0))="","",INDEX(Articles!$G$2:$G$148,MATCH(C75,Articles!$A$2:$A$148,0)))</f>
        <v>150</v>
      </c>
      <c r="H75" s="13" t="n">
        <f aca="false">IF(G75="",0,F75*G75)</f>
        <v>1200</v>
      </c>
      <c r="I75" s="13" t="str">
        <f aca="false">IF(INDEX(Articles!$E$2:$E$148,MATCH(C75,Articles!$A$2:$A$148,0))="","",INDEX(Articles!$E$2:$E$148,MATCH(C75,Articles!$A$2:$A$148,0)))</f>
        <v/>
      </c>
      <c r="J75" s="13" t="str">
        <f aca="false">IF(I75="","",F75*I75)</f>
        <v/>
      </c>
      <c r="K75" s="9" t="str">
        <f aca="false">INDEX(Articles!$H$2:$H$148,MATCH(C75,Articles!$A$2:$A$148,0))</f>
        <v>Fixé</v>
      </c>
      <c r="L75" s="9" t="str">
        <f aca="false">INDEX(Articles!$F$2:$F$148,MATCH(C75,Articles!$A$2:$A$148,0))</f>
        <v>Inconnu</v>
      </c>
      <c r="M75" s="17"/>
      <c r="N75" s="9" t="s">
        <v>167</v>
      </c>
    </row>
    <row r="76" customFormat="false" ht="15" hidden="false" customHeight="false" outlineLevel="0" collapsed="false">
      <c r="A76" s="9" t="s">
        <v>771</v>
      </c>
      <c r="B76" s="9" t="s">
        <v>773</v>
      </c>
      <c r="C76" s="31" t="s">
        <v>419</v>
      </c>
      <c r="D76" s="9" t="str">
        <f aca="false">INDEX(Articles!$C$2:$C$148,MATCH(C76,Articles!$A$2:$A$148,0))</f>
        <v>Protège-cahier grand format (à l'unité)</v>
      </c>
      <c r="E76" s="9" t="str">
        <f aca="false">INDEX(Articles!$B$2:$B$148,MATCH(C76,Articles!$A$2:$A$148,0))</f>
        <v>À préciser</v>
      </c>
      <c r="F76" s="31" t="n">
        <v>5</v>
      </c>
      <c r="G76" s="13" t="str">
        <f aca="false">IF(INDEX(Articles!$G$2:$G$148,MATCH(C76,Articles!$A$2:$A$148,0))="","",INDEX(Articles!$G$2:$G$148,MATCH(C76,Articles!$A$2:$A$148,0)))</f>
        <v/>
      </c>
      <c r="H76" s="13" t="n">
        <f aca="false">IF(G76="",0,F76*G76)</f>
        <v>0</v>
      </c>
      <c r="I76" s="13" t="str">
        <f aca="false">IF(INDEX(Articles!$E$2:$E$148,MATCH(C76,Articles!$A$2:$A$148,0))="","",INDEX(Articles!$E$2:$E$148,MATCH(C76,Articles!$A$2:$A$148,0)))</f>
        <v/>
      </c>
      <c r="J76" s="13" t="str">
        <f aca="false">IF(I76="","",F76*I76)</f>
        <v/>
      </c>
      <c r="K76" s="9" t="str">
        <f aca="false">INDEX(Articles!$H$2:$H$148,MATCH(C76,Articles!$A$2:$A$148,0))</f>
        <v>À fournir</v>
      </c>
      <c r="L76" s="9" t="str">
        <f aca="false">INDEX(Articles!$F$2:$F$148,MATCH(C76,Articles!$A$2:$A$148,0))</f>
        <v>Inconnu</v>
      </c>
      <c r="M76" s="17"/>
      <c r="N76" s="9" t="s">
        <v>167</v>
      </c>
    </row>
    <row r="77" customFormat="false" ht="15" hidden="false" customHeight="false" outlineLevel="0" collapsed="false">
      <c r="A77" s="9" t="s">
        <v>760</v>
      </c>
      <c r="B77" s="9" t="s">
        <v>814</v>
      </c>
      <c r="C77" s="31" t="s">
        <v>493</v>
      </c>
      <c r="D77" s="9" t="str">
        <f aca="false">INDEX(Articles!$C$2:$C$148,MATCH(C77,Articles!$A$2:$A$148,0))</f>
        <v>Une si longue lettre (Mariama Bâ)</v>
      </c>
      <c r="E77" s="9" t="str">
        <f aca="false">INDEX(Articles!$B$2:$B$148,MATCH(C77,Articles!$A$2:$A$148,0))</f>
        <v>LPD</v>
      </c>
      <c r="F77" s="31" t="n">
        <v>1</v>
      </c>
      <c r="G77" s="13" t="n">
        <f aca="false">IF(INDEX(Articles!$G$2:$G$148,MATCH(C77,Articles!$A$2:$A$148,0))="","",INDEX(Articles!$G$2:$G$148,MATCH(C77,Articles!$A$2:$A$148,0)))</f>
        <v>3500</v>
      </c>
      <c r="H77" s="13" t="n">
        <f aca="false">IF(G77="",0,F77*G77)</f>
        <v>3500</v>
      </c>
      <c r="I77" s="13" t="n">
        <f aca="false">IF(INDEX(Articles!$E$2:$E$148,MATCH(C77,Articles!$A$2:$A$148,0))="","",INDEX(Articles!$E$2:$E$148,MATCH(C77,Articles!$A$2:$A$148,0)))</f>
        <v>2500</v>
      </c>
      <c r="J77" s="13" t="n">
        <f aca="false">IF(I77="","",F77*I77)</f>
        <v>2500</v>
      </c>
      <c r="K77" s="9" t="str">
        <f aca="false">INDEX(Articles!$H$2:$H$148,MATCH(C77,Articles!$A$2:$A$148,0))</f>
        <v>Fixé</v>
      </c>
      <c r="L77" s="9" t="str">
        <f aca="false">INDEX(Articles!$F$2:$F$148,MATCH(C77,Articles!$A$2:$A$148,0))</f>
        <v>Estimé</v>
      </c>
      <c r="M77" s="17"/>
      <c r="N77" s="9" t="s">
        <v>167</v>
      </c>
    </row>
    <row r="78" customFormat="false" ht="15" hidden="false" customHeight="false" outlineLevel="0" collapsed="false">
      <c r="A78" s="9" t="s">
        <v>760</v>
      </c>
      <c r="B78" s="9" t="s">
        <v>833</v>
      </c>
      <c r="C78" s="31" t="s">
        <v>495</v>
      </c>
      <c r="D78" s="9" t="str">
        <f aca="false">INDEX(Articles!$C$2:$C$148,MATCH(C78,Articles!$A$2:$A$148,0))</f>
        <v>Vol de nuit (Saint-Exupéry)</v>
      </c>
      <c r="E78" s="9" t="str">
        <f aca="false">INDEX(Articles!$B$2:$B$148,MATCH(C78,Articles!$A$2:$A$148,0))</f>
        <v>LPD</v>
      </c>
      <c r="F78" s="31" t="n">
        <v>1</v>
      </c>
      <c r="G78" s="13" t="n">
        <f aca="false">IF(INDEX(Articles!$G$2:$G$148,MATCH(C78,Articles!$A$2:$A$148,0))="","",INDEX(Articles!$G$2:$G$148,MATCH(C78,Articles!$A$2:$A$148,0)))</f>
        <v>2800</v>
      </c>
      <c r="H78" s="13" t="n">
        <f aca="false">IF(G78="",0,F78*G78)</f>
        <v>2800</v>
      </c>
      <c r="I78" s="13" t="n">
        <f aca="false">IF(INDEX(Articles!$E$2:$E$148,MATCH(C78,Articles!$A$2:$A$148,0))="","",INDEX(Articles!$E$2:$E$148,MATCH(C78,Articles!$A$2:$A$148,0)))</f>
        <v>1800</v>
      </c>
      <c r="J78" s="13" t="n">
        <f aca="false">IF(I78="","",F78*I78)</f>
        <v>1800</v>
      </c>
      <c r="K78" s="9" t="str">
        <f aca="false">INDEX(Articles!$H$2:$H$148,MATCH(C78,Articles!$A$2:$A$148,0))</f>
        <v>Fixé</v>
      </c>
      <c r="L78" s="9" t="str">
        <f aca="false">INDEX(Articles!$F$2:$F$148,MATCH(C78,Articles!$A$2:$A$148,0))</f>
        <v>Estimé</v>
      </c>
      <c r="M78" s="17"/>
      <c r="N78" s="9" t="s">
        <v>167</v>
      </c>
    </row>
    <row r="79" customFormat="false" ht="15" hidden="false" customHeight="false" outlineLevel="0" collapsed="false">
      <c r="D79" s="32" t="s">
        <v>683</v>
      </c>
      <c r="E79" s="32"/>
      <c r="F79" s="32"/>
      <c r="G79" s="32"/>
      <c r="H79" s="33" t="n">
        <f aca="false">COUNTIF(G49:G78,"")</f>
        <v>1</v>
      </c>
    </row>
    <row r="80" customFormat="false" ht="15" hidden="false" customHeight="false" outlineLevel="0" collapsed="false">
      <c r="D80" s="32" t="s">
        <v>684</v>
      </c>
      <c r="E80" s="32"/>
      <c r="F80" s="32"/>
      <c r="G80" s="32"/>
      <c r="H80" s="33" t="n">
        <f aca="false">SUM(H49:H78)</f>
        <v>36675</v>
      </c>
    </row>
    <row r="81" customFormat="false" ht="15" hidden="false" customHeight="false" outlineLevel="0" collapsed="false">
      <c r="D81" s="32" t="s">
        <v>28</v>
      </c>
      <c r="E81" s="32"/>
      <c r="F81" s="32"/>
      <c r="G81" s="32"/>
      <c r="H81" s="33" t="n">
        <f aca="false">SUM(J49:J78)</f>
        <v>27510</v>
      </c>
    </row>
    <row r="82" customFormat="false" ht="15" hidden="false" customHeight="false" outlineLevel="0" collapsed="false">
      <c r="D82" s="32" t="s">
        <v>685</v>
      </c>
      <c r="E82" s="32"/>
      <c r="F82" s="32"/>
      <c r="G82" s="32"/>
      <c r="H82" s="33" t="n">
        <f aca="false">COUNTIF(I49:I78,"")</f>
        <v>6</v>
      </c>
    </row>
    <row r="83" customFormat="false" ht="15" hidden="false" customHeight="false" outlineLevel="0" collapsed="false">
      <c r="D83" s="32" t="s">
        <v>686</v>
      </c>
      <c r="E83" s="32"/>
      <c r="F83" s="32"/>
      <c r="G83" s="32"/>
      <c r="H83" s="33" t="n">
        <f aca="false">SUMPRODUCT((I49:I78&lt;&gt;"")*H49:H78)-H81</f>
        <v>6440</v>
      </c>
    </row>
    <row r="84" customFormat="false" ht="15" hidden="false" customHeight="false" outlineLevel="0" collapsed="false">
      <c r="D84" s="32" t="s">
        <v>687</v>
      </c>
      <c r="E84" s="32"/>
      <c r="F84" s="32"/>
      <c r="G84" s="32"/>
      <c r="H84" s="33" t="n">
        <f aca="false">SUMIF(A49:A78,"Cahiers",F49:F78)</f>
        <v>13</v>
      </c>
    </row>
    <row r="85" customFormat="false" ht="15" hidden="false" customHeight="false" outlineLevel="0" collapsed="false">
      <c r="D85" s="32" t="s">
        <v>688</v>
      </c>
      <c r="E85" s="32"/>
      <c r="F85" s="32"/>
      <c r="G85" s="32"/>
      <c r="H85" s="34" t="n">
        <f aca="false">IF(H80=0,0,SUMIF(K49:K78,"&lt;&gt;Fixé",H49:H78)/H80)</f>
        <v>0.21813224267212</v>
      </c>
    </row>
    <row r="86" customFormat="false" ht="15" hidden="false" customHeight="false" outlineLevel="0" collapsed="false">
      <c r="D86" s="32" t="s">
        <v>689</v>
      </c>
      <c r="E86" s="32"/>
      <c r="F86" s="32"/>
      <c r="G86" s="32"/>
      <c r="H86" s="33" t="str">
        <f aca="false">IF(H79&gt;0,"Total incomplet : "&amp;H79&amp;" prix de vente à fournir",IF(H82&gt;0,"Coût incomplet : "&amp;H82&amp;" ligne(s) sans prix d'achat","Complet"))</f>
        <v>Total incomplet : 1 prix de vente à fournir</v>
      </c>
    </row>
    <row r="87" customFormat="false" ht="15" hidden="false" customHeight="false" outlineLevel="0" collapsed="false">
      <c r="D87" s="21" t="s">
        <v>696</v>
      </c>
      <c r="E87" s="21" t="str">
        <f aca="false">INDEX(Articles!$C$2:$C$148,MATCH("S020",Articles!$A$2:$A$148,0))</f>
        <v>Sac à dos bleu marine</v>
      </c>
      <c r="H87" s="41" t="n">
        <f aca="false">INDEX(Articles!$G$2:$G$148,MATCH("S020",Articles!$A$2:$A$148,0))</f>
        <v>7000</v>
      </c>
    </row>
    <row r="88" customFormat="false" ht="15" hidden="false" customHeight="false" outlineLevel="0" collapsed="false">
      <c r="D88" s="42" t="s">
        <v>697</v>
      </c>
      <c r="E88" s="43" t="s">
        <v>797</v>
      </c>
    </row>
    <row r="89" customFormat="false" ht="15" hidden="false" customHeight="false" outlineLevel="0" collapsed="false">
      <c r="E89" s="43" t="s">
        <v>835</v>
      </c>
    </row>
    <row r="92" customFormat="false" ht="15" hidden="false" customHeight="false" outlineLevel="0" collapsed="false">
      <c r="A92" s="28" t="s">
        <v>836</v>
      </c>
      <c r="B92" s="29"/>
      <c r="C92" s="29"/>
      <c r="D92" s="29"/>
      <c r="E92" s="29"/>
      <c r="F92" s="29"/>
      <c r="G92" s="29"/>
      <c r="H92" s="29"/>
      <c r="I92" s="29"/>
      <c r="J92" s="29"/>
      <c r="K92" s="29"/>
      <c r="L92" s="29"/>
      <c r="M92" s="29"/>
      <c r="N92" s="29"/>
    </row>
    <row r="93" customFormat="false" ht="39.55" hidden="false" customHeight="false" outlineLevel="0" collapsed="false">
      <c r="A93" s="30" t="s">
        <v>663</v>
      </c>
      <c r="B93" s="30" t="s">
        <v>664</v>
      </c>
      <c r="C93" s="30" t="s">
        <v>348</v>
      </c>
      <c r="D93" s="30" t="s">
        <v>350</v>
      </c>
      <c r="E93" s="30" t="s">
        <v>349</v>
      </c>
      <c r="F93" s="30" t="s">
        <v>665</v>
      </c>
      <c r="G93" s="30" t="s">
        <v>666</v>
      </c>
      <c r="H93" s="30" t="s">
        <v>667</v>
      </c>
      <c r="I93" s="30" t="s">
        <v>668</v>
      </c>
      <c r="J93" s="30" t="s">
        <v>669</v>
      </c>
      <c r="K93" s="30" t="s">
        <v>355</v>
      </c>
      <c r="L93" s="30" t="s">
        <v>353</v>
      </c>
      <c r="M93" s="30" t="s">
        <v>356</v>
      </c>
      <c r="N93" s="30" t="s">
        <v>670</v>
      </c>
    </row>
    <row r="94" customFormat="false" ht="15" hidden="false" customHeight="false" outlineLevel="0" collapsed="false">
      <c r="A94" s="9" t="s">
        <v>671</v>
      </c>
      <c r="B94" s="9" t="s">
        <v>737</v>
      </c>
      <c r="C94" s="31" t="s">
        <v>213</v>
      </c>
      <c r="D94" s="9" t="str">
        <f aca="false">INDEX(Articles!$C$2:$C$148,MATCH(C94,Articles!$A$2:$A$148,0))</f>
        <v>Cahier Calligraphe 192 pages 24x32 (grand format)</v>
      </c>
      <c r="E94" s="9" t="str">
        <f aca="false">INDEX(Articles!$B$2:$B$148,MATCH(C94,Articles!$A$2:$A$148,0))</f>
        <v>Papex</v>
      </c>
      <c r="F94" s="31" t="n">
        <v>1</v>
      </c>
      <c r="G94" s="13" t="n">
        <f aca="false">IF(INDEX(Articles!$G$2:$G$148,MATCH(C94,Articles!$A$2:$A$148,0))="","",INDEX(Articles!$G$2:$G$148,MATCH(C94,Articles!$A$2:$A$148,0)))</f>
        <v>1650</v>
      </c>
      <c r="H94" s="13" t="n">
        <f aca="false">IF(G94="",0,F94*G94)</f>
        <v>1650</v>
      </c>
      <c r="I94" s="13" t="n">
        <f aca="false">IF(INDEX(Articles!$E$2:$E$148,MATCH(C94,Articles!$A$2:$A$148,0))="","",INDEX(Articles!$E$2:$E$148,MATCH(C94,Articles!$A$2:$A$148,0)))</f>
        <v>1500</v>
      </c>
      <c r="J94" s="13" t="n">
        <f aca="false">IF(I94="","",F94*I94)</f>
        <v>1500</v>
      </c>
      <c r="K94" s="9" t="str">
        <f aca="false">INDEX(Articles!$H$2:$H$148,MATCH(C94,Articles!$A$2:$A$148,0))</f>
        <v>Fixé</v>
      </c>
      <c r="L94" s="9" t="str">
        <f aca="false">INDEX(Articles!$F$2:$F$148,MATCH(C94,Articles!$A$2:$A$148,0))</f>
        <v>Confirmé</v>
      </c>
      <c r="M94" s="17"/>
      <c r="N94" s="9" t="s">
        <v>167</v>
      </c>
    </row>
    <row r="95" customFormat="false" ht="15" hidden="false" customHeight="false" outlineLevel="0" collapsed="false">
      <c r="A95" s="9" t="s">
        <v>671</v>
      </c>
      <c r="B95" s="9" t="s">
        <v>739</v>
      </c>
      <c r="C95" s="31" t="s">
        <v>192</v>
      </c>
      <c r="D95" s="9" t="str">
        <f aca="false">INDEX(Articles!$C$2:$C$148,MATCH(C95,Articles!$A$2:$A$148,0))</f>
        <v>Cahier Calligraphe 192 pages 17x22 90 g seyès</v>
      </c>
      <c r="E95" s="9" t="str">
        <f aca="false">INDEX(Articles!$B$2:$B$148,MATCH(C95,Articles!$A$2:$A$148,0))</f>
        <v>Papex</v>
      </c>
      <c r="F95" s="31" t="n">
        <v>1</v>
      </c>
      <c r="G95" s="13" t="n">
        <f aca="false">IF(INDEX(Articles!$G$2:$G$148,MATCH(C95,Articles!$A$2:$A$148,0))="","",INDEX(Articles!$G$2:$G$148,MATCH(C95,Articles!$A$2:$A$148,0)))</f>
        <v>900</v>
      </c>
      <c r="H95" s="13" t="n">
        <f aca="false">IF(G95="",0,F95*G95)</f>
        <v>900</v>
      </c>
      <c r="I95" s="13" t="n">
        <f aca="false">IF(INDEX(Articles!$E$2:$E$148,MATCH(C95,Articles!$A$2:$A$148,0))="","",INDEX(Articles!$E$2:$E$148,MATCH(C95,Articles!$A$2:$A$148,0)))</f>
        <v>800</v>
      </c>
      <c r="J95" s="13" t="n">
        <f aca="false">IF(I95="","",F95*I95)</f>
        <v>800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740</v>
      </c>
      <c r="C96" s="31" t="s">
        <v>192</v>
      </c>
      <c r="D96" s="9" t="str">
        <f aca="false">INDEX(Articles!$C$2:$C$148,MATCH(C96,Articles!$A$2:$A$148,0))</f>
        <v>Cahier Calligraphe 192 pages 17x22 90 g seyès</v>
      </c>
      <c r="E96" s="9" t="str">
        <f aca="false">INDEX(Articles!$B$2:$B$148,MATCH(C96,Articles!$A$2:$A$148,0))</f>
        <v>Papex</v>
      </c>
      <c r="F96" s="31" t="n">
        <v>1</v>
      </c>
      <c r="G96" s="13" t="n">
        <f aca="false">IF(INDEX(Articles!$G$2:$G$148,MATCH(C96,Articles!$A$2:$A$148,0))="","",INDEX(Articles!$G$2:$G$148,MATCH(C96,Articles!$A$2:$A$148,0)))</f>
        <v>900</v>
      </c>
      <c r="H96" s="13" t="n">
        <f aca="false">IF(G96="",0,F96*G96)</f>
        <v>900</v>
      </c>
      <c r="I96" s="13" t="n">
        <f aca="false">IF(INDEX(Articles!$E$2:$E$148,MATCH(C96,Articles!$A$2:$A$148,0))="","",INDEX(Articles!$E$2:$E$148,MATCH(C96,Articles!$A$2:$A$148,0)))</f>
        <v>800</v>
      </c>
      <c r="J96" s="13" t="n">
        <f aca="false">IF(I96="","",F96*I96)</f>
        <v>800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741</v>
      </c>
      <c r="C97" s="31" t="s">
        <v>366</v>
      </c>
      <c r="D97" s="9" t="str">
        <f aca="false">INDEX(Articles!$C$2:$C$148,MATCH(C97,Articles!$A$2:$A$148,0))</f>
        <v>Cahier Calligraphe 140 pages 17x22 90 g seyès</v>
      </c>
      <c r="E97" s="9" t="str">
        <f aca="false">INDEX(Articles!$B$2:$B$148,MATCH(C97,Articles!$A$2:$A$148,0))</f>
        <v>Papex</v>
      </c>
      <c r="F97" s="31" t="n">
        <v>1</v>
      </c>
      <c r="G97" s="13" t="n">
        <f aca="false">IF(INDEX(Articles!$G$2:$G$148,MATCH(C97,Articles!$A$2:$A$148,0))="","",INDEX(Articles!$G$2:$G$148,MATCH(C97,Articles!$A$2:$A$148,0)))</f>
        <v>750</v>
      </c>
      <c r="H97" s="13" t="n">
        <f aca="false">IF(G97="",0,F97*G97)</f>
        <v>750</v>
      </c>
      <c r="I97" s="13" t="n">
        <f aca="false">IF(INDEX(Articles!$E$2:$E$148,MATCH(C97,Articles!$A$2:$A$148,0))="","",INDEX(Articles!$E$2:$E$148,MATCH(C97,Articles!$A$2:$A$148,0)))</f>
        <v>650</v>
      </c>
      <c r="J97" s="13" t="n">
        <f aca="false">IF(I97="","",F97*I97)</f>
        <v>650</v>
      </c>
      <c r="K97" s="9" t="str">
        <f aca="false">INDEX(Articles!$H$2:$H$148,MATCH(C97,Articles!$A$2:$A$148,0))</f>
        <v>Fixé</v>
      </c>
      <c r="L97" s="9" t="str">
        <f aca="false">INDEX(Articles!$F$2:$F$148,MATCH(C97,Articles!$A$2:$A$148,0))</f>
        <v>Estimé</v>
      </c>
      <c r="M97" s="17" t="s">
        <v>763</v>
      </c>
      <c r="N97" s="9" t="s">
        <v>167</v>
      </c>
    </row>
    <row r="98" customFormat="false" ht="15" hidden="false" customHeight="false" outlineLevel="0" collapsed="false">
      <c r="A98" s="9" t="s">
        <v>671</v>
      </c>
      <c r="B98" s="9" t="s">
        <v>742</v>
      </c>
      <c r="C98" s="31" t="s">
        <v>213</v>
      </c>
      <c r="D98" s="9" t="str">
        <f aca="false">INDEX(Articles!$C$2:$C$148,MATCH(C98,Articles!$A$2:$A$148,0))</f>
        <v>Cahier Calligraphe 192 pages 24x32 (grand format)</v>
      </c>
      <c r="E98" s="9" t="str">
        <f aca="false">INDEX(Articles!$B$2:$B$148,MATCH(C98,Articles!$A$2:$A$148,0))</f>
        <v>Papex</v>
      </c>
      <c r="F98" s="31" t="n">
        <v>1</v>
      </c>
      <c r="G98" s="13" t="n">
        <f aca="false">IF(INDEX(Articles!$G$2:$G$148,MATCH(C98,Articles!$A$2:$A$148,0))="","",INDEX(Articles!$G$2:$G$148,MATCH(C98,Articles!$A$2:$A$148,0)))</f>
        <v>1650</v>
      </c>
      <c r="H98" s="13" t="n">
        <f aca="false">IF(G98="",0,F98*G98)</f>
        <v>1650</v>
      </c>
      <c r="I98" s="13" t="n">
        <f aca="false">IF(INDEX(Articles!$E$2:$E$148,MATCH(C98,Articles!$A$2:$A$148,0))="","",INDEX(Articles!$E$2:$E$148,MATCH(C98,Articles!$A$2:$A$148,0)))</f>
        <v>1500</v>
      </c>
      <c r="J98" s="13" t="n">
        <f aca="false">IF(I98="","",F98*I98)</f>
        <v>1500</v>
      </c>
      <c r="K98" s="9" t="str">
        <f aca="false">INDEX(Articles!$H$2:$H$148,MATCH(C98,Articles!$A$2:$A$148,0))</f>
        <v>Fixé</v>
      </c>
      <c r="L98" s="9" t="str">
        <f aca="false">INDEX(Articles!$F$2:$F$148,MATCH(C98,Articles!$A$2:$A$148,0))</f>
        <v>Confirmé</v>
      </c>
      <c r="M98" s="17"/>
      <c r="N98" s="9" t="s">
        <v>167</v>
      </c>
    </row>
    <row r="99" customFormat="false" ht="15" hidden="false" customHeight="false" outlineLevel="0" collapsed="false">
      <c r="A99" s="9" t="s">
        <v>671</v>
      </c>
      <c r="B99" s="9" t="s">
        <v>809</v>
      </c>
      <c r="C99" s="31" t="s">
        <v>366</v>
      </c>
      <c r="D99" s="9" t="str">
        <f aca="false">INDEX(Articles!$C$2:$C$148,MATCH(C99,Articles!$A$2:$A$148,0))</f>
        <v>Cahier Calligraphe 140 pages 17x22 90 g seyès</v>
      </c>
      <c r="E99" s="9" t="str">
        <f aca="false">INDEX(Articles!$B$2:$B$148,MATCH(C99,Articles!$A$2:$A$148,0))</f>
        <v>Papex</v>
      </c>
      <c r="F99" s="31" t="n">
        <v>2</v>
      </c>
      <c r="G99" s="13" t="n">
        <f aca="false">IF(INDEX(Articles!$G$2:$G$148,MATCH(C99,Articles!$A$2:$A$148,0))="","",INDEX(Articles!$G$2:$G$148,MATCH(C99,Articles!$A$2:$A$148,0)))</f>
        <v>750</v>
      </c>
      <c r="H99" s="13" t="n">
        <f aca="false">IF(G99="",0,F99*G99)</f>
        <v>1500</v>
      </c>
      <c r="I99" s="13" t="n">
        <f aca="false">IF(INDEX(Articles!$E$2:$E$148,MATCH(C99,Articles!$A$2:$A$148,0))="","",INDEX(Articles!$E$2:$E$148,MATCH(C99,Articles!$A$2:$A$148,0)))</f>
        <v>650</v>
      </c>
      <c r="J99" s="13" t="n">
        <f aca="false">IF(I99="","",F99*I99)</f>
        <v>1300</v>
      </c>
      <c r="K99" s="9" t="str">
        <f aca="false">INDEX(Articles!$H$2:$H$148,MATCH(C99,Articles!$A$2:$A$148,0))</f>
        <v>Fixé</v>
      </c>
      <c r="L99" s="9" t="str">
        <f aca="false">INDEX(Articles!$F$2:$F$148,MATCH(C99,Articles!$A$2:$A$148,0))</f>
        <v>Estimé</v>
      </c>
      <c r="M99" s="17" t="s">
        <v>763</v>
      </c>
      <c r="N99" s="9" t="s">
        <v>167</v>
      </c>
    </row>
    <row r="100" customFormat="false" ht="15" hidden="false" customHeight="false" outlineLevel="0" collapsed="false">
      <c r="A100" s="9" t="s">
        <v>671</v>
      </c>
      <c r="B100" s="9" t="s">
        <v>744</v>
      </c>
      <c r="C100" s="31" t="s">
        <v>213</v>
      </c>
      <c r="D100" s="9" t="str">
        <f aca="false">INDEX(Articles!$C$2:$C$148,MATCH(C100,Articles!$A$2:$A$148,0))</f>
        <v>Cahier Calligraphe 192 pages 24x32 (grand format)</v>
      </c>
      <c r="E100" s="9" t="str">
        <f aca="false">INDEX(Articles!$B$2:$B$148,MATCH(C100,Articles!$A$2:$A$148,0))</f>
        <v>Papex</v>
      </c>
      <c r="F100" s="31" t="n">
        <v>1</v>
      </c>
      <c r="G100" s="13" t="n">
        <f aca="false">IF(INDEX(Articles!$G$2:$G$148,MATCH(C100,Articles!$A$2:$A$148,0))="","",INDEX(Articles!$G$2:$G$148,MATCH(C100,Articles!$A$2:$A$148,0)))</f>
        <v>1650</v>
      </c>
      <c r="H100" s="13" t="n">
        <f aca="false">IF(G100="",0,F100*G100)</f>
        <v>1650</v>
      </c>
      <c r="I100" s="13" t="n">
        <f aca="false">IF(INDEX(Articles!$E$2:$E$148,MATCH(C100,Articles!$A$2:$A$148,0))="","",INDEX(Articles!$E$2:$E$148,MATCH(C100,Articles!$A$2:$A$148,0)))</f>
        <v>1500</v>
      </c>
      <c r="J100" s="13" t="n">
        <f aca="false">IF(I100="","",F100*I100)</f>
        <v>1500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745</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831</v>
      </c>
      <c r="C102" s="31" t="s">
        <v>213</v>
      </c>
      <c r="D102" s="9" t="str">
        <f aca="false">INDEX(Articles!$C$2:$C$148,MATCH(C102,Articles!$A$2:$A$148,0))</f>
        <v>Cahier Calligraphe 192 pages 24x32 (grand format)</v>
      </c>
      <c r="E102" s="9" t="str">
        <f aca="false">INDEX(Articles!$B$2:$B$148,MATCH(C102,Articles!$A$2:$A$148,0))</f>
        <v>Papex</v>
      </c>
      <c r="F102" s="31" t="n">
        <v>1</v>
      </c>
      <c r="G102" s="13" t="n">
        <f aca="false">IF(INDEX(Articles!$G$2:$G$148,MATCH(C102,Articles!$A$2:$A$148,0))="","",INDEX(Articles!$G$2:$G$148,MATCH(C102,Articles!$A$2:$A$148,0)))</f>
        <v>1650</v>
      </c>
      <c r="H102" s="13" t="n">
        <f aca="false">IF(G102="",0,F102*G102)</f>
        <v>1650</v>
      </c>
      <c r="I102" s="13" t="n">
        <f aca="false">IF(INDEX(Articles!$E$2:$E$148,MATCH(C102,Articles!$A$2:$A$148,0))="","",INDEX(Articles!$E$2:$E$148,MATCH(C102,Articles!$A$2:$A$148,0)))</f>
        <v>1500</v>
      </c>
      <c r="J102" s="13" t="n">
        <f aca="false">IF(I102="","",F102*I102)</f>
        <v>1500</v>
      </c>
      <c r="K102" s="9" t="str">
        <f aca="false">INDEX(Articles!$H$2:$H$148,MATCH(C102,Articles!$A$2:$A$148,0))</f>
        <v>Fixé</v>
      </c>
      <c r="L102" s="9" t="str">
        <f aca="false">INDEX(Articles!$F$2:$F$148,MATCH(C102,Articles!$A$2:$A$148,0))</f>
        <v>Confirmé</v>
      </c>
      <c r="M102" s="17"/>
      <c r="N102" s="9" t="s">
        <v>167</v>
      </c>
    </row>
    <row r="103" customFormat="false" ht="15" hidden="false" customHeight="false" outlineLevel="0" collapsed="false">
      <c r="A103" s="9" t="s">
        <v>671</v>
      </c>
      <c r="B103" s="9" t="s">
        <v>832</v>
      </c>
      <c r="C103" s="31" t="s">
        <v>366</v>
      </c>
      <c r="D103" s="9" t="str">
        <f aca="false">INDEX(Articles!$C$2:$C$148,MATCH(C103,Articles!$A$2:$A$148,0))</f>
        <v>Cahier Calligraphe 140 pages 17x22 90 g seyès</v>
      </c>
      <c r="E103" s="9" t="str">
        <f aca="false">INDEX(Articles!$B$2:$B$148,MATCH(C103,Articles!$A$2:$A$148,0))</f>
        <v>Papex</v>
      </c>
      <c r="F103" s="31" t="n">
        <v>1</v>
      </c>
      <c r="G103" s="13" t="n">
        <f aca="false">IF(INDEX(Articles!$G$2:$G$148,MATCH(C103,Articles!$A$2:$A$148,0))="","",INDEX(Articles!$G$2:$G$148,MATCH(C103,Articles!$A$2:$A$148,0)))</f>
        <v>750</v>
      </c>
      <c r="H103" s="13" t="n">
        <f aca="false">IF(G103="",0,F103*G103)</f>
        <v>750</v>
      </c>
      <c r="I103" s="13" t="n">
        <f aca="false">IF(INDEX(Articles!$E$2:$E$148,MATCH(C103,Articles!$A$2:$A$148,0))="","",INDEX(Articles!$E$2:$E$148,MATCH(C103,Articles!$A$2:$A$148,0)))</f>
        <v>650</v>
      </c>
      <c r="J103" s="13" t="n">
        <f aca="false">IF(I103="","",F103*I103)</f>
        <v>650</v>
      </c>
      <c r="K103" s="9" t="str">
        <f aca="false">INDEX(Articles!$H$2:$H$148,MATCH(C103,Articles!$A$2:$A$148,0))</f>
        <v>Fixé</v>
      </c>
      <c r="L103" s="9" t="str">
        <f aca="false">INDEX(Articles!$F$2:$F$148,MATCH(C103,Articles!$A$2:$A$148,0))</f>
        <v>Estimé</v>
      </c>
      <c r="M103" s="17" t="s">
        <v>763</v>
      </c>
      <c r="N103" s="9" t="s">
        <v>167</v>
      </c>
    </row>
    <row r="104" customFormat="false" ht="15" hidden="false" customHeight="false" outlineLevel="0" collapsed="false">
      <c r="A104" s="9" t="s">
        <v>671</v>
      </c>
      <c r="B104" s="9" t="s">
        <v>811</v>
      </c>
      <c r="C104" s="31" t="s">
        <v>192</v>
      </c>
      <c r="D104" s="9" t="str">
        <f aca="false">INDEX(Articles!$C$2:$C$148,MATCH(C104,Articles!$A$2:$A$148,0))</f>
        <v>Cahier Calligraphe 192 pages 17x22 90 g seyès</v>
      </c>
      <c r="E104" s="9" t="str">
        <f aca="false">INDEX(Articles!$B$2:$B$148,MATCH(C104,Articles!$A$2:$A$148,0))</f>
        <v>Papex</v>
      </c>
      <c r="F104" s="31" t="n">
        <v>1</v>
      </c>
      <c r="G104" s="13" t="n">
        <f aca="false">IF(INDEX(Articles!$G$2:$G$148,MATCH(C104,Articles!$A$2:$A$148,0))="","",INDEX(Articles!$G$2:$G$148,MATCH(C104,Articles!$A$2:$A$148,0)))</f>
        <v>900</v>
      </c>
      <c r="H104" s="13" t="n">
        <f aca="false">IF(G104="",0,F104*G104)</f>
        <v>900</v>
      </c>
      <c r="I104" s="13" t="n">
        <f aca="false">IF(INDEX(Articles!$E$2:$E$148,MATCH(C104,Articles!$A$2:$A$148,0))="","",INDEX(Articles!$E$2:$E$148,MATCH(C104,Articles!$A$2:$A$148,0)))</f>
        <v>800</v>
      </c>
      <c r="J104" s="13" t="n">
        <f aca="false">IF(I104="","",F104*I104)</f>
        <v>800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747</v>
      </c>
      <c r="C105" s="31" t="s">
        <v>366</v>
      </c>
      <c r="D105" s="9" t="str">
        <f aca="false">INDEX(Articles!$C$2:$C$148,MATCH(C105,Articles!$A$2:$A$148,0))</f>
        <v>Cahier Calligraphe 140 pages 17x22 90 g seyès</v>
      </c>
      <c r="E105" s="9" t="str">
        <f aca="false">INDEX(Articles!$B$2:$B$148,MATCH(C105,Articles!$A$2:$A$148,0))</f>
        <v>Papex</v>
      </c>
      <c r="F105" s="31" t="n">
        <v>1</v>
      </c>
      <c r="G105" s="13" t="n">
        <f aca="false">IF(INDEX(Articles!$G$2:$G$148,MATCH(C105,Articles!$A$2:$A$148,0))="","",INDEX(Articles!$G$2:$G$148,MATCH(C105,Articles!$A$2:$A$148,0)))</f>
        <v>750</v>
      </c>
      <c r="H105" s="13" t="n">
        <f aca="false">IF(G105="",0,F105*G105)</f>
        <v>750</v>
      </c>
      <c r="I105" s="13" t="n">
        <f aca="false">IF(INDEX(Articles!$E$2:$E$148,MATCH(C105,Articles!$A$2:$A$148,0))="","",INDEX(Articles!$E$2:$E$148,MATCH(C105,Articles!$A$2:$A$148,0)))</f>
        <v>650</v>
      </c>
      <c r="J105" s="13" t="n">
        <f aca="false">IF(I105="","",F105*I105)</f>
        <v>650</v>
      </c>
      <c r="K105" s="9" t="str">
        <f aca="false">INDEX(Articles!$H$2:$H$148,MATCH(C105,Articles!$A$2:$A$148,0))</f>
        <v>Fixé</v>
      </c>
      <c r="L105" s="9" t="str">
        <f aca="false">INDEX(Articles!$F$2:$F$148,MATCH(C105,Articles!$A$2:$A$148,0))</f>
        <v>Estimé</v>
      </c>
      <c r="M105" s="17" t="s">
        <v>763</v>
      </c>
      <c r="N105" s="9" t="s">
        <v>167</v>
      </c>
    </row>
    <row r="106" customFormat="false" ht="15" hidden="false" customHeight="false" outlineLevel="0" collapsed="false">
      <c r="A106" s="9" t="s">
        <v>681</v>
      </c>
      <c r="B106" s="9" t="s">
        <v>748</v>
      </c>
      <c r="C106" s="31" t="s">
        <v>177</v>
      </c>
      <c r="D106" s="9" t="str">
        <f aca="false">INDEX(Articles!$C$2:$C$148,MATCH(C106,Articles!$A$2:$A$148,0))</f>
        <v>Cahier de dessin TPG</v>
      </c>
      <c r="E106" s="9" t="str">
        <f aca="false">INDEX(Articles!$B$2:$B$148,MATCH(C106,Articles!$A$2:$A$148,0))</f>
        <v>LPD</v>
      </c>
      <c r="F106" s="31" t="n">
        <v>1</v>
      </c>
      <c r="G106" s="13" t="n">
        <f aca="false">IF(INDEX(Articles!$G$2:$G$148,MATCH(C106,Articles!$A$2:$A$148,0))="","",INDEX(Articles!$G$2:$G$148,MATCH(C106,Articles!$A$2:$A$148,0)))</f>
        <v>550</v>
      </c>
      <c r="H106" s="13" t="n">
        <f aca="false">IF(G106="",0,F106*G106)</f>
        <v>550</v>
      </c>
      <c r="I106" s="13" t="str">
        <f aca="false">IF(INDEX(Articles!$E$2:$E$148,MATCH(C106,Articles!$A$2:$A$148,0))="","",INDEX(Articles!$E$2:$E$148,MATCH(C106,Articles!$A$2:$A$148,0)))</f>
        <v/>
      </c>
      <c r="J106" s="13" t="str">
        <f aca="false">IF(I106="","",F106*I106)</f>
        <v/>
      </c>
      <c r="K106" s="9" t="str">
        <f aca="false">INDEX(Articles!$H$2:$H$148,MATCH(C106,Articles!$A$2:$A$148,0))</f>
        <v>Fixé</v>
      </c>
      <c r="L106" s="9" t="str">
        <f aca="false">INDEX(Articles!$F$2:$F$148,MATCH(C106,Articles!$A$2:$A$148,0))</f>
        <v>Inconnu</v>
      </c>
      <c r="M106" s="17"/>
      <c r="N106" s="9" t="s">
        <v>167</v>
      </c>
    </row>
    <row r="107" customFormat="false" ht="15" hidden="false" customHeight="false" outlineLevel="0" collapsed="false">
      <c r="A107" s="9" t="s">
        <v>678</v>
      </c>
      <c r="B107" s="9" t="s">
        <v>749</v>
      </c>
      <c r="C107" s="31" t="s">
        <v>222</v>
      </c>
      <c r="D107" s="9" t="str">
        <f aca="false">INDEX(Articles!$C$2:$C$148,MATCH(C107,Articles!$A$2:$A$148,0))</f>
        <v>Pack de 4 stylos Schneider Tops 505 M (bleu, noir, rouge, vert)</v>
      </c>
      <c r="E107" s="9" t="str">
        <f aca="false">INDEX(Articles!$B$2:$B$148,MATCH(C107,Articles!$A$2:$A$148,0))</f>
        <v>Papex</v>
      </c>
      <c r="F107" s="31" t="n">
        <v>1</v>
      </c>
      <c r="G107" s="13" t="n">
        <f aca="false">IF(INDEX(Articles!$G$2:$G$148,MATCH(C107,Articles!$A$2:$A$148,0))="","",INDEX(Articles!$G$2:$G$148,MATCH(C107,Articles!$A$2:$A$148,0)))</f>
        <v>400</v>
      </c>
      <c r="H107" s="13" t="n">
        <f aca="false">IF(G107="",0,F107*G107)</f>
        <v>400</v>
      </c>
      <c r="I107" s="13" t="str">
        <f aca="false">IF(INDEX(Articles!$E$2:$E$148,MATCH(C107,Articles!$A$2:$A$148,0))="","",INDEX(Articles!$E$2:$E$148,MATCH(C107,Articles!$A$2:$A$148,0)))</f>
        <v/>
      </c>
      <c r="J107" s="13" t="str">
        <f aca="false">IF(I107="","",F107*I107)</f>
        <v/>
      </c>
      <c r="K107" s="9" t="str">
        <f aca="false">INDEX(Articles!$H$2:$H$148,MATCH(C107,Articles!$A$2:$A$148,0))</f>
        <v>Fixé</v>
      </c>
      <c r="L107" s="9" t="str">
        <f aca="false">INDEX(Articles!$F$2:$F$148,MATCH(C107,Articles!$A$2:$A$148,0))</f>
        <v>Inconnu</v>
      </c>
      <c r="M107" s="17" t="s">
        <v>432</v>
      </c>
      <c r="N107" s="9" t="s">
        <v>167</v>
      </c>
    </row>
    <row r="108" customFormat="false" ht="15" hidden="false" customHeight="false" outlineLevel="0" collapsed="false">
      <c r="A108" s="9" t="s">
        <v>678</v>
      </c>
      <c r="B108" s="9" t="s">
        <v>750</v>
      </c>
      <c r="C108" s="31" t="s">
        <v>235</v>
      </c>
      <c r="D108" s="9" t="str">
        <f aca="false">INDEX(Articles!$C$2:$C$148,MATCH(C108,Articles!$A$2:$A$148,0))</f>
        <v>Crayon papier (vendu à l'unité)</v>
      </c>
      <c r="E108" s="9" t="str">
        <f aca="false">INDEX(Articles!$B$2:$B$148,MATCH(C108,Articles!$A$2:$A$148,0))</f>
        <v>LPD</v>
      </c>
      <c r="F108" s="31" t="n">
        <v>1</v>
      </c>
      <c r="G108" s="13" t="n">
        <f aca="false">IF(INDEX(Articles!$G$2:$G$148,MATCH(C108,Articles!$A$2:$A$148,0))="","",INDEX(Articles!$G$2:$G$148,MATCH(C108,Articles!$A$2:$A$148,0)))</f>
        <v>75</v>
      </c>
      <c r="H108" s="13" t="n">
        <f aca="false">IF(G108="",0,F108*G108)</f>
        <v>75</v>
      </c>
      <c r="I108" s="13" t="str">
        <f aca="false">IF(INDEX(Articles!$E$2:$E$148,MATCH(C108,Articles!$A$2:$A$148,0))="","",INDEX(Articles!$E$2:$E$148,MATCH(C108,Articles!$A$2:$A$148,0)))</f>
        <v/>
      </c>
      <c r="J108" s="13" t="str">
        <f aca="false">IF(I108="","",F108*I108)</f>
        <v/>
      </c>
      <c r="K108" s="9" t="str">
        <f aca="false">INDEX(Articles!$H$2:$H$148,MATCH(C108,Articles!$A$2:$A$148,0))</f>
        <v>Fixé</v>
      </c>
      <c r="L108" s="9" t="str">
        <f aca="false">INDEX(Articles!$F$2:$F$148,MATCH(C108,Articles!$A$2:$A$148,0))</f>
        <v>Inconnu</v>
      </c>
      <c r="M108" s="17"/>
      <c r="N108" s="9" t="s">
        <v>167</v>
      </c>
    </row>
    <row r="109" customFormat="false" ht="15" hidden="false" customHeight="false" outlineLevel="0" collapsed="false">
      <c r="A109" s="9" t="s">
        <v>675</v>
      </c>
      <c r="B109" s="9" t="s">
        <v>717</v>
      </c>
      <c r="C109" s="31" t="s">
        <v>180</v>
      </c>
      <c r="D109" s="9" t="str">
        <f aca="false">INDEX(Articles!$C$2:$C$148,MATCH(C109,Articles!$A$2:$A$148,0))</f>
        <v>Gomme Staedtler Mars Plastic</v>
      </c>
      <c r="E109" s="9" t="str">
        <f aca="false">INDEX(Articles!$B$2:$B$148,MATCH(C109,Articles!$A$2:$A$148,0))</f>
        <v>LPD</v>
      </c>
      <c r="F109" s="31" t="n">
        <v>1</v>
      </c>
      <c r="G109" s="13" t="n">
        <f aca="false">IF(INDEX(Articles!$G$2:$G$148,MATCH(C109,Articles!$A$2:$A$148,0))="","",INDEX(Articles!$G$2:$G$148,MATCH(C109,Articles!$A$2:$A$148,0)))</f>
        <v>250</v>
      </c>
      <c r="H109" s="13" t="n">
        <f aca="false">IF(G109="",0,F109*G109)</f>
        <v>250</v>
      </c>
      <c r="I109" s="13" t="n">
        <f aca="false">IF(INDEX(Articles!$E$2:$E$148,MATCH(C109,Articles!$A$2:$A$148,0))="","",INDEX(Articles!$E$2:$E$148,MATCH(C109,Articles!$A$2:$A$148,0)))</f>
        <v>110</v>
      </c>
      <c r="J109" s="13" t="n">
        <f aca="false">IF(I109="","",F109*I109)</f>
        <v>110</v>
      </c>
      <c r="K109" s="9" t="str">
        <f aca="false">INDEX(Articles!$H$2:$H$148,MATCH(C109,Articles!$A$2:$A$148,0))</f>
        <v>Fixé</v>
      </c>
      <c r="L109" s="9" t="str">
        <f aca="false">INDEX(Articles!$F$2:$F$148,MATCH(C109,Articles!$A$2:$A$148,0))</f>
        <v>Estimé</v>
      </c>
      <c r="M109" s="17"/>
      <c r="N109" s="9" t="s">
        <v>167</v>
      </c>
    </row>
    <row r="110" customFormat="false" ht="15" hidden="false" customHeight="false" outlineLevel="0" collapsed="false">
      <c r="A110" s="9" t="s">
        <v>675</v>
      </c>
      <c r="B110" s="9" t="s">
        <v>751</v>
      </c>
      <c r="C110" s="31" t="s">
        <v>183</v>
      </c>
      <c r="D110" s="9" t="str">
        <f aca="false">INDEX(Articles!$C$2:$C$148,MATCH(C110,Articles!$A$2:$A$148,0))</f>
        <v>Taille-crayon avec réservoir Maped</v>
      </c>
      <c r="E110" s="9" t="str">
        <f aca="false">INDEX(Articles!$B$2:$B$148,MATCH(C110,Articles!$A$2:$A$148,0))</f>
        <v>Papex</v>
      </c>
      <c r="F110" s="31" t="n">
        <v>1</v>
      </c>
      <c r="G110" s="13" t="n">
        <f aca="false">IF(INDEX(Articles!$G$2:$G$148,MATCH(C110,Articles!$A$2:$A$148,0))="","",INDEX(Articles!$G$2:$G$148,MATCH(C110,Articles!$A$2:$A$148,0)))</f>
        <v>500</v>
      </c>
      <c r="H110" s="13" t="n">
        <f aca="false">IF(G110="",0,F110*G110)</f>
        <v>500</v>
      </c>
      <c r="I110" s="13" t="n">
        <f aca="false">IF(INDEX(Articles!$E$2:$E$148,MATCH(C110,Articles!$A$2:$A$148,0))="","",INDEX(Articles!$E$2:$E$148,MATCH(C110,Articles!$A$2:$A$148,0)))</f>
        <v>350</v>
      </c>
      <c r="J110" s="13" t="n">
        <f aca="false">IF(I110="","",F110*I110)</f>
        <v>350</v>
      </c>
      <c r="K110" s="9" t="str">
        <f aca="false">INDEX(Articles!$H$2:$H$148,MATCH(C110,Articles!$A$2:$A$148,0))</f>
        <v>Estimé</v>
      </c>
      <c r="L110" s="9" t="str">
        <f aca="false">INDEX(Articles!$F$2:$F$148,MATCH(C110,Articles!$A$2:$A$148,0))</f>
        <v>Estimé</v>
      </c>
      <c r="M110" s="17" t="s">
        <v>765</v>
      </c>
      <c r="N110" s="9" t="s">
        <v>167</v>
      </c>
    </row>
    <row r="111" customFormat="false" ht="15" hidden="false" customHeight="false" outlineLevel="0" collapsed="false">
      <c r="A111" s="9" t="s">
        <v>675</v>
      </c>
      <c r="B111" s="9" t="s">
        <v>753</v>
      </c>
      <c r="C111" s="31" t="s">
        <v>248</v>
      </c>
      <c r="D111" s="9" t="str">
        <f aca="false">INDEX(Articles!$C$2:$C$148,MATCH(C111,Articles!$A$2:$A$148,0))</f>
        <v>Bâton de colle Giotto 20 g</v>
      </c>
      <c r="E111" s="9" t="str">
        <f aca="false">INDEX(Articles!$B$2:$B$148,MATCH(C111,Articles!$A$2:$A$148,0))</f>
        <v>Papex</v>
      </c>
      <c r="F111" s="31" t="n">
        <v>1</v>
      </c>
      <c r="G111" s="13" t="n">
        <f aca="false">IF(INDEX(Articles!$G$2:$G$148,MATCH(C111,Articles!$A$2:$A$148,0))="","",INDEX(Articles!$G$2:$G$148,MATCH(C111,Articles!$A$2:$A$148,0)))</f>
        <v>900</v>
      </c>
      <c r="H111" s="13" t="n">
        <f aca="false">IF(G111="",0,F111*G111)</f>
        <v>900</v>
      </c>
      <c r="I111" s="13" t="n">
        <f aca="false">IF(INDEX(Articles!$E$2:$E$148,MATCH(C111,Articles!$A$2:$A$148,0))="","",INDEX(Articles!$E$2:$E$148,MATCH(C111,Articles!$A$2:$A$148,0)))</f>
        <v>650</v>
      </c>
      <c r="J111" s="13" t="n">
        <f aca="false">IF(I111="","",F111*I111)</f>
        <v>650</v>
      </c>
      <c r="K111" s="9" t="str">
        <f aca="false">INDEX(Articles!$H$2:$H$148,MATCH(C111,Articles!$A$2:$A$148,0))</f>
        <v>Estimé</v>
      </c>
      <c r="L111" s="9" t="str">
        <f aca="false">INDEX(Articles!$F$2:$F$148,MATCH(C111,Articles!$A$2:$A$148,0))</f>
        <v>Estimé</v>
      </c>
      <c r="M111" s="17"/>
      <c r="N111" s="9" t="s">
        <v>167</v>
      </c>
    </row>
    <row r="112" customFormat="false" ht="15" hidden="false" customHeight="false" outlineLevel="0" collapsed="false">
      <c r="A112" s="9" t="s">
        <v>675</v>
      </c>
      <c r="B112" s="9" t="s">
        <v>754</v>
      </c>
      <c r="C112" s="31" t="s">
        <v>189</v>
      </c>
      <c r="D112" s="9" t="str">
        <f aca="false">INDEX(Articles!$C$2:$C$148,MATCH(C112,Articles!$A$2:$A$148,0))</f>
        <v>Ciseaux Maped 13 cm Security</v>
      </c>
      <c r="E112" s="9" t="str">
        <f aca="false">INDEX(Articles!$B$2:$B$148,MATCH(C112,Articles!$A$2:$A$148,0))</f>
        <v>Papex</v>
      </c>
      <c r="F112" s="31" t="n">
        <v>1</v>
      </c>
      <c r="G112" s="13" t="n">
        <f aca="false">IF(INDEX(Articles!$G$2:$G$148,MATCH(C112,Articles!$A$2:$A$148,0))="","",INDEX(Articles!$G$2:$G$148,MATCH(C112,Articles!$A$2:$A$148,0)))</f>
        <v>900</v>
      </c>
      <c r="H112" s="13" t="n">
        <f aca="false">IF(G112="",0,F112*G112)</f>
        <v>900</v>
      </c>
      <c r="I112" s="13" t="n">
        <f aca="false">IF(INDEX(Articles!$E$2:$E$148,MATCH(C112,Articles!$A$2:$A$148,0))="","",INDEX(Articles!$E$2:$E$148,MATCH(C112,Articles!$A$2:$A$148,0)))</f>
        <v>650</v>
      </c>
      <c r="J112" s="13" t="n">
        <f aca="false">IF(I112="","",F112*I112)</f>
        <v>650</v>
      </c>
      <c r="K112" s="9" t="str">
        <f aca="false">INDEX(Articles!$H$2:$H$148,MATCH(C112,Articles!$A$2:$A$148,0))</f>
        <v>Estimé</v>
      </c>
      <c r="L112" s="9" t="str">
        <f aca="false">INDEX(Articles!$F$2:$F$148,MATCH(C112,Articles!$A$2:$A$148,0))</f>
        <v>Estimé</v>
      </c>
      <c r="M112" s="17"/>
      <c r="N112" s="9" t="s">
        <v>167</v>
      </c>
    </row>
    <row r="113" customFormat="false" ht="15" hidden="false" customHeight="false" outlineLevel="0" collapsed="false">
      <c r="A113" s="9" t="s">
        <v>676</v>
      </c>
      <c r="B113" s="9" t="s">
        <v>755</v>
      </c>
      <c r="C113" s="31" t="s">
        <v>215</v>
      </c>
      <c r="D113" s="9" t="str">
        <f aca="false">INDEX(Articles!$C$2:$C$148,MATCH(C113,Articles!$A$2:$A$148,0))</f>
        <v>Kit géométrie Maped 30 cm (réf. 1930)</v>
      </c>
      <c r="E113" s="9" t="str">
        <f aca="false">INDEX(Articles!$B$2:$B$148,MATCH(C113,Articles!$A$2:$A$148,0))</f>
        <v>LPD</v>
      </c>
      <c r="F113" s="31" t="n">
        <v>1</v>
      </c>
      <c r="G113" s="13" t="n">
        <f aca="false">IF(INDEX(Articles!$G$2:$G$148,MATCH(C113,Articles!$A$2:$A$148,0))="","",INDEX(Articles!$G$2:$G$148,MATCH(C113,Articles!$A$2:$A$148,0)))</f>
        <v>1800</v>
      </c>
      <c r="H113" s="13" t="n">
        <f aca="false">IF(G113="",0,F113*G113)</f>
        <v>1800</v>
      </c>
      <c r="I113" s="13" t="n">
        <f aca="false">IF(INDEX(Articles!$E$2:$E$148,MATCH(C113,Articles!$A$2:$A$148,0))="","",INDEX(Articles!$E$2:$E$148,MATCH(C113,Articles!$A$2:$A$148,0)))</f>
        <v>1500</v>
      </c>
      <c r="J113" s="13" t="n">
        <f aca="false">IF(I113="","",F113*I113)</f>
        <v>1500</v>
      </c>
      <c r="K113" s="9" t="str">
        <f aca="false">INDEX(Articles!$H$2:$H$148,MATCH(C113,Articles!$A$2:$A$148,0))</f>
        <v>À trancher</v>
      </c>
      <c r="L113" s="9" t="str">
        <f aca="false">INDEX(Articles!$F$2:$F$148,MATCH(C113,Articles!$A$2:$A$148,0))</f>
        <v>Confirmé</v>
      </c>
      <c r="M113" s="17"/>
      <c r="N113" s="9" t="s">
        <v>167</v>
      </c>
    </row>
    <row r="114" customFormat="false" ht="15" hidden="false" customHeight="false" outlineLevel="0" collapsed="false">
      <c r="A114" s="9" t="s">
        <v>676</v>
      </c>
      <c r="B114" s="9" t="s">
        <v>756</v>
      </c>
      <c r="C114" s="31" t="s">
        <v>171</v>
      </c>
      <c r="D114" s="9" t="str">
        <f aca="false">INDEX(Articles!$C$2:$C$148,MATCH(C114,Articles!$A$2:$A$148,0))</f>
        <v>Compas Maped</v>
      </c>
      <c r="E114" s="9" t="str">
        <f aca="false">INDEX(Articles!$B$2:$B$148,MATCH(C114,Articles!$A$2:$A$148,0))</f>
        <v>Papex</v>
      </c>
      <c r="F114" s="31" t="n">
        <v>1</v>
      </c>
      <c r="G114" s="13" t="n">
        <f aca="false">IF(INDEX(Articles!$G$2:$G$148,MATCH(C114,Articles!$A$2:$A$148,0))="","",INDEX(Articles!$G$2:$G$148,MATCH(C114,Articles!$A$2:$A$148,0)))</f>
        <v>2000</v>
      </c>
      <c r="H114" s="13" t="n">
        <f aca="false">IF(G114="",0,F114*G114)</f>
        <v>2000</v>
      </c>
      <c r="I114" s="13" t="n">
        <f aca="false">IF(INDEX(Articles!$E$2:$E$148,MATCH(C114,Articles!$A$2:$A$148,0))="","",INDEX(Articles!$E$2:$E$148,MATCH(C114,Articles!$A$2:$A$148,0)))</f>
        <v>1750</v>
      </c>
      <c r="J114" s="13" t="n">
        <f aca="false">IF(I114="","",F114*I114)</f>
        <v>1750</v>
      </c>
      <c r="K114" s="9" t="str">
        <f aca="false">INDEX(Articles!$H$2:$H$148,MATCH(C114,Articles!$A$2:$A$148,0))</f>
        <v>Fixé</v>
      </c>
      <c r="L114" s="9" t="str">
        <f aca="false">INDEX(Articles!$F$2:$F$148,MATCH(C114,Articles!$A$2:$A$148,0))</f>
        <v>Confirmé</v>
      </c>
      <c r="M114" s="17"/>
      <c r="N114" s="9" t="s">
        <v>167</v>
      </c>
    </row>
    <row r="115" customFormat="false" ht="15" hidden="false" customHeight="false" outlineLevel="0" collapsed="false">
      <c r="A115" s="9" t="s">
        <v>681</v>
      </c>
      <c r="B115" s="9" t="s">
        <v>757</v>
      </c>
      <c r="C115" s="31" t="s">
        <v>198</v>
      </c>
      <c r="D115" s="9" t="str">
        <f aca="false">INDEX(Articles!$C$2:$C$148,MATCH(C115,Articles!$A$2:$A$148,0))</f>
        <v>Crayons de couleur Maped, boîte de 12</v>
      </c>
      <c r="E115" s="9" t="str">
        <f aca="false">INDEX(Articles!$B$2:$B$148,MATCH(C115,Articles!$A$2:$A$148,0))</f>
        <v>Papex</v>
      </c>
      <c r="F115" s="31" t="n">
        <v>1</v>
      </c>
      <c r="G115" s="13" t="n">
        <f aca="false">IF(INDEX(Articles!$G$2:$G$148,MATCH(C115,Articles!$A$2:$A$148,0))="","",INDEX(Articles!$G$2:$G$148,MATCH(C115,Articles!$A$2:$A$148,0)))</f>
        <v>900</v>
      </c>
      <c r="H115" s="13" t="n">
        <f aca="false">IF(G115="",0,F115*G115)</f>
        <v>900</v>
      </c>
      <c r="I115" s="13" t="n">
        <f aca="false">IF(INDEX(Articles!$E$2:$E$148,MATCH(C115,Articles!$A$2:$A$148,0))="","",INDEX(Articles!$E$2:$E$148,MATCH(C115,Articles!$A$2:$A$148,0)))</f>
        <v>650</v>
      </c>
      <c r="J115" s="13" t="n">
        <f aca="false">IF(I115="","",F115*I115)</f>
        <v>650</v>
      </c>
      <c r="K115" s="9" t="str">
        <f aca="false">INDEX(Articles!$H$2:$H$148,MATCH(C115,Articles!$A$2:$A$148,0))</f>
        <v>Estimé</v>
      </c>
      <c r="L115" s="9" t="str">
        <f aca="false">INDEX(Articles!$F$2:$F$148,MATCH(C115,Articles!$A$2:$A$148,0))</f>
        <v>Estimé</v>
      </c>
      <c r="M115" s="17"/>
      <c r="N115" s="9" t="s">
        <v>167</v>
      </c>
    </row>
    <row r="116" customFormat="false" ht="15" hidden="false" customHeight="false" outlineLevel="0" collapsed="false">
      <c r="A116" s="9" t="s">
        <v>678</v>
      </c>
      <c r="B116" s="9" t="s">
        <v>766</v>
      </c>
      <c r="C116" s="31" t="s">
        <v>200</v>
      </c>
      <c r="D116" s="9" t="str">
        <f aca="false">INDEX(Articles!$C$2:$C$148,MATCH(C116,Articles!$A$2:$A$148,0))</f>
        <v>Surligneurs Maped Fluo Peps, pochette de 4</v>
      </c>
      <c r="E116" s="9" t="str">
        <f aca="false">INDEX(Articles!$B$2:$B$148,MATCH(C116,Articles!$A$2:$A$148,0))</f>
        <v>Papex</v>
      </c>
      <c r="F116" s="31" t="n">
        <v>1</v>
      </c>
      <c r="G116" s="13" t="n">
        <f aca="false">IF(INDEX(Articles!$G$2:$G$148,MATCH(C116,Articles!$A$2:$A$148,0))="","",INDEX(Articles!$G$2:$G$148,MATCH(C116,Articles!$A$2:$A$148,0)))</f>
        <v>2500</v>
      </c>
      <c r="H116" s="13" t="n">
        <f aca="false">IF(G116="",0,F116*G116)</f>
        <v>2500</v>
      </c>
      <c r="I116" s="13" t="n">
        <f aca="false">IF(INDEX(Articles!$E$2:$E$148,MATCH(C116,Articles!$A$2:$A$148,0))="","",INDEX(Articles!$E$2:$E$148,MATCH(C116,Articles!$A$2:$A$148,0)))</f>
        <v>2000</v>
      </c>
      <c r="J116" s="13" t="n">
        <f aca="false">IF(I116="","",F116*I116)</f>
        <v>2000</v>
      </c>
      <c r="K116" s="9" t="str">
        <f aca="false">INDEX(Articles!$H$2:$H$148,MATCH(C116,Articles!$A$2:$A$148,0))</f>
        <v>Estimé</v>
      </c>
      <c r="L116" s="9" t="str">
        <f aca="false">INDEX(Articles!$F$2:$F$148,MATCH(C116,Articles!$A$2:$A$148,0))</f>
        <v>Confirmé</v>
      </c>
      <c r="M116" s="17" t="s">
        <v>767</v>
      </c>
      <c r="N116" s="9" t="s">
        <v>167</v>
      </c>
    </row>
    <row r="117" customFormat="false" ht="15" hidden="false" customHeight="false" outlineLevel="0" collapsed="false">
      <c r="A117" s="9" t="s">
        <v>768</v>
      </c>
      <c r="B117" s="9" t="s">
        <v>769</v>
      </c>
      <c r="C117" s="31" t="s">
        <v>446</v>
      </c>
      <c r="D117" s="9" t="str">
        <f aca="false">INDEX(Articles!$C$2:$C$148,MATCH(C117,Articles!$A$2:$A$148,0))</f>
        <v>Chemise 3 rabats à élastique</v>
      </c>
      <c r="E117" s="9" t="str">
        <f aca="false">INDEX(Articles!$B$2:$B$148,MATCH(C117,Articles!$A$2:$A$148,0))</f>
        <v>Papex</v>
      </c>
      <c r="F117" s="31" t="n">
        <v>1</v>
      </c>
      <c r="G117" s="13" t="n">
        <f aca="false">IF(INDEX(Articles!$G$2:$G$148,MATCH(C117,Articles!$A$2:$A$148,0))="","",INDEX(Articles!$G$2:$G$148,MATCH(C117,Articles!$A$2:$A$148,0)))</f>
        <v>500</v>
      </c>
      <c r="H117" s="13" t="n">
        <f aca="false">IF(G117="",0,F117*G117)</f>
        <v>500</v>
      </c>
      <c r="I117" s="13" t="str">
        <f aca="false">IF(INDEX(Articles!$E$2:$E$148,MATCH(C117,Articles!$A$2:$A$148,0))="","",INDEX(Articles!$E$2:$E$148,MATCH(C117,Articles!$A$2:$A$148,0)))</f>
        <v/>
      </c>
      <c r="J117" s="13" t="str">
        <f aca="false">IF(I117="","",F117*I117)</f>
        <v/>
      </c>
      <c r="K117" s="9" t="str">
        <f aca="false">INDEX(Articles!$H$2:$H$148,MATCH(C117,Articles!$A$2:$A$148,0))</f>
        <v>Estimé</v>
      </c>
      <c r="L117" s="9" t="str">
        <f aca="false">INDEX(Articles!$F$2:$F$148,MATCH(C117,Articles!$A$2:$A$148,0))</f>
        <v>Inconnu</v>
      </c>
      <c r="M117" s="17" t="s">
        <v>770</v>
      </c>
      <c r="N117" s="9" t="s">
        <v>167</v>
      </c>
    </row>
    <row r="118" customFormat="false" ht="15" hidden="false" customHeight="false" outlineLevel="0" collapsed="false">
      <c r="A118" s="9" t="s">
        <v>676</v>
      </c>
      <c r="B118" s="9" t="s">
        <v>812</v>
      </c>
      <c r="C118" s="31" t="s">
        <v>205</v>
      </c>
      <c r="D118" s="9" t="str">
        <f aca="false">INDEX(Articles!$C$2:$C$148,MATCH(C118,Articles!$A$2:$A$148,0))</f>
        <v>Calculatrice Casio fx-92 Collège</v>
      </c>
      <c r="E118" s="9" t="str">
        <f aca="false">INDEX(Articles!$B$2:$B$148,MATCH(C118,Articles!$A$2:$A$148,0))</f>
        <v>Papex</v>
      </c>
      <c r="F118" s="31" t="n">
        <v>1</v>
      </c>
      <c r="G118" s="13" t="n">
        <f aca="false">IF(INDEX(Articles!$G$2:$G$148,MATCH(C118,Articles!$A$2:$A$148,0))="","",INDEX(Articles!$G$2:$G$148,MATCH(C118,Articles!$A$2:$A$148,0)))</f>
        <v>8000</v>
      </c>
      <c r="H118" s="13" t="n">
        <f aca="false">IF(G118="",0,F118*G118)</f>
        <v>8000</v>
      </c>
      <c r="I118" s="13" t="n">
        <f aca="false">IF(INDEX(Articles!$E$2:$E$148,MATCH(C118,Articles!$A$2:$A$148,0))="","",INDEX(Articles!$E$2:$E$148,MATCH(C118,Articles!$A$2:$A$148,0)))</f>
        <v>7000</v>
      </c>
      <c r="J118" s="13" t="n">
        <f aca="false">IF(I118="","",F118*I118)</f>
        <v>7000</v>
      </c>
      <c r="K118" s="9" t="str">
        <f aca="false">INDEX(Articles!$H$2:$H$148,MATCH(C118,Articles!$A$2:$A$148,0))</f>
        <v>Fixé</v>
      </c>
      <c r="L118" s="9" t="str">
        <f aca="false">INDEX(Articles!$F$2:$F$148,MATCH(C118,Articles!$A$2:$A$148,0))</f>
        <v>Confirmé</v>
      </c>
      <c r="M118" s="17" t="s">
        <v>820</v>
      </c>
      <c r="N118" s="9" t="s">
        <v>167</v>
      </c>
    </row>
    <row r="119" customFormat="false" ht="15" hidden="false" customHeight="false" outlineLevel="0" collapsed="false">
      <c r="A119" s="9" t="s">
        <v>758</v>
      </c>
      <c r="B119" s="9" t="s">
        <v>759</v>
      </c>
      <c r="C119" s="31" t="s">
        <v>376</v>
      </c>
      <c r="D119" s="9" t="str">
        <f aca="false">INDEX(Articles!$C$2:$C$148,MATCH(C119,Articles!$A$2:$A$148,0))</f>
        <v>Paquet de copies doubles grand format</v>
      </c>
      <c r="E119" s="9" t="str">
        <f aca="false">INDEX(Articles!$B$2:$B$148,MATCH(C119,Articles!$A$2:$A$148,0))</f>
        <v>À préciser</v>
      </c>
      <c r="F119" s="31" t="n">
        <v>1</v>
      </c>
      <c r="G119" s="45" t="n">
        <f aca="false">IF(INDEX(Articles!$G$2:$G$148,MATCH(C119,Articles!$A$2:$A$148,0))="","",INDEX(Articles!$G$2:$G$148,MATCH(C119,Articles!$A$2:$A$148,0)))</f>
        <v>1800</v>
      </c>
      <c r="H119" s="13" t="n">
        <f aca="false">IF(G119="",0,F119*G119)</f>
        <v>1800</v>
      </c>
      <c r="I119" s="13" t="n">
        <f aca="false">IF(INDEX(Articles!$E$2:$E$148,MATCH(C119,Articles!$A$2:$A$148,0))="","",INDEX(Articles!$E$2:$E$148,MATCH(C119,Articles!$A$2:$A$148,0)))</f>
        <v>1300</v>
      </c>
      <c r="J119" s="13" t="n">
        <f aca="false">IF(I119="","",F119*I119)</f>
        <v>1300</v>
      </c>
      <c r="K119" s="9" t="str">
        <f aca="false">INDEX(Articles!$H$2:$H$148,MATCH(C119,Articles!$A$2:$A$148,0))</f>
        <v>Fixé</v>
      </c>
      <c r="L119" s="9" t="str">
        <f aca="false">INDEX(Articles!$F$2:$F$148,MATCH(C119,Articles!$A$2:$A$148,0))</f>
        <v>Confirmé</v>
      </c>
      <c r="M119" s="17"/>
      <c r="N119" s="9" t="s">
        <v>167</v>
      </c>
    </row>
    <row r="120" customFormat="false" ht="15" hidden="false" customHeight="false" outlineLevel="0" collapsed="false">
      <c r="A120" s="9" t="s">
        <v>771</v>
      </c>
      <c r="B120" s="9" t="s">
        <v>772</v>
      </c>
      <c r="C120" s="31" t="s">
        <v>160</v>
      </c>
      <c r="D120" s="9" t="str">
        <f aca="false">INDEX(Articles!$C$2:$C$148,MATCH(C120,Articles!$A$2:$A$148,0))</f>
        <v>Protège-cahier couleur petit format (à l'unité)</v>
      </c>
      <c r="E120" s="9" t="str">
        <f aca="false">INDEX(Articles!$B$2:$B$148,MATCH(C120,Articles!$A$2:$A$148,0))</f>
        <v>LPD</v>
      </c>
      <c r="F120" s="31" t="n">
        <v>8</v>
      </c>
      <c r="G120" s="13" t="n">
        <f aca="false">IF(INDEX(Articles!$G$2:$G$148,MATCH(C120,Articles!$A$2:$A$148,0))="","",INDEX(Articles!$G$2:$G$148,MATCH(C120,Articles!$A$2:$A$148,0)))</f>
        <v>150</v>
      </c>
      <c r="H120" s="13" t="n">
        <f aca="false">IF(G120="",0,F120*G120)</f>
        <v>1200</v>
      </c>
      <c r="I120" s="13" t="str">
        <f aca="false">IF(INDEX(Articles!$E$2:$E$148,MATCH(C120,Articles!$A$2:$A$148,0))="","",INDEX(Articles!$E$2:$E$148,MATCH(C120,Articles!$A$2:$A$148,0)))</f>
        <v/>
      </c>
      <c r="J120" s="13" t="str">
        <f aca="false">IF(I120="","",F120*I120)</f>
        <v/>
      </c>
      <c r="K120" s="9" t="str">
        <f aca="false">INDEX(Articles!$H$2:$H$148,MATCH(C120,Articles!$A$2:$A$148,0))</f>
        <v>Fixé</v>
      </c>
      <c r="L120" s="9" t="str">
        <f aca="false">INDEX(Articles!$F$2:$F$148,MATCH(C120,Articles!$A$2:$A$148,0))</f>
        <v>Inconnu</v>
      </c>
      <c r="M120" s="17"/>
      <c r="N120" s="9" t="s">
        <v>167</v>
      </c>
    </row>
    <row r="121" customFormat="false" ht="15" hidden="false" customHeight="false" outlineLevel="0" collapsed="false">
      <c r="A121" s="9" t="s">
        <v>771</v>
      </c>
      <c r="B121" s="9" t="s">
        <v>773</v>
      </c>
      <c r="C121" s="31" t="s">
        <v>419</v>
      </c>
      <c r="D121" s="9" t="str">
        <f aca="false">INDEX(Articles!$C$2:$C$148,MATCH(C121,Articles!$A$2:$A$148,0))</f>
        <v>Protège-cahier grand format (à l'unité)</v>
      </c>
      <c r="E121" s="9" t="str">
        <f aca="false">INDEX(Articles!$B$2:$B$148,MATCH(C121,Articles!$A$2:$A$148,0))</f>
        <v>À préciser</v>
      </c>
      <c r="F121" s="31" t="n">
        <v>5</v>
      </c>
      <c r="G121" s="13" t="str">
        <f aca="false">IF(INDEX(Articles!$G$2:$G$148,MATCH(C121,Articles!$A$2:$A$148,0))="","",INDEX(Articles!$G$2:$G$148,MATCH(C121,Articles!$A$2:$A$148,0)))</f>
        <v/>
      </c>
      <c r="H121" s="13" t="n">
        <f aca="false">IF(G121="",0,F121*G121)</f>
        <v>0</v>
      </c>
      <c r="I121" s="13" t="str">
        <f aca="false">IF(INDEX(Articles!$E$2:$E$148,MATCH(C121,Articles!$A$2:$A$148,0))="","",INDEX(Articles!$E$2:$E$148,MATCH(C121,Articles!$A$2:$A$148,0)))</f>
        <v/>
      </c>
      <c r="J121" s="13" t="str">
        <f aca="false">IF(I121="","",F121*I121)</f>
        <v/>
      </c>
      <c r="K121" s="9" t="str">
        <f aca="false">INDEX(Articles!$H$2:$H$148,MATCH(C121,Articles!$A$2:$A$148,0))</f>
        <v>À fournir</v>
      </c>
      <c r="L121" s="9" t="str">
        <f aca="false">INDEX(Articles!$F$2:$F$148,MATCH(C121,Articles!$A$2:$A$148,0))</f>
        <v>Inconnu</v>
      </c>
      <c r="M121" s="17"/>
      <c r="N121" s="9" t="s">
        <v>167</v>
      </c>
    </row>
    <row r="122" customFormat="false" ht="15" hidden="false" customHeight="false" outlineLevel="0" collapsed="false">
      <c r="A122" s="9" t="s">
        <v>760</v>
      </c>
      <c r="B122" s="9" t="s">
        <v>814</v>
      </c>
      <c r="C122" s="31" t="s">
        <v>493</v>
      </c>
      <c r="D122" s="9" t="str">
        <f aca="false">INDEX(Articles!$C$2:$C$148,MATCH(C122,Articles!$A$2:$A$148,0))</f>
        <v>Une si longue lettre (Mariama Bâ)</v>
      </c>
      <c r="E122" s="9" t="str">
        <f aca="false">INDEX(Articles!$B$2:$B$148,MATCH(C122,Articles!$A$2:$A$148,0))</f>
        <v>LPD</v>
      </c>
      <c r="F122" s="31" t="n">
        <v>1</v>
      </c>
      <c r="G122" s="13" t="n">
        <f aca="false">IF(INDEX(Articles!$G$2:$G$148,MATCH(C122,Articles!$A$2:$A$148,0))="","",INDEX(Articles!$G$2:$G$148,MATCH(C122,Articles!$A$2:$A$148,0)))</f>
        <v>3500</v>
      </c>
      <c r="H122" s="13" t="n">
        <f aca="false">IF(G122="",0,F122*G122)</f>
        <v>3500</v>
      </c>
      <c r="I122" s="13" t="n">
        <f aca="false">IF(INDEX(Articles!$E$2:$E$148,MATCH(C122,Articles!$A$2:$A$148,0))="","",INDEX(Articles!$E$2:$E$148,MATCH(C122,Articles!$A$2:$A$148,0)))</f>
        <v>2500</v>
      </c>
      <c r="J122" s="13" t="n">
        <f aca="false">IF(I122="","",F122*I122)</f>
        <v>2500</v>
      </c>
      <c r="K122" s="9" t="str">
        <f aca="false">INDEX(Articles!$H$2:$H$148,MATCH(C122,Articles!$A$2:$A$148,0))</f>
        <v>Fixé</v>
      </c>
      <c r="L122" s="9" t="str">
        <f aca="false">INDEX(Articles!$F$2:$F$148,MATCH(C122,Articles!$A$2:$A$148,0))</f>
        <v>Estimé</v>
      </c>
      <c r="M122" s="17"/>
      <c r="N122" s="9" t="s">
        <v>167</v>
      </c>
    </row>
    <row r="123" customFormat="false" ht="15" hidden="false" customHeight="false" outlineLevel="0" collapsed="false">
      <c r="A123" s="9" t="s">
        <v>760</v>
      </c>
      <c r="B123" s="9" t="s">
        <v>833</v>
      </c>
      <c r="C123" s="31" t="s">
        <v>495</v>
      </c>
      <c r="D123" s="9" t="str">
        <f aca="false">INDEX(Articles!$C$2:$C$148,MATCH(C123,Articles!$A$2:$A$148,0))</f>
        <v>Vol de nuit (Saint-Exupéry)</v>
      </c>
      <c r="E123" s="9" t="str">
        <f aca="false">INDEX(Articles!$B$2:$B$148,MATCH(C123,Articles!$A$2:$A$148,0))</f>
        <v>LPD</v>
      </c>
      <c r="F123" s="31" t="n">
        <v>1</v>
      </c>
      <c r="G123" s="13" t="n">
        <f aca="false">IF(INDEX(Articles!$G$2:$G$148,MATCH(C123,Articles!$A$2:$A$148,0))="","",INDEX(Articles!$G$2:$G$148,MATCH(C123,Articles!$A$2:$A$148,0)))</f>
        <v>2800</v>
      </c>
      <c r="H123" s="13" t="n">
        <f aca="false">IF(G123="",0,F123*G123)</f>
        <v>2800</v>
      </c>
      <c r="I123" s="13" t="n">
        <f aca="false">IF(INDEX(Articles!$E$2:$E$148,MATCH(C123,Articles!$A$2:$A$148,0))="","",INDEX(Articles!$E$2:$E$148,MATCH(C123,Articles!$A$2:$A$148,0)))</f>
        <v>1800</v>
      </c>
      <c r="J123" s="13" t="n">
        <f aca="false">IF(I123="","",F123*I123)</f>
        <v>1800</v>
      </c>
      <c r="K123" s="9" t="str">
        <f aca="false">INDEX(Articles!$H$2:$H$148,MATCH(C123,Articles!$A$2:$A$148,0))</f>
        <v>Fixé</v>
      </c>
      <c r="L123" s="9" t="str">
        <f aca="false">INDEX(Articles!$F$2:$F$148,MATCH(C123,Articles!$A$2:$A$148,0))</f>
        <v>Estimé</v>
      </c>
      <c r="M123" s="17"/>
      <c r="N123" s="9" t="s">
        <v>167</v>
      </c>
    </row>
    <row r="124" customFormat="false" ht="15" hidden="false" customHeight="false" outlineLevel="0" collapsed="false">
      <c r="A124" s="9" t="s">
        <v>777</v>
      </c>
      <c r="B124" s="9" t="s">
        <v>821</v>
      </c>
      <c r="C124" s="31" t="s">
        <v>619</v>
      </c>
      <c r="D124" s="9" t="str">
        <f aca="false">INDEX(Articles!$C$2:$C$148,MATCH(C124,Articles!$A$2:$A$148,0))</f>
        <v>Mathématiques 3éme</v>
      </c>
      <c r="E124" s="9" t="str">
        <f aca="false">INDEX(Articles!$B$2:$B$148,MATCH(C124,Articles!$A$2:$A$148,0))</f>
        <v>LPD</v>
      </c>
      <c r="F124" s="31" t="n">
        <v>1</v>
      </c>
      <c r="G124" s="13" t="n">
        <f aca="false">IF(INDEX(Articles!$G$2:$G$148,MATCH(C124,Articles!$A$2:$A$148,0))="","",INDEX(Articles!$G$2:$G$148,MATCH(C124,Articles!$A$2:$A$148,0)))</f>
        <v>3960</v>
      </c>
      <c r="H124" s="13" t="n">
        <f aca="false">IF(G124="",0,F124*G124)</f>
        <v>3960</v>
      </c>
      <c r="I124" s="13" t="n">
        <f aca="false">IF(INDEX(Articles!$E$2:$E$148,MATCH(C124,Articles!$A$2:$A$148,0))="","",INDEX(Articles!$E$2:$E$148,MATCH(C124,Articles!$A$2:$A$148,0)))</f>
        <v>2960</v>
      </c>
      <c r="J124" s="13" t="n">
        <f aca="false">IF(I124="","",F124*I124)</f>
        <v>2960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777</v>
      </c>
      <c r="B125" s="9" t="s">
        <v>779</v>
      </c>
      <c r="C125" s="31" t="s">
        <v>621</v>
      </c>
      <c r="D125" s="9" t="str">
        <f aca="false">INDEX(Articles!$C$2:$C$148,MATCH(C125,Articles!$A$2:$A$148,0))</f>
        <v>Science de la vie et de la terre 3éme</v>
      </c>
      <c r="E125" s="9" t="str">
        <f aca="false">INDEX(Articles!$B$2:$B$148,MATCH(C125,Articles!$A$2:$A$148,0))</f>
        <v>LPD</v>
      </c>
      <c r="F125" s="31" t="n">
        <v>1</v>
      </c>
      <c r="G125" s="13" t="n">
        <f aca="false">IF(INDEX(Articles!$G$2:$G$148,MATCH(C125,Articles!$A$2:$A$148,0))="","",INDEX(Articles!$G$2:$G$148,MATCH(C125,Articles!$A$2:$A$148,0)))</f>
        <v>3960</v>
      </c>
      <c r="H125" s="13" t="n">
        <f aca="false">IF(G125="",0,F125*G125)</f>
        <v>3960</v>
      </c>
      <c r="I125" s="13" t="n">
        <f aca="false">IF(INDEX(Articles!$E$2:$E$148,MATCH(C125,Articles!$A$2:$A$148,0))="","",INDEX(Articles!$E$2:$E$148,MATCH(C125,Articles!$A$2:$A$148,0)))</f>
        <v>2960</v>
      </c>
      <c r="J125" s="13" t="n">
        <f aca="false">IF(I125="","",F125*I125)</f>
        <v>2960</v>
      </c>
      <c r="K125" s="9" t="str">
        <f aca="false">INDEX(Articles!$H$2:$H$148,MATCH(C125,Articles!$A$2:$A$148,0))</f>
        <v>Fixé</v>
      </c>
      <c r="L125" s="9" t="str">
        <f aca="false">INDEX(Articles!$F$2:$F$148,MATCH(C125,Articles!$A$2:$A$148,0))</f>
        <v>Estimé</v>
      </c>
      <c r="M125" s="17"/>
      <c r="N125" s="9" t="s">
        <v>167</v>
      </c>
    </row>
    <row r="126" customFormat="false" ht="15" hidden="false" customHeight="false" outlineLevel="0" collapsed="false">
      <c r="A126" s="9" t="s">
        <v>777</v>
      </c>
      <c r="B126" s="9" t="s">
        <v>837</v>
      </c>
      <c r="C126" s="31" t="s">
        <v>623</v>
      </c>
      <c r="D126" s="9" t="str">
        <f aca="false">INDEX(Articles!$C$2:$C$148,MATCH(C126,Articles!$A$2:$A$148,0))</f>
        <v>Sciences Physiques 3ème</v>
      </c>
      <c r="E126" s="9" t="str">
        <f aca="false">INDEX(Articles!$B$2:$B$148,MATCH(C126,Articles!$A$2:$A$148,0))</f>
        <v>LPD</v>
      </c>
      <c r="F126" s="31" t="n">
        <v>1</v>
      </c>
      <c r="G126" s="13" t="n">
        <f aca="false">IF(INDEX(Articles!$G$2:$G$148,MATCH(C126,Articles!$A$2:$A$148,0))="","",INDEX(Articles!$G$2:$G$148,MATCH(C126,Articles!$A$2:$A$148,0)))</f>
        <v>3960</v>
      </c>
      <c r="H126" s="13" t="n">
        <f aca="false">IF(G126="",0,F126*G126)</f>
        <v>3960</v>
      </c>
      <c r="I126" s="13" t="n">
        <f aca="false">IF(INDEX(Articles!$E$2:$E$148,MATCH(C126,Articles!$A$2:$A$148,0))="","",INDEX(Articles!$E$2:$E$148,MATCH(C126,Articles!$A$2:$A$148,0)))</f>
        <v>2960</v>
      </c>
      <c r="J126" s="13" t="n">
        <f aca="false">IF(I126="","",F126*I126)</f>
        <v>2960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A127" s="9" t="s">
        <v>777</v>
      </c>
      <c r="B127" s="9" t="s">
        <v>838</v>
      </c>
      <c r="C127" s="31" t="s">
        <v>625</v>
      </c>
      <c r="D127" s="9" t="str">
        <f aca="false">INDEX(Articles!$C$2:$C$148,MATCH(C127,Articles!$A$2:$A$148,0))</f>
        <v>Le Français en 3ème</v>
      </c>
      <c r="E127" s="9" t="str">
        <f aca="false">INDEX(Articles!$B$2:$B$148,MATCH(C127,Articles!$A$2:$A$148,0))</f>
        <v>LPD</v>
      </c>
      <c r="F127" s="31" t="n">
        <v>1</v>
      </c>
      <c r="G127" s="13" t="n">
        <f aca="false">IF(INDEX(Articles!$G$2:$G$148,MATCH(C127,Articles!$A$2:$A$148,0))="","",INDEX(Articles!$G$2:$G$148,MATCH(C127,Articles!$A$2:$A$148,0)))</f>
        <v>4000</v>
      </c>
      <c r="H127" s="13" t="n">
        <f aca="false">IF(G127="",0,F127*G127)</f>
        <v>4000</v>
      </c>
      <c r="I127" s="13" t="n">
        <f aca="false">IF(INDEX(Articles!$E$2:$E$148,MATCH(C127,Articles!$A$2:$A$148,0))="","",INDEX(Articles!$E$2:$E$148,MATCH(C127,Articles!$A$2:$A$148,0)))</f>
        <v>3000</v>
      </c>
      <c r="J127" s="13" t="n">
        <f aca="false">IF(I127="","",F127*I127)</f>
        <v>3000</v>
      </c>
      <c r="K127" s="9" t="str">
        <f aca="false">INDEX(Articles!$H$2:$H$148,MATCH(C127,Articles!$A$2:$A$148,0))</f>
        <v>Fixé</v>
      </c>
      <c r="L127" s="9" t="str">
        <f aca="false">INDEX(Articles!$F$2:$F$148,MATCH(C127,Articles!$A$2:$A$148,0))</f>
        <v>Estimé</v>
      </c>
      <c r="M127" s="17"/>
      <c r="N127" s="9" t="s">
        <v>167</v>
      </c>
    </row>
    <row r="128" customFormat="false" ht="15" hidden="false" customHeight="false" outlineLevel="0" collapsed="false">
      <c r="A128" s="9" t="s">
        <v>777</v>
      </c>
      <c r="B128" s="9" t="s">
        <v>839</v>
      </c>
      <c r="C128" s="31" t="s">
        <v>609</v>
      </c>
      <c r="D128" s="9" t="str">
        <f aca="false">INDEX(Articles!$C$2:$C$148,MATCH(C128,Articles!$A$2:$A$148,0))</f>
        <v>Grammaire du Français 4/3e, IPAM Edicef</v>
      </c>
      <c r="E128" s="9" t="str">
        <f aca="false">INDEX(Articles!$B$2:$B$148,MATCH(C128,Articles!$A$2:$A$148,0))</f>
        <v>LPD</v>
      </c>
      <c r="F128" s="31" t="n">
        <v>1</v>
      </c>
      <c r="G128" s="13" t="n">
        <f aca="false">IF(INDEX(Articles!$G$2:$G$148,MATCH(C128,Articles!$A$2:$A$148,0))="","",INDEX(Articles!$G$2:$G$148,MATCH(C128,Articles!$A$2:$A$148,0)))</f>
        <v>4000</v>
      </c>
      <c r="H128" s="13" t="n">
        <f aca="false">IF(G128="",0,F128*G128)</f>
        <v>4000</v>
      </c>
      <c r="I128" s="13" t="n">
        <f aca="false">IF(INDEX(Articles!$E$2:$E$148,MATCH(C128,Articles!$A$2:$A$148,0))="","",INDEX(Articles!$E$2:$E$148,MATCH(C128,Articles!$A$2:$A$148,0)))</f>
        <v>3000</v>
      </c>
      <c r="J128" s="13" t="n">
        <f aca="false">IF(I128="","",F128*I128)</f>
        <v>3000</v>
      </c>
      <c r="K128" s="9" t="str">
        <f aca="false">INDEX(Articles!$H$2:$H$148,MATCH(C128,Articles!$A$2:$A$148,0))</f>
        <v>Fixé</v>
      </c>
      <c r="L128" s="9" t="str">
        <f aca="false">INDEX(Articles!$F$2:$F$148,MATCH(C128,Articles!$A$2:$A$148,0))</f>
        <v>Estimé</v>
      </c>
      <c r="M128" s="17"/>
      <c r="N128" s="9" t="s">
        <v>167</v>
      </c>
    </row>
    <row r="129" customFormat="false" ht="15" hidden="false" customHeight="false" outlineLevel="0" collapsed="false">
      <c r="A129" s="9" t="s">
        <v>678</v>
      </c>
      <c r="B129" s="9" t="s">
        <v>781</v>
      </c>
      <c r="C129" s="31" t="s">
        <v>434</v>
      </c>
      <c r="D129" s="9" t="str">
        <f aca="false">INDEX(Articles!$C$2:$C$148,MATCH(C129,Articles!$A$2:$A$148,0))</f>
        <v>Stylo 4 couleurs Schneider</v>
      </c>
      <c r="E129" s="9" t="str">
        <f aca="false">INDEX(Articles!$B$2:$B$148,MATCH(C129,Articles!$A$2:$A$148,0))</f>
        <v>Papex</v>
      </c>
      <c r="F129" s="31" t="n">
        <v>1</v>
      </c>
      <c r="G129" s="13" t="n">
        <f aca="false">IF(INDEX(Articles!$G$2:$G$148,MATCH(C129,Articles!$A$2:$A$148,0))="","",INDEX(Articles!$G$2:$G$148,MATCH(C129,Articles!$A$2:$A$148,0)))</f>
        <v>1750</v>
      </c>
      <c r="H129" s="13" t="n">
        <f aca="false">IF(G129="",0,F129*G129)</f>
        <v>1750</v>
      </c>
      <c r="I129" s="13" t="n">
        <f aca="false">IF(INDEX(Articles!$E$2:$E$148,MATCH(C129,Articles!$A$2:$A$148,0))="","",INDEX(Articles!$E$2:$E$148,MATCH(C129,Articles!$A$2:$A$148,0)))</f>
        <v>1500</v>
      </c>
      <c r="J129" s="13" t="n">
        <f aca="false">IF(I129="","",F129*I129)</f>
        <v>1500</v>
      </c>
      <c r="K129" s="9" t="str">
        <f aca="false">INDEX(Articles!$H$2:$H$148,MATCH(C129,Articles!$A$2:$A$148,0))</f>
        <v>Fixé</v>
      </c>
      <c r="L129" s="9" t="str">
        <f aca="false">INDEX(Articles!$F$2:$F$148,MATCH(C129,Articles!$A$2:$A$148,0))</f>
        <v>Confirmé</v>
      </c>
      <c r="M129" s="17"/>
      <c r="N129" s="9" t="s">
        <v>167</v>
      </c>
    </row>
    <row r="130" customFormat="false" ht="15" hidden="false" customHeight="false" outlineLevel="0" collapsed="false">
      <c r="A130" s="9" t="s">
        <v>678</v>
      </c>
      <c r="B130" s="9" t="s">
        <v>782</v>
      </c>
      <c r="C130" s="31" t="s">
        <v>174</v>
      </c>
      <c r="D130" s="9" t="str">
        <f aca="false">INDEX(Articles!$C$2:$C$148,MATCH(C130,Articles!$A$2:$A$148,0))</f>
        <v>Correcteur souris ARK</v>
      </c>
      <c r="E130" s="9" t="str">
        <f aca="false">INDEX(Articles!$B$2:$B$148,MATCH(C130,Articles!$A$2:$A$148,0))</f>
        <v>Papex</v>
      </c>
      <c r="F130" s="31" t="n">
        <v>1</v>
      </c>
      <c r="G130" s="13" t="n">
        <f aca="false">IF(INDEX(Articles!$G$2:$G$148,MATCH(C130,Articles!$A$2:$A$148,0))="","",INDEX(Articles!$G$2:$G$148,MATCH(C130,Articles!$A$2:$A$148,0)))</f>
        <v>1000</v>
      </c>
      <c r="H130" s="13" t="n">
        <f aca="false">IF(G130="",0,F130*G130)</f>
        <v>1000</v>
      </c>
      <c r="I130" s="13" t="n">
        <f aca="false">IF(INDEX(Articles!$E$2:$E$148,MATCH(C130,Articles!$A$2:$A$148,0))="","",INDEX(Articles!$E$2:$E$148,MATCH(C130,Articles!$A$2:$A$148,0)))</f>
        <v>700</v>
      </c>
      <c r="J130" s="13" t="n">
        <f aca="false">IF(I130="","",F130*I130)</f>
        <v>700</v>
      </c>
      <c r="K130" s="9" t="str">
        <f aca="false">INDEX(Articles!$H$2:$H$148,MATCH(C130,Articles!$A$2:$A$148,0))</f>
        <v>Fixé</v>
      </c>
      <c r="L130" s="9" t="str">
        <f aca="false">INDEX(Articles!$F$2:$F$148,MATCH(C130,Articles!$A$2:$A$148,0))</f>
        <v>Confirmé</v>
      </c>
      <c r="M130" s="17"/>
      <c r="N130" s="9" t="s">
        <v>167</v>
      </c>
    </row>
    <row r="131" customFormat="false" ht="15" hidden="false" customHeight="false" outlineLevel="0" collapsed="false">
      <c r="A131" s="9" t="s">
        <v>840</v>
      </c>
      <c r="B131" s="9" t="s">
        <v>841</v>
      </c>
      <c r="C131" s="31" t="s">
        <v>381</v>
      </c>
      <c r="D131" s="9" t="str">
        <f aca="false">INDEX(Articles!$C$2:$C$148,MATCH(C131,Articles!$A$2:$A$148,0))</f>
        <v>MATHEMATIQUES TROISIEME (Korka Diallo, Le BFEM en poche)</v>
      </c>
      <c r="E131" s="9" t="str">
        <f aca="false">INDEX(Articles!$B$2:$B$148,MATCH(C131,Articles!$A$2:$A$148,0))</f>
        <v>Korka Diallo</v>
      </c>
      <c r="F131" s="31" t="n">
        <v>1</v>
      </c>
      <c r="G131" s="45" t="n">
        <f aca="false">IF(INDEX(Articles!$G$2:$G$148,MATCH(C131,Articles!$A$2:$A$148,0))="","",INDEX(Articles!$G$2:$G$148,MATCH(C131,Articles!$A$2:$A$148,0)))</f>
        <v>10000</v>
      </c>
      <c r="H131" s="13" t="n">
        <f aca="false">IF(G131="",0,F131*G131)</f>
        <v>10000</v>
      </c>
      <c r="I131" s="13" t="n">
        <f aca="false">IF(INDEX(Articles!$E$2:$E$148,MATCH(C131,Articles!$A$2:$A$148,0))="","",INDEX(Articles!$E$2:$E$148,MATCH(C131,Articles!$A$2:$A$148,0)))</f>
        <v>8000</v>
      </c>
      <c r="J131" s="13" t="n">
        <f aca="false">IF(I131="","",F131*I131)</f>
        <v>8000</v>
      </c>
      <c r="K131" s="9" t="str">
        <f aca="false">INDEX(Articles!$H$2:$H$148,MATCH(C131,Articles!$A$2:$A$148,0))</f>
        <v>Fixé</v>
      </c>
      <c r="L131" s="9" t="str">
        <f aca="false">INDEX(Articles!$F$2:$F$148,MATCH(C131,Articles!$A$2:$A$148,0))</f>
        <v>Confirmé</v>
      </c>
      <c r="M131" s="17"/>
      <c r="N131" s="9" t="s">
        <v>167</v>
      </c>
    </row>
    <row r="132" customFormat="false" ht="15" hidden="false" customHeight="false" outlineLevel="0" collapsed="false">
      <c r="A132" s="9" t="s">
        <v>840</v>
      </c>
      <c r="B132" s="9" t="s">
        <v>842</v>
      </c>
      <c r="C132" s="31" t="s">
        <v>385</v>
      </c>
      <c r="D132" s="9" t="str">
        <f aca="false">INDEX(Articles!$C$2:$C$148,MATCH(C132,Articles!$A$2:$A$148,0))</f>
        <v>PHYSIQUE CHIMIE TROISIEME (Korka Diallo, Le BFEM en poche)</v>
      </c>
      <c r="E132" s="9" t="str">
        <f aca="false">INDEX(Articles!$B$2:$B$148,MATCH(C132,Articles!$A$2:$A$148,0))</f>
        <v>Korka Diallo</v>
      </c>
      <c r="F132" s="31" t="n">
        <v>1</v>
      </c>
      <c r="G132" s="45" t="n">
        <f aca="false">IF(INDEX(Articles!$G$2:$G$148,MATCH(C132,Articles!$A$2:$A$148,0))="","",INDEX(Articles!$G$2:$G$148,MATCH(C132,Articles!$A$2:$A$148,0)))</f>
        <v>5000</v>
      </c>
      <c r="H132" s="13" t="n">
        <f aca="false">IF(G132="",0,F132*G132)</f>
        <v>5000</v>
      </c>
      <c r="I132" s="13" t="n">
        <f aca="false">IF(INDEX(Articles!$E$2:$E$148,MATCH(C132,Articles!$A$2:$A$148,0))="","",INDEX(Articles!$E$2:$E$148,MATCH(C132,Articles!$A$2:$A$148,0)))</f>
        <v>4000</v>
      </c>
      <c r="J132" s="13" t="n">
        <f aca="false">IF(I132="","",F132*I132)</f>
        <v>4000</v>
      </c>
      <c r="K132" s="9" t="str">
        <f aca="false">INDEX(Articles!$H$2:$H$148,MATCH(C132,Articles!$A$2:$A$148,0))</f>
        <v>Fixé</v>
      </c>
      <c r="L132" s="9" t="str">
        <f aca="false">INDEX(Articles!$F$2:$F$148,MATCH(C132,Articles!$A$2:$A$148,0))</f>
        <v>Confirmé</v>
      </c>
      <c r="M132" s="17"/>
      <c r="N132" s="9" t="s">
        <v>167</v>
      </c>
    </row>
    <row r="133" customFormat="false" ht="15" hidden="false" customHeight="false" outlineLevel="0" collapsed="false">
      <c r="A133" s="9" t="s">
        <v>703</v>
      </c>
      <c r="B133" s="9" t="s">
        <v>843</v>
      </c>
      <c r="C133" s="31" t="s">
        <v>388</v>
      </c>
      <c r="D133" s="9" t="str">
        <f aca="false">INDEX(Articles!$C$2:$C$148,MATCH(C133,Articles!$A$2:$A$148,0))</f>
        <v>ANNALE D'ANGLAIS TROISIEME (Korka Diallo, Club de l'Excellence)</v>
      </c>
      <c r="E133" s="9" t="str">
        <f aca="false">INDEX(Articles!$B$2:$B$148,MATCH(C133,Articles!$A$2:$A$148,0))</f>
        <v>Korka Diallo</v>
      </c>
      <c r="F133" s="31" t="n">
        <v>1</v>
      </c>
      <c r="G133" s="45" t="n">
        <f aca="false">IF(INDEX(Articles!$G$2:$G$148,MATCH(C133,Articles!$A$2:$A$148,0))="","",INDEX(Articles!$G$2:$G$148,MATCH(C133,Articles!$A$2:$A$148,0)))</f>
        <v>3000</v>
      </c>
      <c r="H133" s="13" t="n">
        <f aca="false">IF(G133="",0,F133*G133)</f>
        <v>3000</v>
      </c>
      <c r="I133" s="13" t="n">
        <f aca="false">IF(INDEX(Articles!$E$2:$E$148,MATCH(C133,Articles!$A$2:$A$148,0))="","",INDEX(Articles!$E$2:$E$148,MATCH(C133,Articles!$A$2:$A$148,0)))</f>
        <v>2400</v>
      </c>
      <c r="J133" s="13" t="n">
        <f aca="false">IF(I133="","",F133*I133)</f>
        <v>2400</v>
      </c>
      <c r="K133" s="9" t="str">
        <f aca="false">INDEX(Articles!$H$2:$H$148,MATCH(C133,Articles!$A$2:$A$148,0))</f>
        <v>Fixé</v>
      </c>
      <c r="L133" s="9" t="str">
        <f aca="false">INDEX(Articles!$F$2:$F$148,MATCH(C133,Articles!$A$2:$A$148,0))</f>
        <v>Confirmé</v>
      </c>
      <c r="M133" s="17"/>
      <c r="N133" s="9" t="s">
        <v>167</v>
      </c>
    </row>
    <row r="134" customFormat="false" ht="15" hidden="false" customHeight="false" outlineLevel="0" collapsed="false">
      <c r="A134" s="9" t="s">
        <v>703</v>
      </c>
      <c r="B134" s="9" t="s">
        <v>844</v>
      </c>
      <c r="C134" s="31" t="s">
        <v>627</v>
      </c>
      <c r="D134" s="9" t="str">
        <f aca="false">INDEX(Articles!$C$2:$C$148,MATCH(C134,Articles!$A$2:$A$148,0))</f>
        <v>Excellence Maths 3ème, EENAS</v>
      </c>
      <c r="E134" s="9" t="str">
        <f aca="false">INDEX(Articles!$B$2:$B$148,MATCH(C134,Articles!$A$2:$A$148,0))</f>
        <v>LPD</v>
      </c>
      <c r="F134" s="31" t="n">
        <v>1</v>
      </c>
      <c r="G134" s="13" t="n">
        <f aca="false">IF(INDEX(Articles!$G$2:$G$148,MATCH(C134,Articles!$A$2:$A$148,0))="","",INDEX(Articles!$G$2:$G$148,MATCH(C134,Articles!$A$2:$A$148,0)))</f>
        <v>4000</v>
      </c>
      <c r="H134" s="13" t="n">
        <f aca="false">IF(G134="",0,F134*G134)</f>
        <v>4000</v>
      </c>
      <c r="I134" s="13" t="n">
        <f aca="false">IF(INDEX(Articles!$E$2:$E$148,MATCH(C134,Articles!$A$2:$A$148,0))="","",INDEX(Articles!$E$2:$E$148,MATCH(C134,Articles!$A$2:$A$148,0)))</f>
        <v>3000</v>
      </c>
      <c r="J134" s="13" t="n">
        <f aca="false">IF(I134="","",F134*I134)</f>
        <v>3000</v>
      </c>
      <c r="K134" s="9" t="str">
        <f aca="false">INDEX(Articles!$H$2:$H$148,MATCH(C134,Articles!$A$2:$A$148,0))</f>
        <v>Fixé</v>
      </c>
      <c r="L134" s="9" t="str">
        <f aca="false">INDEX(Articles!$F$2:$F$148,MATCH(C134,Articles!$A$2:$A$148,0))</f>
        <v>Estimé</v>
      </c>
      <c r="M134" s="17"/>
      <c r="N134" s="9" t="s">
        <v>167</v>
      </c>
    </row>
    <row r="135" customFormat="false" ht="15" hidden="false" customHeight="false" outlineLevel="0" collapsed="false">
      <c r="A135" s="9" t="s">
        <v>703</v>
      </c>
      <c r="B135" s="9" t="s">
        <v>804</v>
      </c>
      <c r="C135" s="31" t="s">
        <v>629</v>
      </c>
      <c r="D135" s="9" t="str">
        <f aca="false">INDEX(Articles!$C$2:$C$148,MATCH(C135,Articles!$A$2:$A$148,0))</f>
        <v>Cahier d’activités mathématiques 3éme</v>
      </c>
      <c r="E135" s="9" t="str">
        <f aca="false">INDEX(Articles!$B$2:$B$148,MATCH(C135,Articles!$A$2:$A$148,0))</f>
        <v>LPD</v>
      </c>
      <c r="F135" s="31" t="n">
        <v>1</v>
      </c>
      <c r="G135" s="13" t="n">
        <f aca="false">IF(INDEX(Articles!$G$2:$G$148,MATCH(C135,Articles!$A$2:$A$148,0))="","",INDEX(Articles!$G$2:$G$148,MATCH(C135,Articles!$A$2:$A$148,0)))</f>
        <v>3130</v>
      </c>
      <c r="H135" s="13" t="n">
        <f aca="false">IF(G135="",0,F135*G135)</f>
        <v>3130</v>
      </c>
      <c r="I135" s="13" t="n">
        <f aca="false">IF(INDEX(Articles!$E$2:$E$148,MATCH(C135,Articles!$A$2:$A$148,0))="","",INDEX(Articles!$E$2:$E$148,MATCH(C135,Articles!$A$2:$A$148,0)))</f>
        <v>2130</v>
      </c>
      <c r="J135" s="13" t="n">
        <f aca="false">IF(I135="","",F135*I135)</f>
        <v>2130</v>
      </c>
      <c r="K135" s="9" t="str">
        <f aca="false">INDEX(Articles!$H$2:$H$148,MATCH(C135,Articles!$A$2:$A$148,0))</f>
        <v>Fixé</v>
      </c>
      <c r="L135" s="9" t="str">
        <f aca="false">INDEX(Articles!$F$2:$F$148,MATCH(C135,Articles!$A$2:$A$148,0))</f>
        <v>Estimé</v>
      </c>
      <c r="M135" s="17"/>
      <c r="N135" s="9" t="s">
        <v>167</v>
      </c>
    </row>
    <row r="136" customFormat="false" ht="15" hidden="false" customHeight="false" outlineLevel="0" collapsed="false">
      <c r="A136" s="9" t="s">
        <v>703</v>
      </c>
      <c r="B136" s="9" t="s">
        <v>805</v>
      </c>
      <c r="C136" s="31" t="s">
        <v>631</v>
      </c>
      <c r="D136" s="9" t="str">
        <f aca="false">INDEX(Articles!$C$2:$C$148,MATCH(C136,Articles!$A$2:$A$148,0))</f>
        <v>Cahier d’activités SVT 3éme</v>
      </c>
      <c r="E136" s="9" t="str">
        <f aca="false">INDEX(Articles!$B$2:$B$148,MATCH(C136,Articles!$A$2:$A$148,0))</f>
        <v>LPD</v>
      </c>
      <c r="F136" s="31" t="n">
        <v>1</v>
      </c>
      <c r="G136" s="13" t="n">
        <f aca="false">IF(INDEX(Articles!$G$2:$G$148,MATCH(C136,Articles!$A$2:$A$148,0))="","",INDEX(Articles!$G$2:$G$148,MATCH(C136,Articles!$A$2:$A$148,0)))</f>
        <v>3430</v>
      </c>
      <c r="H136" s="13" t="n">
        <f aca="false">IF(G136="",0,F136*G136)</f>
        <v>3430</v>
      </c>
      <c r="I136" s="13" t="n">
        <f aca="false">IF(INDEX(Articles!$E$2:$E$148,MATCH(C136,Articles!$A$2:$A$148,0))="","",INDEX(Articles!$E$2:$E$148,MATCH(C136,Articles!$A$2:$A$148,0)))</f>
        <v>2430</v>
      </c>
      <c r="J136" s="13" t="n">
        <f aca="false">IF(I136="","",F136*I136)</f>
        <v>2430</v>
      </c>
      <c r="K136" s="9" t="str">
        <f aca="false">INDEX(Articles!$H$2:$H$148,MATCH(C136,Articles!$A$2:$A$148,0))</f>
        <v>Fixé</v>
      </c>
      <c r="L136" s="9" t="str">
        <f aca="false">INDEX(Articles!$F$2:$F$148,MATCH(C136,Articles!$A$2:$A$148,0))</f>
        <v>Estimé</v>
      </c>
      <c r="M136" s="17"/>
      <c r="N136" s="9" t="s">
        <v>167</v>
      </c>
    </row>
    <row r="137" customFormat="false" ht="15" hidden="false" customHeight="false" outlineLevel="0" collapsed="false">
      <c r="A137" s="9" t="s">
        <v>703</v>
      </c>
      <c r="B137" s="9" t="s">
        <v>826</v>
      </c>
      <c r="C137" s="31" t="s">
        <v>633</v>
      </c>
      <c r="D137" s="9" t="str">
        <f aca="false">INDEX(Articles!$C$2:$C$148,MATCH(C137,Articles!$A$2:$A$148,0))</f>
        <v>Cahier d’activités PC 3éme</v>
      </c>
      <c r="E137" s="9" t="str">
        <f aca="false">INDEX(Articles!$B$2:$B$148,MATCH(C137,Articles!$A$2:$A$148,0))</f>
        <v>LPD</v>
      </c>
      <c r="F137" s="31" t="n">
        <v>1</v>
      </c>
      <c r="G137" s="13" t="n">
        <f aca="false">IF(INDEX(Articles!$G$2:$G$148,MATCH(C137,Articles!$A$2:$A$148,0))="","",INDEX(Articles!$G$2:$G$148,MATCH(C137,Articles!$A$2:$A$148,0)))</f>
        <v>3130</v>
      </c>
      <c r="H137" s="13" t="n">
        <f aca="false">IF(G137="",0,F137*G137)</f>
        <v>3130</v>
      </c>
      <c r="I137" s="13" t="n">
        <f aca="false">IF(INDEX(Articles!$E$2:$E$148,MATCH(C137,Articles!$A$2:$A$148,0))="","",INDEX(Articles!$E$2:$E$148,MATCH(C137,Articles!$A$2:$A$148,0)))</f>
        <v>2130</v>
      </c>
      <c r="J137" s="13" t="n">
        <f aca="false">IF(I137="","",F137*I137)</f>
        <v>2130</v>
      </c>
      <c r="K137" s="9" t="str">
        <f aca="false">INDEX(Articles!$H$2:$H$148,MATCH(C137,Articles!$A$2:$A$148,0))</f>
        <v>Fixé</v>
      </c>
      <c r="L137" s="9" t="str">
        <f aca="false">INDEX(Articles!$F$2:$F$148,MATCH(C137,Articles!$A$2:$A$148,0))</f>
        <v>Estimé</v>
      </c>
      <c r="M137" s="17"/>
      <c r="N137" s="9" t="s">
        <v>167</v>
      </c>
    </row>
    <row r="138" customFormat="false" ht="15" hidden="false" customHeight="false" outlineLevel="0" collapsed="false">
      <c r="A138" s="9" t="s">
        <v>703</v>
      </c>
      <c r="B138" s="9" t="s">
        <v>788</v>
      </c>
      <c r="C138" s="31" t="s">
        <v>451</v>
      </c>
      <c r="D138" s="9" t="str">
        <f aca="false">INDEX(Articles!$C$2:$C$148,MATCH(C138,Articles!$A$2:$A$148,0))</f>
        <v>Dictionnaire Le Robert de français, 65 000 mots</v>
      </c>
      <c r="E138" s="9" t="str">
        <f aca="false">INDEX(Articles!$B$2:$B$148,MATCH(C138,Articles!$A$2:$A$148,0))</f>
        <v>Papex</v>
      </c>
      <c r="F138" s="31" t="n">
        <v>1</v>
      </c>
      <c r="G138" s="13" t="n">
        <f aca="false">IF(INDEX(Articles!$G$2:$G$148,MATCH(C138,Articles!$A$2:$A$148,0))="","",INDEX(Articles!$G$2:$G$148,MATCH(C138,Articles!$A$2:$A$148,0)))</f>
        <v>3500</v>
      </c>
      <c r="H138" s="13" t="n">
        <f aca="false">IF(G138="",0,F138*G138)</f>
        <v>3500</v>
      </c>
      <c r="I138" s="13" t="n">
        <f aca="false">IF(INDEX(Articles!$E$2:$E$148,MATCH(C138,Articles!$A$2:$A$148,0))="","",INDEX(Articles!$E$2:$E$148,MATCH(C138,Articles!$A$2:$A$148,0)))</f>
        <v>3000</v>
      </c>
      <c r="J138" s="13" t="n">
        <f aca="false">IF(I138="","",F138*I138)</f>
        <v>3000</v>
      </c>
      <c r="K138" s="9" t="str">
        <f aca="false">INDEX(Articles!$H$2:$H$148,MATCH(C138,Articles!$A$2:$A$148,0))</f>
        <v>Fixé</v>
      </c>
      <c r="L138" s="9" t="str">
        <f aca="false">INDEX(Articles!$F$2:$F$148,MATCH(C138,Articles!$A$2:$A$148,0))</f>
        <v>Confirmé</v>
      </c>
      <c r="M138" s="17"/>
      <c r="N138" s="9" t="s">
        <v>167</v>
      </c>
    </row>
    <row r="139" customFormat="false" ht="15" hidden="false" customHeight="false" outlineLevel="0" collapsed="false">
      <c r="D139" s="32" t="s">
        <v>683</v>
      </c>
      <c r="E139" s="32"/>
      <c r="F139" s="32"/>
      <c r="G139" s="32"/>
      <c r="H139" s="33" t="n">
        <f aca="false">COUNTIF(G94:G138,"")</f>
        <v>1</v>
      </c>
    </row>
    <row r="140" customFormat="false" ht="15" hidden="false" customHeight="false" outlineLevel="0" collapsed="false">
      <c r="D140" s="32" t="s">
        <v>684</v>
      </c>
      <c r="E140" s="32"/>
      <c r="F140" s="32"/>
      <c r="G140" s="32"/>
      <c r="H140" s="33" t="n">
        <f aca="false">SUM(H94:H138)</f>
        <v>101095</v>
      </c>
    </row>
    <row r="141" customFormat="false" ht="15" hidden="false" customHeight="false" outlineLevel="0" collapsed="false">
      <c r="D141" s="32" t="s">
        <v>28</v>
      </c>
      <c r="E141" s="32"/>
      <c r="F141" s="32"/>
      <c r="G141" s="32"/>
      <c r="H141" s="33" t="n">
        <f aca="false">SUM(J94:J138)</f>
        <v>77580</v>
      </c>
    </row>
    <row r="142" customFormat="false" ht="15" hidden="false" customHeight="false" outlineLevel="0" collapsed="false">
      <c r="D142" s="32" t="s">
        <v>685</v>
      </c>
      <c r="E142" s="32"/>
      <c r="F142" s="32"/>
      <c r="G142" s="32"/>
      <c r="H142" s="33" t="n">
        <f aca="false">COUNTIF(I94:I138,"")</f>
        <v>6</v>
      </c>
    </row>
    <row r="143" customFormat="false" ht="15" hidden="false" customHeight="false" outlineLevel="0" collapsed="false">
      <c r="D143" s="32" t="s">
        <v>686</v>
      </c>
      <c r="E143" s="32"/>
      <c r="F143" s="32"/>
      <c r="G143" s="32"/>
      <c r="H143" s="33" t="n">
        <f aca="false">SUMPRODUCT((I94:I138&lt;&gt;"")*H94:H138)-H141</f>
        <v>20790</v>
      </c>
    </row>
    <row r="144" customFormat="false" ht="15" hidden="false" customHeight="false" outlineLevel="0" collapsed="false">
      <c r="D144" s="32" t="s">
        <v>687</v>
      </c>
      <c r="E144" s="32"/>
      <c r="F144" s="32"/>
      <c r="G144" s="32"/>
      <c r="H144" s="33" t="n">
        <f aca="false">SUMIF(A94:A138,"Cahiers",F94:F138)</f>
        <v>13</v>
      </c>
    </row>
    <row r="145" customFormat="false" ht="15" hidden="false" customHeight="false" outlineLevel="0" collapsed="false">
      <c r="D145" s="32" t="s">
        <v>688</v>
      </c>
      <c r="E145" s="32"/>
      <c r="F145" s="32"/>
      <c r="G145" s="32"/>
      <c r="H145" s="34" t="n">
        <f aca="false">IF(H140=0,0,SUMIF(K94:K138,"&lt;&gt;Fixé",H94:H138)/H140)</f>
        <v>0.0791334883030813</v>
      </c>
    </row>
    <row r="146" customFormat="false" ht="15" hidden="false" customHeight="false" outlineLevel="0" collapsed="false">
      <c r="D146" s="32" t="s">
        <v>689</v>
      </c>
      <c r="E146" s="32"/>
      <c r="F146" s="32"/>
      <c r="G146" s="32"/>
      <c r="H146" s="33" t="str">
        <f aca="false">IF(H139&gt;0,"Total incomplet : "&amp;H139&amp;" prix de vente à fournir",IF(H142&gt;0,"Coût incomplet : "&amp;H142&amp;" ligne(s) sans prix d'achat","Complet"))</f>
        <v>Total incomplet : 1 prix de vente à fournir</v>
      </c>
    </row>
    <row r="147" customFormat="false" ht="15" hidden="false" customHeight="false" outlineLevel="0" collapsed="false">
      <c r="D147" s="21" t="s">
        <v>696</v>
      </c>
      <c r="E147" s="21" t="str">
        <f aca="false">INDEX(Articles!$C$2:$C$148,MATCH("S020",Articles!$A$2:$A$148,0))</f>
        <v>Sac à dos bleu marine</v>
      </c>
      <c r="H147" s="41" t="n">
        <f aca="false">INDEX(Articles!$G$2:$G$148,MATCH("S020",Articles!$A$2:$A$148,0))</f>
        <v>7000</v>
      </c>
    </row>
    <row r="148" customFormat="false" ht="15" hidden="false" customHeight="false" outlineLevel="0" collapsed="false">
      <c r="D148" s="42" t="s">
        <v>697</v>
      </c>
      <c r="E148" s="43" t="s">
        <v>797</v>
      </c>
    </row>
    <row r="149" customFormat="false" ht="15" hidden="false" customHeight="false" outlineLevel="0" collapsed="false">
      <c r="E149" s="43" t="s">
        <v>835</v>
      </c>
    </row>
    <row r="150" customFormat="false" ht="15" hidden="false" customHeight="false" outlineLevel="0" collapsed="false">
      <c r="E150" s="43" t="s">
        <v>845</v>
      </c>
    </row>
    <row r="151" customFormat="false" ht="15" hidden="false" customHeight="false" outlineLevel="0" collapsed="false">
      <c r="E151" s="43" t="s">
        <v>846</v>
      </c>
    </row>
  </sheetData>
  <mergeCells count="24">
    <mergeCell ref="D30:G30"/>
    <mergeCell ref="D31:G31"/>
    <mergeCell ref="D32:G32"/>
    <mergeCell ref="D33:G33"/>
    <mergeCell ref="D34:G34"/>
    <mergeCell ref="D35:G35"/>
    <mergeCell ref="D36:G36"/>
    <mergeCell ref="D37:G37"/>
    <mergeCell ref="D79:G79"/>
    <mergeCell ref="D80:G80"/>
    <mergeCell ref="D81:G81"/>
    <mergeCell ref="D82:G82"/>
    <mergeCell ref="D83:G83"/>
    <mergeCell ref="D84:G84"/>
    <mergeCell ref="D85:G85"/>
    <mergeCell ref="D86:G86"/>
    <mergeCell ref="D139:G139"/>
    <mergeCell ref="D140:G140"/>
    <mergeCell ref="D141:G141"/>
    <mergeCell ref="D142:G142"/>
    <mergeCell ref="D143:G143"/>
    <mergeCell ref="D144:G144"/>
    <mergeCell ref="D145:G145"/>
    <mergeCell ref="D146:G1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847</v>
      </c>
    </row>
    <row r="2" customFormat="false" ht="15" hidden="false" customHeight="false" outlineLevel="0" collapsed="false">
      <c r="A2" s="21" t="s">
        <v>848</v>
      </c>
    </row>
    <row r="4" customFormat="false" ht="15" hidden="false" customHeight="false" outlineLevel="0" collapsed="false">
      <c r="A4" s="28" t="s">
        <v>849</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745</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850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851</v>
      </c>
      <c r="C8" s="31" t="s">
        <v>210</v>
      </c>
      <c r="D8" s="9" t="str">
        <f aca="false">INDEX(Articles!$C$2:$C$148,MATCH(C8,Articles!$A$2:$A$148,0))</f>
        <v>Cahier L'écolier 192 pages</v>
      </c>
      <c r="E8" s="9" t="str">
        <f aca="false">INDEX(Articles!$B$2:$B$148,MATCH(C8,Articles!$A$2:$A$148,0))</f>
        <v>Papex</v>
      </c>
      <c r="F8" s="31" t="n">
        <v>2</v>
      </c>
      <c r="G8" s="13" t="n">
        <f aca="false">IF(INDEX(Articles!$G$2:$G$148,MATCH(C8,Articles!$A$2:$A$148,0))="","",INDEX(Articles!$G$2:$G$148,MATCH(C8,Articles!$A$2:$A$148,0)))</f>
        <v>500</v>
      </c>
      <c r="H8" s="13" t="n">
        <f aca="false">IF(G8="",0,F8*G8)</f>
        <v>1000</v>
      </c>
      <c r="I8" s="13" t="n">
        <f aca="false">IF(INDEX(Articles!$E$2:$E$148,MATCH(C8,Articles!$A$2:$A$148,0))="","",INDEX(Articles!$E$2:$E$148,MATCH(C8,Articles!$A$2:$A$148,0)))</f>
        <v>400</v>
      </c>
      <c r="J8" s="13" t="n">
        <f aca="false">IF(I8="","",F8*I8)</f>
        <v>800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852</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853</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744</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854</v>
      </c>
      <c r="C14" s="31" t="s">
        <v>195</v>
      </c>
      <c r="D14" s="9" t="str">
        <f aca="false">INDEX(Articles!$C$2:$C$148,MATCH(C14,Articles!$A$2:$A$148,0))</f>
        <v>Cahier Calligraphe 96 pages 17x22 56 g seyès</v>
      </c>
      <c r="E14" s="9" t="str">
        <f aca="false">INDEX(Articles!$B$2:$B$148,MATCH(C14,Articles!$A$2:$A$148,0))</f>
        <v>Papex</v>
      </c>
      <c r="F14" s="31" t="n">
        <v>1</v>
      </c>
      <c r="G14" s="13" t="n">
        <f aca="false">IF(INDEX(Articles!$G$2:$G$148,MATCH(C14,Articles!$A$2:$A$148,0))="","",INDEX(Articles!$G$2:$G$148,MATCH(C14,Articles!$A$2:$A$148,0)))</f>
        <v>450</v>
      </c>
      <c r="H14" s="13" t="n">
        <f aca="false">IF(G14="",0,F14*G14)</f>
        <v>450</v>
      </c>
      <c r="I14" s="13" t="n">
        <f aca="false">IF(INDEX(Articles!$E$2:$E$148,MATCH(C14,Articles!$A$2:$A$148,0))="","",INDEX(Articles!$E$2:$E$148,MATCH(C14,Articles!$A$2:$A$148,0)))</f>
        <v>350</v>
      </c>
      <c r="J14" s="13" t="n">
        <f aca="false">IF(I14="","",F14*I14)</f>
        <v>350</v>
      </c>
      <c r="K14" s="9" t="str">
        <f aca="false">INDEX(Articles!$H$2:$H$148,MATCH(C14,Articles!$A$2:$A$148,0))</f>
        <v>Fixé</v>
      </c>
      <c r="L14" s="9" t="str">
        <f aca="false">INDEX(Articles!$F$2:$F$148,MATCH(C14,Articles!$A$2:$A$148,0))</f>
        <v>Confirmé</v>
      </c>
      <c r="M14" s="17"/>
      <c r="N14" s="9" t="s">
        <v>167</v>
      </c>
    </row>
    <row r="15" customFormat="false" ht="15" hidden="false" customHeight="false" outlineLevel="0" collapsed="false">
      <c r="A15" s="9" t="s">
        <v>671</v>
      </c>
      <c r="B15" s="9" t="s">
        <v>855</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856</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857</v>
      </c>
      <c r="C17" s="31" t="s">
        <v>195</v>
      </c>
      <c r="D17" s="9" t="str">
        <f aca="false">INDEX(Articles!$C$2:$C$148,MATCH(C17,Articles!$A$2:$A$148,0))</f>
        <v>Cahier Calligraphe 96 pages 17x22 56 g seyès</v>
      </c>
      <c r="E17" s="9" t="str">
        <f aca="false">INDEX(Articles!$B$2:$B$148,MATCH(C17,Articles!$A$2:$A$148,0))</f>
        <v>Papex</v>
      </c>
      <c r="F17" s="31" t="n">
        <v>1</v>
      </c>
      <c r="G17" s="13" t="n">
        <f aca="false">IF(INDEX(Articles!$G$2:$G$148,MATCH(C17,Articles!$A$2:$A$148,0))="","",INDEX(Articles!$G$2:$G$148,MATCH(C17,Articles!$A$2:$A$148,0)))</f>
        <v>450</v>
      </c>
      <c r="H17" s="13" t="n">
        <f aca="false">IF(G17="",0,F17*G17)</f>
        <v>450</v>
      </c>
      <c r="I17" s="13" t="n">
        <f aca="false">IF(INDEX(Articles!$E$2:$E$148,MATCH(C17,Articles!$A$2:$A$148,0))="","",INDEX(Articles!$E$2:$E$148,MATCH(C17,Articles!$A$2:$A$148,0)))</f>
        <v>350</v>
      </c>
      <c r="J17" s="13" t="n">
        <f aca="false">IF(I17="","",F17*I17)</f>
        <v>350</v>
      </c>
      <c r="K17" s="9" t="str">
        <f aca="false">INDEX(Articles!$H$2:$H$148,MATCH(C17,Articles!$A$2:$A$148,0))</f>
        <v>Fixé</v>
      </c>
      <c r="L17" s="9" t="str">
        <f aca="false">INDEX(Articles!$F$2:$F$148,MATCH(C17,Articles!$A$2:$A$148,0))</f>
        <v>Confirmé</v>
      </c>
      <c r="M17" s="17"/>
      <c r="N17" s="9" t="s">
        <v>167</v>
      </c>
    </row>
    <row r="18" customFormat="false" ht="15" hidden="false" customHeight="false" outlineLevel="0" collapsed="false">
      <c r="A18" s="9" t="s">
        <v>678</v>
      </c>
      <c r="B18" s="9" t="s">
        <v>749</v>
      </c>
      <c r="C18" s="31" t="s">
        <v>222</v>
      </c>
      <c r="D18" s="9" t="str">
        <f aca="false">INDEX(Articles!$C$2:$C$148,MATCH(C18,Articles!$A$2:$A$148,0))</f>
        <v>Pack de 4 stylos Schneider Tops 505 M (bleu, noir, rouge, vert)</v>
      </c>
      <c r="E18" s="9" t="str">
        <f aca="false">INDEX(Articles!$B$2:$B$148,MATCH(C18,Articles!$A$2:$A$148,0))</f>
        <v>Papex</v>
      </c>
      <c r="F18" s="31" t="n">
        <v>1</v>
      </c>
      <c r="G18" s="13" t="n">
        <f aca="false">IF(INDEX(Articles!$G$2:$G$148,MATCH(C18,Articles!$A$2:$A$148,0))="","",INDEX(Articles!$G$2:$G$148,MATCH(C18,Articles!$A$2:$A$148,0)))</f>
        <v>400</v>
      </c>
      <c r="H18" s="13" t="n">
        <f aca="false">IF(G18="",0,F18*G18)</f>
        <v>400</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t="s">
        <v>432</v>
      </c>
      <c r="N18" s="9" t="s">
        <v>167</v>
      </c>
    </row>
    <row r="19" customFormat="false" ht="15" hidden="false" customHeight="false" outlineLevel="0" collapsed="false">
      <c r="A19" s="9" t="s">
        <v>678</v>
      </c>
      <c r="B19" s="9" t="s">
        <v>750</v>
      </c>
      <c r="C19" s="31" t="s">
        <v>235</v>
      </c>
      <c r="D19" s="9" t="str">
        <f aca="false">INDEX(Articles!$C$2:$C$148,MATCH(C19,Articles!$A$2:$A$148,0))</f>
        <v>Crayon papier (vendu à l'unité)</v>
      </c>
      <c r="E19" s="9" t="str">
        <f aca="false">INDEX(Articles!$B$2:$B$148,MATCH(C19,Articles!$A$2:$A$148,0))</f>
        <v>LPD</v>
      </c>
      <c r="F19" s="31" t="n">
        <v>1</v>
      </c>
      <c r="G19" s="13" t="n">
        <f aca="false">IF(INDEX(Articles!$G$2:$G$148,MATCH(C19,Articles!$A$2:$A$148,0))="","",INDEX(Articles!$G$2:$G$148,MATCH(C19,Articles!$A$2:$A$148,0)))</f>
        <v>75</v>
      </c>
      <c r="H19" s="13" t="n">
        <f aca="false">IF(G19="",0,F19*G19)</f>
        <v>75</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c r="N19" s="9" t="s">
        <v>167</v>
      </c>
    </row>
    <row r="20" customFormat="false" ht="15" hidden="false" customHeight="false" outlineLevel="0" collapsed="false">
      <c r="A20" s="9" t="s">
        <v>675</v>
      </c>
      <c r="B20" s="9" t="s">
        <v>717</v>
      </c>
      <c r="C20" s="31" t="s">
        <v>180</v>
      </c>
      <c r="D20" s="9" t="str">
        <f aca="false">INDEX(Articles!$C$2:$C$148,MATCH(C20,Articles!$A$2:$A$148,0))</f>
        <v>Gomme Staedtler Mars Plastic</v>
      </c>
      <c r="E20" s="9" t="str">
        <f aca="false">INDEX(Articles!$B$2:$B$148,MATCH(C20,Articles!$A$2:$A$148,0))</f>
        <v>LPD</v>
      </c>
      <c r="F20" s="31" t="n">
        <v>1</v>
      </c>
      <c r="G20" s="13" t="n">
        <f aca="false">IF(INDEX(Articles!$G$2:$G$148,MATCH(C20,Articles!$A$2:$A$148,0))="","",INDEX(Articles!$G$2:$G$148,MATCH(C20,Articles!$A$2:$A$148,0)))</f>
        <v>250</v>
      </c>
      <c r="H20" s="13" t="n">
        <f aca="false">IF(G20="",0,F20*G20)</f>
        <v>250</v>
      </c>
      <c r="I20" s="13" t="n">
        <f aca="false">IF(INDEX(Articles!$E$2:$E$148,MATCH(C20,Articles!$A$2:$A$148,0))="","",INDEX(Articles!$E$2:$E$148,MATCH(C20,Articles!$A$2:$A$148,0)))</f>
        <v>110</v>
      </c>
      <c r="J20" s="13" t="n">
        <f aca="false">IF(I20="","",F20*I20)</f>
        <v>110</v>
      </c>
      <c r="K20" s="9" t="str">
        <f aca="false">INDEX(Articles!$H$2:$H$148,MATCH(C20,Articles!$A$2:$A$148,0))</f>
        <v>Fixé</v>
      </c>
      <c r="L20" s="9" t="str">
        <f aca="false">INDEX(Articles!$F$2:$F$148,MATCH(C20,Articles!$A$2:$A$148,0))</f>
        <v>Estimé</v>
      </c>
      <c r="M20" s="17"/>
      <c r="N20" s="9" t="s">
        <v>167</v>
      </c>
    </row>
    <row r="21" customFormat="false" ht="15" hidden="false" customHeight="false" outlineLevel="0" collapsed="false">
      <c r="A21" s="9" t="s">
        <v>675</v>
      </c>
      <c r="B21" s="9" t="s">
        <v>751</v>
      </c>
      <c r="C21" s="31" t="s">
        <v>183</v>
      </c>
      <c r="D21" s="9" t="str">
        <f aca="false">INDEX(Articles!$C$2:$C$148,MATCH(C21,Articles!$A$2:$A$148,0))</f>
        <v>Taille-crayon avec réservoir Maped</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t="s">
        <v>752</v>
      </c>
      <c r="N21" s="9" t="s">
        <v>167</v>
      </c>
    </row>
    <row r="22" customFormat="false" ht="15" hidden="false" customHeight="false" outlineLevel="0" collapsed="false">
      <c r="A22" s="9" t="s">
        <v>675</v>
      </c>
      <c r="B22" s="9" t="s">
        <v>753</v>
      </c>
      <c r="C22" s="31" t="s">
        <v>250</v>
      </c>
      <c r="D22" s="9" t="str">
        <f aca="false">INDEX(Articles!$C$2:$C$148,MATCH(C22,Articles!$A$2:$A$148,0))</f>
        <v>Bâton de colle Giotto 10 g</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c r="N22" s="9" t="s">
        <v>167</v>
      </c>
    </row>
    <row r="23" customFormat="false" ht="15" hidden="false" customHeight="false" outlineLevel="0" collapsed="false">
      <c r="A23" s="9" t="s">
        <v>675</v>
      </c>
      <c r="B23" s="9" t="s">
        <v>754</v>
      </c>
      <c r="C23" s="31" t="s">
        <v>233</v>
      </c>
      <c r="D23" s="9" t="str">
        <f aca="false">INDEX(Articles!$C$2:$C$148,MATCH(C23,Articles!$A$2:$A$148,0))</f>
        <v>Ciseaux scolaires bouts ronds</v>
      </c>
      <c r="E23" s="9" t="str">
        <f aca="false">INDEX(Articles!$B$2:$B$148,MATCH(C23,Articles!$A$2:$A$148,0))</f>
        <v>LPD</v>
      </c>
      <c r="F23" s="31" t="n">
        <v>1</v>
      </c>
      <c r="G23" s="13" t="n">
        <f aca="false">IF(INDEX(Articles!$G$2:$G$148,MATCH(C23,Articles!$A$2:$A$148,0))="","",INDEX(Articles!$G$2:$G$148,MATCH(C23,Articles!$A$2:$A$148,0)))</f>
        <v>250</v>
      </c>
      <c r="H23" s="13" t="n">
        <f aca="false">IF(G23="",0,F23*G23)</f>
        <v>250</v>
      </c>
      <c r="I23" s="13" t="n">
        <f aca="false">IF(INDEX(Articles!$E$2:$E$148,MATCH(C23,Articles!$A$2:$A$148,0))="","",INDEX(Articles!$E$2:$E$148,MATCH(C23,Articles!$A$2:$A$148,0)))</f>
        <v>100</v>
      </c>
      <c r="J23" s="13" t="n">
        <f aca="false">IF(I23="","",F23*I23)</f>
        <v>100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676</v>
      </c>
      <c r="B24" s="9" t="s">
        <v>755</v>
      </c>
      <c r="C24" s="31" t="s">
        <v>239</v>
      </c>
      <c r="D24" s="9" t="str">
        <f aca="false">INDEX(Articles!$C$2:$C$148,MATCH(C24,Articles!$A$2:$A$148,0))</f>
        <v>Kit de traçage 30 cm, 4 pièces L'écolier</v>
      </c>
      <c r="E24" s="9" t="str">
        <f aca="false">INDEX(Articles!$B$2:$B$148,MATCH(C24,Articles!$A$2:$A$148,0))</f>
        <v>Papex</v>
      </c>
      <c r="F24" s="31" t="n">
        <v>1</v>
      </c>
      <c r="G24" s="13" t="n">
        <f aca="false">IF(INDEX(Articles!$G$2:$G$148,MATCH(C24,Articles!$A$2:$A$148,0))="","",INDEX(Articles!$G$2:$G$148,MATCH(C24,Articles!$A$2:$A$148,0)))</f>
        <v>900</v>
      </c>
      <c r="H24" s="13" t="n">
        <f aca="false">IF(G24="",0,F24*G24)</f>
        <v>900</v>
      </c>
      <c r="I24" s="13" t="n">
        <f aca="false">IF(INDEX(Articles!$E$2:$E$148,MATCH(C24,Articles!$A$2:$A$148,0))="","",INDEX(Articles!$E$2:$E$148,MATCH(C24,Articles!$A$2:$A$148,0)))</f>
        <v>650</v>
      </c>
      <c r="J24" s="13" t="n">
        <f aca="false">IF(I24="","",F24*I24)</f>
        <v>650</v>
      </c>
      <c r="K24" s="9" t="str">
        <f aca="false">INDEX(Articles!$H$2:$H$148,MATCH(C24,Articles!$A$2:$A$148,0))</f>
        <v>Estimé</v>
      </c>
      <c r="L24" s="9" t="str">
        <f aca="false">INDEX(Articles!$F$2:$F$148,MATCH(C24,Articles!$A$2:$A$148,0))</f>
        <v>Confirmé</v>
      </c>
      <c r="M24" s="17"/>
      <c r="N24" s="9" t="s">
        <v>167</v>
      </c>
    </row>
    <row r="25" customFormat="false" ht="15" hidden="false" customHeight="false" outlineLevel="0" collapsed="false">
      <c r="A25" s="9" t="s">
        <v>676</v>
      </c>
      <c r="B25" s="9" t="s">
        <v>756</v>
      </c>
      <c r="C25" s="31" t="s">
        <v>217</v>
      </c>
      <c r="D25" s="9" t="str">
        <f aca="false">INDEX(Articles!$C$2:$C$148,MATCH(C25,Articles!$A$2:$A$148,0))</f>
        <v>Compas de précision avec étui</v>
      </c>
      <c r="E25" s="9" t="str">
        <f aca="false">INDEX(Articles!$B$2:$B$148,MATCH(C25,Articles!$A$2:$A$148,0))</f>
        <v>LPD</v>
      </c>
      <c r="F25" s="31" t="n">
        <v>1</v>
      </c>
      <c r="G25" s="13" t="n">
        <f aca="false">IF(INDEX(Articles!$G$2:$G$148,MATCH(C25,Articles!$A$2:$A$148,0))="","",INDEX(Articles!$G$2:$G$148,MATCH(C25,Articles!$A$2:$A$148,0)))</f>
        <v>600</v>
      </c>
      <c r="H25" s="13" t="n">
        <f aca="false">IF(G25="",0,F25*G25)</f>
        <v>600</v>
      </c>
      <c r="I25" s="13" t="n">
        <f aca="false">IF(INDEX(Articles!$E$2:$E$148,MATCH(C25,Articles!$A$2:$A$148,0))="","",INDEX(Articles!$E$2:$E$148,MATCH(C25,Articles!$A$2:$A$148,0)))</f>
        <v>450</v>
      </c>
      <c r="J25" s="13" t="n">
        <f aca="false">IF(I25="","",F25*I25)</f>
        <v>450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681</v>
      </c>
      <c r="B26" s="9" t="s">
        <v>757</v>
      </c>
      <c r="C26" s="31" t="s">
        <v>198</v>
      </c>
      <c r="D26" s="9" t="str">
        <f aca="false">INDEX(Articles!$C$2:$C$148,MATCH(C26,Articles!$A$2:$A$148,0))</f>
        <v>Crayons de couleur Maped, boîte de 12</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Estimé</v>
      </c>
      <c r="M26" s="17"/>
      <c r="N26" s="9" t="s">
        <v>167</v>
      </c>
    </row>
    <row r="27" customFormat="false" ht="15" hidden="false" customHeight="false" outlineLevel="0" collapsed="false">
      <c r="A27" s="9" t="s">
        <v>676</v>
      </c>
      <c r="B27" s="9" t="s">
        <v>812</v>
      </c>
      <c r="C27" s="31" t="s">
        <v>242</v>
      </c>
      <c r="D27" s="9" t="str">
        <f aca="false">INDEX(Articles!$C$2:$C$148,MATCH(C27,Articles!$A$2:$A$148,0))</f>
        <v>Calculatrice scientifique Parpn YH-2000</v>
      </c>
      <c r="E27" s="9" t="str">
        <f aca="false">INDEX(Articles!$B$2:$B$148,MATCH(C27,Articles!$A$2:$A$148,0))</f>
        <v>LPD</v>
      </c>
      <c r="F27" s="31" t="n">
        <v>1</v>
      </c>
      <c r="G27" s="13" t="n">
        <f aca="false">IF(INDEX(Articles!$G$2:$G$148,MATCH(C27,Articles!$A$2:$A$148,0))="","",INDEX(Articles!$G$2:$G$148,MATCH(C27,Articles!$A$2:$A$148,0)))</f>
        <v>1400</v>
      </c>
      <c r="H27" s="13" t="n">
        <f aca="false">IF(G27="",0,F27*G27)</f>
        <v>1400</v>
      </c>
      <c r="I27" s="13" t="n">
        <f aca="false">IF(INDEX(Articles!$E$2:$E$148,MATCH(C27,Articles!$A$2:$A$148,0))="","",INDEX(Articles!$E$2:$E$148,MATCH(C27,Articles!$A$2:$A$148,0)))</f>
        <v>1100</v>
      </c>
      <c r="J27" s="13" t="n">
        <f aca="false">IF(I27="","",F27*I27)</f>
        <v>1100</v>
      </c>
      <c r="K27" s="9" t="str">
        <f aca="false">INDEX(Articles!$H$2:$H$148,MATCH(C27,Articles!$A$2:$A$148,0))</f>
        <v>Fixé</v>
      </c>
      <c r="L27" s="9" t="str">
        <f aca="false">INDEX(Articles!$F$2:$F$148,MATCH(C27,Articles!$A$2:$A$148,0))</f>
        <v>Confirmé</v>
      </c>
      <c r="M27" s="17" t="s">
        <v>813</v>
      </c>
      <c r="N27" s="9" t="s">
        <v>167</v>
      </c>
    </row>
    <row r="28" customFormat="false" ht="15" hidden="false" customHeight="false" outlineLevel="0" collapsed="false">
      <c r="A28" s="9" t="s">
        <v>758</v>
      </c>
      <c r="B28" s="9" t="s">
        <v>759</v>
      </c>
      <c r="C28" s="31" t="s">
        <v>376</v>
      </c>
      <c r="D28" s="9" t="str">
        <f aca="false">INDEX(Articles!$C$2:$C$148,MATCH(C28,Articles!$A$2:$A$148,0))</f>
        <v>Paquet de copies doubles grand format</v>
      </c>
      <c r="E28" s="9" t="str">
        <f aca="false">INDEX(Articles!$B$2:$B$148,MATCH(C28,Articles!$A$2:$A$148,0))</f>
        <v>À préciser</v>
      </c>
      <c r="F28" s="31" t="n">
        <v>1</v>
      </c>
      <c r="G28" s="45" t="n">
        <f aca="false">IF(INDEX(Articles!$G$2:$G$148,MATCH(C28,Articles!$A$2:$A$148,0))="","",INDEX(Articles!$G$2:$G$148,MATCH(C28,Articles!$A$2:$A$148,0)))</f>
        <v>1800</v>
      </c>
      <c r="H28" s="13" t="n">
        <f aca="false">IF(G28="",0,F28*G28)</f>
        <v>1800</v>
      </c>
      <c r="I28" s="13" t="n">
        <f aca="false">IF(INDEX(Articles!$E$2:$E$148,MATCH(C28,Articles!$A$2:$A$148,0))="","",INDEX(Articles!$E$2:$E$148,MATCH(C28,Articles!$A$2:$A$148,0)))</f>
        <v>1300</v>
      </c>
      <c r="J28" s="13" t="n">
        <f aca="false">IF(I28="","",F28*I28)</f>
        <v>1300</v>
      </c>
      <c r="K28" s="9" t="str">
        <f aca="false">INDEX(Articles!$H$2:$H$148,MATCH(C28,Articles!$A$2:$A$148,0))</f>
        <v>Fixé</v>
      </c>
      <c r="L28" s="9" t="str">
        <f aca="false">INDEX(Articles!$F$2:$F$148,MATCH(C28,Articles!$A$2:$A$148,0))</f>
        <v>Confirmé</v>
      </c>
      <c r="M28" s="17"/>
      <c r="N28" s="9" t="s">
        <v>167</v>
      </c>
    </row>
    <row r="29" customFormat="false" ht="15" hidden="false" customHeight="false" outlineLevel="0" collapsed="false">
      <c r="D29" s="32" t="s">
        <v>683</v>
      </c>
      <c r="E29" s="32"/>
      <c r="F29" s="32"/>
      <c r="G29" s="32"/>
      <c r="H29" s="33" t="n">
        <f aca="false">COUNTIF(G6:G28,"")</f>
        <v>0</v>
      </c>
    </row>
    <row r="30" customFormat="false" ht="15" hidden="false" customHeight="false" outlineLevel="0" collapsed="false">
      <c r="D30" s="32" t="s">
        <v>684</v>
      </c>
      <c r="E30" s="32"/>
      <c r="F30" s="32"/>
      <c r="G30" s="32"/>
      <c r="H30" s="33" t="n">
        <f aca="false">SUM(H6:H28)</f>
        <v>13925</v>
      </c>
    </row>
    <row r="31" customFormat="false" ht="15" hidden="false" customHeight="false" outlineLevel="0" collapsed="false">
      <c r="D31" s="32" t="s">
        <v>28</v>
      </c>
      <c r="E31" s="32"/>
      <c r="F31" s="32"/>
      <c r="G31" s="32"/>
      <c r="H31" s="33" t="n">
        <f aca="false">SUM(J6:J28)</f>
        <v>10110</v>
      </c>
    </row>
    <row r="32" customFormat="false" ht="15" hidden="false" customHeight="false" outlineLevel="0" collapsed="false">
      <c r="D32" s="32" t="s">
        <v>685</v>
      </c>
      <c r="E32" s="32"/>
      <c r="F32" s="32"/>
      <c r="G32" s="32"/>
      <c r="H32" s="33" t="n">
        <f aca="false">COUNTIF(I6:I28,"")</f>
        <v>2</v>
      </c>
    </row>
    <row r="33" customFormat="false" ht="15" hidden="false" customHeight="false" outlineLevel="0" collapsed="false">
      <c r="D33" s="32" t="s">
        <v>686</v>
      </c>
      <c r="E33" s="32"/>
      <c r="F33" s="32"/>
      <c r="G33" s="32"/>
      <c r="H33" s="33" t="n">
        <f aca="false">SUMPRODUCT((I6:I28&lt;&gt;"")*H6:H28)-H31</f>
        <v>3340</v>
      </c>
    </row>
    <row r="34" customFormat="false" ht="15" hidden="false" customHeight="false" outlineLevel="0" collapsed="false">
      <c r="D34" s="32" t="s">
        <v>687</v>
      </c>
      <c r="E34" s="32"/>
      <c r="F34" s="32"/>
      <c r="G34" s="32"/>
      <c r="H34" s="33" t="n">
        <f aca="false">SUMIF(A6:A28,"Cahiers",F6:F28)</f>
        <v>13</v>
      </c>
    </row>
    <row r="35" customFormat="false" ht="15" hidden="false" customHeight="false" outlineLevel="0" collapsed="false">
      <c r="D35" s="32" t="s">
        <v>688</v>
      </c>
      <c r="E35" s="32"/>
      <c r="F35" s="32"/>
      <c r="G35" s="32"/>
      <c r="H35" s="34" t="n">
        <f aca="false">IF(H30=0,0,SUMIF(K6:K28,"&lt;&gt;Fixé",H6:H28)/H30)</f>
        <v>0.560143626570916</v>
      </c>
    </row>
    <row r="36" customFormat="false" ht="15" hidden="false" customHeight="false" outlineLevel="0" collapsed="false">
      <c r="D36" s="32" t="s">
        <v>689</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690</v>
      </c>
    </row>
    <row r="39" customFormat="false" ht="15" hidden="false" customHeight="false" outlineLevel="0" collapsed="false">
      <c r="A39" s="36" t="s">
        <v>760</v>
      </c>
      <c r="B39" s="36" t="s">
        <v>858</v>
      </c>
      <c r="C39" s="31" t="s">
        <v>497</v>
      </c>
      <c r="D39" s="36" t="str">
        <f aca="false">INDEX(Articles!$C$2:$C$148,MATCH(C39,Articles!$A$2:$A$148,0))</f>
        <v>Les Nouveaux Contes d'Amadou Koumba (Birago Diop)</v>
      </c>
      <c r="E39" s="37"/>
      <c r="F39" s="37"/>
      <c r="G39" s="38" t="n">
        <f aca="false">INDEX(Articles!$G$2:$G$148,MATCH(C39,Articles!$A$2:$A$148,0))</f>
        <v>3900</v>
      </c>
      <c r="H39" s="37"/>
      <c r="I39" s="37"/>
      <c r="J39" s="37"/>
      <c r="K39" s="37"/>
      <c r="L39" s="37"/>
      <c r="M39" s="37"/>
      <c r="N39" s="39" t="s">
        <v>271</v>
      </c>
    </row>
    <row r="40" customFormat="false" ht="15" hidden="false" customHeight="false" outlineLevel="0" collapsed="false">
      <c r="D40" s="40" t="s">
        <v>695</v>
      </c>
      <c r="H40" s="33" t="n">
        <f aca="false">H30+SUM(G39:G39)</f>
        <v>17825</v>
      </c>
    </row>
    <row r="41" customFormat="false" ht="15" hidden="false" customHeight="false" outlineLevel="0" collapsed="false">
      <c r="D41" s="21" t="s">
        <v>696</v>
      </c>
      <c r="E41" s="21" t="str">
        <f aca="false">INDEX(Articles!$C$2:$C$148,MATCH("S020",Articles!$A$2:$A$148,0))</f>
        <v>Sac à dos bleu marine</v>
      </c>
      <c r="H41" s="41" t="n">
        <f aca="false">INDEX(Articles!$G$2:$G$148,MATCH("S020",Articles!$A$2:$A$148,0))</f>
        <v>7000</v>
      </c>
    </row>
    <row r="42" customFormat="false" ht="15" hidden="false" customHeight="false" outlineLevel="0" collapsed="false">
      <c r="D42" s="42" t="s">
        <v>697</v>
      </c>
      <c r="E42" s="44" t="s">
        <v>711</v>
      </c>
    </row>
    <row r="45" customFormat="false" ht="15" hidden="false" customHeight="false" outlineLevel="0" collapsed="false">
      <c r="A45" s="28" t="s">
        <v>859</v>
      </c>
      <c r="B45" s="29"/>
      <c r="C45" s="29"/>
      <c r="D45" s="29"/>
      <c r="E45" s="29"/>
      <c r="F45" s="29"/>
      <c r="G45" s="29"/>
      <c r="H45" s="29"/>
      <c r="I45" s="29"/>
      <c r="J45" s="29"/>
      <c r="K45" s="29"/>
      <c r="L45" s="29"/>
      <c r="M45" s="29"/>
      <c r="N45" s="29"/>
    </row>
    <row r="46" customFormat="false" ht="39.55" hidden="false" customHeight="false" outlineLevel="0" collapsed="false">
      <c r="A46" s="30" t="s">
        <v>663</v>
      </c>
      <c r="B46" s="30" t="s">
        <v>664</v>
      </c>
      <c r="C46" s="30" t="s">
        <v>348</v>
      </c>
      <c r="D46" s="30" t="s">
        <v>350</v>
      </c>
      <c r="E46" s="30" t="s">
        <v>349</v>
      </c>
      <c r="F46" s="30" t="s">
        <v>665</v>
      </c>
      <c r="G46" s="30" t="s">
        <v>666</v>
      </c>
      <c r="H46" s="30" t="s">
        <v>667</v>
      </c>
      <c r="I46" s="30" t="s">
        <v>668</v>
      </c>
      <c r="J46" s="30" t="s">
        <v>669</v>
      </c>
      <c r="K46" s="30" t="s">
        <v>355</v>
      </c>
      <c r="L46" s="30" t="s">
        <v>353</v>
      </c>
      <c r="M46" s="30" t="s">
        <v>356</v>
      </c>
      <c r="N46" s="30" t="s">
        <v>670</v>
      </c>
    </row>
    <row r="47" customFormat="false" ht="15" hidden="false" customHeight="false" outlineLevel="0" collapsed="false">
      <c r="A47" s="9" t="s">
        <v>671</v>
      </c>
      <c r="B47" s="9" t="s">
        <v>745</v>
      </c>
      <c r="C47" s="31" t="s">
        <v>213</v>
      </c>
      <c r="D47" s="9" t="str">
        <f aca="false">INDEX(Articles!$C$2:$C$148,MATCH(C47,Articles!$A$2:$A$148,0))</f>
        <v>Cahier Calligraphe 192 pages 24x32 (grand format)</v>
      </c>
      <c r="E47" s="9" t="str">
        <f aca="false">INDEX(Articles!$B$2:$B$148,MATCH(C47,Articles!$A$2:$A$148,0))</f>
        <v>Papex</v>
      </c>
      <c r="F47" s="31" t="n">
        <v>1</v>
      </c>
      <c r="G47" s="13" t="n">
        <f aca="false">IF(INDEX(Articles!$G$2:$G$148,MATCH(C47,Articles!$A$2:$A$148,0))="","",INDEX(Articles!$G$2:$G$148,MATCH(C47,Articles!$A$2:$A$148,0)))</f>
        <v>1650</v>
      </c>
      <c r="H47" s="13" t="n">
        <f aca="false">IF(G47="",0,F47*G47)</f>
        <v>1650</v>
      </c>
      <c r="I47" s="13" t="n">
        <f aca="false">IF(INDEX(Articles!$E$2:$E$148,MATCH(C47,Articles!$A$2:$A$148,0))="","",INDEX(Articles!$E$2:$E$148,MATCH(C47,Articles!$A$2:$A$148,0)))</f>
        <v>1500</v>
      </c>
      <c r="J47" s="13" t="n">
        <f aca="false">IF(I47="","",F47*I47)</f>
        <v>1500</v>
      </c>
      <c r="K47" s="9" t="str">
        <f aca="false">INDEX(Articles!$H$2:$H$148,MATCH(C47,Articles!$A$2:$A$148,0))</f>
        <v>Fixé</v>
      </c>
      <c r="L47" s="9" t="str">
        <f aca="false">INDEX(Articles!$F$2:$F$148,MATCH(C47,Articles!$A$2:$A$148,0))</f>
        <v>Confirmé</v>
      </c>
      <c r="M47" s="17"/>
      <c r="N47" s="9" t="s">
        <v>167</v>
      </c>
    </row>
    <row r="48" customFormat="false" ht="15" hidden="false" customHeight="false" outlineLevel="0" collapsed="false">
      <c r="A48" s="9" t="s">
        <v>671</v>
      </c>
      <c r="B48" s="9" t="s">
        <v>850</v>
      </c>
      <c r="C48" s="31" t="s">
        <v>208</v>
      </c>
      <c r="D48" s="9" t="str">
        <f aca="false">INDEX(Articles!$C$2:$C$148,MATCH(C48,Articles!$A$2:$A$148,0))</f>
        <v>Cahier Calligraphe 96 pages 24x32 (grand format)</v>
      </c>
      <c r="E48" s="9" t="str">
        <f aca="false">INDEX(Articles!$B$2:$B$148,MATCH(C48,Articles!$A$2:$A$148,0))</f>
        <v>Papex</v>
      </c>
      <c r="F48" s="31" t="n">
        <v>1</v>
      </c>
      <c r="G48" s="13" t="n">
        <f aca="false">IF(INDEX(Articles!$G$2:$G$148,MATCH(C48,Articles!$A$2:$A$148,0))="","",INDEX(Articles!$G$2:$G$148,MATCH(C48,Articles!$A$2:$A$148,0)))</f>
        <v>1350</v>
      </c>
      <c r="H48" s="13" t="n">
        <f aca="false">IF(G48="",0,F48*G48)</f>
        <v>1350</v>
      </c>
      <c r="I48" s="13" t="n">
        <f aca="false">IF(INDEX(Articles!$E$2:$E$148,MATCH(C48,Articles!$A$2:$A$148,0))="","",INDEX(Articles!$E$2:$E$148,MATCH(C48,Articles!$A$2:$A$148,0)))</f>
        <v>1000</v>
      </c>
      <c r="J48" s="13" t="n">
        <f aca="false">IF(I48="","",F48*I48)</f>
        <v>1000</v>
      </c>
      <c r="K48" s="9" t="str">
        <f aca="false">INDEX(Articles!$H$2:$H$148,MATCH(C48,Articles!$A$2:$A$148,0))</f>
        <v>Fixé</v>
      </c>
      <c r="L48" s="9" t="str">
        <f aca="false">INDEX(Articles!$F$2:$F$148,MATCH(C48,Articles!$A$2:$A$148,0))</f>
        <v>Confirmé</v>
      </c>
      <c r="M48" s="17"/>
      <c r="N48" s="9" t="s">
        <v>167</v>
      </c>
    </row>
    <row r="49" customFormat="false" ht="15" hidden="false" customHeight="false" outlineLevel="0" collapsed="false">
      <c r="A49" s="9" t="s">
        <v>671</v>
      </c>
      <c r="B49" s="9" t="s">
        <v>851</v>
      </c>
      <c r="C49" s="31" t="s">
        <v>370</v>
      </c>
      <c r="D49" s="9" t="str">
        <f aca="false">INDEX(Articles!$C$2:$C$148,MATCH(C49,Articles!$A$2:$A$148,0))</f>
        <v>Cahier Calligraphe 140 pages 24x32 90 g seyès</v>
      </c>
      <c r="E49" s="9" t="str">
        <f aca="false">INDEX(Articles!$B$2:$B$148,MATCH(C49,Articles!$A$2:$A$148,0))</f>
        <v>Papex</v>
      </c>
      <c r="F49" s="31" t="n">
        <v>2</v>
      </c>
      <c r="G49" s="13" t="n">
        <f aca="false">IF(INDEX(Articles!$G$2:$G$148,MATCH(C49,Articles!$A$2:$A$148,0))="","",INDEX(Articles!$G$2:$G$148,MATCH(C49,Articles!$A$2:$A$148,0)))</f>
        <v>1500</v>
      </c>
      <c r="H49" s="13" t="n">
        <f aca="false">IF(G49="",0,F49*G49)</f>
        <v>3000</v>
      </c>
      <c r="I49" s="13" t="n">
        <f aca="false">IF(INDEX(Articles!$E$2:$E$148,MATCH(C49,Articles!$A$2:$A$148,0))="","",INDEX(Articles!$E$2:$E$148,MATCH(C49,Articles!$A$2:$A$148,0)))</f>
        <v>1250</v>
      </c>
      <c r="J49" s="13" t="n">
        <f aca="false">IF(I49="","",F49*I49)</f>
        <v>2500</v>
      </c>
      <c r="K49" s="9" t="str">
        <f aca="false">INDEX(Articles!$H$2:$H$148,MATCH(C49,Articles!$A$2:$A$148,0))</f>
        <v>Fixé</v>
      </c>
      <c r="L49" s="9" t="str">
        <f aca="false">INDEX(Articles!$F$2:$F$148,MATCH(C49,Articles!$A$2:$A$148,0))</f>
        <v>Estimé</v>
      </c>
      <c r="M49" s="17" t="s">
        <v>860</v>
      </c>
      <c r="N49" s="9" t="s">
        <v>167</v>
      </c>
    </row>
    <row r="50" customFormat="false" ht="15" hidden="false" customHeight="false" outlineLevel="0" collapsed="false">
      <c r="A50" s="9" t="s">
        <v>671</v>
      </c>
      <c r="B50" s="9" t="s">
        <v>852</v>
      </c>
      <c r="C50" s="31" t="s">
        <v>366</v>
      </c>
      <c r="D50" s="9" t="str">
        <f aca="false">INDEX(Articles!$C$2:$C$148,MATCH(C50,Articles!$A$2:$A$148,0))</f>
        <v>Cahier Calligraphe 140 pages 17x22 90 g seyès</v>
      </c>
      <c r="E50" s="9" t="str">
        <f aca="false">INDEX(Articles!$B$2:$B$148,MATCH(C50,Articles!$A$2:$A$148,0))</f>
        <v>Papex</v>
      </c>
      <c r="F50" s="31" t="n">
        <v>1</v>
      </c>
      <c r="G50" s="13" t="n">
        <f aca="false">IF(INDEX(Articles!$G$2:$G$148,MATCH(C50,Articles!$A$2:$A$148,0))="","",INDEX(Articles!$G$2:$G$148,MATCH(C50,Articles!$A$2:$A$148,0)))</f>
        <v>750</v>
      </c>
      <c r="H50" s="13" t="n">
        <f aca="false">IF(G50="",0,F50*G50)</f>
        <v>750</v>
      </c>
      <c r="I50" s="13" t="n">
        <f aca="false">IF(INDEX(Articles!$E$2:$E$148,MATCH(C50,Articles!$A$2:$A$148,0))="","",INDEX(Articles!$E$2:$E$148,MATCH(C50,Articles!$A$2:$A$148,0)))</f>
        <v>650</v>
      </c>
      <c r="J50" s="13" t="n">
        <f aca="false">IF(I50="","",F50*I50)</f>
        <v>650</v>
      </c>
      <c r="K50" s="9" t="str">
        <f aca="false">INDEX(Articles!$H$2:$H$148,MATCH(C50,Articles!$A$2:$A$148,0))</f>
        <v>Fixé</v>
      </c>
      <c r="L50" s="9" t="str">
        <f aca="false">INDEX(Articles!$F$2:$F$148,MATCH(C50,Articles!$A$2:$A$148,0))</f>
        <v>Estimé</v>
      </c>
      <c r="M50" s="17" t="s">
        <v>763</v>
      </c>
      <c r="N50" s="9" t="s">
        <v>167</v>
      </c>
    </row>
    <row r="51" customFormat="false" ht="15" hidden="false" customHeight="false" outlineLevel="0" collapsed="false">
      <c r="A51" s="9" t="s">
        <v>671</v>
      </c>
      <c r="B51" s="9" t="s">
        <v>737</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739</v>
      </c>
      <c r="C52" s="31" t="s">
        <v>192</v>
      </c>
      <c r="D52" s="9" t="str">
        <f aca="false">INDEX(Articles!$C$2:$C$148,MATCH(C52,Articles!$A$2:$A$148,0))</f>
        <v>Cahier Calligraphe 192 pages 17x22 90 g seyès</v>
      </c>
      <c r="E52" s="9" t="str">
        <f aca="false">INDEX(Articles!$B$2:$B$148,MATCH(C52,Articles!$A$2:$A$148,0))</f>
        <v>Papex</v>
      </c>
      <c r="F52" s="31" t="n">
        <v>1</v>
      </c>
      <c r="G52" s="13" t="n">
        <f aca="false">IF(INDEX(Articles!$G$2:$G$148,MATCH(C52,Articles!$A$2:$A$148,0))="","",INDEX(Articles!$G$2:$G$148,MATCH(C52,Articles!$A$2:$A$148,0)))</f>
        <v>900</v>
      </c>
      <c r="H52" s="13" t="n">
        <f aca="false">IF(G52="",0,F52*G52)</f>
        <v>900</v>
      </c>
      <c r="I52" s="13" t="n">
        <f aca="false">IF(INDEX(Articles!$E$2:$E$148,MATCH(C52,Articles!$A$2:$A$148,0))="","",INDEX(Articles!$E$2:$E$148,MATCH(C52,Articles!$A$2:$A$148,0)))</f>
        <v>800</v>
      </c>
      <c r="J52" s="13" t="n">
        <f aca="false">IF(I52="","",F52*I52)</f>
        <v>800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853</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744</v>
      </c>
      <c r="C54" s="31" t="s">
        <v>213</v>
      </c>
      <c r="D54" s="9" t="str">
        <f aca="false">INDEX(Articles!$C$2:$C$148,MATCH(C54,Articles!$A$2:$A$148,0))</f>
        <v>Cahier Calligraphe 192 pages 24x32 (grand format)</v>
      </c>
      <c r="E54" s="9" t="str">
        <f aca="false">INDEX(Articles!$B$2:$B$148,MATCH(C54,Articles!$A$2:$A$148,0))</f>
        <v>Papex</v>
      </c>
      <c r="F54" s="31" t="n">
        <v>1</v>
      </c>
      <c r="G54" s="13" t="n">
        <f aca="false">IF(INDEX(Articles!$G$2:$G$148,MATCH(C54,Articles!$A$2:$A$148,0))="","",INDEX(Articles!$G$2:$G$148,MATCH(C54,Articles!$A$2:$A$148,0)))</f>
        <v>1650</v>
      </c>
      <c r="H54" s="13" t="n">
        <f aca="false">IF(G54="",0,F54*G54)</f>
        <v>1650</v>
      </c>
      <c r="I54" s="13" t="n">
        <f aca="false">IF(INDEX(Articles!$E$2:$E$148,MATCH(C54,Articles!$A$2:$A$148,0))="","",INDEX(Articles!$E$2:$E$148,MATCH(C54,Articles!$A$2:$A$148,0)))</f>
        <v>1500</v>
      </c>
      <c r="J54" s="13" t="n">
        <f aca="false">IF(I54="","",F54*I54)</f>
        <v>1500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854</v>
      </c>
      <c r="C55" s="31" t="s">
        <v>366</v>
      </c>
      <c r="D55" s="9" t="str">
        <f aca="false">INDEX(Articles!$C$2:$C$148,MATCH(C55,Articles!$A$2:$A$148,0))</f>
        <v>Cahier Calligraphe 140 pages 17x22 90 g seyès</v>
      </c>
      <c r="E55" s="9" t="str">
        <f aca="false">INDEX(Articles!$B$2:$B$148,MATCH(C55,Articles!$A$2:$A$148,0))</f>
        <v>Papex</v>
      </c>
      <c r="F55" s="31" t="n">
        <v>1</v>
      </c>
      <c r="G55" s="13" t="n">
        <f aca="false">IF(INDEX(Articles!$G$2:$G$148,MATCH(C55,Articles!$A$2:$A$148,0))="","",INDEX(Articles!$G$2:$G$148,MATCH(C55,Articles!$A$2:$A$148,0)))</f>
        <v>750</v>
      </c>
      <c r="H55" s="13" t="n">
        <f aca="false">IF(G55="",0,F55*G55)</f>
        <v>750</v>
      </c>
      <c r="I55" s="13" t="n">
        <f aca="false">IF(INDEX(Articles!$E$2:$E$148,MATCH(C55,Articles!$A$2:$A$148,0))="","",INDEX(Articles!$E$2:$E$148,MATCH(C55,Articles!$A$2:$A$148,0)))</f>
        <v>650</v>
      </c>
      <c r="J55" s="13" t="n">
        <f aca="false">IF(I55="","",F55*I55)</f>
        <v>650</v>
      </c>
      <c r="K55" s="9" t="str">
        <f aca="false">INDEX(Articles!$H$2:$H$148,MATCH(C55,Articles!$A$2:$A$148,0))</f>
        <v>Fixé</v>
      </c>
      <c r="L55" s="9" t="str">
        <f aca="false">INDEX(Articles!$F$2:$F$148,MATCH(C55,Articles!$A$2:$A$148,0))</f>
        <v>Estimé</v>
      </c>
      <c r="M55" s="17" t="s">
        <v>763</v>
      </c>
      <c r="N55" s="9" t="s">
        <v>167</v>
      </c>
    </row>
    <row r="56" customFormat="false" ht="15" hidden="false" customHeight="false" outlineLevel="0" collapsed="false">
      <c r="A56" s="9" t="s">
        <v>671</v>
      </c>
      <c r="B56" s="9" t="s">
        <v>855</v>
      </c>
      <c r="C56" s="31" t="s">
        <v>208</v>
      </c>
      <c r="D56" s="9" t="str">
        <f aca="false">INDEX(Articles!$C$2:$C$148,MATCH(C56,Articles!$A$2:$A$148,0))</f>
        <v>Cahier Calligraphe 96 pages 24x32 (grand format)</v>
      </c>
      <c r="E56" s="9" t="str">
        <f aca="false">INDEX(Articles!$B$2:$B$148,MATCH(C56,Articles!$A$2:$A$148,0))</f>
        <v>Papex</v>
      </c>
      <c r="F56" s="31" t="n">
        <v>1</v>
      </c>
      <c r="G56" s="13" t="n">
        <f aca="false">IF(INDEX(Articles!$G$2:$G$148,MATCH(C56,Articles!$A$2:$A$148,0))="","",INDEX(Articles!$G$2:$G$148,MATCH(C56,Articles!$A$2:$A$148,0)))</f>
        <v>1350</v>
      </c>
      <c r="H56" s="13" t="n">
        <f aca="false">IF(G56="",0,F56*G56)</f>
        <v>1350</v>
      </c>
      <c r="I56" s="13" t="n">
        <f aca="false">IF(INDEX(Articles!$E$2:$E$148,MATCH(C56,Articles!$A$2:$A$148,0))="","",INDEX(Articles!$E$2:$E$148,MATCH(C56,Articles!$A$2:$A$148,0)))</f>
        <v>1000</v>
      </c>
      <c r="J56" s="13" t="n">
        <f aca="false">IF(I56="","",F56*I56)</f>
        <v>1000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856</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857</v>
      </c>
      <c r="C58" s="31" t="s">
        <v>366</v>
      </c>
      <c r="D58" s="9" t="str">
        <f aca="false">INDEX(Articles!$C$2:$C$148,MATCH(C58,Articles!$A$2:$A$148,0))</f>
        <v>Cahier Calligraphe 140 pages 17x22 90 g seyès</v>
      </c>
      <c r="E58" s="9" t="str">
        <f aca="false">INDEX(Articles!$B$2:$B$148,MATCH(C58,Articles!$A$2:$A$148,0))</f>
        <v>Papex</v>
      </c>
      <c r="F58" s="31" t="n">
        <v>1</v>
      </c>
      <c r="G58" s="13" t="n">
        <f aca="false">IF(INDEX(Articles!$G$2:$G$148,MATCH(C58,Articles!$A$2:$A$148,0))="","",INDEX(Articles!$G$2:$G$148,MATCH(C58,Articles!$A$2:$A$148,0)))</f>
        <v>750</v>
      </c>
      <c r="H58" s="13" t="n">
        <f aca="false">IF(G58="",0,F58*G58)</f>
        <v>750</v>
      </c>
      <c r="I58" s="13" t="n">
        <f aca="false">IF(INDEX(Articles!$E$2:$E$148,MATCH(C58,Articles!$A$2:$A$148,0))="","",INDEX(Articles!$E$2:$E$148,MATCH(C58,Articles!$A$2:$A$148,0)))</f>
        <v>650</v>
      </c>
      <c r="J58" s="13" t="n">
        <f aca="false">IF(I58="","",F58*I58)</f>
        <v>650</v>
      </c>
      <c r="K58" s="9" t="str">
        <f aca="false">INDEX(Articles!$H$2:$H$148,MATCH(C58,Articles!$A$2:$A$148,0))</f>
        <v>Fixé</v>
      </c>
      <c r="L58" s="9" t="str">
        <f aca="false">INDEX(Articles!$F$2:$F$148,MATCH(C58,Articles!$A$2:$A$148,0))</f>
        <v>Estimé</v>
      </c>
      <c r="M58" s="17" t="s">
        <v>763</v>
      </c>
      <c r="N58" s="9" t="s">
        <v>167</v>
      </c>
    </row>
    <row r="59" customFormat="false" ht="15" hidden="false" customHeight="false" outlineLevel="0" collapsed="false">
      <c r="A59" s="9" t="s">
        <v>678</v>
      </c>
      <c r="B59" s="9" t="s">
        <v>749</v>
      </c>
      <c r="C59" s="31" t="s">
        <v>222</v>
      </c>
      <c r="D59" s="9" t="str">
        <f aca="false">INDEX(Articles!$C$2:$C$148,MATCH(C59,Articles!$A$2:$A$148,0))</f>
        <v>Pack de 4 stylos Schneider Tops 505 M (bleu, noir, rouge, vert)</v>
      </c>
      <c r="E59" s="9" t="str">
        <f aca="false">INDEX(Articles!$B$2:$B$148,MATCH(C59,Articles!$A$2:$A$148,0))</f>
        <v>Papex</v>
      </c>
      <c r="F59" s="31" t="n">
        <v>1</v>
      </c>
      <c r="G59" s="13" t="n">
        <f aca="false">IF(INDEX(Articles!$G$2:$G$148,MATCH(C59,Articles!$A$2:$A$148,0))="","",INDEX(Articles!$G$2:$G$148,MATCH(C59,Articles!$A$2:$A$148,0)))</f>
        <v>400</v>
      </c>
      <c r="H59" s="13" t="n">
        <f aca="false">IF(G59="",0,F59*G59)</f>
        <v>400</v>
      </c>
      <c r="I59" s="13" t="str">
        <f aca="false">IF(INDEX(Articles!$E$2:$E$148,MATCH(C59,Articles!$A$2:$A$148,0))="","",INDEX(Articles!$E$2:$E$148,MATCH(C59,Articles!$A$2:$A$148,0)))</f>
        <v/>
      </c>
      <c r="J59" s="13" t="str">
        <f aca="false">IF(I59="","",F59*I59)</f>
        <v/>
      </c>
      <c r="K59" s="9" t="str">
        <f aca="false">INDEX(Articles!$H$2:$H$148,MATCH(C59,Articles!$A$2:$A$148,0))</f>
        <v>Fixé</v>
      </c>
      <c r="L59" s="9" t="str">
        <f aca="false">INDEX(Articles!$F$2:$F$148,MATCH(C59,Articles!$A$2:$A$148,0))</f>
        <v>Inconnu</v>
      </c>
      <c r="M59" s="17" t="s">
        <v>432</v>
      </c>
      <c r="N59" s="9" t="s">
        <v>167</v>
      </c>
    </row>
    <row r="60" customFormat="false" ht="15" hidden="false" customHeight="false" outlineLevel="0" collapsed="false">
      <c r="A60" s="9" t="s">
        <v>678</v>
      </c>
      <c r="B60" s="9" t="s">
        <v>750</v>
      </c>
      <c r="C60" s="31" t="s">
        <v>235</v>
      </c>
      <c r="D60" s="9" t="str">
        <f aca="false">INDEX(Articles!$C$2:$C$148,MATCH(C60,Articles!$A$2:$A$148,0))</f>
        <v>Crayon papier (vendu à l'unité)</v>
      </c>
      <c r="E60" s="9" t="str">
        <f aca="false">INDEX(Articles!$B$2:$B$148,MATCH(C60,Articles!$A$2:$A$148,0))</f>
        <v>LPD</v>
      </c>
      <c r="F60" s="31" t="n">
        <v>1</v>
      </c>
      <c r="G60" s="13" t="n">
        <f aca="false">IF(INDEX(Articles!$G$2:$G$148,MATCH(C60,Articles!$A$2:$A$148,0))="","",INDEX(Articles!$G$2:$G$148,MATCH(C60,Articles!$A$2:$A$148,0)))</f>
        <v>75</v>
      </c>
      <c r="H60" s="13" t="n">
        <f aca="false">IF(G60="",0,F60*G60)</f>
        <v>75</v>
      </c>
      <c r="I60" s="13" t="str">
        <f aca="false">IF(INDEX(Articles!$E$2:$E$148,MATCH(C60,Articles!$A$2:$A$148,0))="","",INDEX(Articles!$E$2:$E$148,MATCH(C60,Articles!$A$2:$A$148,0)))</f>
        <v/>
      </c>
      <c r="J60" s="13" t="str">
        <f aca="false">IF(I60="","",F60*I60)</f>
        <v/>
      </c>
      <c r="K60" s="9" t="str">
        <f aca="false">INDEX(Articles!$H$2:$H$148,MATCH(C60,Articles!$A$2:$A$148,0))</f>
        <v>Fixé</v>
      </c>
      <c r="L60" s="9" t="str">
        <f aca="false">INDEX(Articles!$F$2:$F$148,MATCH(C60,Articles!$A$2:$A$148,0))</f>
        <v>Inconnu</v>
      </c>
      <c r="M60" s="17"/>
      <c r="N60" s="9" t="s">
        <v>167</v>
      </c>
    </row>
    <row r="61" customFormat="false" ht="15" hidden="false" customHeight="false" outlineLevel="0" collapsed="false">
      <c r="A61" s="9" t="s">
        <v>675</v>
      </c>
      <c r="B61" s="9" t="s">
        <v>717</v>
      </c>
      <c r="C61" s="31" t="s">
        <v>180</v>
      </c>
      <c r="D61" s="9" t="str">
        <f aca="false">INDEX(Articles!$C$2:$C$148,MATCH(C61,Articles!$A$2:$A$148,0))</f>
        <v>Gomme Staedtler Mars Plastic</v>
      </c>
      <c r="E61" s="9" t="str">
        <f aca="false">INDEX(Articles!$B$2:$B$148,MATCH(C61,Articles!$A$2:$A$148,0))</f>
        <v>LPD</v>
      </c>
      <c r="F61" s="31" t="n">
        <v>1</v>
      </c>
      <c r="G61" s="13" t="n">
        <f aca="false">IF(INDEX(Articles!$G$2:$G$148,MATCH(C61,Articles!$A$2:$A$148,0))="","",INDEX(Articles!$G$2:$G$148,MATCH(C61,Articles!$A$2:$A$148,0)))</f>
        <v>250</v>
      </c>
      <c r="H61" s="13" t="n">
        <f aca="false">IF(G61="",0,F61*G61)</f>
        <v>250</v>
      </c>
      <c r="I61" s="13" t="n">
        <f aca="false">IF(INDEX(Articles!$E$2:$E$148,MATCH(C61,Articles!$A$2:$A$148,0))="","",INDEX(Articles!$E$2:$E$148,MATCH(C61,Articles!$A$2:$A$148,0)))</f>
        <v>110</v>
      </c>
      <c r="J61" s="13" t="n">
        <f aca="false">IF(I61="","",F61*I61)</f>
        <v>110</v>
      </c>
      <c r="K61" s="9" t="str">
        <f aca="false">INDEX(Articles!$H$2:$H$148,MATCH(C61,Articles!$A$2:$A$148,0))</f>
        <v>Fixé</v>
      </c>
      <c r="L61" s="9" t="str">
        <f aca="false">INDEX(Articles!$F$2:$F$148,MATCH(C61,Articles!$A$2:$A$148,0))</f>
        <v>Estimé</v>
      </c>
      <c r="M61" s="17"/>
      <c r="N61" s="9" t="s">
        <v>167</v>
      </c>
    </row>
    <row r="62" customFormat="false" ht="15" hidden="false" customHeight="false" outlineLevel="0" collapsed="false">
      <c r="A62" s="9" t="s">
        <v>675</v>
      </c>
      <c r="B62" s="9" t="s">
        <v>751</v>
      </c>
      <c r="C62" s="31" t="s">
        <v>183</v>
      </c>
      <c r="D62" s="9" t="str">
        <f aca="false">INDEX(Articles!$C$2:$C$148,MATCH(C62,Articles!$A$2:$A$148,0))</f>
        <v>Taille-crayon avec réservoir Maped</v>
      </c>
      <c r="E62" s="9" t="str">
        <f aca="false">INDEX(Articles!$B$2:$B$148,MATCH(C62,Articles!$A$2:$A$148,0))</f>
        <v>Papex</v>
      </c>
      <c r="F62" s="31" t="n">
        <v>1</v>
      </c>
      <c r="G62" s="13" t="n">
        <f aca="false">IF(INDEX(Articles!$G$2:$G$148,MATCH(C62,Articles!$A$2:$A$148,0))="","",INDEX(Articles!$G$2:$G$148,MATCH(C62,Articles!$A$2:$A$148,0)))</f>
        <v>500</v>
      </c>
      <c r="H62" s="13" t="n">
        <f aca="false">IF(G62="",0,F62*G62)</f>
        <v>500</v>
      </c>
      <c r="I62" s="13" t="n">
        <f aca="false">IF(INDEX(Articles!$E$2:$E$148,MATCH(C62,Articles!$A$2:$A$148,0))="","",INDEX(Articles!$E$2:$E$148,MATCH(C62,Articles!$A$2:$A$148,0)))</f>
        <v>350</v>
      </c>
      <c r="J62" s="13" t="n">
        <f aca="false">IF(I62="","",F62*I62)</f>
        <v>350</v>
      </c>
      <c r="K62" s="9" t="str">
        <f aca="false">INDEX(Articles!$H$2:$H$148,MATCH(C62,Articles!$A$2:$A$148,0))</f>
        <v>Estimé</v>
      </c>
      <c r="L62" s="9" t="str">
        <f aca="false">INDEX(Articles!$F$2:$F$148,MATCH(C62,Articles!$A$2:$A$148,0))</f>
        <v>Estimé</v>
      </c>
      <c r="M62" s="17" t="s">
        <v>765</v>
      </c>
      <c r="N62" s="9" t="s">
        <v>167</v>
      </c>
    </row>
    <row r="63" customFormat="false" ht="15" hidden="false" customHeight="false" outlineLevel="0" collapsed="false">
      <c r="A63" s="9" t="s">
        <v>675</v>
      </c>
      <c r="B63" s="9" t="s">
        <v>753</v>
      </c>
      <c r="C63" s="31" t="s">
        <v>248</v>
      </c>
      <c r="D63" s="9" t="str">
        <f aca="false">INDEX(Articles!$C$2:$C$148,MATCH(C63,Articles!$A$2:$A$148,0))</f>
        <v>Bâton de colle Giotto 20 g</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650</v>
      </c>
      <c r="J63" s="13" t="n">
        <f aca="false">IF(I63="","",F63*I63)</f>
        <v>650</v>
      </c>
      <c r="K63" s="9" t="str">
        <f aca="false">INDEX(Articles!$H$2:$H$148,MATCH(C63,Articles!$A$2:$A$148,0))</f>
        <v>Estimé</v>
      </c>
      <c r="L63" s="9" t="str">
        <f aca="false">INDEX(Articles!$F$2:$F$148,MATCH(C63,Articles!$A$2:$A$148,0))</f>
        <v>Estimé</v>
      </c>
      <c r="M63" s="17"/>
      <c r="N63" s="9" t="s">
        <v>167</v>
      </c>
    </row>
    <row r="64" customFormat="false" ht="15" hidden="false" customHeight="false" outlineLevel="0" collapsed="false">
      <c r="A64" s="9" t="s">
        <v>675</v>
      </c>
      <c r="B64" s="9" t="s">
        <v>754</v>
      </c>
      <c r="C64" s="31" t="s">
        <v>189</v>
      </c>
      <c r="D64" s="9" t="str">
        <f aca="false">INDEX(Articles!$C$2:$C$148,MATCH(C64,Articles!$A$2:$A$148,0))</f>
        <v>Ciseaux Maped 13 cm Security</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676</v>
      </c>
      <c r="B65" s="9" t="s">
        <v>755</v>
      </c>
      <c r="C65" s="31" t="s">
        <v>215</v>
      </c>
      <c r="D65" s="9" t="str">
        <f aca="false">INDEX(Articles!$C$2:$C$148,MATCH(C65,Articles!$A$2:$A$148,0))</f>
        <v>Kit géométrie Maped 30 cm (réf. 1930)</v>
      </c>
      <c r="E65" s="9" t="str">
        <f aca="false">INDEX(Articles!$B$2:$B$148,MATCH(C65,Articles!$A$2:$A$148,0))</f>
        <v>LPD</v>
      </c>
      <c r="F65" s="31" t="n">
        <v>1</v>
      </c>
      <c r="G65" s="13" t="n">
        <f aca="false">IF(INDEX(Articles!$G$2:$G$148,MATCH(C65,Articles!$A$2:$A$148,0))="","",INDEX(Articles!$G$2:$G$148,MATCH(C65,Articles!$A$2:$A$148,0)))</f>
        <v>1800</v>
      </c>
      <c r="H65" s="13" t="n">
        <f aca="false">IF(G65="",0,F65*G65)</f>
        <v>1800</v>
      </c>
      <c r="I65" s="13" t="n">
        <f aca="false">IF(INDEX(Articles!$E$2:$E$148,MATCH(C65,Articles!$A$2:$A$148,0))="","",INDEX(Articles!$E$2:$E$148,MATCH(C65,Articles!$A$2:$A$148,0)))</f>
        <v>1500</v>
      </c>
      <c r="J65" s="13" t="n">
        <f aca="false">IF(I65="","",F65*I65)</f>
        <v>1500</v>
      </c>
      <c r="K65" s="9" t="str">
        <f aca="false">INDEX(Articles!$H$2:$H$148,MATCH(C65,Articles!$A$2:$A$148,0))</f>
        <v>À trancher</v>
      </c>
      <c r="L65" s="9" t="str">
        <f aca="false">INDEX(Articles!$F$2:$F$148,MATCH(C65,Articles!$A$2:$A$148,0))</f>
        <v>Confirmé</v>
      </c>
      <c r="M65" s="17"/>
      <c r="N65" s="9" t="s">
        <v>167</v>
      </c>
    </row>
    <row r="66" customFormat="false" ht="15" hidden="false" customHeight="false" outlineLevel="0" collapsed="false">
      <c r="A66" s="9" t="s">
        <v>676</v>
      </c>
      <c r="B66" s="9" t="s">
        <v>756</v>
      </c>
      <c r="C66" s="31" t="s">
        <v>171</v>
      </c>
      <c r="D66" s="9" t="str">
        <f aca="false">INDEX(Articles!$C$2:$C$148,MATCH(C66,Articles!$A$2:$A$148,0))</f>
        <v>Compas Maped</v>
      </c>
      <c r="E66" s="9" t="str">
        <f aca="false">INDEX(Articles!$B$2:$B$148,MATCH(C66,Articles!$A$2:$A$148,0))</f>
        <v>Papex</v>
      </c>
      <c r="F66" s="31" t="n">
        <v>1</v>
      </c>
      <c r="G66" s="13" t="n">
        <f aca="false">IF(INDEX(Articles!$G$2:$G$148,MATCH(C66,Articles!$A$2:$A$148,0))="","",INDEX(Articles!$G$2:$G$148,MATCH(C66,Articles!$A$2:$A$148,0)))</f>
        <v>2000</v>
      </c>
      <c r="H66" s="13" t="n">
        <f aca="false">IF(G66="",0,F66*G66)</f>
        <v>2000</v>
      </c>
      <c r="I66" s="13" t="n">
        <f aca="false">IF(INDEX(Articles!$E$2:$E$148,MATCH(C66,Articles!$A$2:$A$148,0))="","",INDEX(Articles!$E$2:$E$148,MATCH(C66,Articles!$A$2:$A$148,0)))</f>
        <v>1750</v>
      </c>
      <c r="J66" s="13" t="n">
        <f aca="false">IF(I66="","",F66*I66)</f>
        <v>1750</v>
      </c>
      <c r="K66" s="9" t="str">
        <f aca="false">INDEX(Articles!$H$2:$H$148,MATCH(C66,Articles!$A$2:$A$148,0))</f>
        <v>Fixé</v>
      </c>
      <c r="L66" s="9" t="str">
        <f aca="false">INDEX(Articles!$F$2:$F$148,MATCH(C66,Articles!$A$2:$A$148,0))</f>
        <v>Confirmé</v>
      </c>
      <c r="M66" s="17"/>
      <c r="N66" s="9" t="s">
        <v>167</v>
      </c>
    </row>
    <row r="67" customFormat="false" ht="15" hidden="false" customHeight="false" outlineLevel="0" collapsed="false">
      <c r="A67" s="9" t="s">
        <v>681</v>
      </c>
      <c r="B67" s="9" t="s">
        <v>757</v>
      </c>
      <c r="C67" s="31" t="s">
        <v>198</v>
      </c>
      <c r="D67" s="9" t="str">
        <f aca="false">INDEX(Articles!$C$2:$C$148,MATCH(C67,Articles!$A$2:$A$148,0))</f>
        <v>Crayons de couleur Maped, boîte de 12</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678</v>
      </c>
      <c r="B68" s="9" t="s">
        <v>766</v>
      </c>
      <c r="C68" s="31" t="s">
        <v>200</v>
      </c>
      <c r="D68" s="9" t="str">
        <f aca="false">INDEX(Articles!$C$2:$C$148,MATCH(C68,Articles!$A$2:$A$148,0))</f>
        <v>Surligneurs Maped Fluo Peps, pochette de 4</v>
      </c>
      <c r="E68" s="9" t="str">
        <f aca="false">INDEX(Articles!$B$2:$B$148,MATCH(C68,Articles!$A$2:$A$148,0))</f>
        <v>Papex</v>
      </c>
      <c r="F68" s="31" t="n">
        <v>1</v>
      </c>
      <c r="G68" s="13" t="n">
        <f aca="false">IF(INDEX(Articles!$G$2:$G$148,MATCH(C68,Articles!$A$2:$A$148,0))="","",INDEX(Articles!$G$2:$G$148,MATCH(C68,Articles!$A$2:$A$148,0)))</f>
        <v>2500</v>
      </c>
      <c r="H68" s="13" t="n">
        <f aca="false">IF(G68="",0,F68*G68)</f>
        <v>2500</v>
      </c>
      <c r="I68" s="13" t="n">
        <f aca="false">IF(INDEX(Articles!$E$2:$E$148,MATCH(C68,Articles!$A$2:$A$148,0))="","",INDEX(Articles!$E$2:$E$148,MATCH(C68,Articles!$A$2:$A$148,0)))</f>
        <v>2000</v>
      </c>
      <c r="J68" s="13" t="n">
        <f aca="false">IF(I68="","",F68*I68)</f>
        <v>2000</v>
      </c>
      <c r="K68" s="9" t="str">
        <f aca="false">INDEX(Articles!$H$2:$H$148,MATCH(C68,Articles!$A$2:$A$148,0))</f>
        <v>Estimé</v>
      </c>
      <c r="L68" s="9" t="str">
        <f aca="false">INDEX(Articles!$F$2:$F$148,MATCH(C68,Articles!$A$2:$A$148,0))</f>
        <v>Confirmé</v>
      </c>
      <c r="M68" s="17" t="s">
        <v>767</v>
      </c>
      <c r="N68" s="9" t="s">
        <v>167</v>
      </c>
    </row>
    <row r="69" customFormat="false" ht="15" hidden="false" customHeight="false" outlineLevel="0" collapsed="false">
      <c r="A69" s="9" t="s">
        <v>768</v>
      </c>
      <c r="B69" s="9" t="s">
        <v>769</v>
      </c>
      <c r="C69" s="31" t="s">
        <v>446</v>
      </c>
      <c r="D69" s="9" t="str">
        <f aca="false">INDEX(Articles!$C$2:$C$148,MATCH(C69,Articles!$A$2:$A$148,0))</f>
        <v>Chemise 3 rabats à élastique</v>
      </c>
      <c r="E69" s="9" t="str">
        <f aca="false">INDEX(Articles!$B$2:$B$148,MATCH(C69,Articles!$A$2:$A$148,0))</f>
        <v>Papex</v>
      </c>
      <c r="F69" s="31" t="n">
        <v>1</v>
      </c>
      <c r="G69" s="13" t="n">
        <f aca="false">IF(INDEX(Articles!$G$2:$G$148,MATCH(C69,Articles!$A$2:$A$148,0))="","",INDEX(Articles!$G$2:$G$148,MATCH(C69,Articles!$A$2:$A$148,0)))</f>
        <v>500</v>
      </c>
      <c r="H69" s="13" t="n">
        <f aca="false">IF(G69="",0,F69*G69)</f>
        <v>500</v>
      </c>
      <c r="I69" s="13" t="str">
        <f aca="false">IF(INDEX(Articles!$E$2:$E$148,MATCH(C69,Articles!$A$2:$A$148,0))="","",INDEX(Articles!$E$2:$E$148,MATCH(C69,Articles!$A$2:$A$148,0)))</f>
        <v/>
      </c>
      <c r="J69" s="13" t="str">
        <f aca="false">IF(I69="","",F69*I69)</f>
        <v/>
      </c>
      <c r="K69" s="9" t="str">
        <f aca="false">INDEX(Articles!$H$2:$H$148,MATCH(C69,Articles!$A$2:$A$148,0))</f>
        <v>Estimé</v>
      </c>
      <c r="L69" s="9" t="str">
        <f aca="false">INDEX(Articles!$F$2:$F$148,MATCH(C69,Articles!$A$2:$A$148,0))</f>
        <v>Inconnu</v>
      </c>
      <c r="M69" s="17" t="s">
        <v>770</v>
      </c>
      <c r="N69" s="9" t="s">
        <v>167</v>
      </c>
    </row>
    <row r="70" customFormat="false" ht="26.85" hidden="false" customHeight="false" outlineLevel="0" collapsed="false">
      <c r="A70" s="9" t="s">
        <v>676</v>
      </c>
      <c r="B70" s="9" t="s">
        <v>812</v>
      </c>
      <c r="C70" s="31" t="s">
        <v>242</v>
      </c>
      <c r="D70" s="9" t="str">
        <f aca="false">INDEX(Articles!$C$2:$C$148,MATCH(C70,Articles!$A$2:$A$148,0))</f>
        <v>Calculatrice scientifique Parpn YH-2000</v>
      </c>
      <c r="E70" s="9" t="str">
        <f aca="false">INDEX(Articles!$B$2:$B$148,MATCH(C70,Articles!$A$2:$A$148,0))</f>
        <v>LPD</v>
      </c>
      <c r="F70" s="31" t="n">
        <v>1</v>
      </c>
      <c r="G70" s="13" t="n">
        <f aca="false">IF(INDEX(Articles!$G$2:$G$148,MATCH(C70,Articles!$A$2:$A$148,0))="","",INDEX(Articles!$G$2:$G$148,MATCH(C70,Articles!$A$2:$A$148,0)))</f>
        <v>1400</v>
      </c>
      <c r="H70" s="13" t="n">
        <f aca="false">IF(G70="",0,F70*G70)</f>
        <v>1400</v>
      </c>
      <c r="I70" s="13" t="n">
        <f aca="false">IF(INDEX(Articles!$E$2:$E$148,MATCH(C70,Articles!$A$2:$A$148,0))="","",INDEX(Articles!$E$2:$E$148,MATCH(C70,Articles!$A$2:$A$148,0)))</f>
        <v>1100</v>
      </c>
      <c r="J70" s="13" t="n">
        <f aca="false">IF(I70="","",F70*I70)</f>
        <v>1100</v>
      </c>
      <c r="K70" s="9" t="str">
        <f aca="false">INDEX(Articles!$H$2:$H$148,MATCH(C70,Articles!$A$2:$A$148,0))</f>
        <v>Fixé</v>
      </c>
      <c r="L70" s="9" t="str">
        <f aca="false">INDEX(Articles!$F$2:$F$148,MATCH(C70,Articles!$A$2:$A$148,0))</f>
        <v>Confirmé</v>
      </c>
      <c r="M70" s="17" t="s">
        <v>816</v>
      </c>
      <c r="N70" s="9" t="s">
        <v>167</v>
      </c>
    </row>
    <row r="71" customFormat="false" ht="15" hidden="false" customHeight="false" outlineLevel="0" collapsed="false">
      <c r="A71" s="9" t="s">
        <v>768</v>
      </c>
      <c r="B71" s="9" t="s">
        <v>861</v>
      </c>
      <c r="C71" s="31" t="s">
        <v>246</v>
      </c>
      <c r="D71" s="9" t="str">
        <f aca="false">INDEX(Articles!$C$2:$C$148,MATCH(C71,Articles!$A$2:$A$148,0))</f>
        <v>Protège-documents porte-vues</v>
      </c>
      <c r="E71" s="9" t="str">
        <f aca="false">INDEX(Articles!$B$2:$B$148,MATCH(C71,Articles!$A$2:$A$148,0))</f>
        <v>LPD</v>
      </c>
      <c r="F71" s="31" t="n">
        <v>1</v>
      </c>
      <c r="G71" s="13" t="n">
        <f aca="false">IF(INDEX(Articles!$G$2:$G$148,MATCH(C71,Articles!$A$2:$A$148,0))="","",INDEX(Articles!$G$2:$G$148,MATCH(C71,Articles!$A$2:$A$148,0)))</f>
        <v>1150</v>
      </c>
      <c r="H71" s="13" t="n">
        <f aca="false">IF(G71="",0,F71*G71)</f>
        <v>1150</v>
      </c>
      <c r="I71" s="13" t="n">
        <f aca="false">IF(INDEX(Articles!$E$2:$E$148,MATCH(C71,Articles!$A$2:$A$148,0))="","",INDEX(Articles!$E$2:$E$148,MATCH(C71,Articles!$A$2:$A$148,0)))</f>
        <v>850</v>
      </c>
      <c r="J71" s="13" t="n">
        <f aca="false">IF(I71="","",F71*I71)</f>
        <v>850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A72" s="9" t="s">
        <v>758</v>
      </c>
      <c r="B72" s="9" t="s">
        <v>759</v>
      </c>
      <c r="C72" s="31" t="s">
        <v>376</v>
      </c>
      <c r="D72" s="9" t="str">
        <f aca="false">INDEX(Articles!$C$2:$C$148,MATCH(C72,Articles!$A$2:$A$148,0))</f>
        <v>Paquet de copies doubles grand format</v>
      </c>
      <c r="E72" s="9" t="str">
        <f aca="false">INDEX(Articles!$B$2:$B$148,MATCH(C72,Articles!$A$2:$A$148,0))</f>
        <v>À préciser</v>
      </c>
      <c r="F72" s="31" t="n">
        <v>1</v>
      </c>
      <c r="G72" s="45" t="n">
        <f aca="false">IF(INDEX(Articles!$G$2:$G$148,MATCH(C72,Articles!$A$2:$A$148,0))="","",INDEX(Articles!$G$2:$G$148,MATCH(C72,Articles!$A$2:$A$148,0)))</f>
        <v>1800</v>
      </c>
      <c r="H72" s="13" t="n">
        <f aca="false">IF(G72="",0,F72*G72)</f>
        <v>1800</v>
      </c>
      <c r="I72" s="13" t="n">
        <f aca="false">IF(INDEX(Articles!$E$2:$E$148,MATCH(C72,Articles!$A$2:$A$148,0))="","",INDEX(Articles!$E$2:$E$148,MATCH(C72,Articles!$A$2:$A$148,0)))</f>
        <v>1300</v>
      </c>
      <c r="J72" s="13" t="n">
        <f aca="false">IF(I72="","",F72*I72)</f>
        <v>1300</v>
      </c>
      <c r="K72" s="9" t="str">
        <f aca="false">INDEX(Articles!$H$2:$H$148,MATCH(C72,Articles!$A$2:$A$148,0))</f>
        <v>Fixé</v>
      </c>
      <c r="L72" s="9" t="str">
        <f aca="false">INDEX(Articles!$F$2:$F$148,MATCH(C72,Articles!$A$2:$A$148,0))</f>
        <v>Confirmé</v>
      </c>
      <c r="M72" s="17"/>
      <c r="N72" s="9" t="s">
        <v>167</v>
      </c>
    </row>
    <row r="73" customFormat="false" ht="15" hidden="false" customHeight="false" outlineLevel="0" collapsed="false">
      <c r="A73" s="9" t="s">
        <v>771</v>
      </c>
      <c r="B73" s="9" t="s">
        <v>772</v>
      </c>
      <c r="C73" s="31" t="s">
        <v>160</v>
      </c>
      <c r="D73" s="9" t="str">
        <f aca="false">INDEX(Articles!$C$2:$C$148,MATCH(C73,Articles!$A$2:$A$148,0))</f>
        <v>Protège-cahier couleur petit format (à l'unité)</v>
      </c>
      <c r="E73" s="9" t="str">
        <f aca="false">INDEX(Articles!$B$2:$B$148,MATCH(C73,Articles!$A$2:$A$148,0))</f>
        <v>LPD</v>
      </c>
      <c r="F73" s="31" t="n">
        <v>4</v>
      </c>
      <c r="G73" s="13" t="n">
        <f aca="false">IF(INDEX(Articles!$G$2:$G$148,MATCH(C73,Articles!$A$2:$A$148,0))="","",INDEX(Articles!$G$2:$G$148,MATCH(C73,Articles!$A$2:$A$148,0)))</f>
        <v>150</v>
      </c>
      <c r="H73" s="13" t="n">
        <f aca="false">IF(G73="",0,F73*G73)</f>
        <v>600</v>
      </c>
      <c r="I73" s="13" t="str">
        <f aca="false">IF(INDEX(Articles!$E$2:$E$148,MATCH(C73,Articles!$A$2:$A$148,0))="","",INDEX(Articles!$E$2:$E$148,MATCH(C73,Articles!$A$2:$A$148,0)))</f>
        <v/>
      </c>
      <c r="J73" s="13" t="str">
        <f aca="false">IF(I73="","",F73*I73)</f>
        <v/>
      </c>
      <c r="K73" s="9" t="str">
        <f aca="false">INDEX(Articles!$H$2:$H$148,MATCH(C73,Articles!$A$2:$A$148,0))</f>
        <v>Fixé</v>
      </c>
      <c r="L73" s="9" t="str">
        <f aca="false">INDEX(Articles!$F$2:$F$148,MATCH(C73,Articles!$A$2:$A$148,0))</f>
        <v>Inconnu</v>
      </c>
      <c r="M73" s="17"/>
      <c r="N73" s="9" t="s">
        <v>167</v>
      </c>
    </row>
    <row r="74" customFormat="false" ht="15" hidden="false" customHeight="false" outlineLevel="0" collapsed="false">
      <c r="A74" s="9" t="s">
        <v>771</v>
      </c>
      <c r="B74" s="9" t="s">
        <v>773</v>
      </c>
      <c r="C74" s="31" t="s">
        <v>419</v>
      </c>
      <c r="D74" s="9" t="str">
        <f aca="false">INDEX(Articles!$C$2:$C$148,MATCH(C74,Articles!$A$2:$A$148,0))</f>
        <v>Protège-cahier grand format (à l'unité)</v>
      </c>
      <c r="E74" s="9" t="str">
        <f aca="false">INDEX(Articles!$B$2:$B$148,MATCH(C74,Articles!$A$2:$A$148,0))</f>
        <v>À préciser</v>
      </c>
      <c r="F74" s="31" t="n">
        <v>9</v>
      </c>
      <c r="G74" s="13" t="str">
        <f aca="false">IF(INDEX(Articles!$G$2:$G$148,MATCH(C74,Articles!$A$2:$A$148,0))="","",INDEX(Articles!$G$2:$G$148,MATCH(C74,Articles!$A$2:$A$148,0)))</f>
        <v/>
      </c>
      <c r="H74" s="13" t="n">
        <f aca="false">IF(G74="",0,F74*G74)</f>
        <v>0</v>
      </c>
      <c r="I74" s="13" t="str">
        <f aca="false">IF(INDEX(Articles!$E$2:$E$148,MATCH(C74,Articles!$A$2:$A$148,0))="","",INDEX(Articles!$E$2:$E$148,MATCH(C74,Articles!$A$2:$A$148,0)))</f>
        <v/>
      </c>
      <c r="J74" s="13" t="str">
        <f aca="false">IF(I74="","",F74*I74)</f>
        <v/>
      </c>
      <c r="K74" s="9" t="str">
        <f aca="false">INDEX(Articles!$H$2:$H$148,MATCH(C74,Articles!$A$2:$A$148,0))</f>
        <v>À fournir</v>
      </c>
      <c r="L74" s="9" t="str">
        <f aca="false">INDEX(Articles!$F$2:$F$148,MATCH(C74,Articles!$A$2:$A$148,0))</f>
        <v>Inconnu</v>
      </c>
      <c r="M74" s="17"/>
      <c r="N74" s="9" t="s">
        <v>167</v>
      </c>
    </row>
    <row r="75" customFormat="false" ht="15" hidden="false" customHeight="false" outlineLevel="0" collapsed="false">
      <c r="A75" s="9" t="s">
        <v>760</v>
      </c>
      <c r="B75" s="9" t="s">
        <v>858</v>
      </c>
      <c r="C75" s="31" t="s">
        <v>497</v>
      </c>
      <c r="D75" s="9" t="str">
        <f aca="false">INDEX(Articles!$C$2:$C$148,MATCH(C75,Articles!$A$2:$A$148,0))</f>
        <v>Les Nouveaux Contes d'Amadou Koumba (Birago Diop)</v>
      </c>
      <c r="E75" s="9" t="str">
        <f aca="false">INDEX(Articles!$B$2:$B$148,MATCH(C75,Articles!$A$2:$A$148,0))</f>
        <v>LPD</v>
      </c>
      <c r="F75" s="31" t="n">
        <v>1</v>
      </c>
      <c r="G75" s="13" t="n">
        <f aca="false">IF(INDEX(Articles!$G$2:$G$148,MATCH(C75,Articles!$A$2:$A$148,0))="","",INDEX(Articles!$G$2:$G$148,MATCH(C75,Articles!$A$2:$A$148,0)))</f>
        <v>3900</v>
      </c>
      <c r="H75" s="13" t="n">
        <f aca="false">IF(G75="",0,F75*G75)</f>
        <v>3900</v>
      </c>
      <c r="I75" s="13" t="n">
        <f aca="false">IF(INDEX(Articles!$E$2:$E$148,MATCH(C75,Articles!$A$2:$A$148,0))="","",INDEX(Articles!$E$2:$E$148,MATCH(C75,Articles!$A$2:$A$148,0)))</f>
        <v>2900</v>
      </c>
      <c r="J75" s="13" t="n">
        <f aca="false">IF(I75="","",F75*I75)</f>
        <v>2900</v>
      </c>
      <c r="K75" s="9" t="str">
        <f aca="false">INDEX(Articles!$H$2:$H$148,MATCH(C75,Articles!$A$2:$A$148,0))</f>
        <v>Fixé</v>
      </c>
      <c r="L75" s="9" t="str">
        <f aca="false">INDEX(Articles!$F$2:$F$148,MATCH(C75,Articles!$A$2:$A$148,0))</f>
        <v>Estimé</v>
      </c>
      <c r="M75" s="17"/>
      <c r="N75" s="9" t="s">
        <v>167</v>
      </c>
    </row>
    <row r="76" customFormat="false" ht="15" hidden="false" customHeight="false" outlineLevel="0" collapsed="false">
      <c r="D76" s="32" t="s">
        <v>683</v>
      </c>
      <c r="E76" s="32"/>
      <c r="F76" s="32"/>
      <c r="G76" s="32"/>
      <c r="H76" s="33" t="n">
        <f aca="false">COUNTIF(G47:G75,"")</f>
        <v>1</v>
      </c>
    </row>
    <row r="77" customFormat="false" ht="15" hidden="false" customHeight="false" outlineLevel="0" collapsed="false">
      <c r="D77" s="32" t="s">
        <v>684</v>
      </c>
      <c r="E77" s="32"/>
      <c r="F77" s="32"/>
      <c r="G77" s="32"/>
      <c r="H77" s="33" t="n">
        <f aca="false">SUM(H47:H75)</f>
        <v>36675</v>
      </c>
    </row>
    <row r="78" customFormat="false" ht="15" hidden="false" customHeight="false" outlineLevel="0" collapsed="false">
      <c r="D78" s="32" t="s">
        <v>28</v>
      </c>
      <c r="E78" s="32"/>
      <c r="F78" s="32"/>
      <c r="G78" s="32"/>
      <c r="H78" s="33" t="n">
        <f aca="false">SUM(J47:J75)</f>
        <v>28560</v>
      </c>
    </row>
    <row r="79" customFormat="false" ht="15" hidden="false" customHeight="false" outlineLevel="0" collapsed="false">
      <c r="D79" s="32" t="s">
        <v>685</v>
      </c>
      <c r="E79" s="32"/>
      <c r="F79" s="32"/>
      <c r="G79" s="32"/>
      <c r="H79" s="33" t="n">
        <f aca="false">COUNTIF(I47:I75,"")</f>
        <v>5</v>
      </c>
    </row>
    <row r="80" customFormat="false" ht="15" hidden="false" customHeight="false" outlineLevel="0" collapsed="false">
      <c r="D80" s="32" t="s">
        <v>686</v>
      </c>
      <c r="E80" s="32"/>
      <c r="F80" s="32"/>
      <c r="G80" s="32"/>
      <c r="H80" s="33" t="n">
        <f aca="false">SUMPRODUCT((I47:I75&lt;&gt;"")*H47:H75)-H78</f>
        <v>6540</v>
      </c>
    </row>
    <row r="81" customFormat="false" ht="15" hidden="false" customHeight="false" outlineLevel="0" collapsed="false">
      <c r="D81" s="32" t="s">
        <v>687</v>
      </c>
      <c r="E81" s="32"/>
      <c r="F81" s="32"/>
      <c r="G81" s="32"/>
      <c r="H81" s="33" t="n">
        <f aca="false">SUMIF(A47:A75,"Cahiers",F47:F75)</f>
        <v>13</v>
      </c>
    </row>
    <row r="82" customFormat="false" ht="15" hidden="false" customHeight="false" outlineLevel="0" collapsed="false">
      <c r="D82" s="32" t="s">
        <v>688</v>
      </c>
      <c r="E82" s="32"/>
      <c r="F82" s="32"/>
      <c r="G82" s="32"/>
      <c r="H82" s="34" t="n">
        <f aca="false">IF(H77=0,0,SUMIF(K47:K75,"&lt;&gt;Fixé",H47:H75)/H77)</f>
        <v>0.21813224267212</v>
      </c>
    </row>
    <row r="83" customFormat="false" ht="15" hidden="false" customHeight="false" outlineLevel="0" collapsed="false">
      <c r="D83" s="32" t="s">
        <v>689</v>
      </c>
      <c r="E83" s="32"/>
      <c r="F83" s="32"/>
      <c r="G83" s="32"/>
      <c r="H83" s="33" t="str">
        <f aca="false">IF(H76&gt;0,"Total incomplet : "&amp;H76&amp;" prix de vente à fournir",IF(H79&gt;0,"Coût incomplet : "&amp;H79&amp;" ligne(s) sans prix d'achat","Complet"))</f>
        <v>Total incomplet : 1 prix de vente à fournir</v>
      </c>
    </row>
    <row r="84" customFormat="false" ht="15" hidden="false" customHeight="false" outlineLevel="0" collapsed="false">
      <c r="D84" s="21" t="s">
        <v>696</v>
      </c>
      <c r="E84" s="21" t="str">
        <f aca="false">INDEX(Articles!$C$2:$C$148,MATCH("S020",Articles!$A$2:$A$148,0))</f>
        <v>Sac à dos bleu marine</v>
      </c>
      <c r="H84" s="41" t="n">
        <f aca="false">INDEX(Articles!$G$2:$G$148,MATCH("S020",Articles!$A$2:$A$148,0))</f>
        <v>7000</v>
      </c>
    </row>
    <row r="85" customFormat="false" ht="15" hidden="false" customHeight="false" outlineLevel="0" collapsed="false">
      <c r="D85" s="42" t="s">
        <v>697</v>
      </c>
      <c r="E85" s="43" t="s">
        <v>862</v>
      </c>
    </row>
    <row r="86" customFormat="false" ht="15" hidden="false" customHeight="false" outlineLevel="0" collapsed="false">
      <c r="E86" s="43" t="s">
        <v>863</v>
      </c>
    </row>
    <row r="89" customFormat="false" ht="15" hidden="false" customHeight="false" outlineLevel="0" collapsed="false">
      <c r="A89" s="28" t="s">
        <v>864</v>
      </c>
      <c r="B89" s="29"/>
      <c r="C89" s="29"/>
      <c r="D89" s="29"/>
      <c r="E89" s="29"/>
      <c r="F89" s="29"/>
      <c r="G89" s="29"/>
      <c r="H89" s="29"/>
      <c r="I89" s="29"/>
      <c r="J89" s="29"/>
      <c r="K89" s="29"/>
      <c r="L89" s="29"/>
      <c r="M89" s="29"/>
      <c r="N89" s="29"/>
    </row>
    <row r="90" customFormat="false" ht="39.55" hidden="false" customHeight="false" outlineLevel="0" collapsed="false">
      <c r="A90" s="30" t="s">
        <v>663</v>
      </c>
      <c r="B90" s="30" t="s">
        <v>664</v>
      </c>
      <c r="C90" s="30" t="s">
        <v>348</v>
      </c>
      <c r="D90" s="30" t="s">
        <v>350</v>
      </c>
      <c r="E90" s="30" t="s">
        <v>349</v>
      </c>
      <c r="F90" s="30" t="s">
        <v>665</v>
      </c>
      <c r="G90" s="30" t="s">
        <v>666</v>
      </c>
      <c r="H90" s="30" t="s">
        <v>667</v>
      </c>
      <c r="I90" s="30" t="s">
        <v>668</v>
      </c>
      <c r="J90" s="30" t="s">
        <v>669</v>
      </c>
      <c r="K90" s="30" t="s">
        <v>355</v>
      </c>
      <c r="L90" s="30" t="s">
        <v>353</v>
      </c>
      <c r="M90" s="30" t="s">
        <v>356</v>
      </c>
      <c r="N90" s="30" t="s">
        <v>670</v>
      </c>
    </row>
    <row r="91" customFormat="false" ht="15" hidden="false" customHeight="false" outlineLevel="0" collapsed="false">
      <c r="A91" s="9" t="s">
        <v>671</v>
      </c>
      <c r="B91" s="9" t="s">
        <v>745</v>
      </c>
      <c r="C91" s="31" t="s">
        <v>213</v>
      </c>
      <c r="D91" s="9" t="str">
        <f aca="false">INDEX(Articles!$C$2:$C$148,MATCH(C91,Articles!$A$2:$A$148,0))</f>
        <v>Cahier Calligraphe 192 pages 24x32 (grand format)</v>
      </c>
      <c r="E91" s="9" t="str">
        <f aca="false">INDEX(Articles!$B$2:$B$148,MATCH(C91,Articles!$A$2:$A$148,0))</f>
        <v>Papex</v>
      </c>
      <c r="F91" s="31" t="n">
        <v>1</v>
      </c>
      <c r="G91" s="13" t="n">
        <f aca="false">IF(INDEX(Articles!$G$2:$G$148,MATCH(C91,Articles!$A$2:$A$148,0))="","",INDEX(Articles!$G$2:$G$148,MATCH(C91,Articles!$A$2:$A$148,0)))</f>
        <v>1650</v>
      </c>
      <c r="H91" s="13" t="n">
        <f aca="false">IF(G91="",0,F91*G91)</f>
        <v>1650</v>
      </c>
      <c r="I91" s="13" t="n">
        <f aca="false">IF(INDEX(Articles!$E$2:$E$148,MATCH(C91,Articles!$A$2:$A$148,0))="","",INDEX(Articles!$E$2:$E$148,MATCH(C91,Articles!$A$2:$A$148,0)))</f>
        <v>1500</v>
      </c>
      <c r="J91" s="13" t="n">
        <f aca="false">IF(I91="","",F91*I91)</f>
        <v>1500</v>
      </c>
      <c r="K91" s="9" t="str">
        <f aca="false">INDEX(Articles!$H$2:$H$148,MATCH(C91,Articles!$A$2:$A$148,0))</f>
        <v>Fixé</v>
      </c>
      <c r="L91" s="9" t="str">
        <f aca="false">INDEX(Articles!$F$2:$F$148,MATCH(C91,Articles!$A$2:$A$148,0))</f>
        <v>Confirmé</v>
      </c>
      <c r="M91" s="17"/>
      <c r="N91" s="9" t="s">
        <v>167</v>
      </c>
    </row>
    <row r="92" customFormat="false" ht="15" hidden="false" customHeight="false" outlineLevel="0" collapsed="false">
      <c r="A92" s="9" t="s">
        <v>671</v>
      </c>
      <c r="B92" s="9" t="s">
        <v>850</v>
      </c>
      <c r="C92" s="31" t="s">
        <v>208</v>
      </c>
      <c r="D92" s="9" t="str">
        <f aca="false">INDEX(Articles!$C$2:$C$148,MATCH(C92,Articles!$A$2:$A$148,0))</f>
        <v>Cahier Calligraphe 96 pages 24x32 (grand format)</v>
      </c>
      <c r="E92" s="9" t="str">
        <f aca="false">INDEX(Articles!$B$2:$B$148,MATCH(C92,Articles!$A$2:$A$148,0))</f>
        <v>Papex</v>
      </c>
      <c r="F92" s="31" t="n">
        <v>1</v>
      </c>
      <c r="G92" s="13" t="n">
        <f aca="false">IF(INDEX(Articles!$G$2:$G$148,MATCH(C92,Articles!$A$2:$A$148,0))="","",INDEX(Articles!$G$2:$G$148,MATCH(C92,Articles!$A$2:$A$148,0)))</f>
        <v>1350</v>
      </c>
      <c r="H92" s="13" t="n">
        <f aca="false">IF(G92="",0,F92*G92)</f>
        <v>1350</v>
      </c>
      <c r="I92" s="13" t="n">
        <f aca="false">IF(INDEX(Articles!$E$2:$E$148,MATCH(C92,Articles!$A$2:$A$148,0))="","",INDEX(Articles!$E$2:$E$148,MATCH(C92,Articles!$A$2:$A$148,0)))</f>
        <v>1000</v>
      </c>
      <c r="J92" s="13" t="n">
        <f aca="false">IF(I92="","",F92*I92)</f>
        <v>1000</v>
      </c>
      <c r="K92" s="9" t="str">
        <f aca="false">INDEX(Articles!$H$2:$H$148,MATCH(C92,Articles!$A$2:$A$148,0))</f>
        <v>Fixé</v>
      </c>
      <c r="L92" s="9" t="str">
        <f aca="false">INDEX(Articles!$F$2:$F$148,MATCH(C92,Articles!$A$2:$A$148,0))</f>
        <v>Confirmé</v>
      </c>
      <c r="M92" s="17"/>
      <c r="N92" s="9" t="s">
        <v>167</v>
      </c>
    </row>
    <row r="93" customFormat="false" ht="15" hidden="false" customHeight="false" outlineLevel="0" collapsed="false">
      <c r="A93" s="9" t="s">
        <v>671</v>
      </c>
      <c r="B93" s="9" t="s">
        <v>851</v>
      </c>
      <c r="C93" s="31" t="s">
        <v>370</v>
      </c>
      <c r="D93" s="9" t="str">
        <f aca="false">INDEX(Articles!$C$2:$C$148,MATCH(C93,Articles!$A$2:$A$148,0))</f>
        <v>Cahier Calligraphe 140 pages 24x32 90 g seyès</v>
      </c>
      <c r="E93" s="9" t="str">
        <f aca="false">INDEX(Articles!$B$2:$B$148,MATCH(C93,Articles!$A$2:$A$148,0))</f>
        <v>Papex</v>
      </c>
      <c r="F93" s="31" t="n">
        <v>2</v>
      </c>
      <c r="G93" s="13" t="n">
        <f aca="false">IF(INDEX(Articles!$G$2:$G$148,MATCH(C93,Articles!$A$2:$A$148,0))="","",INDEX(Articles!$G$2:$G$148,MATCH(C93,Articles!$A$2:$A$148,0)))</f>
        <v>1500</v>
      </c>
      <c r="H93" s="13" t="n">
        <f aca="false">IF(G93="",0,F93*G93)</f>
        <v>3000</v>
      </c>
      <c r="I93" s="13" t="n">
        <f aca="false">IF(INDEX(Articles!$E$2:$E$148,MATCH(C93,Articles!$A$2:$A$148,0))="","",INDEX(Articles!$E$2:$E$148,MATCH(C93,Articles!$A$2:$A$148,0)))</f>
        <v>1250</v>
      </c>
      <c r="J93" s="13" t="n">
        <f aca="false">IF(I93="","",F93*I93)</f>
        <v>2500</v>
      </c>
      <c r="K93" s="9" t="str">
        <f aca="false">INDEX(Articles!$H$2:$H$148,MATCH(C93,Articles!$A$2:$A$148,0))</f>
        <v>Fixé</v>
      </c>
      <c r="L93" s="9" t="str">
        <f aca="false">INDEX(Articles!$F$2:$F$148,MATCH(C93,Articles!$A$2:$A$148,0))</f>
        <v>Estimé</v>
      </c>
      <c r="M93" s="17" t="s">
        <v>860</v>
      </c>
      <c r="N93" s="9" t="s">
        <v>167</v>
      </c>
    </row>
    <row r="94" customFormat="false" ht="15" hidden="false" customHeight="false" outlineLevel="0" collapsed="false">
      <c r="A94" s="9" t="s">
        <v>671</v>
      </c>
      <c r="B94" s="9" t="s">
        <v>852</v>
      </c>
      <c r="C94" s="31" t="s">
        <v>366</v>
      </c>
      <c r="D94" s="9" t="str">
        <f aca="false">INDEX(Articles!$C$2:$C$148,MATCH(C94,Articles!$A$2:$A$148,0))</f>
        <v>Cahier Calligraphe 140 pages 17x22 90 g seyès</v>
      </c>
      <c r="E94" s="9" t="str">
        <f aca="false">INDEX(Articles!$B$2:$B$148,MATCH(C94,Articles!$A$2:$A$148,0))</f>
        <v>Papex</v>
      </c>
      <c r="F94" s="31" t="n">
        <v>1</v>
      </c>
      <c r="G94" s="13" t="n">
        <f aca="false">IF(INDEX(Articles!$G$2:$G$148,MATCH(C94,Articles!$A$2:$A$148,0))="","",INDEX(Articles!$G$2:$G$148,MATCH(C94,Articles!$A$2:$A$148,0)))</f>
        <v>750</v>
      </c>
      <c r="H94" s="13" t="n">
        <f aca="false">IF(G94="",0,F94*G94)</f>
        <v>750</v>
      </c>
      <c r="I94" s="13" t="n">
        <f aca="false">IF(INDEX(Articles!$E$2:$E$148,MATCH(C94,Articles!$A$2:$A$148,0))="","",INDEX(Articles!$E$2:$E$148,MATCH(C94,Articles!$A$2:$A$148,0)))</f>
        <v>650</v>
      </c>
      <c r="J94" s="13" t="n">
        <f aca="false">IF(I94="","",F94*I94)</f>
        <v>650</v>
      </c>
      <c r="K94" s="9" t="str">
        <f aca="false">INDEX(Articles!$H$2:$H$148,MATCH(C94,Articles!$A$2:$A$148,0))</f>
        <v>Fixé</v>
      </c>
      <c r="L94" s="9" t="str">
        <f aca="false">INDEX(Articles!$F$2:$F$148,MATCH(C94,Articles!$A$2:$A$148,0))</f>
        <v>Estimé</v>
      </c>
      <c r="M94" s="17" t="s">
        <v>763</v>
      </c>
      <c r="N94" s="9" t="s">
        <v>167</v>
      </c>
    </row>
    <row r="95" customFormat="false" ht="15" hidden="false" customHeight="false" outlineLevel="0" collapsed="false">
      <c r="A95" s="9" t="s">
        <v>671</v>
      </c>
      <c r="B95" s="9" t="s">
        <v>737</v>
      </c>
      <c r="C95" s="31" t="s">
        <v>213</v>
      </c>
      <c r="D95" s="9" t="str">
        <f aca="false">INDEX(Articles!$C$2:$C$148,MATCH(C95,Articles!$A$2:$A$148,0))</f>
        <v>Cahier Calligraphe 192 pages 24x32 (grand format)</v>
      </c>
      <c r="E95" s="9" t="str">
        <f aca="false">INDEX(Articles!$B$2:$B$148,MATCH(C95,Articles!$A$2:$A$148,0))</f>
        <v>Papex</v>
      </c>
      <c r="F95" s="31" t="n">
        <v>1</v>
      </c>
      <c r="G95" s="13" t="n">
        <f aca="false">IF(INDEX(Articles!$G$2:$G$148,MATCH(C95,Articles!$A$2:$A$148,0))="","",INDEX(Articles!$G$2:$G$148,MATCH(C95,Articles!$A$2:$A$148,0)))</f>
        <v>1650</v>
      </c>
      <c r="H95" s="13" t="n">
        <f aca="false">IF(G95="",0,F95*G95)</f>
        <v>1650</v>
      </c>
      <c r="I95" s="13" t="n">
        <f aca="false">IF(INDEX(Articles!$E$2:$E$148,MATCH(C95,Articles!$A$2:$A$148,0))="","",INDEX(Articles!$E$2:$E$148,MATCH(C95,Articles!$A$2:$A$148,0)))</f>
        <v>1500</v>
      </c>
      <c r="J95" s="13" t="n">
        <f aca="false">IF(I95="","",F95*I95)</f>
        <v>1500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739</v>
      </c>
      <c r="C96" s="31" t="s">
        <v>192</v>
      </c>
      <c r="D96" s="9" t="str">
        <f aca="false">INDEX(Articles!$C$2:$C$148,MATCH(C96,Articles!$A$2:$A$148,0))</f>
        <v>Cahier Calligraphe 192 pages 17x22 90 g seyès</v>
      </c>
      <c r="E96" s="9" t="str">
        <f aca="false">INDEX(Articles!$B$2:$B$148,MATCH(C96,Articles!$A$2:$A$148,0))</f>
        <v>Papex</v>
      </c>
      <c r="F96" s="31" t="n">
        <v>1</v>
      </c>
      <c r="G96" s="13" t="n">
        <f aca="false">IF(INDEX(Articles!$G$2:$G$148,MATCH(C96,Articles!$A$2:$A$148,0))="","",INDEX(Articles!$G$2:$G$148,MATCH(C96,Articles!$A$2:$A$148,0)))</f>
        <v>900</v>
      </c>
      <c r="H96" s="13" t="n">
        <f aca="false">IF(G96="",0,F96*G96)</f>
        <v>900</v>
      </c>
      <c r="I96" s="13" t="n">
        <f aca="false">IF(INDEX(Articles!$E$2:$E$148,MATCH(C96,Articles!$A$2:$A$148,0))="","",INDEX(Articles!$E$2:$E$148,MATCH(C96,Articles!$A$2:$A$148,0)))</f>
        <v>800</v>
      </c>
      <c r="J96" s="13" t="n">
        <f aca="false">IF(I96="","",F96*I96)</f>
        <v>800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853</v>
      </c>
      <c r="C97" s="31" t="s">
        <v>213</v>
      </c>
      <c r="D97" s="9" t="str">
        <f aca="false">INDEX(Articles!$C$2:$C$148,MATCH(C97,Articles!$A$2:$A$148,0))</f>
        <v>Cahier Calligraphe 192 pages 24x32 (grand format)</v>
      </c>
      <c r="E97" s="9" t="str">
        <f aca="false">INDEX(Articles!$B$2:$B$148,MATCH(C97,Articles!$A$2:$A$148,0))</f>
        <v>Papex</v>
      </c>
      <c r="F97" s="31" t="n">
        <v>1</v>
      </c>
      <c r="G97" s="13" t="n">
        <f aca="false">IF(INDEX(Articles!$G$2:$G$148,MATCH(C97,Articles!$A$2:$A$148,0))="","",INDEX(Articles!$G$2:$G$148,MATCH(C97,Articles!$A$2:$A$148,0)))</f>
        <v>1650</v>
      </c>
      <c r="H97" s="13" t="n">
        <f aca="false">IF(G97="",0,F97*G97)</f>
        <v>1650</v>
      </c>
      <c r="I97" s="13" t="n">
        <f aca="false">IF(INDEX(Articles!$E$2:$E$148,MATCH(C97,Articles!$A$2:$A$148,0))="","",INDEX(Articles!$E$2:$E$148,MATCH(C97,Articles!$A$2:$A$148,0)))</f>
        <v>1500</v>
      </c>
      <c r="J97" s="13" t="n">
        <f aca="false">IF(I97="","",F97*I97)</f>
        <v>1500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671</v>
      </c>
      <c r="B98" s="9" t="s">
        <v>744</v>
      </c>
      <c r="C98" s="31" t="s">
        <v>213</v>
      </c>
      <c r="D98" s="9" t="str">
        <f aca="false">INDEX(Articles!$C$2:$C$148,MATCH(C98,Articles!$A$2:$A$148,0))</f>
        <v>Cahier Calligraphe 192 pages 24x32 (grand format)</v>
      </c>
      <c r="E98" s="9" t="str">
        <f aca="false">INDEX(Articles!$B$2:$B$148,MATCH(C98,Articles!$A$2:$A$148,0))</f>
        <v>Papex</v>
      </c>
      <c r="F98" s="31" t="n">
        <v>1</v>
      </c>
      <c r="G98" s="13" t="n">
        <f aca="false">IF(INDEX(Articles!$G$2:$G$148,MATCH(C98,Articles!$A$2:$A$148,0))="","",INDEX(Articles!$G$2:$G$148,MATCH(C98,Articles!$A$2:$A$148,0)))</f>
        <v>1650</v>
      </c>
      <c r="H98" s="13" t="n">
        <f aca="false">IF(G98="",0,F98*G98)</f>
        <v>1650</v>
      </c>
      <c r="I98" s="13" t="n">
        <f aca="false">IF(INDEX(Articles!$E$2:$E$148,MATCH(C98,Articles!$A$2:$A$148,0))="","",INDEX(Articles!$E$2:$E$148,MATCH(C98,Articles!$A$2:$A$148,0)))</f>
        <v>1500</v>
      </c>
      <c r="J98" s="13" t="n">
        <f aca="false">IF(I98="","",F98*I98)</f>
        <v>1500</v>
      </c>
      <c r="K98" s="9" t="str">
        <f aca="false">INDEX(Articles!$H$2:$H$148,MATCH(C98,Articles!$A$2:$A$148,0))</f>
        <v>Fixé</v>
      </c>
      <c r="L98" s="9" t="str">
        <f aca="false">INDEX(Articles!$F$2:$F$148,MATCH(C98,Articles!$A$2:$A$148,0))</f>
        <v>Confirmé</v>
      </c>
      <c r="M98" s="17"/>
      <c r="N98" s="9" t="s">
        <v>167</v>
      </c>
    </row>
    <row r="99" customFormat="false" ht="15" hidden="false" customHeight="false" outlineLevel="0" collapsed="false">
      <c r="A99" s="9" t="s">
        <v>671</v>
      </c>
      <c r="B99" s="9" t="s">
        <v>854</v>
      </c>
      <c r="C99" s="31" t="s">
        <v>366</v>
      </c>
      <c r="D99" s="9" t="str">
        <f aca="false">INDEX(Articles!$C$2:$C$148,MATCH(C99,Articles!$A$2:$A$148,0))</f>
        <v>Cahier Calligraphe 140 pages 17x22 90 g seyès</v>
      </c>
      <c r="E99" s="9" t="str">
        <f aca="false">INDEX(Articles!$B$2:$B$148,MATCH(C99,Articles!$A$2:$A$148,0))</f>
        <v>Papex</v>
      </c>
      <c r="F99" s="31" t="n">
        <v>1</v>
      </c>
      <c r="G99" s="13" t="n">
        <f aca="false">IF(INDEX(Articles!$G$2:$G$148,MATCH(C99,Articles!$A$2:$A$148,0))="","",INDEX(Articles!$G$2:$G$148,MATCH(C99,Articles!$A$2:$A$148,0)))</f>
        <v>750</v>
      </c>
      <c r="H99" s="13" t="n">
        <f aca="false">IF(G99="",0,F99*G99)</f>
        <v>750</v>
      </c>
      <c r="I99" s="13" t="n">
        <f aca="false">IF(INDEX(Articles!$E$2:$E$148,MATCH(C99,Articles!$A$2:$A$148,0))="","",INDEX(Articles!$E$2:$E$148,MATCH(C99,Articles!$A$2:$A$148,0)))</f>
        <v>650</v>
      </c>
      <c r="J99" s="13" t="n">
        <f aca="false">IF(I99="","",F99*I99)</f>
        <v>650</v>
      </c>
      <c r="K99" s="9" t="str">
        <f aca="false">INDEX(Articles!$H$2:$H$148,MATCH(C99,Articles!$A$2:$A$148,0))</f>
        <v>Fixé</v>
      </c>
      <c r="L99" s="9" t="str">
        <f aca="false">INDEX(Articles!$F$2:$F$148,MATCH(C99,Articles!$A$2:$A$148,0))</f>
        <v>Estimé</v>
      </c>
      <c r="M99" s="17" t="s">
        <v>763</v>
      </c>
      <c r="N99" s="9" t="s">
        <v>167</v>
      </c>
    </row>
    <row r="100" customFormat="false" ht="15" hidden="false" customHeight="false" outlineLevel="0" collapsed="false">
      <c r="A100" s="9" t="s">
        <v>671</v>
      </c>
      <c r="B100" s="9" t="s">
        <v>855</v>
      </c>
      <c r="C100" s="31" t="s">
        <v>208</v>
      </c>
      <c r="D100" s="9" t="str">
        <f aca="false">INDEX(Articles!$C$2:$C$148,MATCH(C100,Articles!$A$2:$A$148,0))</f>
        <v>Cahier Calligraphe 96 pages 24x32 (grand format)</v>
      </c>
      <c r="E100" s="9" t="str">
        <f aca="false">INDEX(Articles!$B$2:$B$148,MATCH(C100,Articles!$A$2:$A$148,0))</f>
        <v>Papex</v>
      </c>
      <c r="F100" s="31" t="n">
        <v>1</v>
      </c>
      <c r="G100" s="13" t="n">
        <f aca="false">IF(INDEX(Articles!$G$2:$G$148,MATCH(C100,Articles!$A$2:$A$148,0))="","",INDEX(Articles!$G$2:$G$148,MATCH(C100,Articles!$A$2:$A$148,0)))</f>
        <v>1350</v>
      </c>
      <c r="H100" s="13" t="n">
        <f aca="false">IF(G100="",0,F100*G100)</f>
        <v>1350</v>
      </c>
      <c r="I100" s="13" t="n">
        <f aca="false">IF(INDEX(Articles!$E$2:$E$148,MATCH(C100,Articles!$A$2:$A$148,0))="","",INDEX(Articles!$E$2:$E$148,MATCH(C100,Articles!$A$2:$A$148,0)))</f>
        <v>1000</v>
      </c>
      <c r="J100" s="13" t="n">
        <f aca="false">IF(I100="","",F100*I100)</f>
        <v>1000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856</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857</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678</v>
      </c>
      <c r="B103" s="9" t="s">
        <v>749</v>
      </c>
      <c r="C103" s="31" t="s">
        <v>222</v>
      </c>
      <c r="D103" s="9" t="str">
        <f aca="false">INDEX(Articles!$C$2:$C$148,MATCH(C103,Articles!$A$2:$A$148,0))</f>
        <v>Pack de 4 stylos Schneider Tops 505 M (bleu, noir, rouge, vert)</v>
      </c>
      <c r="E103" s="9" t="str">
        <f aca="false">INDEX(Articles!$B$2:$B$148,MATCH(C103,Articles!$A$2:$A$148,0))</f>
        <v>Papex</v>
      </c>
      <c r="F103" s="31" t="n">
        <v>1</v>
      </c>
      <c r="G103" s="13" t="n">
        <f aca="false">IF(INDEX(Articles!$G$2:$G$148,MATCH(C103,Articles!$A$2:$A$148,0))="","",INDEX(Articles!$G$2:$G$148,MATCH(C103,Articles!$A$2:$A$148,0)))</f>
        <v>400</v>
      </c>
      <c r="H103" s="13" t="n">
        <f aca="false">IF(G103="",0,F103*G103)</f>
        <v>400</v>
      </c>
      <c r="I103" s="13" t="str">
        <f aca="false">IF(INDEX(Articles!$E$2:$E$148,MATCH(C103,Articles!$A$2:$A$148,0))="","",INDEX(Articles!$E$2:$E$148,MATCH(C103,Articles!$A$2:$A$148,0)))</f>
        <v/>
      </c>
      <c r="J103" s="13" t="str">
        <f aca="false">IF(I103="","",F103*I103)</f>
        <v/>
      </c>
      <c r="K103" s="9" t="str">
        <f aca="false">INDEX(Articles!$H$2:$H$148,MATCH(C103,Articles!$A$2:$A$148,0))</f>
        <v>Fixé</v>
      </c>
      <c r="L103" s="9" t="str">
        <f aca="false">INDEX(Articles!$F$2:$F$148,MATCH(C103,Articles!$A$2:$A$148,0))</f>
        <v>Inconnu</v>
      </c>
      <c r="M103" s="17" t="s">
        <v>432</v>
      </c>
      <c r="N103" s="9" t="s">
        <v>167</v>
      </c>
    </row>
    <row r="104" customFormat="false" ht="15" hidden="false" customHeight="false" outlineLevel="0" collapsed="false">
      <c r="A104" s="9" t="s">
        <v>678</v>
      </c>
      <c r="B104" s="9" t="s">
        <v>750</v>
      </c>
      <c r="C104" s="31" t="s">
        <v>235</v>
      </c>
      <c r="D104" s="9" t="str">
        <f aca="false">INDEX(Articles!$C$2:$C$148,MATCH(C104,Articles!$A$2:$A$148,0))</f>
        <v>Crayon papier (vendu à l'unité)</v>
      </c>
      <c r="E104" s="9" t="str">
        <f aca="false">INDEX(Articles!$B$2:$B$148,MATCH(C104,Articles!$A$2:$A$148,0))</f>
        <v>LPD</v>
      </c>
      <c r="F104" s="31" t="n">
        <v>1</v>
      </c>
      <c r="G104" s="13" t="n">
        <f aca="false">IF(INDEX(Articles!$G$2:$G$148,MATCH(C104,Articles!$A$2:$A$148,0))="","",INDEX(Articles!$G$2:$G$148,MATCH(C104,Articles!$A$2:$A$148,0)))</f>
        <v>75</v>
      </c>
      <c r="H104" s="13" t="n">
        <f aca="false">IF(G104="",0,F104*G104)</f>
        <v>75</v>
      </c>
      <c r="I104" s="13" t="str">
        <f aca="false">IF(INDEX(Articles!$E$2:$E$148,MATCH(C104,Articles!$A$2:$A$148,0))="","",INDEX(Articles!$E$2:$E$148,MATCH(C104,Articles!$A$2:$A$148,0)))</f>
        <v/>
      </c>
      <c r="J104" s="13" t="str">
        <f aca="false">IF(I104="","",F104*I104)</f>
        <v/>
      </c>
      <c r="K104" s="9" t="str">
        <f aca="false">INDEX(Articles!$H$2:$H$148,MATCH(C104,Articles!$A$2:$A$148,0))</f>
        <v>Fixé</v>
      </c>
      <c r="L104" s="9" t="str">
        <f aca="false">INDEX(Articles!$F$2:$F$148,MATCH(C104,Articles!$A$2:$A$148,0))</f>
        <v>Inconnu</v>
      </c>
      <c r="M104" s="17"/>
      <c r="N104" s="9" t="s">
        <v>167</v>
      </c>
    </row>
    <row r="105" customFormat="false" ht="15" hidden="false" customHeight="false" outlineLevel="0" collapsed="false">
      <c r="A105" s="9" t="s">
        <v>675</v>
      </c>
      <c r="B105" s="9" t="s">
        <v>717</v>
      </c>
      <c r="C105" s="31" t="s">
        <v>180</v>
      </c>
      <c r="D105" s="9" t="str">
        <f aca="false">INDEX(Articles!$C$2:$C$148,MATCH(C105,Articles!$A$2:$A$148,0))</f>
        <v>Gomme Staedtler Mars Plastic</v>
      </c>
      <c r="E105" s="9" t="str">
        <f aca="false">INDEX(Articles!$B$2:$B$148,MATCH(C105,Articles!$A$2:$A$148,0))</f>
        <v>LPD</v>
      </c>
      <c r="F105" s="31" t="n">
        <v>1</v>
      </c>
      <c r="G105" s="13" t="n">
        <f aca="false">IF(INDEX(Articles!$G$2:$G$148,MATCH(C105,Articles!$A$2:$A$148,0))="","",INDEX(Articles!$G$2:$G$148,MATCH(C105,Articles!$A$2:$A$148,0)))</f>
        <v>250</v>
      </c>
      <c r="H105" s="13" t="n">
        <f aca="false">IF(G105="",0,F105*G105)</f>
        <v>250</v>
      </c>
      <c r="I105" s="13" t="n">
        <f aca="false">IF(INDEX(Articles!$E$2:$E$148,MATCH(C105,Articles!$A$2:$A$148,0))="","",INDEX(Articles!$E$2:$E$148,MATCH(C105,Articles!$A$2:$A$148,0)))</f>
        <v>110</v>
      </c>
      <c r="J105" s="13" t="n">
        <f aca="false">IF(I105="","",F105*I105)</f>
        <v>110</v>
      </c>
      <c r="K105" s="9" t="str">
        <f aca="false">INDEX(Articles!$H$2:$H$148,MATCH(C105,Articles!$A$2:$A$148,0))</f>
        <v>Fixé</v>
      </c>
      <c r="L105" s="9" t="str">
        <f aca="false">INDEX(Articles!$F$2:$F$148,MATCH(C105,Articles!$A$2:$A$148,0))</f>
        <v>Estimé</v>
      </c>
      <c r="M105" s="17"/>
      <c r="N105" s="9" t="s">
        <v>167</v>
      </c>
    </row>
    <row r="106" customFormat="false" ht="15" hidden="false" customHeight="false" outlineLevel="0" collapsed="false">
      <c r="A106" s="9" t="s">
        <v>675</v>
      </c>
      <c r="B106" s="9" t="s">
        <v>751</v>
      </c>
      <c r="C106" s="31" t="s">
        <v>183</v>
      </c>
      <c r="D106" s="9" t="str">
        <f aca="false">INDEX(Articles!$C$2:$C$148,MATCH(C106,Articles!$A$2:$A$148,0))</f>
        <v>Taille-crayon avec réservoir Maped</v>
      </c>
      <c r="E106" s="9" t="str">
        <f aca="false">INDEX(Articles!$B$2:$B$148,MATCH(C106,Articles!$A$2:$A$148,0))</f>
        <v>Papex</v>
      </c>
      <c r="F106" s="31" t="n">
        <v>1</v>
      </c>
      <c r="G106" s="13" t="n">
        <f aca="false">IF(INDEX(Articles!$G$2:$G$148,MATCH(C106,Articles!$A$2:$A$148,0))="","",INDEX(Articles!$G$2:$G$148,MATCH(C106,Articles!$A$2:$A$148,0)))</f>
        <v>500</v>
      </c>
      <c r="H106" s="13" t="n">
        <f aca="false">IF(G106="",0,F106*G106)</f>
        <v>500</v>
      </c>
      <c r="I106" s="13" t="n">
        <f aca="false">IF(INDEX(Articles!$E$2:$E$148,MATCH(C106,Articles!$A$2:$A$148,0))="","",INDEX(Articles!$E$2:$E$148,MATCH(C106,Articles!$A$2:$A$148,0)))</f>
        <v>350</v>
      </c>
      <c r="J106" s="13" t="n">
        <f aca="false">IF(I106="","",F106*I106)</f>
        <v>350</v>
      </c>
      <c r="K106" s="9" t="str">
        <f aca="false">INDEX(Articles!$H$2:$H$148,MATCH(C106,Articles!$A$2:$A$148,0))</f>
        <v>Estimé</v>
      </c>
      <c r="L106" s="9" t="str">
        <f aca="false">INDEX(Articles!$F$2:$F$148,MATCH(C106,Articles!$A$2:$A$148,0))</f>
        <v>Estimé</v>
      </c>
      <c r="M106" s="17" t="s">
        <v>765</v>
      </c>
      <c r="N106" s="9" t="s">
        <v>167</v>
      </c>
    </row>
    <row r="107" customFormat="false" ht="15" hidden="false" customHeight="false" outlineLevel="0" collapsed="false">
      <c r="A107" s="9" t="s">
        <v>675</v>
      </c>
      <c r="B107" s="9" t="s">
        <v>753</v>
      </c>
      <c r="C107" s="31" t="s">
        <v>248</v>
      </c>
      <c r="D107" s="9" t="str">
        <f aca="false">INDEX(Articles!$C$2:$C$148,MATCH(C107,Articles!$A$2:$A$148,0))</f>
        <v>Bâton de colle Giotto 20 g</v>
      </c>
      <c r="E107" s="9" t="str">
        <f aca="false">INDEX(Articles!$B$2:$B$148,MATCH(C107,Articles!$A$2:$A$148,0))</f>
        <v>Papex</v>
      </c>
      <c r="F107" s="31" t="n">
        <v>1</v>
      </c>
      <c r="G107" s="13" t="n">
        <f aca="false">IF(INDEX(Articles!$G$2:$G$148,MATCH(C107,Articles!$A$2:$A$148,0))="","",INDEX(Articles!$G$2:$G$148,MATCH(C107,Articles!$A$2:$A$148,0)))</f>
        <v>900</v>
      </c>
      <c r="H107" s="13" t="n">
        <f aca="false">IF(G107="",0,F107*G107)</f>
        <v>900</v>
      </c>
      <c r="I107" s="13" t="n">
        <f aca="false">IF(INDEX(Articles!$E$2:$E$148,MATCH(C107,Articles!$A$2:$A$148,0))="","",INDEX(Articles!$E$2:$E$148,MATCH(C107,Articles!$A$2:$A$148,0)))</f>
        <v>650</v>
      </c>
      <c r="J107" s="13" t="n">
        <f aca="false">IF(I107="","",F107*I107)</f>
        <v>650</v>
      </c>
      <c r="K107" s="9" t="str">
        <f aca="false">INDEX(Articles!$H$2:$H$148,MATCH(C107,Articles!$A$2:$A$148,0))</f>
        <v>Estimé</v>
      </c>
      <c r="L107" s="9" t="str">
        <f aca="false">INDEX(Articles!$F$2:$F$148,MATCH(C107,Articles!$A$2:$A$148,0))</f>
        <v>Estimé</v>
      </c>
      <c r="M107" s="17"/>
      <c r="N107" s="9" t="s">
        <v>167</v>
      </c>
    </row>
    <row r="108" customFormat="false" ht="15" hidden="false" customHeight="false" outlineLevel="0" collapsed="false">
      <c r="A108" s="9" t="s">
        <v>675</v>
      </c>
      <c r="B108" s="9" t="s">
        <v>754</v>
      </c>
      <c r="C108" s="31" t="s">
        <v>189</v>
      </c>
      <c r="D108" s="9" t="str">
        <f aca="false">INDEX(Articles!$C$2:$C$148,MATCH(C108,Articles!$A$2:$A$148,0))</f>
        <v>Ciseaux Maped 13 cm Security</v>
      </c>
      <c r="E108" s="9" t="str">
        <f aca="false">INDEX(Articles!$B$2:$B$148,MATCH(C108,Articles!$A$2:$A$148,0))</f>
        <v>Papex</v>
      </c>
      <c r="F108" s="31" t="n">
        <v>1</v>
      </c>
      <c r="G108" s="13" t="n">
        <f aca="false">IF(INDEX(Articles!$G$2:$G$148,MATCH(C108,Articles!$A$2:$A$148,0))="","",INDEX(Articles!$G$2:$G$148,MATCH(C108,Articles!$A$2:$A$148,0)))</f>
        <v>900</v>
      </c>
      <c r="H108" s="13" t="n">
        <f aca="false">IF(G108="",0,F108*G108)</f>
        <v>900</v>
      </c>
      <c r="I108" s="13" t="n">
        <f aca="false">IF(INDEX(Articles!$E$2:$E$148,MATCH(C108,Articles!$A$2:$A$148,0))="","",INDEX(Articles!$E$2:$E$148,MATCH(C108,Articles!$A$2:$A$148,0)))</f>
        <v>650</v>
      </c>
      <c r="J108" s="13" t="n">
        <f aca="false">IF(I108="","",F108*I108)</f>
        <v>650</v>
      </c>
      <c r="K108" s="9" t="str">
        <f aca="false">INDEX(Articles!$H$2:$H$148,MATCH(C108,Articles!$A$2:$A$148,0))</f>
        <v>Estimé</v>
      </c>
      <c r="L108" s="9" t="str">
        <f aca="false">INDEX(Articles!$F$2:$F$148,MATCH(C108,Articles!$A$2:$A$148,0))</f>
        <v>Estimé</v>
      </c>
      <c r="M108" s="17"/>
      <c r="N108" s="9" t="s">
        <v>167</v>
      </c>
    </row>
    <row r="109" customFormat="false" ht="15" hidden="false" customHeight="false" outlineLevel="0" collapsed="false">
      <c r="A109" s="9" t="s">
        <v>676</v>
      </c>
      <c r="B109" s="9" t="s">
        <v>755</v>
      </c>
      <c r="C109" s="31" t="s">
        <v>215</v>
      </c>
      <c r="D109" s="9" t="str">
        <f aca="false">INDEX(Articles!$C$2:$C$148,MATCH(C109,Articles!$A$2:$A$148,0))</f>
        <v>Kit géométrie Maped 30 cm (réf. 1930)</v>
      </c>
      <c r="E109" s="9" t="str">
        <f aca="false">INDEX(Articles!$B$2:$B$148,MATCH(C109,Articles!$A$2:$A$148,0))</f>
        <v>LPD</v>
      </c>
      <c r="F109" s="31" t="n">
        <v>1</v>
      </c>
      <c r="G109" s="13" t="n">
        <f aca="false">IF(INDEX(Articles!$G$2:$G$148,MATCH(C109,Articles!$A$2:$A$148,0))="","",INDEX(Articles!$G$2:$G$148,MATCH(C109,Articles!$A$2:$A$148,0)))</f>
        <v>1800</v>
      </c>
      <c r="H109" s="13" t="n">
        <f aca="false">IF(G109="",0,F109*G109)</f>
        <v>1800</v>
      </c>
      <c r="I109" s="13" t="n">
        <f aca="false">IF(INDEX(Articles!$E$2:$E$148,MATCH(C109,Articles!$A$2:$A$148,0))="","",INDEX(Articles!$E$2:$E$148,MATCH(C109,Articles!$A$2:$A$148,0)))</f>
        <v>1500</v>
      </c>
      <c r="J109" s="13" t="n">
        <f aca="false">IF(I109="","",F109*I109)</f>
        <v>1500</v>
      </c>
      <c r="K109" s="9" t="str">
        <f aca="false">INDEX(Articles!$H$2:$H$148,MATCH(C109,Articles!$A$2:$A$148,0))</f>
        <v>À trancher</v>
      </c>
      <c r="L109" s="9" t="str">
        <f aca="false">INDEX(Articles!$F$2:$F$148,MATCH(C109,Articles!$A$2:$A$148,0))</f>
        <v>Confirmé</v>
      </c>
      <c r="M109" s="17"/>
      <c r="N109" s="9" t="s">
        <v>167</v>
      </c>
    </row>
    <row r="110" customFormat="false" ht="15" hidden="false" customHeight="false" outlineLevel="0" collapsed="false">
      <c r="A110" s="9" t="s">
        <v>676</v>
      </c>
      <c r="B110" s="9" t="s">
        <v>756</v>
      </c>
      <c r="C110" s="31" t="s">
        <v>171</v>
      </c>
      <c r="D110" s="9" t="str">
        <f aca="false">INDEX(Articles!$C$2:$C$148,MATCH(C110,Articles!$A$2:$A$148,0))</f>
        <v>Compas Maped</v>
      </c>
      <c r="E110" s="9" t="str">
        <f aca="false">INDEX(Articles!$B$2:$B$148,MATCH(C110,Articles!$A$2:$A$148,0))</f>
        <v>Papex</v>
      </c>
      <c r="F110" s="31" t="n">
        <v>1</v>
      </c>
      <c r="G110" s="13" t="n">
        <f aca="false">IF(INDEX(Articles!$G$2:$G$148,MATCH(C110,Articles!$A$2:$A$148,0))="","",INDEX(Articles!$G$2:$G$148,MATCH(C110,Articles!$A$2:$A$148,0)))</f>
        <v>2000</v>
      </c>
      <c r="H110" s="13" t="n">
        <f aca="false">IF(G110="",0,F110*G110)</f>
        <v>2000</v>
      </c>
      <c r="I110" s="13" t="n">
        <f aca="false">IF(INDEX(Articles!$E$2:$E$148,MATCH(C110,Articles!$A$2:$A$148,0))="","",INDEX(Articles!$E$2:$E$148,MATCH(C110,Articles!$A$2:$A$148,0)))</f>
        <v>1750</v>
      </c>
      <c r="J110" s="13" t="n">
        <f aca="false">IF(I110="","",F110*I110)</f>
        <v>1750</v>
      </c>
      <c r="K110" s="9" t="str">
        <f aca="false">INDEX(Articles!$H$2:$H$148,MATCH(C110,Articles!$A$2:$A$148,0))</f>
        <v>Fixé</v>
      </c>
      <c r="L110" s="9" t="str">
        <f aca="false">INDEX(Articles!$F$2:$F$148,MATCH(C110,Articles!$A$2:$A$148,0))</f>
        <v>Confirmé</v>
      </c>
      <c r="M110" s="17"/>
      <c r="N110" s="9" t="s">
        <v>167</v>
      </c>
    </row>
    <row r="111" customFormat="false" ht="15" hidden="false" customHeight="false" outlineLevel="0" collapsed="false">
      <c r="A111" s="9" t="s">
        <v>681</v>
      </c>
      <c r="B111" s="9" t="s">
        <v>757</v>
      </c>
      <c r="C111" s="31" t="s">
        <v>198</v>
      </c>
      <c r="D111" s="9" t="str">
        <f aca="false">INDEX(Articles!$C$2:$C$148,MATCH(C111,Articles!$A$2:$A$148,0))</f>
        <v>Crayons de couleur Maped, boîte de 12</v>
      </c>
      <c r="E111" s="9" t="str">
        <f aca="false">INDEX(Articles!$B$2:$B$148,MATCH(C111,Articles!$A$2:$A$148,0))</f>
        <v>Papex</v>
      </c>
      <c r="F111" s="31" t="n">
        <v>1</v>
      </c>
      <c r="G111" s="13" t="n">
        <f aca="false">IF(INDEX(Articles!$G$2:$G$148,MATCH(C111,Articles!$A$2:$A$148,0))="","",INDEX(Articles!$G$2:$G$148,MATCH(C111,Articles!$A$2:$A$148,0)))</f>
        <v>900</v>
      </c>
      <c r="H111" s="13" t="n">
        <f aca="false">IF(G111="",0,F111*G111)</f>
        <v>900</v>
      </c>
      <c r="I111" s="13" t="n">
        <f aca="false">IF(INDEX(Articles!$E$2:$E$148,MATCH(C111,Articles!$A$2:$A$148,0))="","",INDEX(Articles!$E$2:$E$148,MATCH(C111,Articles!$A$2:$A$148,0)))</f>
        <v>650</v>
      </c>
      <c r="J111" s="13" t="n">
        <f aca="false">IF(I111="","",F111*I111)</f>
        <v>650</v>
      </c>
      <c r="K111" s="9" t="str">
        <f aca="false">INDEX(Articles!$H$2:$H$148,MATCH(C111,Articles!$A$2:$A$148,0))</f>
        <v>Estimé</v>
      </c>
      <c r="L111" s="9" t="str">
        <f aca="false">INDEX(Articles!$F$2:$F$148,MATCH(C111,Articles!$A$2:$A$148,0))</f>
        <v>Estimé</v>
      </c>
      <c r="M111" s="17"/>
      <c r="N111" s="9" t="s">
        <v>167</v>
      </c>
    </row>
    <row r="112" customFormat="false" ht="15" hidden="false" customHeight="false" outlineLevel="0" collapsed="false">
      <c r="A112" s="9" t="s">
        <v>678</v>
      </c>
      <c r="B112" s="9" t="s">
        <v>766</v>
      </c>
      <c r="C112" s="31" t="s">
        <v>200</v>
      </c>
      <c r="D112" s="9" t="str">
        <f aca="false">INDEX(Articles!$C$2:$C$148,MATCH(C112,Articles!$A$2:$A$148,0))</f>
        <v>Surligneurs Maped Fluo Peps, pochette de 4</v>
      </c>
      <c r="E112" s="9" t="str">
        <f aca="false">INDEX(Articles!$B$2:$B$148,MATCH(C112,Articles!$A$2:$A$148,0))</f>
        <v>Papex</v>
      </c>
      <c r="F112" s="31" t="n">
        <v>1</v>
      </c>
      <c r="G112" s="13" t="n">
        <f aca="false">IF(INDEX(Articles!$G$2:$G$148,MATCH(C112,Articles!$A$2:$A$148,0))="","",INDEX(Articles!$G$2:$G$148,MATCH(C112,Articles!$A$2:$A$148,0)))</f>
        <v>2500</v>
      </c>
      <c r="H112" s="13" t="n">
        <f aca="false">IF(G112="",0,F112*G112)</f>
        <v>2500</v>
      </c>
      <c r="I112" s="13" t="n">
        <f aca="false">IF(INDEX(Articles!$E$2:$E$148,MATCH(C112,Articles!$A$2:$A$148,0))="","",INDEX(Articles!$E$2:$E$148,MATCH(C112,Articles!$A$2:$A$148,0)))</f>
        <v>2000</v>
      </c>
      <c r="J112" s="13" t="n">
        <f aca="false">IF(I112="","",F112*I112)</f>
        <v>2000</v>
      </c>
      <c r="K112" s="9" t="str">
        <f aca="false">INDEX(Articles!$H$2:$H$148,MATCH(C112,Articles!$A$2:$A$148,0))</f>
        <v>Estimé</v>
      </c>
      <c r="L112" s="9" t="str">
        <f aca="false">INDEX(Articles!$F$2:$F$148,MATCH(C112,Articles!$A$2:$A$148,0))</f>
        <v>Confirmé</v>
      </c>
      <c r="M112" s="17" t="s">
        <v>767</v>
      </c>
      <c r="N112" s="9" t="s">
        <v>167</v>
      </c>
    </row>
    <row r="113" customFormat="false" ht="15" hidden="false" customHeight="false" outlineLevel="0" collapsed="false">
      <c r="A113" s="9" t="s">
        <v>768</v>
      </c>
      <c r="B113" s="9" t="s">
        <v>769</v>
      </c>
      <c r="C113" s="31" t="s">
        <v>446</v>
      </c>
      <c r="D113" s="9" t="str">
        <f aca="false">INDEX(Articles!$C$2:$C$148,MATCH(C113,Articles!$A$2:$A$148,0))</f>
        <v>Chemise 3 rabats à élastique</v>
      </c>
      <c r="E113" s="9" t="str">
        <f aca="false">INDEX(Articles!$B$2:$B$148,MATCH(C113,Articles!$A$2:$A$148,0))</f>
        <v>Papex</v>
      </c>
      <c r="F113" s="31" t="n">
        <v>1</v>
      </c>
      <c r="G113" s="13" t="n">
        <f aca="false">IF(INDEX(Articles!$G$2:$G$148,MATCH(C113,Articles!$A$2:$A$148,0))="","",INDEX(Articles!$G$2:$G$148,MATCH(C113,Articles!$A$2:$A$148,0)))</f>
        <v>500</v>
      </c>
      <c r="H113" s="13" t="n">
        <f aca="false">IF(G113="",0,F113*G113)</f>
        <v>500</v>
      </c>
      <c r="I113" s="13" t="str">
        <f aca="false">IF(INDEX(Articles!$E$2:$E$148,MATCH(C113,Articles!$A$2:$A$148,0))="","",INDEX(Articles!$E$2:$E$148,MATCH(C113,Articles!$A$2:$A$148,0)))</f>
        <v/>
      </c>
      <c r="J113" s="13" t="str">
        <f aca="false">IF(I113="","",F113*I113)</f>
        <v/>
      </c>
      <c r="K113" s="9" t="str">
        <f aca="false">INDEX(Articles!$H$2:$H$148,MATCH(C113,Articles!$A$2:$A$148,0))</f>
        <v>Estimé</v>
      </c>
      <c r="L113" s="9" t="str">
        <f aca="false">INDEX(Articles!$F$2:$F$148,MATCH(C113,Articles!$A$2:$A$148,0))</f>
        <v>Inconnu</v>
      </c>
      <c r="M113" s="17" t="s">
        <v>770</v>
      </c>
      <c r="N113" s="9" t="s">
        <v>167</v>
      </c>
    </row>
    <row r="114" customFormat="false" ht="15" hidden="false" customHeight="false" outlineLevel="0" collapsed="false">
      <c r="A114" s="9" t="s">
        <v>676</v>
      </c>
      <c r="B114" s="9" t="s">
        <v>812</v>
      </c>
      <c r="C114" s="31" t="s">
        <v>205</v>
      </c>
      <c r="D114" s="9" t="str">
        <f aca="false">INDEX(Articles!$C$2:$C$148,MATCH(C114,Articles!$A$2:$A$148,0))</f>
        <v>Calculatrice Casio fx-92 Collège</v>
      </c>
      <c r="E114" s="9" t="str">
        <f aca="false">INDEX(Articles!$B$2:$B$148,MATCH(C114,Articles!$A$2:$A$148,0))</f>
        <v>Papex</v>
      </c>
      <c r="F114" s="31" t="n">
        <v>1</v>
      </c>
      <c r="G114" s="13" t="n">
        <f aca="false">IF(INDEX(Articles!$G$2:$G$148,MATCH(C114,Articles!$A$2:$A$148,0))="","",INDEX(Articles!$G$2:$G$148,MATCH(C114,Articles!$A$2:$A$148,0)))</f>
        <v>8000</v>
      </c>
      <c r="H114" s="13" t="n">
        <f aca="false">IF(G114="",0,F114*G114)</f>
        <v>8000</v>
      </c>
      <c r="I114" s="13" t="n">
        <f aca="false">IF(INDEX(Articles!$E$2:$E$148,MATCH(C114,Articles!$A$2:$A$148,0))="","",INDEX(Articles!$E$2:$E$148,MATCH(C114,Articles!$A$2:$A$148,0)))</f>
        <v>7000</v>
      </c>
      <c r="J114" s="13" t="n">
        <f aca="false">IF(I114="","",F114*I114)</f>
        <v>7000</v>
      </c>
      <c r="K114" s="9" t="str">
        <f aca="false">INDEX(Articles!$H$2:$H$148,MATCH(C114,Articles!$A$2:$A$148,0))</f>
        <v>Fixé</v>
      </c>
      <c r="L114" s="9" t="str">
        <f aca="false">INDEX(Articles!$F$2:$F$148,MATCH(C114,Articles!$A$2:$A$148,0))</f>
        <v>Confirmé</v>
      </c>
      <c r="M114" s="17" t="s">
        <v>820</v>
      </c>
      <c r="N114" s="9" t="s">
        <v>167</v>
      </c>
    </row>
    <row r="115" customFormat="false" ht="15" hidden="false" customHeight="false" outlineLevel="0" collapsed="false">
      <c r="A115" s="9" t="s">
        <v>768</v>
      </c>
      <c r="B115" s="9" t="s">
        <v>861</v>
      </c>
      <c r="C115" s="31" t="s">
        <v>246</v>
      </c>
      <c r="D115" s="9" t="str">
        <f aca="false">INDEX(Articles!$C$2:$C$148,MATCH(C115,Articles!$A$2:$A$148,0))</f>
        <v>Protège-documents porte-vues</v>
      </c>
      <c r="E115" s="9" t="str">
        <f aca="false">INDEX(Articles!$B$2:$B$148,MATCH(C115,Articles!$A$2:$A$148,0))</f>
        <v>LPD</v>
      </c>
      <c r="F115" s="31" t="n">
        <v>1</v>
      </c>
      <c r="G115" s="13" t="n">
        <f aca="false">IF(INDEX(Articles!$G$2:$G$148,MATCH(C115,Articles!$A$2:$A$148,0))="","",INDEX(Articles!$G$2:$G$148,MATCH(C115,Articles!$A$2:$A$148,0)))</f>
        <v>1150</v>
      </c>
      <c r="H115" s="13" t="n">
        <f aca="false">IF(G115="",0,F115*G115)</f>
        <v>1150</v>
      </c>
      <c r="I115" s="13" t="n">
        <f aca="false">IF(INDEX(Articles!$E$2:$E$148,MATCH(C115,Articles!$A$2:$A$148,0))="","",INDEX(Articles!$E$2:$E$148,MATCH(C115,Articles!$A$2:$A$148,0)))</f>
        <v>850</v>
      </c>
      <c r="J115" s="13" t="n">
        <f aca="false">IF(I115="","",F115*I115)</f>
        <v>850</v>
      </c>
      <c r="K115" s="9" t="str">
        <f aca="false">INDEX(Articles!$H$2:$H$148,MATCH(C115,Articles!$A$2:$A$148,0))</f>
        <v>Fixé</v>
      </c>
      <c r="L115" s="9" t="str">
        <f aca="false">INDEX(Articles!$F$2:$F$148,MATCH(C115,Articles!$A$2:$A$148,0))</f>
        <v>Estimé</v>
      </c>
      <c r="M115" s="17"/>
      <c r="N115" s="9" t="s">
        <v>167</v>
      </c>
    </row>
    <row r="116" customFormat="false" ht="15" hidden="false" customHeight="false" outlineLevel="0" collapsed="false">
      <c r="A116" s="9" t="s">
        <v>758</v>
      </c>
      <c r="B116" s="9" t="s">
        <v>759</v>
      </c>
      <c r="C116" s="31" t="s">
        <v>376</v>
      </c>
      <c r="D116" s="9" t="str">
        <f aca="false">INDEX(Articles!$C$2:$C$148,MATCH(C116,Articles!$A$2:$A$148,0))</f>
        <v>Paquet de copies doubles grand format</v>
      </c>
      <c r="E116" s="9" t="str">
        <f aca="false">INDEX(Articles!$B$2:$B$148,MATCH(C116,Articles!$A$2:$A$148,0))</f>
        <v>À préciser</v>
      </c>
      <c r="F116" s="31" t="n">
        <v>1</v>
      </c>
      <c r="G116" s="45" t="n">
        <f aca="false">IF(INDEX(Articles!$G$2:$G$148,MATCH(C116,Articles!$A$2:$A$148,0))="","",INDEX(Articles!$G$2:$G$148,MATCH(C116,Articles!$A$2:$A$148,0)))</f>
        <v>1800</v>
      </c>
      <c r="H116" s="13" t="n">
        <f aca="false">IF(G116="",0,F116*G116)</f>
        <v>1800</v>
      </c>
      <c r="I116" s="13" t="n">
        <f aca="false">IF(INDEX(Articles!$E$2:$E$148,MATCH(C116,Articles!$A$2:$A$148,0))="","",INDEX(Articles!$E$2:$E$148,MATCH(C116,Articles!$A$2:$A$148,0)))</f>
        <v>1300</v>
      </c>
      <c r="J116" s="13" t="n">
        <f aca="false">IF(I116="","",F116*I116)</f>
        <v>1300</v>
      </c>
      <c r="K116" s="9" t="str">
        <f aca="false">INDEX(Articles!$H$2:$H$148,MATCH(C116,Articles!$A$2:$A$148,0))</f>
        <v>Fixé</v>
      </c>
      <c r="L116" s="9" t="str">
        <f aca="false">INDEX(Articles!$F$2:$F$148,MATCH(C116,Articles!$A$2:$A$148,0))</f>
        <v>Confirmé</v>
      </c>
      <c r="M116" s="17"/>
      <c r="N116" s="9" t="s">
        <v>167</v>
      </c>
    </row>
    <row r="117" customFormat="false" ht="15" hidden="false" customHeight="false" outlineLevel="0" collapsed="false">
      <c r="A117" s="9" t="s">
        <v>771</v>
      </c>
      <c r="B117" s="9" t="s">
        <v>772</v>
      </c>
      <c r="C117" s="31" t="s">
        <v>160</v>
      </c>
      <c r="D117" s="9" t="str">
        <f aca="false">INDEX(Articles!$C$2:$C$148,MATCH(C117,Articles!$A$2:$A$148,0))</f>
        <v>Protège-cahier couleur petit format (à l'unité)</v>
      </c>
      <c r="E117" s="9" t="str">
        <f aca="false">INDEX(Articles!$B$2:$B$148,MATCH(C117,Articles!$A$2:$A$148,0))</f>
        <v>LPD</v>
      </c>
      <c r="F117" s="31" t="n">
        <v>4</v>
      </c>
      <c r="G117" s="13" t="n">
        <f aca="false">IF(INDEX(Articles!$G$2:$G$148,MATCH(C117,Articles!$A$2:$A$148,0))="","",INDEX(Articles!$G$2:$G$148,MATCH(C117,Articles!$A$2:$A$148,0)))</f>
        <v>150</v>
      </c>
      <c r="H117" s="13" t="n">
        <f aca="false">IF(G117="",0,F117*G117)</f>
        <v>600</v>
      </c>
      <c r="I117" s="13" t="str">
        <f aca="false">IF(INDEX(Articles!$E$2:$E$148,MATCH(C117,Articles!$A$2:$A$148,0))="","",INDEX(Articles!$E$2:$E$148,MATCH(C117,Articles!$A$2:$A$148,0)))</f>
        <v/>
      </c>
      <c r="J117" s="13" t="str">
        <f aca="false">IF(I117="","",F117*I117)</f>
        <v/>
      </c>
      <c r="K117" s="9" t="str">
        <f aca="false">INDEX(Articles!$H$2:$H$148,MATCH(C117,Articles!$A$2:$A$148,0))</f>
        <v>Fixé</v>
      </c>
      <c r="L117" s="9" t="str">
        <f aca="false">INDEX(Articles!$F$2:$F$148,MATCH(C117,Articles!$A$2:$A$148,0))</f>
        <v>Inconnu</v>
      </c>
      <c r="M117" s="17"/>
      <c r="N117" s="9" t="s">
        <v>167</v>
      </c>
    </row>
    <row r="118" customFormat="false" ht="15" hidden="false" customHeight="false" outlineLevel="0" collapsed="false">
      <c r="A118" s="9" t="s">
        <v>771</v>
      </c>
      <c r="B118" s="9" t="s">
        <v>773</v>
      </c>
      <c r="C118" s="31" t="s">
        <v>419</v>
      </c>
      <c r="D118" s="9" t="str">
        <f aca="false">INDEX(Articles!$C$2:$C$148,MATCH(C118,Articles!$A$2:$A$148,0))</f>
        <v>Protège-cahier grand format (à l'unité)</v>
      </c>
      <c r="E118" s="9" t="str">
        <f aca="false">INDEX(Articles!$B$2:$B$148,MATCH(C118,Articles!$A$2:$A$148,0))</f>
        <v>À préciser</v>
      </c>
      <c r="F118" s="31" t="n">
        <v>9</v>
      </c>
      <c r="G118" s="13" t="str">
        <f aca="false">IF(INDEX(Articles!$G$2:$G$148,MATCH(C118,Articles!$A$2:$A$148,0))="","",INDEX(Articles!$G$2:$G$148,MATCH(C118,Articles!$A$2:$A$148,0)))</f>
        <v/>
      </c>
      <c r="H118" s="13" t="n">
        <f aca="false">IF(G118="",0,F118*G118)</f>
        <v>0</v>
      </c>
      <c r="I118" s="13" t="str">
        <f aca="false">IF(INDEX(Articles!$E$2:$E$148,MATCH(C118,Articles!$A$2:$A$148,0))="","",INDEX(Articles!$E$2:$E$148,MATCH(C118,Articles!$A$2:$A$148,0)))</f>
        <v/>
      </c>
      <c r="J118" s="13" t="str">
        <f aca="false">IF(I118="","",F118*I118)</f>
        <v/>
      </c>
      <c r="K118" s="9" t="str">
        <f aca="false">INDEX(Articles!$H$2:$H$148,MATCH(C118,Articles!$A$2:$A$148,0))</f>
        <v>À fournir</v>
      </c>
      <c r="L118" s="9" t="str">
        <f aca="false">INDEX(Articles!$F$2:$F$148,MATCH(C118,Articles!$A$2:$A$148,0))</f>
        <v>Inconnu</v>
      </c>
      <c r="M118" s="17"/>
      <c r="N118" s="9" t="s">
        <v>167</v>
      </c>
    </row>
    <row r="119" customFormat="false" ht="15" hidden="false" customHeight="false" outlineLevel="0" collapsed="false">
      <c r="A119" s="9" t="s">
        <v>760</v>
      </c>
      <c r="B119" s="9" t="s">
        <v>858</v>
      </c>
      <c r="C119" s="31" t="s">
        <v>497</v>
      </c>
      <c r="D119" s="9" t="str">
        <f aca="false">INDEX(Articles!$C$2:$C$148,MATCH(C119,Articles!$A$2:$A$148,0))</f>
        <v>Les Nouveaux Contes d'Amadou Koumba (Birago Diop)</v>
      </c>
      <c r="E119" s="9" t="str">
        <f aca="false">INDEX(Articles!$B$2:$B$148,MATCH(C119,Articles!$A$2:$A$148,0))</f>
        <v>LPD</v>
      </c>
      <c r="F119" s="31" t="n">
        <v>1</v>
      </c>
      <c r="G119" s="13" t="n">
        <f aca="false">IF(INDEX(Articles!$G$2:$G$148,MATCH(C119,Articles!$A$2:$A$148,0))="","",INDEX(Articles!$G$2:$G$148,MATCH(C119,Articles!$A$2:$A$148,0)))</f>
        <v>3900</v>
      </c>
      <c r="H119" s="13" t="n">
        <f aca="false">IF(G119="",0,F119*G119)</f>
        <v>3900</v>
      </c>
      <c r="I119" s="13" t="n">
        <f aca="false">IF(INDEX(Articles!$E$2:$E$148,MATCH(C119,Articles!$A$2:$A$148,0))="","",INDEX(Articles!$E$2:$E$148,MATCH(C119,Articles!$A$2:$A$148,0)))</f>
        <v>2900</v>
      </c>
      <c r="J119" s="13" t="n">
        <f aca="false">IF(I119="","",F119*I119)</f>
        <v>2900</v>
      </c>
      <c r="K119" s="9" t="str">
        <f aca="false">INDEX(Articles!$H$2:$H$148,MATCH(C119,Articles!$A$2:$A$148,0))</f>
        <v>Fixé</v>
      </c>
      <c r="L119" s="9" t="str">
        <f aca="false">INDEX(Articles!$F$2:$F$148,MATCH(C119,Articles!$A$2:$A$148,0))</f>
        <v>Estimé</v>
      </c>
      <c r="M119" s="17"/>
      <c r="N119" s="9" t="s">
        <v>167</v>
      </c>
    </row>
    <row r="120" customFormat="false" ht="15" hidden="false" customHeight="false" outlineLevel="0" collapsed="false">
      <c r="A120" s="9" t="s">
        <v>777</v>
      </c>
      <c r="B120" s="9" t="s">
        <v>865</v>
      </c>
      <c r="C120" s="31" t="s">
        <v>635</v>
      </c>
      <c r="D120" s="9" t="str">
        <f aca="false">INDEX(Articles!$C$2:$C$148,MATCH(C120,Articles!$A$2:$A$148,0))</f>
        <v>Science de la vie et de la terre 2nde</v>
      </c>
      <c r="E120" s="9" t="str">
        <f aca="false">INDEX(Articles!$B$2:$B$148,MATCH(C120,Articles!$A$2:$A$148,0))</f>
        <v>LPD</v>
      </c>
      <c r="F120" s="31" t="n">
        <v>1</v>
      </c>
      <c r="G120" s="13" t="n">
        <f aca="false">IF(INDEX(Articles!$G$2:$G$148,MATCH(C120,Articles!$A$2:$A$148,0))="","",INDEX(Articles!$G$2:$G$148,MATCH(C120,Articles!$A$2:$A$148,0)))</f>
        <v>4720</v>
      </c>
      <c r="H120" s="13" t="n">
        <f aca="false">IF(G120="",0,F120*G120)</f>
        <v>4720</v>
      </c>
      <c r="I120" s="13" t="n">
        <f aca="false">IF(INDEX(Articles!$E$2:$E$148,MATCH(C120,Articles!$A$2:$A$148,0))="","",INDEX(Articles!$E$2:$E$148,MATCH(C120,Articles!$A$2:$A$148,0)))</f>
        <v>3720</v>
      </c>
      <c r="J120" s="13" t="n">
        <f aca="false">IF(I120="","",F120*I120)</f>
        <v>3720</v>
      </c>
      <c r="K120" s="9" t="str">
        <f aca="false">INDEX(Articles!$H$2:$H$148,MATCH(C120,Articles!$A$2:$A$148,0))</f>
        <v>Fixé</v>
      </c>
      <c r="L120" s="9" t="str">
        <f aca="false">INDEX(Articles!$F$2:$F$148,MATCH(C120,Articles!$A$2:$A$148,0))</f>
        <v>Estimé</v>
      </c>
      <c r="M120" s="17"/>
      <c r="N120" s="9" t="s">
        <v>167</v>
      </c>
    </row>
    <row r="121" customFormat="false" ht="15" hidden="false" customHeight="false" outlineLevel="0" collapsed="false">
      <c r="A121" s="9" t="s">
        <v>678</v>
      </c>
      <c r="B121" s="9" t="s">
        <v>781</v>
      </c>
      <c r="C121" s="31" t="s">
        <v>434</v>
      </c>
      <c r="D121" s="9" t="str">
        <f aca="false">INDEX(Articles!$C$2:$C$148,MATCH(C121,Articles!$A$2:$A$148,0))</f>
        <v>Stylo 4 couleurs Schneider</v>
      </c>
      <c r="E121" s="9" t="str">
        <f aca="false">INDEX(Articles!$B$2:$B$148,MATCH(C121,Articles!$A$2:$A$148,0))</f>
        <v>Papex</v>
      </c>
      <c r="F121" s="31" t="n">
        <v>1</v>
      </c>
      <c r="G121" s="13" t="n">
        <f aca="false">IF(INDEX(Articles!$G$2:$G$148,MATCH(C121,Articles!$A$2:$A$148,0))="","",INDEX(Articles!$G$2:$G$148,MATCH(C121,Articles!$A$2:$A$148,0)))</f>
        <v>1750</v>
      </c>
      <c r="H121" s="13" t="n">
        <f aca="false">IF(G121="",0,F121*G121)</f>
        <v>1750</v>
      </c>
      <c r="I121" s="13" t="n">
        <f aca="false">IF(INDEX(Articles!$E$2:$E$148,MATCH(C121,Articles!$A$2:$A$148,0))="","",INDEX(Articles!$E$2:$E$148,MATCH(C121,Articles!$A$2:$A$148,0)))</f>
        <v>1500</v>
      </c>
      <c r="J121" s="13" t="n">
        <f aca="false">IF(I121="","",F121*I121)</f>
        <v>1500</v>
      </c>
      <c r="K121" s="9" t="str">
        <f aca="false">INDEX(Articles!$H$2:$H$148,MATCH(C121,Articles!$A$2:$A$148,0))</f>
        <v>Fixé</v>
      </c>
      <c r="L121" s="9" t="str">
        <f aca="false">INDEX(Articles!$F$2:$F$148,MATCH(C121,Articles!$A$2:$A$148,0))</f>
        <v>Confirmé</v>
      </c>
      <c r="M121" s="17"/>
      <c r="N121" s="9" t="s">
        <v>167</v>
      </c>
    </row>
    <row r="122" customFormat="false" ht="15" hidden="false" customHeight="false" outlineLevel="0" collapsed="false">
      <c r="A122" s="9" t="s">
        <v>678</v>
      </c>
      <c r="B122" s="9" t="s">
        <v>782</v>
      </c>
      <c r="C122" s="31" t="s">
        <v>174</v>
      </c>
      <c r="D122" s="9" t="str">
        <f aca="false">INDEX(Articles!$C$2:$C$148,MATCH(C122,Articles!$A$2:$A$148,0))</f>
        <v>Correcteur souris ARK</v>
      </c>
      <c r="E122" s="9" t="str">
        <f aca="false">INDEX(Articles!$B$2:$B$148,MATCH(C122,Articles!$A$2:$A$148,0))</f>
        <v>Papex</v>
      </c>
      <c r="F122" s="31" t="n">
        <v>1</v>
      </c>
      <c r="G122" s="13" t="n">
        <f aca="false">IF(INDEX(Articles!$G$2:$G$148,MATCH(C122,Articles!$A$2:$A$148,0))="","",INDEX(Articles!$G$2:$G$148,MATCH(C122,Articles!$A$2:$A$148,0)))</f>
        <v>1000</v>
      </c>
      <c r="H122" s="13" t="n">
        <f aca="false">IF(G122="",0,F122*G122)</f>
        <v>1000</v>
      </c>
      <c r="I122" s="13" t="n">
        <f aca="false">IF(INDEX(Articles!$E$2:$E$148,MATCH(C122,Articles!$A$2:$A$148,0))="","",INDEX(Articles!$E$2:$E$148,MATCH(C122,Articles!$A$2:$A$148,0)))</f>
        <v>700</v>
      </c>
      <c r="J122" s="13" t="n">
        <f aca="false">IF(I122="","",F122*I122)</f>
        <v>700</v>
      </c>
      <c r="K122" s="9" t="str">
        <f aca="false">INDEX(Articles!$H$2:$H$148,MATCH(C122,Articles!$A$2:$A$148,0))</f>
        <v>Fixé</v>
      </c>
      <c r="L122" s="9" t="str">
        <f aca="false">INDEX(Articles!$F$2:$F$148,MATCH(C122,Articles!$A$2:$A$148,0))</f>
        <v>Confirmé</v>
      </c>
      <c r="M122" s="17"/>
      <c r="N122" s="9" t="s">
        <v>167</v>
      </c>
    </row>
    <row r="123" customFormat="false" ht="15" hidden="false" customHeight="false" outlineLevel="0" collapsed="false">
      <c r="A123" s="9" t="s">
        <v>783</v>
      </c>
      <c r="B123" s="9" t="s">
        <v>866</v>
      </c>
      <c r="C123" s="31" t="s">
        <v>499</v>
      </c>
      <c r="D123" s="9" t="str">
        <f aca="false">INDEX(Articles!$C$2:$C$148,MATCH(C123,Articles!$A$2:$A$148,0))</f>
        <v>Le Marabout de la sécheresse (Cheik Aliou Ndao)</v>
      </c>
      <c r="E123" s="9" t="str">
        <f aca="false">INDEX(Articles!$B$2:$B$148,MATCH(C123,Articles!$A$2:$A$148,0))</f>
        <v>LPD</v>
      </c>
      <c r="F123" s="31" t="n">
        <v>1</v>
      </c>
      <c r="G123" s="13" t="n">
        <f aca="false">IF(INDEX(Articles!$G$2:$G$148,MATCH(C123,Articles!$A$2:$A$148,0))="","",INDEX(Articles!$G$2:$G$148,MATCH(C123,Articles!$A$2:$A$148,0)))</f>
        <v>2800</v>
      </c>
      <c r="H123" s="13" t="n">
        <f aca="false">IF(G123="",0,F123*G123)</f>
        <v>2800</v>
      </c>
      <c r="I123" s="13" t="n">
        <f aca="false">IF(INDEX(Articles!$E$2:$E$148,MATCH(C123,Articles!$A$2:$A$148,0))="","",INDEX(Articles!$E$2:$E$148,MATCH(C123,Articles!$A$2:$A$148,0)))</f>
        <v>1800</v>
      </c>
      <c r="J123" s="13" t="n">
        <f aca="false">IF(I123="","",F123*I123)</f>
        <v>1800</v>
      </c>
      <c r="K123" s="9" t="str">
        <f aca="false">INDEX(Articles!$H$2:$H$148,MATCH(C123,Articles!$A$2:$A$148,0))</f>
        <v>Fixé</v>
      </c>
      <c r="L123" s="9" t="str">
        <f aca="false">INDEX(Articles!$F$2:$F$148,MATCH(C123,Articles!$A$2:$A$148,0))</f>
        <v>Confirmé</v>
      </c>
      <c r="M123" s="17"/>
      <c r="N123" s="9" t="s">
        <v>167</v>
      </c>
    </row>
    <row r="124" customFormat="false" ht="15" hidden="false" customHeight="false" outlineLevel="0" collapsed="false">
      <c r="A124" s="9" t="s">
        <v>783</v>
      </c>
      <c r="B124" s="9" t="s">
        <v>784</v>
      </c>
      <c r="C124" s="31" t="s">
        <v>502</v>
      </c>
      <c r="D124" s="9" t="str">
        <f aca="false">INDEX(Articles!$C$2:$C$148,MATCH(C124,Articles!$A$2:$A$148,0))</f>
        <v>L'Enfant noir (Camara Laye)</v>
      </c>
      <c r="E124" s="9" t="str">
        <f aca="false">INDEX(Articles!$B$2:$B$148,MATCH(C124,Articles!$A$2:$A$148,0))</f>
        <v>LPD</v>
      </c>
      <c r="F124" s="31" t="n">
        <v>1</v>
      </c>
      <c r="G124" s="13" t="n">
        <f aca="false">IF(INDEX(Articles!$G$2:$G$148,MATCH(C124,Articles!$A$2:$A$148,0))="","",INDEX(Articles!$G$2:$G$148,MATCH(C124,Articles!$A$2:$A$148,0)))</f>
        <v>2800</v>
      </c>
      <c r="H124" s="13" t="n">
        <f aca="false">IF(G124="",0,F124*G124)</f>
        <v>2800</v>
      </c>
      <c r="I124" s="13" t="n">
        <f aca="false">IF(INDEX(Articles!$E$2:$E$148,MATCH(C124,Articles!$A$2:$A$148,0))="","",INDEX(Articles!$E$2:$E$148,MATCH(C124,Articles!$A$2:$A$148,0)))</f>
        <v>1800</v>
      </c>
      <c r="J124" s="13" t="n">
        <f aca="false">IF(I124="","",F124*I124)</f>
        <v>1800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703</v>
      </c>
      <c r="B125" s="9" t="s">
        <v>867</v>
      </c>
      <c r="C125" s="31" t="s">
        <v>637</v>
      </c>
      <c r="D125" s="9" t="str">
        <f aca="false">INDEX(Articles!$C$2:$C$148,MATCH(C125,Articles!$A$2:$A$148,0))</f>
        <v>Cahier d’activités SVT 2nde</v>
      </c>
      <c r="E125" s="9" t="str">
        <f aca="false">INDEX(Articles!$B$2:$B$148,MATCH(C125,Articles!$A$2:$A$148,0))</f>
        <v>LPD</v>
      </c>
      <c r="F125" s="31" t="n">
        <v>1</v>
      </c>
      <c r="G125" s="13" t="n">
        <f aca="false">IF(INDEX(Articles!$G$2:$G$148,MATCH(C125,Articles!$A$2:$A$148,0))="","",INDEX(Articles!$G$2:$G$148,MATCH(C125,Articles!$A$2:$A$148,0)))</f>
        <v>3660</v>
      </c>
      <c r="H125" s="13" t="n">
        <f aca="false">IF(G125="",0,F125*G125)</f>
        <v>3660</v>
      </c>
      <c r="I125" s="13" t="n">
        <f aca="false">IF(INDEX(Articles!$E$2:$E$148,MATCH(C125,Articles!$A$2:$A$148,0))="","",INDEX(Articles!$E$2:$E$148,MATCH(C125,Articles!$A$2:$A$148,0)))</f>
        <v>2660</v>
      </c>
      <c r="J125" s="13" t="n">
        <f aca="false">IF(I125="","",F125*I125)</f>
        <v>2660</v>
      </c>
      <c r="K125" s="9" t="str">
        <f aca="false">INDEX(Articles!$H$2:$H$148,MATCH(C125,Articles!$A$2:$A$148,0))</f>
        <v>Fixé</v>
      </c>
      <c r="L125" s="9" t="str">
        <f aca="false">INDEX(Articles!$F$2:$F$148,MATCH(C125,Articles!$A$2:$A$148,0))</f>
        <v>Estimé</v>
      </c>
      <c r="M125" s="17"/>
      <c r="N125" s="9" t="s">
        <v>167</v>
      </c>
    </row>
    <row r="126" customFormat="false" ht="15" hidden="false" customHeight="false" outlineLevel="0" collapsed="false">
      <c r="A126" s="9" t="s">
        <v>703</v>
      </c>
      <c r="B126" s="9" t="s">
        <v>868</v>
      </c>
      <c r="C126" s="31" t="s">
        <v>641</v>
      </c>
      <c r="D126" s="9" t="str">
        <f aca="false">INDEX(Articles!$C$2:$C$148,MATCH(C126,Articles!$A$2:$A$148,0))</f>
        <v>Livre de Français 2nde</v>
      </c>
      <c r="E126" s="9" t="str">
        <f aca="false">INDEX(Articles!$B$2:$B$148,MATCH(C126,Articles!$A$2:$A$148,0))</f>
        <v>LPD</v>
      </c>
      <c r="F126" s="31" t="n">
        <v>1</v>
      </c>
      <c r="G126" s="13" t="n">
        <f aca="false">IF(INDEX(Articles!$G$2:$G$148,MATCH(C126,Articles!$A$2:$A$148,0))="","",INDEX(Articles!$G$2:$G$148,MATCH(C126,Articles!$A$2:$A$148,0)))</f>
        <v>4720</v>
      </c>
      <c r="H126" s="13" t="n">
        <f aca="false">IF(G126="",0,F126*G126)</f>
        <v>4720</v>
      </c>
      <c r="I126" s="13" t="n">
        <f aca="false">IF(INDEX(Articles!$E$2:$E$148,MATCH(C126,Articles!$A$2:$A$148,0))="","",INDEX(Articles!$E$2:$E$148,MATCH(C126,Articles!$A$2:$A$148,0)))</f>
        <v>3720</v>
      </c>
      <c r="J126" s="13" t="n">
        <f aca="false">IF(I126="","",F126*I126)</f>
        <v>3720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D127" s="32" t="s">
        <v>683</v>
      </c>
      <c r="E127" s="32"/>
      <c r="F127" s="32"/>
      <c r="G127" s="32"/>
      <c r="H127" s="33" t="n">
        <f aca="false">COUNTIF(G91:G126,"")</f>
        <v>1</v>
      </c>
    </row>
    <row r="128" customFormat="false" ht="15" hidden="false" customHeight="false" outlineLevel="0" collapsed="false">
      <c r="D128" s="32" t="s">
        <v>684</v>
      </c>
      <c r="E128" s="32"/>
      <c r="F128" s="32"/>
      <c r="G128" s="32"/>
      <c r="H128" s="33" t="n">
        <f aca="false">SUM(H91:H126)</f>
        <v>64725</v>
      </c>
    </row>
    <row r="129" customFormat="false" ht="15" hidden="false" customHeight="false" outlineLevel="0" collapsed="false">
      <c r="D129" s="32" t="s">
        <v>28</v>
      </c>
      <c r="E129" s="32"/>
      <c r="F129" s="32"/>
      <c r="G129" s="32"/>
      <c r="H129" s="33" t="n">
        <f aca="false">SUM(J91:J126)</f>
        <v>50360</v>
      </c>
    </row>
    <row r="130" customFormat="false" ht="15" hidden="false" customHeight="false" outlineLevel="0" collapsed="false">
      <c r="D130" s="32" t="s">
        <v>685</v>
      </c>
      <c r="E130" s="32"/>
      <c r="F130" s="32"/>
      <c r="G130" s="32"/>
      <c r="H130" s="33" t="n">
        <f aca="false">COUNTIF(I91:I126,"")</f>
        <v>5</v>
      </c>
    </row>
    <row r="131" customFormat="false" ht="15" hidden="false" customHeight="false" outlineLevel="0" collapsed="false">
      <c r="D131" s="32" t="s">
        <v>686</v>
      </c>
      <c r="E131" s="32"/>
      <c r="F131" s="32"/>
      <c r="G131" s="32"/>
      <c r="H131" s="33" t="n">
        <f aca="false">SUMPRODUCT((I91:I126&lt;&gt;"")*H91:H126)-H129</f>
        <v>12790</v>
      </c>
    </row>
    <row r="132" customFormat="false" ht="15" hidden="false" customHeight="false" outlineLevel="0" collapsed="false">
      <c r="D132" s="32" t="s">
        <v>687</v>
      </c>
      <c r="E132" s="32"/>
      <c r="F132" s="32"/>
      <c r="G132" s="32"/>
      <c r="H132" s="33" t="n">
        <f aca="false">SUMIF(A91:A126,"Cahiers",F91:F126)</f>
        <v>13</v>
      </c>
    </row>
    <row r="133" customFormat="false" ht="15" hidden="false" customHeight="false" outlineLevel="0" collapsed="false">
      <c r="D133" s="32" t="s">
        <v>688</v>
      </c>
      <c r="E133" s="32"/>
      <c r="F133" s="32"/>
      <c r="G133" s="32"/>
      <c r="H133" s="34" t="n">
        <f aca="false">IF(H128=0,0,SUMIF(K91:K126,"&lt;&gt;Fixé",H91:H126)/H128)</f>
        <v>0.123599845500193</v>
      </c>
    </row>
    <row r="134" customFormat="false" ht="15" hidden="false" customHeight="false" outlineLevel="0" collapsed="false">
      <c r="D134" s="32" t="s">
        <v>689</v>
      </c>
      <c r="E134" s="32"/>
      <c r="F134" s="32"/>
      <c r="G134" s="32"/>
      <c r="H134" s="33" t="str">
        <f aca="false">IF(H127&gt;0,"Total incomplet : "&amp;H127&amp;" prix de vente à fournir",IF(H130&gt;0,"Coût incomplet : "&amp;H130&amp;" ligne(s) sans prix d'achat","Complet"))</f>
        <v>Total incomplet : 1 prix de vente à fournir</v>
      </c>
    </row>
    <row r="135" customFormat="false" ht="15" hidden="false" customHeight="false" outlineLevel="0" collapsed="false">
      <c r="D135" s="21" t="s">
        <v>696</v>
      </c>
      <c r="E135" s="21" t="str">
        <f aca="false">INDEX(Articles!$C$2:$C$148,MATCH("S020",Articles!$A$2:$A$148,0))</f>
        <v>Sac à dos bleu marine</v>
      </c>
      <c r="H135" s="41" t="n">
        <f aca="false">INDEX(Articles!$G$2:$G$148,MATCH("S020",Articles!$A$2:$A$148,0))</f>
        <v>7000</v>
      </c>
    </row>
    <row r="136" customFormat="false" ht="15" hidden="false" customHeight="false" outlineLevel="0" collapsed="false">
      <c r="D136" s="42" t="s">
        <v>697</v>
      </c>
      <c r="E136" s="43" t="s">
        <v>862</v>
      </c>
    </row>
    <row r="137" customFormat="false" ht="15" hidden="false" customHeight="false" outlineLevel="0" collapsed="false">
      <c r="E137" s="43" t="s">
        <v>863</v>
      </c>
    </row>
    <row r="138" customFormat="false" ht="15" hidden="false" customHeight="false" outlineLevel="0" collapsed="false">
      <c r="E138" s="43" t="s">
        <v>869</v>
      </c>
    </row>
    <row r="139" customFormat="false" ht="15" hidden="false" customHeight="false" outlineLevel="0" collapsed="false">
      <c r="E139" s="43" t="s">
        <v>870</v>
      </c>
    </row>
  </sheetData>
  <mergeCells count="24">
    <mergeCell ref="D29:G29"/>
    <mergeCell ref="D30:G30"/>
    <mergeCell ref="D31:G31"/>
    <mergeCell ref="D32:G32"/>
    <mergeCell ref="D33:G33"/>
    <mergeCell ref="D34:G34"/>
    <mergeCell ref="D35:G35"/>
    <mergeCell ref="D36:G36"/>
    <mergeCell ref="D76:G76"/>
    <mergeCell ref="D77:G77"/>
    <mergeCell ref="D78:G78"/>
    <mergeCell ref="D79:G79"/>
    <mergeCell ref="D80:G80"/>
    <mergeCell ref="D81:G81"/>
    <mergeCell ref="D82:G82"/>
    <mergeCell ref="D83:G83"/>
    <mergeCell ref="D127:G127"/>
    <mergeCell ref="D128:G128"/>
    <mergeCell ref="D129:G129"/>
    <mergeCell ref="D130:G130"/>
    <mergeCell ref="D131:G131"/>
    <mergeCell ref="D132:G132"/>
    <mergeCell ref="D133:G133"/>
    <mergeCell ref="D134:G1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871</v>
      </c>
    </row>
    <row r="2" customFormat="false" ht="15" hidden="false" customHeight="false" outlineLevel="0" collapsed="false">
      <c r="A2" s="21" t="s">
        <v>848</v>
      </c>
    </row>
    <row r="4" customFormat="false" ht="15" hidden="false" customHeight="false" outlineLevel="0" collapsed="false">
      <c r="A4" s="28" t="s">
        <v>872</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745</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850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851</v>
      </c>
      <c r="C8" s="31" t="s">
        <v>210</v>
      </c>
      <c r="D8" s="9" t="str">
        <f aca="false">INDEX(Articles!$C$2:$C$148,MATCH(C8,Articles!$A$2:$A$148,0))</f>
        <v>Cahier L'écolier 192 pages</v>
      </c>
      <c r="E8" s="9" t="str">
        <f aca="false">INDEX(Articles!$B$2:$B$148,MATCH(C8,Articles!$A$2:$A$148,0))</f>
        <v>Papex</v>
      </c>
      <c r="F8" s="31" t="n">
        <v>2</v>
      </c>
      <c r="G8" s="13" t="n">
        <f aca="false">IF(INDEX(Articles!$G$2:$G$148,MATCH(C8,Articles!$A$2:$A$148,0))="","",INDEX(Articles!$G$2:$G$148,MATCH(C8,Articles!$A$2:$A$148,0)))</f>
        <v>500</v>
      </c>
      <c r="H8" s="13" t="n">
        <f aca="false">IF(G8="",0,F8*G8)</f>
        <v>1000</v>
      </c>
      <c r="I8" s="13" t="n">
        <f aca="false">IF(INDEX(Articles!$E$2:$E$148,MATCH(C8,Articles!$A$2:$A$148,0))="","",INDEX(Articles!$E$2:$E$148,MATCH(C8,Articles!$A$2:$A$148,0)))</f>
        <v>400</v>
      </c>
      <c r="J8" s="13" t="n">
        <f aca="false">IF(I8="","",F8*I8)</f>
        <v>800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852</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853</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873</v>
      </c>
      <c r="C13" s="31" t="s">
        <v>210</v>
      </c>
      <c r="D13" s="9" t="str">
        <f aca="false">INDEX(Articles!$C$2:$C$148,MATCH(C13,Articles!$A$2:$A$148,0))</f>
        <v>Cahier L'écolier 192 pages</v>
      </c>
      <c r="E13" s="9" t="str">
        <f aca="false">INDEX(Articles!$B$2:$B$148,MATCH(C13,Articles!$A$2:$A$148,0))</f>
        <v>Papex</v>
      </c>
      <c r="F13" s="31" t="n">
        <v>2</v>
      </c>
      <c r="G13" s="13" t="n">
        <f aca="false">IF(INDEX(Articles!$G$2:$G$148,MATCH(C13,Articles!$A$2:$A$148,0))="","",INDEX(Articles!$G$2:$G$148,MATCH(C13,Articles!$A$2:$A$148,0)))</f>
        <v>500</v>
      </c>
      <c r="H13" s="13" t="n">
        <f aca="false">IF(G13="",0,F13*G13)</f>
        <v>1000</v>
      </c>
      <c r="I13" s="13" t="n">
        <f aca="false">IF(INDEX(Articles!$E$2:$E$148,MATCH(C13,Articles!$A$2:$A$148,0))="","",INDEX(Articles!$E$2:$E$148,MATCH(C13,Articles!$A$2:$A$148,0)))</f>
        <v>400</v>
      </c>
      <c r="J13" s="13" t="n">
        <f aca="false">IF(I13="","",F13*I13)</f>
        <v>800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831</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855</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678</v>
      </c>
      <c r="B16" s="9" t="s">
        <v>749</v>
      </c>
      <c r="C16" s="31" t="s">
        <v>222</v>
      </c>
      <c r="D16" s="9" t="str">
        <f aca="false">INDEX(Articles!$C$2:$C$148,MATCH(C16,Articles!$A$2:$A$148,0))</f>
        <v>Pack de 4 stylos Schneider Tops 505 M (bleu, noir, rouge, vert)</v>
      </c>
      <c r="E16" s="9" t="str">
        <f aca="false">INDEX(Articles!$B$2:$B$148,MATCH(C16,Articles!$A$2:$A$148,0))</f>
        <v>Papex</v>
      </c>
      <c r="F16" s="31" t="n">
        <v>1</v>
      </c>
      <c r="G16" s="13" t="n">
        <f aca="false">IF(INDEX(Articles!$G$2:$G$148,MATCH(C16,Articles!$A$2:$A$148,0))="","",INDEX(Articles!$G$2:$G$148,MATCH(C16,Articles!$A$2:$A$148,0)))</f>
        <v>400</v>
      </c>
      <c r="H16" s="13" t="n">
        <f aca="false">IF(G16="",0,F16*G16)</f>
        <v>400</v>
      </c>
      <c r="I16" s="13" t="str">
        <f aca="false">IF(INDEX(Articles!$E$2:$E$148,MATCH(C16,Articles!$A$2:$A$148,0))="","",INDEX(Articles!$E$2:$E$148,MATCH(C16,Articles!$A$2:$A$148,0)))</f>
        <v/>
      </c>
      <c r="J16" s="13" t="str">
        <f aca="false">IF(I16="","",F16*I16)</f>
        <v/>
      </c>
      <c r="K16" s="9" t="str">
        <f aca="false">INDEX(Articles!$H$2:$H$148,MATCH(C16,Articles!$A$2:$A$148,0))</f>
        <v>Fixé</v>
      </c>
      <c r="L16" s="9" t="str">
        <f aca="false">INDEX(Articles!$F$2:$F$148,MATCH(C16,Articles!$A$2:$A$148,0))</f>
        <v>Inconnu</v>
      </c>
      <c r="M16" s="17" t="s">
        <v>432</v>
      </c>
      <c r="N16" s="9" t="s">
        <v>167</v>
      </c>
    </row>
    <row r="17" customFormat="false" ht="15" hidden="false" customHeight="false" outlineLevel="0" collapsed="false">
      <c r="A17" s="9" t="s">
        <v>678</v>
      </c>
      <c r="B17" s="9" t="s">
        <v>750</v>
      </c>
      <c r="C17" s="31" t="s">
        <v>235</v>
      </c>
      <c r="D17" s="9" t="str">
        <f aca="false">INDEX(Articles!$C$2:$C$148,MATCH(C17,Articles!$A$2:$A$148,0))</f>
        <v>Crayon papier (vendu à l'unité)</v>
      </c>
      <c r="E17" s="9" t="str">
        <f aca="false">INDEX(Articles!$B$2:$B$148,MATCH(C17,Articles!$A$2:$A$148,0))</f>
        <v>LPD</v>
      </c>
      <c r="F17" s="31" t="n">
        <v>1</v>
      </c>
      <c r="G17" s="13" t="n">
        <f aca="false">IF(INDEX(Articles!$G$2:$G$148,MATCH(C17,Articles!$A$2:$A$148,0))="","",INDEX(Articles!$G$2:$G$148,MATCH(C17,Articles!$A$2:$A$148,0)))</f>
        <v>75</v>
      </c>
      <c r="H17" s="13" t="n">
        <f aca="false">IF(G17="",0,F17*G17)</f>
        <v>75</v>
      </c>
      <c r="I17" s="13" t="str">
        <f aca="false">IF(INDEX(Articles!$E$2:$E$148,MATCH(C17,Articles!$A$2:$A$148,0))="","",INDEX(Articles!$E$2:$E$148,MATCH(C17,Articles!$A$2:$A$148,0)))</f>
        <v/>
      </c>
      <c r="J17" s="13" t="str">
        <f aca="false">IF(I17="","",F17*I17)</f>
        <v/>
      </c>
      <c r="K17" s="9" t="str">
        <f aca="false">INDEX(Articles!$H$2:$H$148,MATCH(C17,Articles!$A$2:$A$148,0))</f>
        <v>Fixé</v>
      </c>
      <c r="L17" s="9" t="str">
        <f aca="false">INDEX(Articles!$F$2:$F$148,MATCH(C17,Articles!$A$2:$A$148,0))</f>
        <v>Inconnu</v>
      </c>
      <c r="M17" s="17"/>
      <c r="N17" s="9" t="s">
        <v>167</v>
      </c>
    </row>
    <row r="18" customFormat="false" ht="15" hidden="false" customHeight="false" outlineLevel="0" collapsed="false">
      <c r="A18" s="9" t="s">
        <v>675</v>
      </c>
      <c r="B18" s="9" t="s">
        <v>717</v>
      </c>
      <c r="C18" s="31" t="s">
        <v>180</v>
      </c>
      <c r="D18" s="9" t="str">
        <f aca="false">INDEX(Articles!$C$2:$C$148,MATCH(C18,Articles!$A$2:$A$148,0))</f>
        <v>Gomme Staedtler Mars Plastic</v>
      </c>
      <c r="E18" s="9" t="str">
        <f aca="false">INDEX(Articles!$B$2:$B$148,MATCH(C18,Articles!$A$2:$A$148,0))</f>
        <v>LPD</v>
      </c>
      <c r="F18" s="31" t="n">
        <v>1</v>
      </c>
      <c r="G18" s="13" t="n">
        <f aca="false">IF(INDEX(Articles!$G$2:$G$148,MATCH(C18,Articles!$A$2:$A$148,0))="","",INDEX(Articles!$G$2:$G$148,MATCH(C18,Articles!$A$2:$A$148,0)))</f>
        <v>250</v>
      </c>
      <c r="H18" s="13" t="n">
        <f aca="false">IF(G18="",0,F18*G18)</f>
        <v>250</v>
      </c>
      <c r="I18" s="13" t="n">
        <f aca="false">IF(INDEX(Articles!$E$2:$E$148,MATCH(C18,Articles!$A$2:$A$148,0))="","",INDEX(Articles!$E$2:$E$148,MATCH(C18,Articles!$A$2:$A$148,0)))</f>
        <v>110</v>
      </c>
      <c r="J18" s="13" t="n">
        <f aca="false">IF(I18="","",F18*I18)</f>
        <v>110</v>
      </c>
      <c r="K18" s="9" t="str">
        <f aca="false">INDEX(Articles!$H$2:$H$148,MATCH(C18,Articles!$A$2:$A$148,0))</f>
        <v>Fixé</v>
      </c>
      <c r="L18" s="9" t="str">
        <f aca="false">INDEX(Articles!$F$2:$F$148,MATCH(C18,Articles!$A$2:$A$148,0))</f>
        <v>Estimé</v>
      </c>
      <c r="M18" s="17"/>
      <c r="N18" s="9" t="s">
        <v>167</v>
      </c>
    </row>
    <row r="19" customFormat="false" ht="15" hidden="false" customHeight="false" outlineLevel="0" collapsed="false">
      <c r="A19" s="9" t="s">
        <v>675</v>
      </c>
      <c r="B19" s="9" t="s">
        <v>751</v>
      </c>
      <c r="C19" s="31" t="s">
        <v>183</v>
      </c>
      <c r="D19" s="9" t="str">
        <f aca="false">INDEX(Articles!$C$2:$C$148,MATCH(C19,Articles!$A$2:$A$148,0))</f>
        <v>Taille-crayon avec réservoir Maped</v>
      </c>
      <c r="E19" s="9" t="str">
        <f aca="false">INDEX(Articles!$B$2:$B$148,MATCH(C19,Articles!$A$2:$A$148,0))</f>
        <v>Papex</v>
      </c>
      <c r="F19" s="31" t="n">
        <v>1</v>
      </c>
      <c r="G19" s="13" t="n">
        <f aca="false">IF(INDEX(Articles!$G$2:$G$148,MATCH(C19,Articles!$A$2:$A$148,0))="","",INDEX(Articles!$G$2:$G$148,MATCH(C19,Articles!$A$2:$A$148,0)))</f>
        <v>500</v>
      </c>
      <c r="H19" s="13" t="n">
        <f aca="false">IF(G19="",0,F19*G19)</f>
        <v>500</v>
      </c>
      <c r="I19" s="13" t="n">
        <f aca="false">IF(INDEX(Articles!$E$2:$E$148,MATCH(C19,Articles!$A$2:$A$148,0))="","",INDEX(Articles!$E$2:$E$148,MATCH(C19,Articles!$A$2:$A$148,0)))</f>
        <v>350</v>
      </c>
      <c r="J19" s="13" t="n">
        <f aca="false">IF(I19="","",F19*I19)</f>
        <v>350</v>
      </c>
      <c r="K19" s="9" t="str">
        <f aca="false">INDEX(Articles!$H$2:$H$148,MATCH(C19,Articles!$A$2:$A$148,0))</f>
        <v>Estimé</v>
      </c>
      <c r="L19" s="9" t="str">
        <f aca="false">INDEX(Articles!$F$2:$F$148,MATCH(C19,Articles!$A$2:$A$148,0))</f>
        <v>Estimé</v>
      </c>
      <c r="M19" s="17" t="s">
        <v>752</v>
      </c>
      <c r="N19" s="9" t="s">
        <v>167</v>
      </c>
    </row>
    <row r="20" customFormat="false" ht="15" hidden="false" customHeight="false" outlineLevel="0" collapsed="false">
      <c r="A20" s="9" t="s">
        <v>675</v>
      </c>
      <c r="B20" s="9" t="s">
        <v>753</v>
      </c>
      <c r="C20" s="31" t="s">
        <v>250</v>
      </c>
      <c r="D20" s="9" t="str">
        <f aca="false">INDEX(Articles!$C$2:$C$148,MATCH(C20,Articles!$A$2:$A$148,0))</f>
        <v>Bâton de colle Giotto 10 g</v>
      </c>
      <c r="E20" s="9" t="str">
        <f aca="false">INDEX(Articles!$B$2:$B$148,MATCH(C20,Articles!$A$2:$A$148,0))</f>
        <v>Papex</v>
      </c>
      <c r="F20" s="31" t="n">
        <v>1</v>
      </c>
      <c r="G20" s="13" t="n">
        <f aca="false">IF(INDEX(Articles!$G$2:$G$148,MATCH(C20,Articles!$A$2:$A$148,0))="","",INDEX(Articles!$G$2:$G$148,MATCH(C20,Articles!$A$2:$A$148,0)))</f>
        <v>500</v>
      </c>
      <c r="H20" s="13" t="n">
        <f aca="false">IF(G20="",0,F20*G20)</f>
        <v>500</v>
      </c>
      <c r="I20" s="13" t="n">
        <f aca="false">IF(INDEX(Articles!$E$2:$E$148,MATCH(C20,Articles!$A$2:$A$148,0))="","",INDEX(Articles!$E$2:$E$148,MATCH(C20,Articles!$A$2:$A$148,0)))</f>
        <v>350</v>
      </c>
      <c r="J20" s="13" t="n">
        <f aca="false">IF(I20="","",F20*I20)</f>
        <v>350</v>
      </c>
      <c r="K20" s="9" t="str">
        <f aca="false">INDEX(Articles!$H$2:$H$148,MATCH(C20,Articles!$A$2:$A$148,0))</f>
        <v>Estimé</v>
      </c>
      <c r="L20" s="9" t="str">
        <f aca="false">INDEX(Articles!$F$2:$F$148,MATCH(C20,Articles!$A$2:$A$148,0))</f>
        <v>Estimé</v>
      </c>
      <c r="M20" s="17"/>
      <c r="N20" s="9" t="s">
        <v>167</v>
      </c>
    </row>
    <row r="21" customFormat="false" ht="15" hidden="false" customHeight="false" outlineLevel="0" collapsed="false">
      <c r="A21" s="9" t="s">
        <v>675</v>
      </c>
      <c r="B21" s="9" t="s">
        <v>754</v>
      </c>
      <c r="C21" s="31" t="s">
        <v>233</v>
      </c>
      <c r="D21" s="9" t="str">
        <f aca="false">INDEX(Articles!$C$2:$C$148,MATCH(C21,Articles!$A$2:$A$148,0))</f>
        <v>Ciseaux scolaires bouts ronds</v>
      </c>
      <c r="E21" s="9" t="str">
        <f aca="false">INDEX(Articles!$B$2:$B$148,MATCH(C21,Articles!$A$2:$A$148,0))</f>
        <v>LPD</v>
      </c>
      <c r="F21" s="31" t="n">
        <v>1</v>
      </c>
      <c r="G21" s="13" t="n">
        <f aca="false">IF(INDEX(Articles!$G$2:$G$148,MATCH(C21,Articles!$A$2:$A$148,0))="","",INDEX(Articles!$G$2:$G$148,MATCH(C21,Articles!$A$2:$A$148,0)))</f>
        <v>250</v>
      </c>
      <c r="H21" s="13" t="n">
        <f aca="false">IF(G21="",0,F21*G21)</f>
        <v>250</v>
      </c>
      <c r="I21" s="13" t="n">
        <f aca="false">IF(INDEX(Articles!$E$2:$E$148,MATCH(C21,Articles!$A$2:$A$148,0))="","",INDEX(Articles!$E$2:$E$148,MATCH(C21,Articles!$A$2:$A$148,0)))</f>
        <v>100</v>
      </c>
      <c r="J21" s="13" t="n">
        <f aca="false">IF(I21="","",F21*I21)</f>
        <v>100</v>
      </c>
      <c r="K21" s="9" t="str">
        <f aca="false">INDEX(Articles!$H$2:$H$148,MATCH(C21,Articles!$A$2:$A$148,0))</f>
        <v>Fixé</v>
      </c>
      <c r="L21" s="9" t="str">
        <f aca="false">INDEX(Articles!$F$2:$F$148,MATCH(C21,Articles!$A$2:$A$148,0))</f>
        <v>Estimé</v>
      </c>
      <c r="M21" s="17"/>
      <c r="N21" s="9" t="s">
        <v>167</v>
      </c>
    </row>
    <row r="22" customFormat="false" ht="15" hidden="false" customHeight="false" outlineLevel="0" collapsed="false">
      <c r="A22" s="9" t="s">
        <v>676</v>
      </c>
      <c r="B22" s="9" t="s">
        <v>755</v>
      </c>
      <c r="C22" s="31" t="s">
        <v>239</v>
      </c>
      <c r="D22" s="9" t="str">
        <f aca="false">INDEX(Articles!$C$2:$C$148,MATCH(C22,Articles!$A$2:$A$148,0))</f>
        <v>Kit de traçage 30 cm, 4 pièces L'écolier</v>
      </c>
      <c r="E22" s="9" t="str">
        <f aca="false">INDEX(Articles!$B$2:$B$148,MATCH(C22,Articles!$A$2:$A$148,0))</f>
        <v>Papex</v>
      </c>
      <c r="F22" s="31" t="n">
        <v>1</v>
      </c>
      <c r="G22" s="13" t="n">
        <f aca="false">IF(INDEX(Articles!$G$2:$G$148,MATCH(C22,Articles!$A$2:$A$148,0))="","",INDEX(Articles!$G$2:$G$148,MATCH(C22,Articles!$A$2:$A$148,0)))</f>
        <v>900</v>
      </c>
      <c r="H22" s="13" t="n">
        <f aca="false">IF(G22="",0,F22*G22)</f>
        <v>900</v>
      </c>
      <c r="I22" s="13" t="n">
        <f aca="false">IF(INDEX(Articles!$E$2:$E$148,MATCH(C22,Articles!$A$2:$A$148,0))="","",INDEX(Articles!$E$2:$E$148,MATCH(C22,Articles!$A$2:$A$148,0)))</f>
        <v>650</v>
      </c>
      <c r="J22" s="13" t="n">
        <f aca="false">IF(I22="","",F22*I22)</f>
        <v>650</v>
      </c>
      <c r="K22" s="9" t="str">
        <f aca="false">INDEX(Articles!$H$2:$H$148,MATCH(C22,Articles!$A$2:$A$148,0))</f>
        <v>Estimé</v>
      </c>
      <c r="L22" s="9" t="str">
        <f aca="false">INDEX(Articles!$F$2:$F$148,MATCH(C22,Articles!$A$2:$A$148,0))</f>
        <v>Confirmé</v>
      </c>
      <c r="M22" s="17"/>
      <c r="N22" s="9" t="s">
        <v>167</v>
      </c>
    </row>
    <row r="23" customFormat="false" ht="15" hidden="false" customHeight="false" outlineLevel="0" collapsed="false">
      <c r="A23" s="9" t="s">
        <v>676</v>
      </c>
      <c r="B23" s="9" t="s">
        <v>756</v>
      </c>
      <c r="C23" s="31" t="s">
        <v>217</v>
      </c>
      <c r="D23" s="9" t="str">
        <f aca="false">INDEX(Articles!$C$2:$C$148,MATCH(C23,Articles!$A$2:$A$148,0))</f>
        <v>Compas de précision avec étui</v>
      </c>
      <c r="E23" s="9" t="str">
        <f aca="false">INDEX(Articles!$B$2:$B$148,MATCH(C23,Articles!$A$2:$A$148,0))</f>
        <v>LPD</v>
      </c>
      <c r="F23" s="31" t="n">
        <v>1</v>
      </c>
      <c r="G23" s="13" t="n">
        <f aca="false">IF(INDEX(Articles!$G$2:$G$148,MATCH(C23,Articles!$A$2:$A$148,0))="","",INDEX(Articles!$G$2:$G$148,MATCH(C23,Articles!$A$2:$A$148,0)))</f>
        <v>600</v>
      </c>
      <c r="H23" s="13" t="n">
        <f aca="false">IF(G23="",0,F23*G23)</f>
        <v>600</v>
      </c>
      <c r="I23" s="13" t="n">
        <f aca="false">IF(INDEX(Articles!$E$2:$E$148,MATCH(C23,Articles!$A$2:$A$148,0))="","",INDEX(Articles!$E$2:$E$148,MATCH(C23,Articles!$A$2:$A$148,0)))</f>
        <v>450</v>
      </c>
      <c r="J23" s="13" t="n">
        <f aca="false">IF(I23="","",F23*I23)</f>
        <v>450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681</v>
      </c>
      <c r="B24" s="9" t="s">
        <v>757</v>
      </c>
      <c r="C24" s="31" t="s">
        <v>198</v>
      </c>
      <c r="D24" s="9" t="str">
        <f aca="false">INDEX(Articles!$C$2:$C$148,MATCH(C24,Articles!$A$2:$A$148,0))</f>
        <v>Crayons de couleur Maped, boîte de 12</v>
      </c>
      <c r="E24" s="9" t="str">
        <f aca="false">INDEX(Articles!$B$2:$B$148,MATCH(C24,Articles!$A$2:$A$148,0))</f>
        <v>Papex</v>
      </c>
      <c r="F24" s="31" t="n">
        <v>1</v>
      </c>
      <c r="G24" s="13" t="n">
        <f aca="false">IF(INDEX(Articles!$G$2:$G$148,MATCH(C24,Articles!$A$2:$A$148,0))="","",INDEX(Articles!$G$2:$G$148,MATCH(C24,Articles!$A$2:$A$148,0)))</f>
        <v>900</v>
      </c>
      <c r="H24" s="13" t="n">
        <f aca="false">IF(G24="",0,F24*G24)</f>
        <v>900</v>
      </c>
      <c r="I24" s="13" t="n">
        <f aca="false">IF(INDEX(Articles!$E$2:$E$148,MATCH(C24,Articles!$A$2:$A$148,0))="","",INDEX(Articles!$E$2:$E$148,MATCH(C24,Articles!$A$2:$A$148,0)))</f>
        <v>650</v>
      </c>
      <c r="J24" s="13" t="n">
        <f aca="false">IF(I24="","",F24*I24)</f>
        <v>650</v>
      </c>
      <c r="K24" s="9" t="str">
        <f aca="false">INDEX(Articles!$H$2:$H$148,MATCH(C24,Articles!$A$2:$A$148,0))</f>
        <v>Estimé</v>
      </c>
      <c r="L24" s="9" t="str">
        <f aca="false">INDEX(Articles!$F$2:$F$148,MATCH(C24,Articles!$A$2:$A$148,0))</f>
        <v>Estimé</v>
      </c>
      <c r="M24" s="17"/>
      <c r="N24" s="9" t="s">
        <v>167</v>
      </c>
    </row>
    <row r="25" customFormat="false" ht="15" hidden="false" customHeight="false" outlineLevel="0" collapsed="false">
      <c r="A25" s="9" t="s">
        <v>676</v>
      </c>
      <c r="B25" s="9" t="s">
        <v>812</v>
      </c>
      <c r="C25" s="31" t="s">
        <v>242</v>
      </c>
      <c r="D25" s="9" t="str">
        <f aca="false">INDEX(Articles!$C$2:$C$148,MATCH(C25,Articles!$A$2:$A$148,0))</f>
        <v>Calculatrice scientifique Parpn YH-2000</v>
      </c>
      <c r="E25" s="9" t="str">
        <f aca="false">INDEX(Articles!$B$2:$B$148,MATCH(C25,Articles!$A$2:$A$148,0))</f>
        <v>LPD</v>
      </c>
      <c r="F25" s="31" t="n">
        <v>1</v>
      </c>
      <c r="G25" s="13" t="n">
        <f aca="false">IF(INDEX(Articles!$G$2:$G$148,MATCH(C25,Articles!$A$2:$A$148,0))="","",INDEX(Articles!$G$2:$G$148,MATCH(C25,Articles!$A$2:$A$148,0)))</f>
        <v>1400</v>
      </c>
      <c r="H25" s="13" t="n">
        <f aca="false">IF(G25="",0,F25*G25)</f>
        <v>1400</v>
      </c>
      <c r="I25" s="13" t="n">
        <f aca="false">IF(INDEX(Articles!$E$2:$E$148,MATCH(C25,Articles!$A$2:$A$148,0))="","",INDEX(Articles!$E$2:$E$148,MATCH(C25,Articles!$A$2:$A$148,0)))</f>
        <v>1100</v>
      </c>
      <c r="J25" s="13" t="n">
        <f aca="false">IF(I25="","",F25*I25)</f>
        <v>1100</v>
      </c>
      <c r="K25" s="9" t="str">
        <f aca="false">INDEX(Articles!$H$2:$H$148,MATCH(C25,Articles!$A$2:$A$148,0))</f>
        <v>Fixé</v>
      </c>
      <c r="L25" s="9" t="str">
        <f aca="false">INDEX(Articles!$F$2:$F$148,MATCH(C25,Articles!$A$2:$A$148,0))</f>
        <v>Confirmé</v>
      </c>
      <c r="M25" s="17" t="s">
        <v>813</v>
      </c>
      <c r="N25" s="9" t="s">
        <v>167</v>
      </c>
    </row>
    <row r="26" customFormat="false" ht="15" hidden="false" customHeight="false" outlineLevel="0" collapsed="false">
      <c r="A26" s="9" t="s">
        <v>758</v>
      </c>
      <c r="B26" s="9" t="s">
        <v>759</v>
      </c>
      <c r="C26" s="31" t="s">
        <v>376</v>
      </c>
      <c r="D26" s="9" t="str">
        <f aca="false">INDEX(Articles!$C$2:$C$148,MATCH(C26,Articles!$A$2:$A$148,0))</f>
        <v>Paquet de copies doubles grand format</v>
      </c>
      <c r="E26" s="9" t="str">
        <f aca="false">INDEX(Articles!$B$2:$B$148,MATCH(C26,Articles!$A$2:$A$148,0))</f>
        <v>À préciser</v>
      </c>
      <c r="F26" s="31" t="n">
        <v>1</v>
      </c>
      <c r="G26" s="45" t="n">
        <f aca="false">IF(INDEX(Articles!$G$2:$G$148,MATCH(C26,Articles!$A$2:$A$148,0))="","",INDEX(Articles!$G$2:$G$148,MATCH(C26,Articles!$A$2:$A$148,0)))</f>
        <v>1800</v>
      </c>
      <c r="H26" s="13" t="n">
        <f aca="false">IF(G26="",0,F26*G26)</f>
        <v>1800</v>
      </c>
      <c r="I26" s="13" t="n">
        <f aca="false">IF(INDEX(Articles!$E$2:$E$148,MATCH(C26,Articles!$A$2:$A$148,0))="","",INDEX(Articles!$E$2:$E$148,MATCH(C26,Articles!$A$2:$A$148,0)))</f>
        <v>1300</v>
      </c>
      <c r="J26" s="13" t="n">
        <f aca="false">IF(I26="","",F26*I26)</f>
        <v>1300</v>
      </c>
      <c r="K26" s="9" t="str">
        <f aca="false">INDEX(Articles!$H$2:$H$148,MATCH(C26,Articles!$A$2:$A$148,0))</f>
        <v>Fixé</v>
      </c>
      <c r="L26" s="9" t="str">
        <f aca="false">INDEX(Articles!$F$2:$F$148,MATCH(C26,Articles!$A$2:$A$148,0))</f>
        <v>Confirmé</v>
      </c>
      <c r="M26" s="17"/>
      <c r="N26" s="9" t="s">
        <v>167</v>
      </c>
    </row>
    <row r="27" customFormat="false" ht="15" hidden="false" customHeight="false" outlineLevel="0" collapsed="false">
      <c r="D27" s="32" t="s">
        <v>683</v>
      </c>
      <c r="E27" s="32"/>
      <c r="F27" s="32"/>
      <c r="G27" s="32"/>
      <c r="H27" s="33" t="n">
        <f aca="false">COUNTIF(G6:G26,"")</f>
        <v>0</v>
      </c>
    </row>
    <row r="28" customFormat="false" ht="15" hidden="false" customHeight="false" outlineLevel="0" collapsed="false">
      <c r="D28" s="32" t="s">
        <v>684</v>
      </c>
      <c r="E28" s="32"/>
      <c r="F28" s="32"/>
      <c r="G28" s="32"/>
      <c r="H28" s="33" t="n">
        <f aca="false">SUM(H6:H26)</f>
        <v>13525</v>
      </c>
    </row>
    <row r="29" customFormat="false" ht="15" hidden="false" customHeight="false" outlineLevel="0" collapsed="false">
      <c r="D29" s="32" t="s">
        <v>28</v>
      </c>
      <c r="E29" s="32"/>
      <c r="F29" s="32"/>
      <c r="G29" s="32"/>
      <c r="H29" s="33" t="n">
        <f aca="false">SUM(J6:J26)</f>
        <v>9810</v>
      </c>
    </row>
    <row r="30" customFormat="false" ht="15" hidden="false" customHeight="false" outlineLevel="0" collapsed="false">
      <c r="D30" s="32" t="s">
        <v>685</v>
      </c>
      <c r="E30" s="32"/>
      <c r="F30" s="32"/>
      <c r="G30" s="32"/>
      <c r="H30" s="33" t="n">
        <f aca="false">COUNTIF(I6:I26,"")</f>
        <v>2</v>
      </c>
    </row>
    <row r="31" customFormat="false" ht="15" hidden="false" customHeight="false" outlineLevel="0" collapsed="false">
      <c r="D31" s="32" t="s">
        <v>686</v>
      </c>
      <c r="E31" s="32"/>
      <c r="F31" s="32"/>
      <c r="G31" s="32"/>
      <c r="H31" s="33" t="n">
        <f aca="false">SUMPRODUCT((I6:I26&lt;&gt;"")*H6:H26)-H29</f>
        <v>3240</v>
      </c>
    </row>
    <row r="32" customFormat="false" ht="15" hidden="false" customHeight="false" outlineLevel="0" collapsed="false">
      <c r="D32" s="32" t="s">
        <v>687</v>
      </c>
      <c r="E32" s="32"/>
      <c r="F32" s="32"/>
      <c r="G32" s="32"/>
      <c r="H32" s="33" t="n">
        <f aca="false">SUMIF(A6:A26,"Cahiers",F6:F26)</f>
        <v>12</v>
      </c>
    </row>
    <row r="33" customFormat="false" ht="15" hidden="false" customHeight="false" outlineLevel="0" collapsed="false">
      <c r="D33" s="32" t="s">
        <v>688</v>
      </c>
      <c r="E33" s="32"/>
      <c r="F33" s="32"/>
      <c r="G33" s="32"/>
      <c r="H33" s="34" t="n">
        <f aca="false">IF(H28=0,0,SUMIF(K6:K26,"&lt;&gt;Fixé",H6:H26)/H28)</f>
        <v>0.613678373382625</v>
      </c>
    </row>
    <row r="34" customFormat="false" ht="15" hidden="false" customHeight="false" outlineLevel="0" collapsed="false">
      <c r="D34" s="32" t="s">
        <v>689</v>
      </c>
      <c r="E34" s="32"/>
      <c r="F34" s="32"/>
      <c r="G34" s="32"/>
      <c r="H34" s="33" t="str">
        <f aca="false">IF(H27&gt;0,"Total incomplet : "&amp;H27&amp;" prix de vente à fournir",IF(H30&gt;0,"Coût incomplet : "&amp;H30&amp;" ligne(s) sans prix d'achat","Complet"))</f>
        <v>Coût incomplet : 2 ligne(s) sans prix d'achat</v>
      </c>
    </row>
    <row r="36" customFormat="false" ht="15" hidden="false" customHeight="false" outlineLevel="0" collapsed="false">
      <c r="D36" s="35" t="s">
        <v>690</v>
      </c>
    </row>
    <row r="37" customFormat="false" ht="15" hidden="false" customHeight="false" outlineLevel="0" collapsed="false">
      <c r="A37" s="36" t="s">
        <v>760</v>
      </c>
      <c r="B37" s="36" t="s">
        <v>858</v>
      </c>
      <c r="C37" s="31" t="s">
        <v>497</v>
      </c>
      <c r="D37" s="36" t="str">
        <f aca="false">INDEX(Articles!$C$2:$C$148,MATCH(C37,Articles!$A$2:$A$148,0))</f>
        <v>Les Nouveaux Contes d'Amadou Koumba (Birago Diop)</v>
      </c>
      <c r="E37" s="37"/>
      <c r="F37" s="37"/>
      <c r="G37" s="38" t="n">
        <f aca="false">INDEX(Articles!$G$2:$G$148,MATCH(C37,Articles!$A$2:$A$148,0))</f>
        <v>3900</v>
      </c>
      <c r="H37" s="37"/>
      <c r="I37" s="37"/>
      <c r="J37" s="37"/>
      <c r="K37" s="37"/>
      <c r="L37" s="37"/>
      <c r="M37" s="37"/>
      <c r="N37" s="39" t="s">
        <v>271</v>
      </c>
    </row>
    <row r="38" customFormat="false" ht="15" hidden="false" customHeight="false" outlineLevel="0" collapsed="false">
      <c r="D38" s="40" t="s">
        <v>695</v>
      </c>
      <c r="H38" s="33" t="n">
        <f aca="false">H28+SUM(G37:G37)</f>
        <v>17425</v>
      </c>
    </row>
    <row r="39" customFormat="false" ht="15" hidden="false" customHeight="false" outlineLevel="0" collapsed="false">
      <c r="D39" s="21" t="s">
        <v>696</v>
      </c>
      <c r="E39" s="21" t="str">
        <f aca="false">INDEX(Articles!$C$2:$C$148,MATCH("S020",Articles!$A$2:$A$148,0))</f>
        <v>Sac à dos bleu marine</v>
      </c>
      <c r="H39" s="41" t="n">
        <f aca="false">INDEX(Articles!$G$2:$G$148,MATCH("S020",Articles!$A$2:$A$148,0))</f>
        <v>7000</v>
      </c>
    </row>
    <row r="40" customFormat="false" ht="15" hidden="false" customHeight="false" outlineLevel="0" collapsed="false">
      <c r="D40" s="42" t="s">
        <v>697</v>
      </c>
      <c r="E40" s="44" t="s">
        <v>711</v>
      </c>
    </row>
    <row r="43" customFormat="false" ht="15" hidden="false" customHeight="false" outlineLevel="0" collapsed="false">
      <c r="A43" s="28" t="s">
        <v>874</v>
      </c>
      <c r="B43" s="29"/>
      <c r="C43" s="29"/>
      <c r="D43" s="29"/>
      <c r="E43" s="29"/>
      <c r="F43" s="29"/>
      <c r="G43" s="29"/>
      <c r="H43" s="29"/>
      <c r="I43" s="29"/>
      <c r="J43" s="29"/>
      <c r="K43" s="29"/>
      <c r="L43" s="29"/>
      <c r="M43" s="29"/>
      <c r="N43" s="29"/>
    </row>
    <row r="44" customFormat="false" ht="39.55" hidden="false" customHeight="false" outlineLevel="0" collapsed="false">
      <c r="A44" s="30" t="s">
        <v>663</v>
      </c>
      <c r="B44" s="30" t="s">
        <v>664</v>
      </c>
      <c r="C44" s="30" t="s">
        <v>348</v>
      </c>
      <c r="D44" s="30" t="s">
        <v>350</v>
      </c>
      <c r="E44" s="30" t="s">
        <v>349</v>
      </c>
      <c r="F44" s="30" t="s">
        <v>665</v>
      </c>
      <c r="G44" s="30" t="s">
        <v>666</v>
      </c>
      <c r="H44" s="30" t="s">
        <v>667</v>
      </c>
      <c r="I44" s="30" t="s">
        <v>668</v>
      </c>
      <c r="J44" s="30" t="s">
        <v>669</v>
      </c>
      <c r="K44" s="30" t="s">
        <v>355</v>
      </c>
      <c r="L44" s="30" t="s">
        <v>353</v>
      </c>
      <c r="M44" s="30" t="s">
        <v>356</v>
      </c>
      <c r="N44" s="30" t="s">
        <v>670</v>
      </c>
    </row>
    <row r="45" customFormat="false" ht="15" hidden="false" customHeight="false" outlineLevel="0" collapsed="false">
      <c r="A45" s="9" t="s">
        <v>671</v>
      </c>
      <c r="B45" s="9" t="s">
        <v>745</v>
      </c>
      <c r="C45" s="31" t="s">
        <v>213</v>
      </c>
      <c r="D45" s="9" t="str">
        <f aca="false">INDEX(Articles!$C$2:$C$148,MATCH(C45,Articles!$A$2:$A$148,0))</f>
        <v>Cahier Calligraphe 192 pages 24x32 (grand format)</v>
      </c>
      <c r="E45" s="9" t="str">
        <f aca="false">INDEX(Articles!$B$2:$B$148,MATCH(C45,Articles!$A$2:$A$148,0))</f>
        <v>Papex</v>
      </c>
      <c r="F45" s="31" t="n">
        <v>1</v>
      </c>
      <c r="G45" s="13" t="n">
        <f aca="false">IF(INDEX(Articles!$G$2:$G$148,MATCH(C45,Articles!$A$2:$A$148,0))="","",INDEX(Articles!$G$2:$G$148,MATCH(C45,Articles!$A$2:$A$148,0)))</f>
        <v>1650</v>
      </c>
      <c r="H45" s="13" t="n">
        <f aca="false">IF(G45="",0,F45*G45)</f>
        <v>1650</v>
      </c>
      <c r="I45" s="13" t="n">
        <f aca="false">IF(INDEX(Articles!$E$2:$E$148,MATCH(C45,Articles!$A$2:$A$148,0))="","",INDEX(Articles!$E$2:$E$148,MATCH(C45,Articles!$A$2:$A$148,0)))</f>
        <v>1500</v>
      </c>
      <c r="J45" s="13" t="n">
        <f aca="false">IF(I45="","",F45*I45)</f>
        <v>1500</v>
      </c>
      <c r="K45" s="9" t="str">
        <f aca="false">INDEX(Articles!$H$2:$H$148,MATCH(C45,Articles!$A$2:$A$148,0))</f>
        <v>Fixé</v>
      </c>
      <c r="L45" s="9" t="str">
        <f aca="false">INDEX(Articles!$F$2:$F$148,MATCH(C45,Articles!$A$2:$A$148,0))</f>
        <v>Confirmé</v>
      </c>
      <c r="M45" s="17"/>
      <c r="N45" s="9" t="s">
        <v>167</v>
      </c>
    </row>
    <row r="46" customFormat="false" ht="15" hidden="false" customHeight="false" outlineLevel="0" collapsed="false">
      <c r="A46" s="9" t="s">
        <v>671</v>
      </c>
      <c r="B46" s="9" t="s">
        <v>850</v>
      </c>
      <c r="C46" s="31" t="s">
        <v>208</v>
      </c>
      <c r="D46" s="9" t="str">
        <f aca="false">INDEX(Articles!$C$2:$C$148,MATCH(C46,Articles!$A$2:$A$148,0))</f>
        <v>Cahier Calligraphe 96 pages 24x32 (grand format)</v>
      </c>
      <c r="E46" s="9" t="str">
        <f aca="false">INDEX(Articles!$B$2:$B$148,MATCH(C46,Articles!$A$2:$A$148,0))</f>
        <v>Papex</v>
      </c>
      <c r="F46" s="31" t="n">
        <v>1</v>
      </c>
      <c r="G46" s="13" t="n">
        <f aca="false">IF(INDEX(Articles!$G$2:$G$148,MATCH(C46,Articles!$A$2:$A$148,0))="","",INDEX(Articles!$G$2:$G$148,MATCH(C46,Articles!$A$2:$A$148,0)))</f>
        <v>1350</v>
      </c>
      <c r="H46" s="13" t="n">
        <f aca="false">IF(G46="",0,F46*G46)</f>
        <v>1350</v>
      </c>
      <c r="I46" s="13" t="n">
        <f aca="false">IF(INDEX(Articles!$E$2:$E$148,MATCH(C46,Articles!$A$2:$A$148,0))="","",INDEX(Articles!$E$2:$E$148,MATCH(C46,Articles!$A$2:$A$148,0)))</f>
        <v>1000</v>
      </c>
      <c r="J46" s="13" t="n">
        <f aca="false">IF(I46="","",F46*I46)</f>
        <v>1000</v>
      </c>
      <c r="K46" s="9" t="str">
        <f aca="false">INDEX(Articles!$H$2:$H$148,MATCH(C46,Articles!$A$2:$A$148,0))</f>
        <v>Fixé</v>
      </c>
      <c r="L46" s="9" t="str">
        <f aca="false">INDEX(Articles!$F$2:$F$148,MATCH(C46,Articles!$A$2:$A$148,0))</f>
        <v>Confirmé</v>
      </c>
      <c r="M46" s="17"/>
      <c r="N46" s="9" t="s">
        <v>167</v>
      </c>
    </row>
    <row r="47" customFormat="false" ht="15" hidden="false" customHeight="false" outlineLevel="0" collapsed="false">
      <c r="A47" s="9" t="s">
        <v>671</v>
      </c>
      <c r="B47" s="9" t="s">
        <v>851</v>
      </c>
      <c r="C47" s="31" t="s">
        <v>370</v>
      </c>
      <c r="D47" s="9" t="str">
        <f aca="false">INDEX(Articles!$C$2:$C$148,MATCH(C47,Articles!$A$2:$A$148,0))</f>
        <v>Cahier Calligraphe 140 pages 24x32 90 g seyès</v>
      </c>
      <c r="E47" s="9" t="str">
        <f aca="false">INDEX(Articles!$B$2:$B$148,MATCH(C47,Articles!$A$2:$A$148,0))</f>
        <v>Papex</v>
      </c>
      <c r="F47" s="31" t="n">
        <v>2</v>
      </c>
      <c r="G47" s="13" t="n">
        <f aca="false">IF(INDEX(Articles!$G$2:$G$148,MATCH(C47,Articles!$A$2:$A$148,0))="","",INDEX(Articles!$G$2:$G$148,MATCH(C47,Articles!$A$2:$A$148,0)))</f>
        <v>1500</v>
      </c>
      <c r="H47" s="13" t="n">
        <f aca="false">IF(G47="",0,F47*G47)</f>
        <v>3000</v>
      </c>
      <c r="I47" s="13" t="n">
        <f aca="false">IF(INDEX(Articles!$E$2:$E$148,MATCH(C47,Articles!$A$2:$A$148,0))="","",INDEX(Articles!$E$2:$E$148,MATCH(C47,Articles!$A$2:$A$148,0)))</f>
        <v>1250</v>
      </c>
      <c r="J47" s="13" t="n">
        <f aca="false">IF(I47="","",F47*I47)</f>
        <v>2500</v>
      </c>
      <c r="K47" s="9" t="str">
        <f aca="false">INDEX(Articles!$H$2:$H$148,MATCH(C47,Articles!$A$2:$A$148,0))</f>
        <v>Fixé</v>
      </c>
      <c r="L47" s="9" t="str">
        <f aca="false">INDEX(Articles!$F$2:$F$148,MATCH(C47,Articles!$A$2:$A$148,0))</f>
        <v>Estimé</v>
      </c>
      <c r="M47" s="17" t="s">
        <v>860</v>
      </c>
      <c r="N47" s="9" t="s">
        <v>167</v>
      </c>
    </row>
    <row r="48" customFormat="false" ht="15" hidden="false" customHeight="false" outlineLevel="0" collapsed="false">
      <c r="A48" s="9" t="s">
        <v>671</v>
      </c>
      <c r="B48" s="9" t="s">
        <v>852</v>
      </c>
      <c r="C48" s="31" t="s">
        <v>366</v>
      </c>
      <c r="D48" s="9" t="str">
        <f aca="false">INDEX(Articles!$C$2:$C$148,MATCH(C48,Articles!$A$2:$A$148,0))</f>
        <v>Cahier Calligraphe 140 pages 17x22 90 g seyès</v>
      </c>
      <c r="E48" s="9" t="str">
        <f aca="false">INDEX(Articles!$B$2:$B$148,MATCH(C48,Articles!$A$2:$A$148,0))</f>
        <v>Papex</v>
      </c>
      <c r="F48" s="31" t="n">
        <v>1</v>
      </c>
      <c r="G48" s="13" t="n">
        <f aca="false">IF(INDEX(Articles!$G$2:$G$148,MATCH(C48,Articles!$A$2:$A$148,0))="","",INDEX(Articles!$G$2:$G$148,MATCH(C48,Articles!$A$2:$A$148,0)))</f>
        <v>750</v>
      </c>
      <c r="H48" s="13" t="n">
        <f aca="false">IF(G48="",0,F48*G48)</f>
        <v>750</v>
      </c>
      <c r="I48" s="13" t="n">
        <f aca="false">IF(INDEX(Articles!$E$2:$E$148,MATCH(C48,Articles!$A$2:$A$148,0))="","",INDEX(Articles!$E$2:$E$148,MATCH(C48,Articles!$A$2:$A$148,0)))</f>
        <v>650</v>
      </c>
      <c r="J48" s="13" t="n">
        <f aca="false">IF(I48="","",F48*I48)</f>
        <v>650</v>
      </c>
      <c r="K48" s="9" t="str">
        <f aca="false">INDEX(Articles!$H$2:$H$148,MATCH(C48,Articles!$A$2:$A$148,0))</f>
        <v>Fixé</v>
      </c>
      <c r="L48" s="9" t="str">
        <f aca="false">INDEX(Articles!$F$2:$F$148,MATCH(C48,Articles!$A$2:$A$148,0))</f>
        <v>Estimé</v>
      </c>
      <c r="M48" s="17" t="s">
        <v>763</v>
      </c>
      <c r="N48" s="9" t="s">
        <v>167</v>
      </c>
    </row>
    <row r="49" customFormat="false" ht="15" hidden="false" customHeight="false" outlineLevel="0" collapsed="false">
      <c r="A49" s="9" t="s">
        <v>671</v>
      </c>
      <c r="B49" s="9" t="s">
        <v>737</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739</v>
      </c>
      <c r="C50" s="31" t="s">
        <v>192</v>
      </c>
      <c r="D50" s="9" t="str">
        <f aca="false">INDEX(Articles!$C$2:$C$148,MATCH(C50,Articles!$A$2:$A$148,0))</f>
        <v>Cahier Calligraphe 192 pages 17x22 90 g seyès</v>
      </c>
      <c r="E50" s="9" t="str">
        <f aca="false">INDEX(Articles!$B$2:$B$148,MATCH(C50,Articles!$A$2:$A$148,0))</f>
        <v>Papex</v>
      </c>
      <c r="F50" s="31" t="n">
        <v>1</v>
      </c>
      <c r="G50" s="13" t="n">
        <f aca="false">IF(INDEX(Articles!$G$2:$G$148,MATCH(C50,Articles!$A$2:$A$148,0))="","",INDEX(Articles!$G$2:$G$148,MATCH(C50,Articles!$A$2:$A$148,0)))</f>
        <v>900</v>
      </c>
      <c r="H50" s="13" t="n">
        <f aca="false">IF(G50="",0,F50*G50)</f>
        <v>900</v>
      </c>
      <c r="I50" s="13" t="n">
        <f aca="false">IF(INDEX(Articles!$E$2:$E$148,MATCH(C50,Articles!$A$2:$A$148,0))="","",INDEX(Articles!$E$2:$E$148,MATCH(C50,Articles!$A$2:$A$148,0)))</f>
        <v>800</v>
      </c>
      <c r="J50" s="13" t="n">
        <f aca="false">IF(I50="","",F50*I50)</f>
        <v>800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853</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873</v>
      </c>
      <c r="C52" s="31" t="s">
        <v>370</v>
      </c>
      <c r="D52" s="9" t="str">
        <f aca="false">INDEX(Articles!$C$2:$C$148,MATCH(C52,Articles!$A$2:$A$148,0))</f>
        <v>Cahier Calligraphe 140 pages 24x32 90 g seyès</v>
      </c>
      <c r="E52" s="9" t="str">
        <f aca="false">INDEX(Articles!$B$2:$B$148,MATCH(C52,Articles!$A$2:$A$148,0))</f>
        <v>Papex</v>
      </c>
      <c r="F52" s="31" t="n">
        <v>2</v>
      </c>
      <c r="G52" s="13" t="n">
        <f aca="false">IF(INDEX(Articles!$G$2:$G$148,MATCH(C52,Articles!$A$2:$A$148,0))="","",INDEX(Articles!$G$2:$G$148,MATCH(C52,Articles!$A$2:$A$148,0)))</f>
        <v>1500</v>
      </c>
      <c r="H52" s="13" t="n">
        <f aca="false">IF(G52="",0,F52*G52)</f>
        <v>3000</v>
      </c>
      <c r="I52" s="13" t="n">
        <f aca="false">IF(INDEX(Articles!$E$2:$E$148,MATCH(C52,Articles!$A$2:$A$148,0))="","",INDEX(Articles!$E$2:$E$148,MATCH(C52,Articles!$A$2:$A$148,0)))</f>
        <v>1250</v>
      </c>
      <c r="J52" s="13" t="n">
        <f aca="false">IF(I52="","",F52*I52)</f>
        <v>2500</v>
      </c>
      <c r="K52" s="9" t="str">
        <f aca="false">INDEX(Articles!$H$2:$H$148,MATCH(C52,Articles!$A$2:$A$148,0))</f>
        <v>Fixé</v>
      </c>
      <c r="L52" s="9" t="str">
        <f aca="false">INDEX(Articles!$F$2:$F$148,MATCH(C52,Articles!$A$2:$A$148,0))</f>
        <v>Estimé</v>
      </c>
      <c r="M52" s="17" t="s">
        <v>860</v>
      </c>
      <c r="N52" s="9" t="s">
        <v>167</v>
      </c>
    </row>
    <row r="53" customFormat="false" ht="15" hidden="false" customHeight="false" outlineLevel="0" collapsed="false">
      <c r="A53" s="9" t="s">
        <v>671</v>
      </c>
      <c r="B53" s="9" t="s">
        <v>831</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855</v>
      </c>
      <c r="C54" s="31" t="s">
        <v>208</v>
      </c>
      <c r="D54" s="9" t="str">
        <f aca="false">INDEX(Articles!$C$2:$C$148,MATCH(C54,Articles!$A$2:$A$148,0))</f>
        <v>Cahier Calligraphe 96 pages 24x32 (grand format)</v>
      </c>
      <c r="E54" s="9" t="str">
        <f aca="false">INDEX(Articles!$B$2:$B$148,MATCH(C54,Articles!$A$2:$A$148,0))</f>
        <v>Papex</v>
      </c>
      <c r="F54" s="31" t="n">
        <v>1</v>
      </c>
      <c r="G54" s="13" t="n">
        <f aca="false">IF(INDEX(Articles!$G$2:$G$148,MATCH(C54,Articles!$A$2:$A$148,0))="","",INDEX(Articles!$G$2:$G$148,MATCH(C54,Articles!$A$2:$A$148,0)))</f>
        <v>1350</v>
      </c>
      <c r="H54" s="13" t="n">
        <f aca="false">IF(G54="",0,F54*G54)</f>
        <v>1350</v>
      </c>
      <c r="I54" s="13" t="n">
        <f aca="false">IF(INDEX(Articles!$E$2:$E$148,MATCH(C54,Articles!$A$2:$A$148,0))="","",INDEX(Articles!$E$2:$E$148,MATCH(C54,Articles!$A$2:$A$148,0)))</f>
        <v>1000</v>
      </c>
      <c r="J54" s="13" t="n">
        <f aca="false">IF(I54="","",F54*I54)</f>
        <v>1000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678</v>
      </c>
      <c r="B55" s="9" t="s">
        <v>749</v>
      </c>
      <c r="C55" s="31" t="s">
        <v>222</v>
      </c>
      <c r="D55" s="9" t="str">
        <f aca="false">INDEX(Articles!$C$2:$C$148,MATCH(C55,Articles!$A$2:$A$148,0))</f>
        <v>Pack de 4 stylos Schneider Tops 505 M (bleu, noir, rouge, vert)</v>
      </c>
      <c r="E55" s="9" t="str">
        <f aca="false">INDEX(Articles!$B$2:$B$148,MATCH(C55,Articles!$A$2:$A$148,0))</f>
        <v>Papex</v>
      </c>
      <c r="F55" s="31" t="n">
        <v>1</v>
      </c>
      <c r="G55" s="13" t="n">
        <f aca="false">IF(INDEX(Articles!$G$2:$G$148,MATCH(C55,Articles!$A$2:$A$148,0))="","",INDEX(Articles!$G$2:$G$148,MATCH(C55,Articles!$A$2:$A$148,0)))</f>
        <v>400</v>
      </c>
      <c r="H55" s="13" t="n">
        <f aca="false">IF(G55="",0,F55*G55)</f>
        <v>400</v>
      </c>
      <c r="I55" s="13" t="str">
        <f aca="false">IF(INDEX(Articles!$E$2:$E$148,MATCH(C55,Articles!$A$2:$A$148,0))="","",INDEX(Articles!$E$2:$E$148,MATCH(C55,Articles!$A$2:$A$148,0)))</f>
        <v/>
      </c>
      <c r="J55" s="13" t="str">
        <f aca="false">IF(I55="","",F55*I55)</f>
        <v/>
      </c>
      <c r="K55" s="9" t="str">
        <f aca="false">INDEX(Articles!$H$2:$H$148,MATCH(C55,Articles!$A$2:$A$148,0))</f>
        <v>Fixé</v>
      </c>
      <c r="L55" s="9" t="str">
        <f aca="false">INDEX(Articles!$F$2:$F$148,MATCH(C55,Articles!$A$2:$A$148,0))</f>
        <v>Inconnu</v>
      </c>
      <c r="M55" s="17" t="s">
        <v>432</v>
      </c>
      <c r="N55" s="9" t="s">
        <v>167</v>
      </c>
    </row>
    <row r="56" customFormat="false" ht="15" hidden="false" customHeight="false" outlineLevel="0" collapsed="false">
      <c r="A56" s="9" t="s">
        <v>678</v>
      </c>
      <c r="B56" s="9" t="s">
        <v>750</v>
      </c>
      <c r="C56" s="31" t="s">
        <v>235</v>
      </c>
      <c r="D56" s="9" t="str">
        <f aca="false">INDEX(Articles!$C$2:$C$148,MATCH(C56,Articles!$A$2:$A$148,0))</f>
        <v>Crayon papier (vendu à l'unité)</v>
      </c>
      <c r="E56" s="9" t="str">
        <f aca="false">INDEX(Articles!$B$2:$B$148,MATCH(C56,Articles!$A$2:$A$148,0))</f>
        <v>LPD</v>
      </c>
      <c r="F56" s="31" t="n">
        <v>1</v>
      </c>
      <c r="G56" s="13" t="n">
        <f aca="false">IF(INDEX(Articles!$G$2:$G$148,MATCH(C56,Articles!$A$2:$A$148,0))="","",INDEX(Articles!$G$2:$G$148,MATCH(C56,Articles!$A$2:$A$148,0)))</f>
        <v>75</v>
      </c>
      <c r="H56" s="13" t="n">
        <f aca="false">IF(G56="",0,F56*G56)</f>
        <v>75</v>
      </c>
      <c r="I56" s="13" t="str">
        <f aca="false">IF(INDEX(Articles!$E$2:$E$148,MATCH(C56,Articles!$A$2:$A$148,0))="","",INDEX(Articles!$E$2:$E$148,MATCH(C56,Articles!$A$2:$A$148,0)))</f>
        <v/>
      </c>
      <c r="J56" s="13" t="str">
        <f aca="false">IF(I56="","",F56*I56)</f>
        <v/>
      </c>
      <c r="K56" s="9" t="str">
        <f aca="false">INDEX(Articles!$H$2:$H$148,MATCH(C56,Articles!$A$2:$A$148,0))</f>
        <v>Fixé</v>
      </c>
      <c r="L56" s="9" t="str">
        <f aca="false">INDEX(Articles!$F$2:$F$148,MATCH(C56,Articles!$A$2:$A$148,0))</f>
        <v>Inconnu</v>
      </c>
      <c r="M56" s="17"/>
      <c r="N56" s="9" t="s">
        <v>167</v>
      </c>
    </row>
    <row r="57" customFormat="false" ht="15" hidden="false" customHeight="false" outlineLevel="0" collapsed="false">
      <c r="A57" s="9" t="s">
        <v>675</v>
      </c>
      <c r="B57" s="9" t="s">
        <v>717</v>
      </c>
      <c r="C57" s="31" t="s">
        <v>180</v>
      </c>
      <c r="D57" s="9" t="str">
        <f aca="false">INDEX(Articles!$C$2:$C$148,MATCH(C57,Articles!$A$2:$A$148,0))</f>
        <v>Gomme Staedtler Mars Plastic</v>
      </c>
      <c r="E57" s="9" t="str">
        <f aca="false">INDEX(Articles!$B$2:$B$148,MATCH(C57,Articles!$A$2:$A$148,0))</f>
        <v>LPD</v>
      </c>
      <c r="F57" s="31" t="n">
        <v>1</v>
      </c>
      <c r="G57" s="13" t="n">
        <f aca="false">IF(INDEX(Articles!$G$2:$G$148,MATCH(C57,Articles!$A$2:$A$148,0))="","",INDEX(Articles!$G$2:$G$148,MATCH(C57,Articles!$A$2:$A$148,0)))</f>
        <v>250</v>
      </c>
      <c r="H57" s="13" t="n">
        <f aca="false">IF(G57="",0,F57*G57)</f>
        <v>250</v>
      </c>
      <c r="I57" s="13" t="n">
        <f aca="false">IF(INDEX(Articles!$E$2:$E$148,MATCH(C57,Articles!$A$2:$A$148,0))="","",INDEX(Articles!$E$2:$E$148,MATCH(C57,Articles!$A$2:$A$148,0)))</f>
        <v>110</v>
      </c>
      <c r="J57" s="13" t="n">
        <f aca="false">IF(I57="","",F57*I57)</f>
        <v>110</v>
      </c>
      <c r="K57" s="9" t="str">
        <f aca="false">INDEX(Articles!$H$2:$H$148,MATCH(C57,Articles!$A$2:$A$148,0))</f>
        <v>Fixé</v>
      </c>
      <c r="L57" s="9" t="str">
        <f aca="false">INDEX(Articles!$F$2:$F$148,MATCH(C57,Articles!$A$2:$A$148,0))</f>
        <v>Estimé</v>
      </c>
      <c r="M57" s="17"/>
      <c r="N57" s="9" t="s">
        <v>167</v>
      </c>
    </row>
    <row r="58" customFormat="false" ht="15" hidden="false" customHeight="false" outlineLevel="0" collapsed="false">
      <c r="A58" s="9" t="s">
        <v>675</v>
      </c>
      <c r="B58" s="9" t="s">
        <v>751</v>
      </c>
      <c r="C58" s="31" t="s">
        <v>183</v>
      </c>
      <c r="D58" s="9" t="str">
        <f aca="false">INDEX(Articles!$C$2:$C$148,MATCH(C58,Articles!$A$2:$A$148,0))</f>
        <v>Taille-crayon avec réservoir Maped</v>
      </c>
      <c r="E58" s="9" t="str">
        <f aca="false">INDEX(Articles!$B$2:$B$148,MATCH(C58,Articles!$A$2:$A$148,0))</f>
        <v>Papex</v>
      </c>
      <c r="F58" s="31" t="n">
        <v>1</v>
      </c>
      <c r="G58" s="13" t="n">
        <f aca="false">IF(INDEX(Articles!$G$2:$G$148,MATCH(C58,Articles!$A$2:$A$148,0))="","",INDEX(Articles!$G$2:$G$148,MATCH(C58,Articles!$A$2:$A$148,0)))</f>
        <v>500</v>
      </c>
      <c r="H58" s="13" t="n">
        <f aca="false">IF(G58="",0,F58*G58)</f>
        <v>500</v>
      </c>
      <c r="I58" s="13" t="n">
        <f aca="false">IF(INDEX(Articles!$E$2:$E$148,MATCH(C58,Articles!$A$2:$A$148,0))="","",INDEX(Articles!$E$2:$E$148,MATCH(C58,Articles!$A$2:$A$148,0)))</f>
        <v>350</v>
      </c>
      <c r="J58" s="13" t="n">
        <f aca="false">IF(I58="","",F58*I58)</f>
        <v>350</v>
      </c>
      <c r="K58" s="9" t="str">
        <f aca="false">INDEX(Articles!$H$2:$H$148,MATCH(C58,Articles!$A$2:$A$148,0))</f>
        <v>Estimé</v>
      </c>
      <c r="L58" s="9" t="str">
        <f aca="false">INDEX(Articles!$F$2:$F$148,MATCH(C58,Articles!$A$2:$A$148,0))</f>
        <v>Estimé</v>
      </c>
      <c r="M58" s="17" t="s">
        <v>765</v>
      </c>
      <c r="N58" s="9" t="s">
        <v>167</v>
      </c>
    </row>
    <row r="59" customFormat="false" ht="15" hidden="false" customHeight="false" outlineLevel="0" collapsed="false">
      <c r="A59" s="9" t="s">
        <v>675</v>
      </c>
      <c r="B59" s="9" t="s">
        <v>753</v>
      </c>
      <c r="C59" s="31" t="s">
        <v>248</v>
      </c>
      <c r="D59" s="9" t="str">
        <f aca="false">INDEX(Articles!$C$2:$C$148,MATCH(C59,Articles!$A$2:$A$148,0))</f>
        <v>Bâton de colle Giotto 20 g</v>
      </c>
      <c r="E59" s="9" t="str">
        <f aca="false">INDEX(Articles!$B$2:$B$148,MATCH(C59,Articles!$A$2:$A$148,0))</f>
        <v>Papex</v>
      </c>
      <c r="F59" s="31" t="n">
        <v>1</v>
      </c>
      <c r="G59" s="13" t="n">
        <f aca="false">IF(INDEX(Articles!$G$2:$G$148,MATCH(C59,Articles!$A$2:$A$148,0))="","",INDEX(Articles!$G$2:$G$148,MATCH(C59,Articles!$A$2:$A$148,0)))</f>
        <v>900</v>
      </c>
      <c r="H59" s="13" t="n">
        <f aca="false">IF(G59="",0,F59*G59)</f>
        <v>900</v>
      </c>
      <c r="I59" s="13" t="n">
        <f aca="false">IF(INDEX(Articles!$E$2:$E$148,MATCH(C59,Articles!$A$2:$A$148,0))="","",INDEX(Articles!$E$2:$E$148,MATCH(C59,Articles!$A$2:$A$148,0)))</f>
        <v>650</v>
      </c>
      <c r="J59" s="13" t="n">
        <f aca="false">IF(I59="","",F59*I59)</f>
        <v>650</v>
      </c>
      <c r="K59" s="9" t="str">
        <f aca="false">INDEX(Articles!$H$2:$H$148,MATCH(C59,Articles!$A$2:$A$148,0))</f>
        <v>Estimé</v>
      </c>
      <c r="L59" s="9" t="str">
        <f aca="false">INDEX(Articles!$F$2:$F$148,MATCH(C59,Articles!$A$2:$A$148,0))</f>
        <v>Estimé</v>
      </c>
      <c r="M59" s="17"/>
      <c r="N59" s="9" t="s">
        <v>167</v>
      </c>
    </row>
    <row r="60" customFormat="false" ht="15" hidden="false" customHeight="false" outlineLevel="0" collapsed="false">
      <c r="A60" s="9" t="s">
        <v>675</v>
      </c>
      <c r="B60" s="9" t="s">
        <v>754</v>
      </c>
      <c r="C60" s="31" t="s">
        <v>189</v>
      </c>
      <c r="D60" s="9" t="str">
        <f aca="false">INDEX(Articles!$C$2:$C$148,MATCH(C60,Articles!$A$2:$A$148,0))</f>
        <v>Ciseaux Maped 13 cm Security</v>
      </c>
      <c r="E60" s="9" t="str">
        <f aca="false">INDEX(Articles!$B$2:$B$148,MATCH(C60,Articles!$A$2:$A$148,0))</f>
        <v>Papex</v>
      </c>
      <c r="F60" s="31" t="n">
        <v>1</v>
      </c>
      <c r="G60" s="13" t="n">
        <f aca="false">IF(INDEX(Articles!$G$2:$G$148,MATCH(C60,Articles!$A$2:$A$148,0))="","",INDEX(Articles!$G$2:$G$148,MATCH(C60,Articles!$A$2:$A$148,0)))</f>
        <v>900</v>
      </c>
      <c r="H60" s="13" t="n">
        <f aca="false">IF(G60="",0,F60*G60)</f>
        <v>900</v>
      </c>
      <c r="I60" s="13" t="n">
        <f aca="false">IF(INDEX(Articles!$E$2:$E$148,MATCH(C60,Articles!$A$2:$A$148,0))="","",INDEX(Articles!$E$2:$E$148,MATCH(C60,Articles!$A$2:$A$148,0)))</f>
        <v>650</v>
      </c>
      <c r="J60" s="13" t="n">
        <f aca="false">IF(I60="","",F60*I60)</f>
        <v>650</v>
      </c>
      <c r="K60" s="9" t="str">
        <f aca="false">INDEX(Articles!$H$2:$H$148,MATCH(C60,Articles!$A$2:$A$148,0))</f>
        <v>Estimé</v>
      </c>
      <c r="L60" s="9" t="str">
        <f aca="false">INDEX(Articles!$F$2:$F$148,MATCH(C60,Articles!$A$2:$A$148,0))</f>
        <v>Estimé</v>
      </c>
      <c r="M60" s="17"/>
      <c r="N60" s="9" t="s">
        <v>167</v>
      </c>
    </row>
    <row r="61" customFormat="false" ht="15" hidden="false" customHeight="false" outlineLevel="0" collapsed="false">
      <c r="A61" s="9" t="s">
        <v>676</v>
      </c>
      <c r="B61" s="9" t="s">
        <v>755</v>
      </c>
      <c r="C61" s="31" t="s">
        <v>215</v>
      </c>
      <c r="D61" s="9" t="str">
        <f aca="false">INDEX(Articles!$C$2:$C$148,MATCH(C61,Articles!$A$2:$A$148,0))</f>
        <v>Kit géométrie Maped 30 cm (réf. 1930)</v>
      </c>
      <c r="E61" s="9" t="str">
        <f aca="false">INDEX(Articles!$B$2:$B$148,MATCH(C61,Articles!$A$2:$A$148,0))</f>
        <v>LPD</v>
      </c>
      <c r="F61" s="31" t="n">
        <v>1</v>
      </c>
      <c r="G61" s="13" t="n">
        <f aca="false">IF(INDEX(Articles!$G$2:$G$148,MATCH(C61,Articles!$A$2:$A$148,0))="","",INDEX(Articles!$G$2:$G$148,MATCH(C61,Articles!$A$2:$A$148,0)))</f>
        <v>1800</v>
      </c>
      <c r="H61" s="13" t="n">
        <f aca="false">IF(G61="",0,F61*G61)</f>
        <v>1800</v>
      </c>
      <c r="I61" s="13" t="n">
        <f aca="false">IF(INDEX(Articles!$E$2:$E$148,MATCH(C61,Articles!$A$2:$A$148,0))="","",INDEX(Articles!$E$2:$E$148,MATCH(C61,Articles!$A$2:$A$148,0)))</f>
        <v>1500</v>
      </c>
      <c r="J61" s="13" t="n">
        <f aca="false">IF(I61="","",F61*I61)</f>
        <v>1500</v>
      </c>
      <c r="K61" s="9" t="str">
        <f aca="false">INDEX(Articles!$H$2:$H$148,MATCH(C61,Articles!$A$2:$A$148,0))</f>
        <v>À trancher</v>
      </c>
      <c r="L61" s="9" t="str">
        <f aca="false">INDEX(Articles!$F$2:$F$148,MATCH(C61,Articles!$A$2:$A$148,0))</f>
        <v>Confirmé</v>
      </c>
      <c r="M61" s="17"/>
      <c r="N61" s="9" t="s">
        <v>167</v>
      </c>
    </row>
    <row r="62" customFormat="false" ht="15" hidden="false" customHeight="false" outlineLevel="0" collapsed="false">
      <c r="A62" s="9" t="s">
        <v>676</v>
      </c>
      <c r="B62" s="9" t="s">
        <v>756</v>
      </c>
      <c r="C62" s="31" t="s">
        <v>171</v>
      </c>
      <c r="D62" s="9" t="str">
        <f aca="false">INDEX(Articles!$C$2:$C$148,MATCH(C62,Articles!$A$2:$A$148,0))</f>
        <v>Compas Maped</v>
      </c>
      <c r="E62" s="9" t="str">
        <f aca="false">INDEX(Articles!$B$2:$B$148,MATCH(C62,Articles!$A$2:$A$148,0))</f>
        <v>Papex</v>
      </c>
      <c r="F62" s="31" t="n">
        <v>1</v>
      </c>
      <c r="G62" s="13" t="n">
        <f aca="false">IF(INDEX(Articles!$G$2:$G$148,MATCH(C62,Articles!$A$2:$A$148,0))="","",INDEX(Articles!$G$2:$G$148,MATCH(C62,Articles!$A$2:$A$148,0)))</f>
        <v>2000</v>
      </c>
      <c r="H62" s="13" t="n">
        <f aca="false">IF(G62="",0,F62*G62)</f>
        <v>2000</v>
      </c>
      <c r="I62" s="13" t="n">
        <f aca="false">IF(INDEX(Articles!$E$2:$E$148,MATCH(C62,Articles!$A$2:$A$148,0))="","",INDEX(Articles!$E$2:$E$148,MATCH(C62,Articles!$A$2:$A$148,0)))</f>
        <v>1750</v>
      </c>
      <c r="J62" s="13" t="n">
        <f aca="false">IF(I62="","",F62*I62)</f>
        <v>1750</v>
      </c>
      <c r="K62" s="9" t="str">
        <f aca="false">INDEX(Articles!$H$2:$H$148,MATCH(C62,Articles!$A$2:$A$148,0))</f>
        <v>Fixé</v>
      </c>
      <c r="L62" s="9" t="str">
        <f aca="false">INDEX(Articles!$F$2:$F$148,MATCH(C62,Articles!$A$2:$A$148,0))</f>
        <v>Confirmé</v>
      </c>
      <c r="M62" s="17"/>
      <c r="N62" s="9" t="s">
        <v>167</v>
      </c>
    </row>
    <row r="63" customFormat="false" ht="15" hidden="false" customHeight="false" outlineLevel="0" collapsed="false">
      <c r="A63" s="9" t="s">
        <v>681</v>
      </c>
      <c r="B63" s="9" t="s">
        <v>757</v>
      </c>
      <c r="C63" s="31" t="s">
        <v>198</v>
      </c>
      <c r="D63" s="9" t="str">
        <f aca="false">INDEX(Articles!$C$2:$C$148,MATCH(C63,Articles!$A$2:$A$148,0))</f>
        <v>Crayons de couleur Maped, boîte de 12</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650</v>
      </c>
      <c r="J63" s="13" t="n">
        <f aca="false">IF(I63="","",F63*I63)</f>
        <v>650</v>
      </c>
      <c r="K63" s="9" t="str">
        <f aca="false">INDEX(Articles!$H$2:$H$148,MATCH(C63,Articles!$A$2:$A$148,0))</f>
        <v>Estimé</v>
      </c>
      <c r="L63" s="9" t="str">
        <f aca="false">INDEX(Articles!$F$2:$F$148,MATCH(C63,Articles!$A$2:$A$148,0))</f>
        <v>Estimé</v>
      </c>
      <c r="M63" s="17"/>
      <c r="N63" s="9" t="s">
        <v>167</v>
      </c>
    </row>
    <row r="64" customFormat="false" ht="15" hidden="false" customHeight="false" outlineLevel="0" collapsed="false">
      <c r="A64" s="9" t="s">
        <v>678</v>
      </c>
      <c r="B64" s="9" t="s">
        <v>766</v>
      </c>
      <c r="C64" s="31" t="s">
        <v>200</v>
      </c>
      <c r="D64" s="9" t="str">
        <f aca="false">INDEX(Articles!$C$2:$C$148,MATCH(C64,Articles!$A$2:$A$148,0))</f>
        <v>Surligneurs Maped Fluo Peps, pochette de 4</v>
      </c>
      <c r="E64" s="9" t="str">
        <f aca="false">INDEX(Articles!$B$2:$B$148,MATCH(C64,Articles!$A$2:$A$148,0))</f>
        <v>Papex</v>
      </c>
      <c r="F64" s="31" t="n">
        <v>1</v>
      </c>
      <c r="G64" s="13" t="n">
        <f aca="false">IF(INDEX(Articles!$G$2:$G$148,MATCH(C64,Articles!$A$2:$A$148,0))="","",INDEX(Articles!$G$2:$G$148,MATCH(C64,Articles!$A$2:$A$148,0)))</f>
        <v>2500</v>
      </c>
      <c r="H64" s="13" t="n">
        <f aca="false">IF(G64="",0,F64*G64)</f>
        <v>2500</v>
      </c>
      <c r="I64" s="13" t="n">
        <f aca="false">IF(INDEX(Articles!$E$2:$E$148,MATCH(C64,Articles!$A$2:$A$148,0))="","",INDEX(Articles!$E$2:$E$148,MATCH(C64,Articles!$A$2:$A$148,0)))</f>
        <v>2000</v>
      </c>
      <c r="J64" s="13" t="n">
        <f aca="false">IF(I64="","",F64*I64)</f>
        <v>2000</v>
      </c>
      <c r="K64" s="9" t="str">
        <f aca="false">INDEX(Articles!$H$2:$H$148,MATCH(C64,Articles!$A$2:$A$148,0))</f>
        <v>Estimé</v>
      </c>
      <c r="L64" s="9" t="str">
        <f aca="false">INDEX(Articles!$F$2:$F$148,MATCH(C64,Articles!$A$2:$A$148,0))</f>
        <v>Confirmé</v>
      </c>
      <c r="M64" s="17" t="s">
        <v>767</v>
      </c>
      <c r="N64" s="9" t="s">
        <v>167</v>
      </c>
    </row>
    <row r="65" customFormat="false" ht="15" hidden="false" customHeight="false" outlineLevel="0" collapsed="false">
      <c r="A65" s="9" t="s">
        <v>768</v>
      </c>
      <c r="B65" s="9" t="s">
        <v>769</v>
      </c>
      <c r="C65" s="31" t="s">
        <v>446</v>
      </c>
      <c r="D65" s="9" t="str">
        <f aca="false">INDEX(Articles!$C$2:$C$148,MATCH(C65,Articles!$A$2:$A$148,0))</f>
        <v>Chemise 3 rabats à élastique</v>
      </c>
      <c r="E65" s="9" t="str">
        <f aca="false">INDEX(Articles!$B$2:$B$148,MATCH(C65,Articles!$A$2:$A$148,0))</f>
        <v>Papex</v>
      </c>
      <c r="F65" s="31" t="n">
        <v>1</v>
      </c>
      <c r="G65" s="13" t="n">
        <f aca="false">IF(INDEX(Articles!$G$2:$G$148,MATCH(C65,Articles!$A$2:$A$148,0))="","",INDEX(Articles!$G$2:$G$148,MATCH(C65,Articles!$A$2:$A$148,0)))</f>
        <v>500</v>
      </c>
      <c r="H65" s="13" t="n">
        <f aca="false">IF(G65="",0,F65*G65)</f>
        <v>500</v>
      </c>
      <c r="I65" s="13" t="str">
        <f aca="false">IF(INDEX(Articles!$E$2:$E$148,MATCH(C65,Articles!$A$2:$A$148,0))="","",INDEX(Articles!$E$2:$E$148,MATCH(C65,Articles!$A$2:$A$148,0)))</f>
        <v/>
      </c>
      <c r="J65" s="13" t="str">
        <f aca="false">IF(I65="","",F65*I65)</f>
        <v/>
      </c>
      <c r="K65" s="9" t="str">
        <f aca="false">INDEX(Articles!$H$2:$H$148,MATCH(C65,Articles!$A$2:$A$148,0))</f>
        <v>Estimé</v>
      </c>
      <c r="L65" s="9" t="str">
        <f aca="false">INDEX(Articles!$F$2:$F$148,MATCH(C65,Articles!$A$2:$A$148,0))</f>
        <v>Inconnu</v>
      </c>
      <c r="M65" s="17" t="s">
        <v>770</v>
      </c>
      <c r="N65" s="9" t="s">
        <v>167</v>
      </c>
    </row>
    <row r="66" customFormat="false" ht="26.85" hidden="false" customHeight="false" outlineLevel="0" collapsed="false">
      <c r="A66" s="9" t="s">
        <v>676</v>
      </c>
      <c r="B66" s="9" t="s">
        <v>812</v>
      </c>
      <c r="C66" s="31" t="s">
        <v>242</v>
      </c>
      <c r="D66" s="9" t="str">
        <f aca="false">INDEX(Articles!$C$2:$C$148,MATCH(C66,Articles!$A$2:$A$148,0))</f>
        <v>Calculatrice scientifique Parpn YH-2000</v>
      </c>
      <c r="E66" s="9" t="str">
        <f aca="false">INDEX(Articles!$B$2:$B$148,MATCH(C66,Articles!$A$2:$A$148,0))</f>
        <v>LPD</v>
      </c>
      <c r="F66" s="31" t="n">
        <v>1</v>
      </c>
      <c r="G66" s="13" t="n">
        <f aca="false">IF(INDEX(Articles!$G$2:$G$148,MATCH(C66,Articles!$A$2:$A$148,0))="","",INDEX(Articles!$G$2:$G$148,MATCH(C66,Articles!$A$2:$A$148,0)))</f>
        <v>1400</v>
      </c>
      <c r="H66" s="13" t="n">
        <f aca="false">IF(G66="",0,F66*G66)</f>
        <v>1400</v>
      </c>
      <c r="I66" s="13" t="n">
        <f aca="false">IF(INDEX(Articles!$E$2:$E$148,MATCH(C66,Articles!$A$2:$A$148,0))="","",INDEX(Articles!$E$2:$E$148,MATCH(C66,Articles!$A$2:$A$148,0)))</f>
        <v>1100</v>
      </c>
      <c r="J66" s="13" t="n">
        <f aca="false">IF(I66="","",F66*I66)</f>
        <v>1100</v>
      </c>
      <c r="K66" s="9" t="str">
        <f aca="false">INDEX(Articles!$H$2:$H$148,MATCH(C66,Articles!$A$2:$A$148,0))</f>
        <v>Fixé</v>
      </c>
      <c r="L66" s="9" t="str">
        <f aca="false">INDEX(Articles!$F$2:$F$148,MATCH(C66,Articles!$A$2:$A$148,0))</f>
        <v>Confirmé</v>
      </c>
      <c r="M66" s="17" t="s">
        <v>816</v>
      </c>
      <c r="N66" s="9" t="s">
        <v>167</v>
      </c>
    </row>
    <row r="67" customFormat="false" ht="15" hidden="false" customHeight="false" outlineLevel="0" collapsed="false">
      <c r="A67" s="9" t="s">
        <v>768</v>
      </c>
      <c r="B67" s="9" t="s">
        <v>861</v>
      </c>
      <c r="C67" s="31" t="s">
        <v>246</v>
      </c>
      <c r="D67" s="9" t="str">
        <f aca="false">INDEX(Articles!$C$2:$C$148,MATCH(C67,Articles!$A$2:$A$148,0))</f>
        <v>Protège-documents porte-vues</v>
      </c>
      <c r="E67" s="9" t="str">
        <f aca="false">INDEX(Articles!$B$2:$B$148,MATCH(C67,Articles!$A$2:$A$148,0))</f>
        <v>LPD</v>
      </c>
      <c r="F67" s="31" t="n">
        <v>1</v>
      </c>
      <c r="G67" s="13" t="n">
        <f aca="false">IF(INDEX(Articles!$G$2:$G$148,MATCH(C67,Articles!$A$2:$A$148,0))="","",INDEX(Articles!$G$2:$G$148,MATCH(C67,Articles!$A$2:$A$148,0)))</f>
        <v>1150</v>
      </c>
      <c r="H67" s="13" t="n">
        <f aca="false">IF(G67="",0,F67*G67)</f>
        <v>1150</v>
      </c>
      <c r="I67" s="13" t="n">
        <f aca="false">IF(INDEX(Articles!$E$2:$E$148,MATCH(C67,Articles!$A$2:$A$148,0))="","",INDEX(Articles!$E$2:$E$148,MATCH(C67,Articles!$A$2:$A$148,0)))</f>
        <v>850</v>
      </c>
      <c r="J67" s="13" t="n">
        <f aca="false">IF(I67="","",F67*I67)</f>
        <v>850</v>
      </c>
      <c r="K67" s="9" t="str">
        <f aca="false">INDEX(Articles!$H$2:$H$148,MATCH(C67,Articles!$A$2:$A$148,0))</f>
        <v>Fixé</v>
      </c>
      <c r="L67" s="9" t="str">
        <f aca="false">INDEX(Articles!$F$2:$F$148,MATCH(C67,Articles!$A$2:$A$148,0))</f>
        <v>Estimé</v>
      </c>
      <c r="M67" s="17"/>
      <c r="N67" s="9" t="s">
        <v>167</v>
      </c>
    </row>
    <row r="68" customFormat="false" ht="15" hidden="false" customHeight="false" outlineLevel="0" collapsed="false">
      <c r="A68" s="9" t="s">
        <v>758</v>
      </c>
      <c r="B68" s="9" t="s">
        <v>759</v>
      </c>
      <c r="C68" s="31" t="s">
        <v>376</v>
      </c>
      <c r="D68" s="9" t="str">
        <f aca="false">INDEX(Articles!$C$2:$C$148,MATCH(C68,Articles!$A$2:$A$148,0))</f>
        <v>Paquet de copies doubles grand format</v>
      </c>
      <c r="E68" s="9" t="str">
        <f aca="false">INDEX(Articles!$B$2:$B$148,MATCH(C68,Articles!$A$2:$A$148,0))</f>
        <v>À préciser</v>
      </c>
      <c r="F68" s="31" t="n">
        <v>1</v>
      </c>
      <c r="G68" s="45" t="n">
        <f aca="false">IF(INDEX(Articles!$G$2:$G$148,MATCH(C68,Articles!$A$2:$A$148,0))="","",INDEX(Articles!$G$2:$G$148,MATCH(C68,Articles!$A$2:$A$148,0)))</f>
        <v>1800</v>
      </c>
      <c r="H68" s="13" t="n">
        <f aca="false">IF(G68="",0,F68*G68)</f>
        <v>1800</v>
      </c>
      <c r="I68" s="13" t="n">
        <f aca="false">IF(INDEX(Articles!$E$2:$E$148,MATCH(C68,Articles!$A$2:$A$148,0))="","",INDEX(Articles!$E$2:$E$148,MATCH(C68,Articles!$A$2:$A$148,0)))</f>
        <v>1300</v>
      </c>
      <c r="J68" s="13" t="n">
        <f aca="false">IF(I68="","",F68*I68)</f>
        <v>1300</v>
      </c>
      <c r="K68" s="9" t="str">
        <f aca="false">INDEX(Articles!$H$2:$H$148,MATCH(C68,Articles!$A$2:$A$148,0))</f>
        <v>Fixé</v>
      </c>
      <c r="L68" s="9" t="str">
        <f aca="false">INDEX(Articles!$F$2:$F$148,MATCH(C68,Articles!$A$2:$A$148,0))</f>
        <v>Confirmé</v>
      </c>
      <c r="M68" s="17"/>
      <c r="N68" s="9" t="s">
        <v>167</v>
      </c>
    </row>
    <row r="69" customFormat="false" ht="15" hidden="false" customHeight="false" outlineLevel="0" collapsed="false">
      <c r="A69" s="9" t="s">
        <v>771</v>
      </c>
      <c r="B69" s="9" t="s">
        <v>772</v>
      </c>
      <c r="C69" s="31" t="s">
        <v>160</v>
      </c>
      <c r="D69" s="9" t="str">
        <f aca="false">INDEX(Articles!$C$2:$C$148,MATCH(C69,Articles!$A$2:$A$148,0))</f>
        <v>Protège-cahier couleur petit format (à l'unité)</v>
      </c>
      <c r="E69" s="9" t="str">
        <f aca="false">INDEX(Articles!$B$2:$B$148,MATCH(C69,Articles!$A$2:$A$148,0))</f>
        <v>LPD</v>
      </c>
      <c r="F69" s="31" t="n">
        <v>2</v>
      </c>
      <c r="G69" s="13" t="n">
        <f aca="false">IF(INDEX(Articles!$G$2:$G$148,MATCH(C69,Articles!$A$2:$A$148,0))="","",INDEX(Articles!$G$2:$G$148,MATCH(C69,Articles!$A$2:$A$148,0)))</f>
        <v>150</v>
      </c>
      <c r="H69" s="13" t="n">
        <f aca="false">IF(G69="",0,F69*G69)</f>
        <v>300</v>
      </c>
      <c r="I69" s="13" t="str">
        <f aca="false">IF(INDEX(Articles!$E$2:$E$148,MATCH(C69,Articles!$A$2:$A$148,0))="","",INDEX(Articles!$E$2:$E$148,MATCH(C69,Articles!$A$2:$A$148,0)))</f>
        <v/>
      </c>
      <c r="J69" s="13" t="str">
        <f aca="false">IF(I69="","",F69*I69)</f>
        <v/>
      </c>
      <c r="K69" s="9" t="str">
        <f aca="false">INDEX(Articles!$H$2:$H$148,MATCH(C69,Articles!$A$2:$A$148,0))</f>
        <v>Fixé</v>
      </c>
      <c r="L69" s="9" t="str">
        <f aca="false">INDEX(Articles!$F$2:$F$148,MATCH(C69,Articles!$A$2:$A$148,0))</f>
        <v>Inconnu</v>
      </c>
      <c r="M69" s="17"/>
      <c r="N69" s="9" t="s">
        <v>167</v>
      </c>
    </row>
    <row r="70" customFormat="false" ht="15" hidden="false" customHeight="false" outlineLevel="0" collapsed="false">
      <c r="A70" s="9" t="s">
        <v>771</v>
      </c>
      <c r="B70" s="9" t="s">
        <v>773</v>
      </c>
      <c r="C70" s="31" t="s">
        <v>419</v>
      </c>
      <c r="D70" s="9" t="str">
        <f aca="false">INDEX(Articles!$C$2:$C$148,MATCH(C70,Articles!$A$2:$A$148,0))</f>
        <v>Protège-cahier grand format (à l'unité)</v>
      </c>
      <c r="E70" s="9" t="str">
        <f aca="false">INDEX(Articles!$B$2:$B$148,MATCH(C70,Articles!$A$2:$A$148,0))</f>
        <v>À préciser</v>
      </c>
      <c r="F70" s="31" t="n">
        <v>10</v>
      </c>
      <c r="G70" s="13" t="str">
        <f aca="false">IF(INDEX(Articles!$G$2:$G$148,MATCH(C70,Articles!$A$2:$A$148,0))="","",INDEX(Articles!$G$2:$G$148,MATCH(C70,Articles!$A$2:$A$148,0)))</f>
        <v/>
      </c>
      <c r="H70" s="13" t="n">
        <f aca="false">IF(G70="",0,F70*G70)</f>
        <v>0</v>
      </c>
      <c r="I70" s="13" t="str">
        <f aca="false">IF(INDEX(Articles!$E$2:$E$148,MATCH(C70,Articles!$A$2:$A$148,0))="","",INDEX(Articles!$E$2:$E$148,MATCH(C70,Articles!$A$2:$A$148,0)))</f>
        <v/>
      </c>
      <c r="J70" s="13" t="str">
        <f aca="false">IF(I70="","",F70*I70)</f>
        <v/>
      </c>
      <c r="K70" s="9" t="str">
        <f aca="false">INDEX(Articles!$H$2:$H$148,MATCH(C70,Articles!$A$2:$A$148,0))</f>
        <v>À fournir</v>
      </c>
      <c r="L70" s="9" t="str">
        <f aca="false">INDEX(Articles!$F$2:$F$148,MATCH(C70,Articles!$A$2:$A$148,0))</f>
        <v>Inconnu</v>
      </c>
      <c r="M70" s="17"/>
      <c r="N70" s="9" t="s">
        <v>167</v>
      </c>
    </row>
    <row r="71" customFormat="false" ht="15" hidden="false" customHeight="false" outlineLevel="0" collapsed="false">
      <c r="A71" s="9" t="s">
        <v>760</v>
      </c>
      <c r="B71" s="9" t="s">
        <v>858</v>
      </c>
      <c r="C71" s="31" t="s">
        <v>497</v>
      </c>
      <c r="D71" s="9" t="str">
        <f aca="false">INDEX(Articles!$C$2:$C$148,MATCH(C71,Articles!$A$2:$A$148,0))</f>
        <v>Les Nouveaux Contes d'Amadou Koumba (Birago Diop)</v>
      </c>
      <c r="E71" s="9" t="str">
        <f aca="false">INDEX(Articles!$B$2:$B$148,MATCH(C71,Articles!$A$2:$A$148,0))</f>
        <v>LPD</v>
      </c>
      <c r="F71" s="31" t="n">
        <v>1</v>
      </c>
      <c r="G71" s="13" t="n">
        <f aca="false">IF(INDEX(Articles!$G$2:$G$148,MATCH(C71,Articles!$A$2:$A$148,0))="","",INDEX(Articles!$G$2:$G$148,MATCH(C71,Articles!$A$2:$A$148,0)))</f>
        <v>3900</v>
      </c>
      <c r="H71" s="13" t="n">
        <f aca="false">IF(G71="",0,F71*G71)</f>
        <v>3900</v>
      </c>
      <c r="I71" s="13" t="n">
        <f aca="false">IF(INDEX(Articles!$E$2:$E$148,MATCH(C71,Articles!$A$2:$A$148,0))="","",INDEX(Articles!$E$2:$E$148,MATCH(C71,Articles!$A$2:$A$148,0)))</f>
        <v>2900</v>
      </c>
      <c r="J71" s="13" t="n">
        <f aca="false">IF(I71="","",F71*I71)</f>
        <v>2900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D72" s="32" t="s">
        <v>683</v>
      </c>
      <c r="E72" s="32"/>
      <c r="F72" s="32"/>
      <c r="G72" s="32"/>
      <c r="H72" s="33" t="n">
        <f aca="false">COUNTIF(G45:G71,"")</f>
        <v>1</v>
      </c>
    </row>
    <row r="73" customFormat="false" ht="15" hidden="false" customHeight="false" outlineLevel="0" collapsed="false">
      <c r="D73" s="32" t="s">
        <v>684</v>
      </c>
      <c r="E73" s="32"/>
      <c r="F73" s="32"/>
      <c r="G73" s="32"/>
      <c r="H73" s="33" t="n">
        <f aca="false">SUM(H45:H71)</f>
        <v>36225</v>
      </c>
    </row>
    <row r="74" customFormat="false" ht="15" hidden="false" customHeight="false" outlineLevel="0" collapsed="false">
      <c r="D74" s="32" t="s">
        <v>28</v>
      </c>
      <c r="E74" s="32"/>
      <c r="F74" s="32"/>
      <c r="G74" s="32"/>
      <c r="H74" s="33" t="n">
        <f aca="false">SUM(J45:J71)</f>
        <v>28260</v>
      </c>
    </row>
    <row r="75" customFormat="false" ht="15" hidden="false" customHeight="false" outlineLevel="0" collapsed="false">
      <c r="D75" s="32" t="s">
        <v>685</v>
      </c>
      <c r="E75" s="32"/>
      <c r="F75" s="32"/>
      <c r="G75" s="32"/>
      <c r="H75" s="33" t="n">
        <f aca="false">COUNTIF(I45:I71,"")</f>
        <v>5</v>
      </c>
    </row>
    <row r="76" customFormat="false" ht="15" hidden="false" customHeight="false" outlineLevel="0" collapsed="false">
      <c r="D76" s="32" t="s">
        <v>686</v>
      </c>
      <c r="E76" s="32"/>
      <c r="F76" s="32"/>
      <c r="G76" s="32"/>
      <c r="H76" s="33" t="n">
        <f aca="false">SUMPRODUCT((I45:I71&lt;&gt;"")*H45:H71)-H74</f>
        <v>6690</v>
      </c>
    </row>
    <row r="77" customFormat="false" ht="15" hidden="false" customHeight="false" outlineLevel="0" collapsed="false">
      <c r="D77" s="32" t="s">
        <v>687</v>
      </c>
      <c r="E77" s="32"/>
      <c r="F77" s="32"/>
      <c r="G77" s="32"/>
      <c r="H77" s="33" t="n">
        <f aca="false">SUMIF(A45:A71,"Cahiers",F45:F71)</f>
        <v>12</v>
      </c>
    </row>
    <row r="78" customFormat="false" ht="15" hidden="false" customHeight="false" outlineLevel="0" collapsed="false">
      <c r="D78" s="32" t="s">
        <v>688</v>
      </c>
      <c r="E78" s="32"/>
      <c r="F78" s="32"/>
      <c r="G78" s="32"/>
      <c r="H78" s="34" t="n">
        <f aca="false">IF(H73=0,0,SUMIF(K45:K71,"&lt;&gt;Fixé",H45:H71)/H73)</f>
        <v>0.220841959972395</v>
      </c>
    </row>
    <row r="79" customFormat="false" ht="15" hidden="false" customHeight="false" outlineLevel="0" collapsed="false">
      <c r="D79" s="32" t="s">
        <v>689</v>
      </c>
      <c r="E79" s="32"/>
      <c r="F79" s="32"/>
      <c r="G79" s="32"/>
      <c r="H79" s="33" t="str">
        <f aca="false">IF(H72&gt;0,"Total incomplet : "&amp;H72&amp;" prix de vente à fournir",IF(H75&gt;0,"Coût incomplet : "&amp;H75&amp;" ligne(s) sans prix d'achat","Complet"))</f>
        <v>Total incomplet : 1 prix de vente à fournir</v>
      </c>
    </row>
    <row r="80" customFormat="false" ht="15" hidden="false" customHeight="false" outlineLevel="0" collapsed="false">
      <c r="D80" s="21" t="s">
        <v>696</v>
      </c>
      <c r="E80" s="21" t="str">
        <f aca="false">INDEX(Articles!$C$2:$C$148,MATCH("S020",Articles!$A$2:$A$148,0))</f>
        <v>Sac à dos bleu marine</v>
      </c>
      <c r="H80" s="41" t="n">
        <f aca="false">INDEX(Articles!$G$2:$G$148,MATCH("S020",Articles!$A$2:$A$148,0))</f>
        <v>7000</v>
      </c>
    </row>
    <row r="81" customFormat="false" ht="15" hidden="false" customHeight="false" outlineLevel="0" collapsed="false">
      <c r="D81" s="42" t="s">
        <v>697</v>
      </c>
      <c r="E81" s="43" t="s">
        <v>862</v>
      </c>
    </row>
    <row r="82" customFormat="false" ht="15" hidden="false" customHeight="false" outlineLevel="0" collapsed="false">
      <c r="E82" s="43" t="s">
        <v>863</v>
      </c>
    </row>
    <row r="83" customFormat="false" ht="15" hidden="false" customHeight="false" outlineLevel="0" collapsed="false">
      <c r="E83" s="43" t="s">
        <v>875</v>
      </c>
    </row>
    <row r="86" customFormat="false" ht="15" hidden="false" customHeight="false" outlineLevel="0" collapsed="false">
      <c r="A86" s="28" t="s">
        <v>876</v>
      </c>
      <c r="B86" s="29"/>
      <c r="C86" s="29"/>
      <c r="D86" s="29"/>
      <c r="E86" s="29"/>
      <c r="F86" s="29"/>
      <c r="G86" s="29"/>
      <c r="H86" s="29"/>
      <c r="I86" s="29"/>
      <c r="J86" s="29"/>
      <c r="K86" s="29"/>
      <c r="L86" s="29"/>
      <c r="M86" s="29"/>
      <c r="N86" s="29"/>
    </row>
    <row r="87" customFormat="false" ht="39.55" hidden="false" customHeight="false" outlineLevel="0" collapsed="false">
      <c r="A87" s="30" t="s">
        <v>663</v>
      </c>
      <c r="B87" s="30" t="s">
        <v>664</v>
      </c>
      <c r="C87" s="30" t="s">
        <v>348</v>
      </c>
      <c r="D87" s="30" t="s">
        <v>350</v>
      </c>
      <c r="E87" s="30" t="s">
        <v>349</v>
      </c>
      <c r="F87" s="30" t="s">
        <v>665</v>
      </c>
      <c r="G87" s="30" t="s">
        <v>666</v>
      </c>
      <c r="H87" s="30" t="s">
        <v>667</v>
      </c>
      <c r="I87" s="30" t="s">
        <v>668</v>
      </c>
      <c r="J87" s="30" t="s">
        <v>669</v>
      </c>
      <c r="K87" s="30" t="s">
        <v>355</v>
      </c>
      <c r="L87" s="30" t="s">
        <v>353</v>
      </c>
      <c r="M87" s="30" t="s">
        <v>356</v>
      </c>
      <c r="N87" s="30" t="s">
        <v>670</v>
      </c>
    </row>
    <row r="88" customFormat="false" ht="15" hidden="false" customHeight="false" outlineLevel="0" collapsed="false">
      <c r="A88" s="9" t="s">
        <v>671</v>
      </c>
      <c r="B88" s="9" t="s">
        <v>745</v>
      </c>
      <c r="C88" s="31" t="s">
        <v>213</v>
      </c>
      <c r="D88" s="9" t="str">
        <f aca="false">INDEX(Articles!$C$2:$C$148,MATCH(C88,Articles!$A$2:$A$148,0))</f>
        <v>Cahier Calligraphe 192 pages 24x32 (grand format)</v>
      </c>
      <c r="E88" s="9" t="str">
        <f aca="false">INDEX(Articles!$B$2:$B$148,MATCH(C88,Articles!$A$2:$A$148,0))</f>
        <v>Papex</v>
      </c>
      <c r="F88" s="31" t="n">
        <v>1</v>
      </c>
      <c r="G88" s="13" t="n">
        <f aca="false">IF(INDEX(Articles!$G$2:$G$148,MATCH(C88,Articles!$A$2:$A$148,0))="","",INDEX(Articles!$G$2:$G$148,MATCH(C88,Articles!$A$2:$A$148,0)))</f>
        <v>1650</v>
      </c>
      <c r="H88" s="13" t="n">
        <f aca="false">IF(G88="",0,F88*G88)</f>
        <v>1650</v>
      </c>
      <c r="I88" s="13" t="n">
        <f aca="false">IF(INDEX(Articles!$E$2:$E$148,MATCH(C88,Articles!$A$2:$A$148,0))="","",INDEX(Articles!$E$2:$E$148,MATCH(C88,Articles!$A$2:$A$148,0)))</f>
        <v>1500</v>
      </c>
      <c r="J88" s="13" t="n">
        <f aca="false">IF(I88="","",F88*I88)</f>
        <v>1500</v>
      </c>
      <c r="K88" s="9" t="str">
        <f aca="false">INDEX(Articles!$H$2:$H$148,MATCH(C88,Articles!$A$2:$A$148,0))</f>
        <v>Fixé</v>
      </c>
      <c r="L88" s="9" t="str">
        <f aca="false">INDEX(Articles!$F$2:$F$148,MATCH(C88,Articles!$A$2:$A$148,0))</f>
        <v>Confirmé</v>
      </c>
      <c r="M88" s="17"/>
      <c r="N88" s="9" t="s">
        <v>167</v>
      </c>
    </row>
    <row r="89" customFormat="false" ht="15" hidden="false" customHeight="false" outlineLevel="0" collapsed="false">
      <c r="A89" s="9" t="s">
        <v>671</v>
      </c>
      <c r="B89" s="9" t="s">
        <v>850</v>
      </c>
      <c r="C89" s="31" t="s">
        <v>208</v>
      </c>
      <c r="D89" s="9" t="str">
        <f aca="false">INDEX(Articles!$C$2:$C$148,MATCH(C89,Articles!$A$2:$A$148,0))</f>
        <v>Cahier Calligraphe 96 pages 24x32 (grand format)</v>
      </c>
      <c r="E89" s="9" t="str">
        <f aca="false">INDEX(Articles!$B$2:$B$148,MATCH(C89,Articles!$A$2:$A$148,0))</f>
        <v>Papex</v>
      </c>
      <c r="F89" s="31" t="n">
        <v>1</v>
      </c>
      <c r="G89" s="13" t="n">
        <f aca="false">IF(INDEX(Articles!$G$2:$G$148,MATCH(C89,Articles!$A$2:$A$148,0))="","",INDEX(Articles!$G$2:$G$148,MATCH(C89,Articles!$A$2:$A$148,0)))</f>
        <v>1350</v>
      </c>
      <c r="H89" s="13" t="n">
        <f aca="false">IF(G89="",0,F89*G89)</f>
        <v>1350</v>
      </c>
      <c r="I89" s="13" t="n">
        <f aca="false">IF(INDEX(Articles!$E$2:$E$148,MATCH(C89,Articles!$A$2:$A$148,0))="","",INDEX(Articles!$E$2:$E$148,MATCH(C89,Articles!$A$2:$A$148,0)))</f>
        <v>1000</v>
      </c>
      <c r="J89" s="13" t="n">
        <f aca="false">IF(I89="","",F89*I89)</f>
        <v>1000</v>
      </c>
      <c r="K89" s="9" t="str">
        <f aca="false">INDEX(Articles!$H$2:$H$148,MATCH(C89,Articles!$A$2:$A$148,0))</f>
        <v>Fixé</v>
      </c>
      <c r="L89" s="9" t="str">
        <f aca="false">INDEX(Articles!$F$2:$F$148,MATCH(C89,Articles!$A$2:$A$148,0))</f>
        <v>Confirmé</v>
      </c>
      <c r="M89" s="17"/>
      <c r="N89" s="9" t="s">
        <v>167</v>
      </c>
    </row>
    <row r="90" customFormat="false" ht="15" hidden="false" customHeight="false" outlineLevel="0" collapsed="false">
      <c r="A90" s="9" t="s">
        <v>671</v>
      </c>
      <c r="B90" s="9" t="s">
        <v>851</v>
      </c>
      <c r="C90" s="31" t="s">
        <v>370</v>
      </c>
      <c r="D90" s="9" t="str">
        <f aca="false">INDEX(Articles!$C$2:$C$148,MATCH(C90,Articles!$A$2:$A$148,0))</f>
        <v>Cahier Calligraphe 140 pages 24x32 90 g seyès</v>
      </c>
      <c r="E90" s="9" t="str">
        <f aca="false">INDEX(Articles!$B$2:$B$148,MATCH(C90,Articles!$A$2:$A$148,0))</f>
        <v>Papex</v>
      </c>
      <c r="F90" s="31" t="n">
        <v>2</v>
      </c>
      <c r="G90" s="13" t="n">
        <f aca="false">IF(INDEX(Articles!$G$2:$G$148,MATCH(C90,Articles!$A$2:$A$148,0))="","",INDEX(Articles!$G$2:$G$148,MATCH(C90,Articles!$A$2:$A$148,0)))</f>
        <v>1500</v>
      </c>
      <c r="H90" s="13" t="n">
        <f aca="false">IF(G90="",0,F90*G90)</f>
        <v>3000</v>
      </c>
      <c r="I90" s="13" t="n">
        <f aca="false">IF(INDEX(Articles!$E$2:$E$148,MATCH(C90,Articles!$A$2:$A$148,0))="","",INDEX(Articles!$E$2:$E$148,MATCH(C90,Articles!$A$2:$A$148,0)))</f>
        <v>1250</v>
      </c>
      <c r="J90" s="13" t="n">
        <f aca="false">IF(I90="","",F90*I90)</f>
        <v>2500</v>
      </c>
      <c r="K90" s="9" t="str">
        <f aca="false">INDEX(Articles!$H$2:$H$148,MATCH(C90,Articles!$A$2:$A$148,0))</f>
        <v>Fixé</v>
      </c>
      <c r="L90" s="9" t="str">
        <f aca="false">INDEX(Articles!$F$2:$F$148,MATCH(C90,Articles!$A$2:$A$148,0))</f>
        <v>Estimé</v>
      </c>
      <c r="M90" s="17" t="s">
        <v>860</v>
      </c>
      <c r="N90" s="9" t="s">
        <v>167</v>
      </c>
    </row>
    <row r="91" customFormat="false" ht="15" hidden="false" customHeight="false" outlineLevel="0" collapsed="false">
      <c r="A91" s="9" t="s">
        <v>671</v>
      </c>
      <c r="B91" s="9" t="s">
        <v>852</v>
      </c>
      <c r="C91" s="31" t="s">
        <v>366</v>
      </c>
      <c r="D91" s="9" t="str">
        <f aca="false">INDEX(Articles!$C$2:$C$148,MATCH(C91,Articles!$A$2:$A$148,0))</f>
        <v>Cahier Calligraphe 140 pages 17x22 90 g seyès</v>
      </c>
      <c r="E91" s="9" t="str">
        <f aca="false">INDEX(Articles!$B$2:$B$148,MATCH(C91,Articles!$A$2:$A$148,0))</f>
        <v>Papex</v>
      </c>
      <c r="F91" s="31" t="n">
        <v>1</v>
      </c>
      <c r="G91" s="13" t="n">
        <f aca="false">IF(INDEX(Articles!$G$2:$G$148,MATCH(C91,Articles!$A$2:$A$148,0))="","",INDEX(Articles!$G$2:$G$148,MATCH(C91,Articles!$A$2:$A$148,0)))</f>
        <v>750</v>
      </c>
      <c r="H91" s="13" t="n">
        <f aca="false">IF(G91="",0,F91*G91)</f>
        <v>750</v>
      </c>
      <c r="I91" s="13" t="n">
        <f aca="false">IF(INDEX(Articles!$E$2:$E$148,MATCH(C91,Articles!$A$2:$A$148,0))="","",INDEX(Articles!$E$2:$E$148,MATCH(C91,Articles!$A$2:$A$148,0)))</f>
        <v>650</v>
      </c>
      <c r="J91" s="13" t="n">
        <f aca="false">IF(I91="","",F91*I91)</f>
        <v>650</v>
      </c>
      <c r="K91" s="9" t="str">
        <f aca="false">INDEX(Articles!$H$2:$H$148,MATCH(C91,Articles!$A$2:$A$148,0))</f>
        <v>Fixé</v>
      </c>
      <c r="L91" s="9" t="str">
        <f aca="false">INDEX(Articles!$F$2:$F$148,MATCH(C91,Articles!$A$2:$A$148,0))</f>
        <v>Estimé</v>
      </c>
      <c r="M91" s="17" t="s">
        <v>763</v>
      </c>
      <c r="N91" s="9" t="s">
        <v>167</v>
      </c>
    </row>
    <row r="92" customFormat="false" ht="15" hidden="false" customHeight="false" outlineLevel="0" collapsed="false">
      <c r="A92" s="9" t="s">
        <v>671</v>
      </c>
      <c r="B92" s="9" t="s">
        <v>737</v>
      </c>
      <c r="C92" s="31" t="s">
        <v>213</v>
      </c>
      <c r="D92" s="9" t="str">
        <f aca="false">INDEX(Articles!$C$2:$C$148,MATCH(C92,Articles!$A$2:$A$148,0))</f>
        <v>Cahier Calligraphe 192 pages 24x32 (grand format)</v>
      </c>
      <c r="E92" s="9" t="str">
        <f aca="false">INDEX(Articles!$B$2:$B$148,MATCH(C92,Articles!$A$2:$A$148,0))</f>
        <v>Papex</v>
      </c>
      <c r="F92" s="31" t="n">
        <v>1</v>
      </c>
      <c r="G92" s="13" t="n">
        <f aca="false">IF(INDEX(Articles!$G$2:$G$148,MATCH(C92,Articles!$A$2:$A$148,0))="","",INDEX(Articles!$G$2:$G$148,MATCH(C92,Articles!$A$2:$A$148,0)))</f>
        <v>1650</v>
      </c>
      <c r="H92" s="13" t="n">
        <f aca="false">IF(G92="",0,F92*G92)</f>
        <v>1650</v>
      </c>
      <c r="I92" s="13" t="n">
        <f aca="false">IF(INDEX(Articles!$E$2:$E$148,MATCH(C92,Articles!$A$2:$A$148,0))="","",INDEX(Articles!$E$2:$E$148,MATCH(C92,Articles!$A$2:$A$148,0)))</f>
        <v>1500</v>
      </c>
      <c r="J92" s="13" t="n">
        <f aca="false">IF(I92="","",F92*I92)</f>
        <v>1500</v>
      </c>
      <c r="K92" s="9" t="str">
        <f aca="false">INDEX(Articles!$H$2:$H$148,MATCH(C92,Articles!$A$2:$A$148,0))</f>
        <v>Fixé</v>
      </c>
      <c r="L92" s="9" t="str">
        <f aca="false">INDEX(Articles!$F$2:$F$148,MATCH(C92,Articles!$A$2:$A$148,0))</f>
        <v>Confirmé</v>
      </c>
      <c r="M92" s="17"/>
      <c r="N92" s="9" t="s">
        <v>167</v>
      </c>
    </row>
    <row r="93" customFormat="false" ht="15" hidden="false" customHeight="false" outlineLevel="0" collapsed="false">
      <c r="A93" s="9" t="s">
        <v>671</v>
      </c>
      <c r="B93" s="9" t="s">
        <v>739</v>
      </c>
      <c r="C93" s="31" t="s">
        <v>192</v>
      </c>
      <c r="D93" s="9" t="str">
        <f aca="false">INDEX(Articles!$C$2:$C$148,MATCH(C93,Articles!$A$2:$A$148,0))</f>
        <v>Cahier Calligraphe 192 pages 17x22 90 g seyès</v>
      </c>
      <c r="E93" s="9" t="str">
        <f aca="false">INDEX(Articles!$B$2:$B$148,MATCH(C93,Articles!$A$2:$A$148,0))</f>
        <v>Papex</v>
      </c>
      <c r="F93" s="31" t="n">
        <v>1</v>
      </c>
      <c r="G93" s="13" t="n">
        <f aca="false">IF(INDEX(Articles!$G$2:$G$148,MATCH(C93,Articles!$A$2:$A$148,0))="","",INDEX(Articles!$G$2:$G$148,MATCH(C93,Articles!$A$2:$A$148,0)))</f>
        <v>900</v>
      </c>
      <c r="H93" s="13" t="n">
        <f aca="false">IF(G93="",0,F93*G93)</f>
        <v>900</v>
      </c>
      <c r="I93" s="13" t="n">
        <f aca="false">IF(INDEX(Articles!$E$2:$E$148,MATCH(C93,Articles!$A$2:$A$148,0))="","",INDEX(Articles!$E$2:$E$148,MATCH(C93,Articles!$A$2:$A$148,0)))</f>
        <v>800</v>
      </c>
      <c r="J93" s="13" t="n">
        <f aca="false">IF(I93="","",F93*I93)</f>
        <v>800</v>
      </c>
      <c r="K93" s="9" t="str">
        <f aca="false">INDEX(Articles!$H$2:$H$148,MATCH(C93,Articles!$A$2:$A$148,0))</f>
        <v>Fixé</v>
      </c>
      <c r="L93" s="9" t="str">
        <f aca="false">INDEX(Articles!$F$2:$F$148,MATCH(C93,Articles!$A$2:$A$148,0))</f>
        <v>Confirmé</v>
      </c>
      <c r="M93" s="17"/>
      <c r="N93" s="9" t="s">
        <v>167</v>
      </c>
    </row>
    <row r="94" customFormat="false" ht="15" hidden="false" customHeight="false" outlineLevel="0" collapsed="false">
      <c r="A94" s="9" t="s">
        <v>671</v>
      </c>
      <c r="B94" s="9" t="s">
        <v>853</v>
      </c>
      <c r="C94" s="31" t="s">
        <v>213</v>
      </c>
      <c r="D94" s="9" t="str">
        <f aca="false">INDEX(Articles!$C$2:$C$148,MATCH(C94,Articles!$A$2:$A$148,0))</f>
        <v>Cahier Calligraphe 192 pages 24x32 (grand format)</v>
      </c>
      <c r="E94" s="9" t="str">
        <f aca="false">INDEX(Articles!$B$2:$B$148,MATCH(C94,Articles!$A$2:$A$148,0))</f>
        <v>Papex</v>
      </c>
      <c r="F94" s="31" t="n">
        <v>1</v>
      </c>
      <c r="G94" s="13" t="n">
        <f aca="false">IF(INDEX(Articles!$G$2:$G$148,MATCH(C94,Articles!$A$2:$A$148,0))="","",INDEX(Articles!$G$2:$G$148,MATCH(C94,Articles!$A$2:$A$148,0)))</f>
        <v>1650</v>
      </c>
      <c r="H94" s="13" t="n">
        <f aca="false">IF(G94="",0,F94*G94)</f>
        <v>1650</v>
      </c>
      <c r="I94" s="13" t="n">
        <f aca="false">IF(INDEX(Articles!$E$2:$E$148,MATCH(C94,Articles!$A$2:$A$148,0))="","",INDEX(Articles!$E$2:$E$148,MATCH(C94,Articles!$A$2:$A$148,0)))</f>
        <v>1500</v>
      </c>
      <c r="J94" s="13" t="n">
        <f aca="false">IF(I94="","",F94*I94)</f>
        <v>1500</v>
      </c>
      <c r="K94" s="9" t="str">
        <f aca="false">INDEX(Articles!$H$2:$H$148,MATCH(C94,Articles!$A$2:$A$148,0))</f>
        <v>Fixé</v>
      </c>
      <c r="L94" s="9" t="str">
        <f aca="false">INDEX(Articles!$F$2:$F$148,MATCH(C94,Articles!$A$2:$A$148,0))</f>
        <v>Confirmé</v>
      </c>
      <c r="M94" s="17"/>
      <c r="N94" s="9" t="s">
        <v>167</v>
      </c>
    </row>
    <row r="95" customFormat="false" ht="15" hidden="false" customHeight="false" outlineLevel="0" collapsed="false">
      <c r="A95" s="9" t="s">
        <v>671</v>
      </c>
      <c r="B95" s="9" t="s">
        <v>873</v>
      </c>
      <c r="C95" s="31" t="s">
        <v>370</v>
      </c>
      <c r="D95" s="9" t="str">
        <f aca="false">INDEX(Articles!$C$2:$C$148,MATCH(C95,Articles!$A$2:$A$148,0))</f>
        <v>Cahier Calligraphe 140 pages 24x32 90 g seyès</v>
      </c>
      <c r="E95" s="9" t="str">
        <f aca="false">INDEX(Articles!$B$2:$B$148,MATCH(C95,Articles!$A$2:$A$148,0))</f>
        <v>Papex</v>
      </c>
      <c r="F95" s="31" t="n">
        <v>2</v>
      </c>
      <c r="G95" s="13" t="n">
        <f aca="false">IF(INDEX(Articles!$G$2:$G$148,MATCH(C95,Articles!$A$2:$A$148,0))="","",INDEX(Articles!$G$2:$G$148,MATCH(C95,Articles!$A$2:$A$148,0)))</f>
        <v>1500</v>
      </c>
      <c r="H95" s="13" t="n">
        <f aca="false">IF(G95="",0,F95*G95)</f>
        <v>3000</v>
      </c>
      <c r="I95" s="13" t="n">
        <f aca="false">IF(INDEX(Articles!$E$2:$E$148,MATCH(C95,Articles!$A$2:$A$148,0))="","",INDEX(Articles!$E$2:$E$148,MATCH(C95,Articles!$A$2:$A$148,0)))</f>
        <v>1250</v>
      </c>
      <c r="J95" s="13" t="n">
        <f aca="false">IF(I95="","",F95*I95)</f>
        <v>2500</v>
      </c>
      <c r="K95" s="9" t="str">
        <f aca="false">INDEX(Articles!$H$2:$H$148,MATCH(C95,Articles!$A$2:$A$148,0))</f>
        <v>Fixé</v>
      </c>
      <c r="L95" s="9" t="str">
        <f aca="false">INDEX(Articles!$F$2:$F$148,MATCH(C95,Articles!$A$2:$A$148,0))</f>
        <v>Estimé</v>
      </c>
      <c r="M95" s="17" t="s">
        <v>860</v>
      </c>
      <c r="N95" s="9" t="s">
        <v>167</v>
      </c>
    </row>
    <row r="96" customFormat="false" ht="15" hidden="false" customHeight="false" outlineLevel="0" collapsed="false">
      <c r="A96" s="9" t="s">
        <v>671</v>
      </c>
      <c r="B96" s="9" t="s">
        <v>831</v>
      </c>
      <c r="C96" s="31" t="s">
        <v>213</v>
      </c>
      <c r="D96" s="9" t="str">
        <f aca="false">INDEX(Articles!$C$2:$C$148,MATCH(C96,Articles!$A$2:$A$148,0))</f>
        <v>Cahier Calligraphe 192 pages 24x32 (grand format)</v>
      </c>
      <c r="E96" s="9" t="str">
        <f aca="false">INDEX(Articles!$B$2:$B$148,MATCH(C96,Articles!$A$2:$A$148,0))</f>
        <v>Papex</v>
      </c>
      <c r="F96" s="31" t="n">
        <v>1</v>
      </c>
      <c r="G96" s="13" t="n">
        <f aca="false">IF(INDEX(Articles!$G$2:$G$148,MATCH(C96,Articles!$A$2:$A$148,0))="","",INDEX(Articles!$G$2:$G$148,MATCH(C96,Articles!$A$2:$A$148,0)))</f>
        <v>1650</v>
      </c>
      <c r="H96" s="13" t="n">
        <f aca="false">IF(G96="",0,F96*G96)</f>
        <v>1650</v>
      </c>
      <c r="I96" s="13" t="n">
        <f aca="false">IF(INDEX(Articles!$E$2:$E$148,MATCH(C96,Articles!$A$2:$A$148,0))="","",INDEX(Articles!$E$2:$E$148,MATCH(C96,Articles!$A$2:$A$148,0)))</f>
        <v>1500</v>
      </c>
      <c r="J96" s="13" t="n">
        <f aca="false">IF(I96="","",F96*I96)</f>
        <v>1500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855</v>
      </c>
      <c r="C97" s="31" t="s">
        <v>208</v>
      </c>
      <c r="D97" s="9" t="str">
        <f aca="false">INDEX(Articles!$C$2:$C$148,MATCH(C97,Articles!$A$2:$A$148,0))</f>
        <v>Cahier Calligraphe 96 pages 24x32 (grand format)</v>
      </c>
      <c r="E97" s="9" t="str">
        <f aca="false">INDEX(Articles!$B$2:$B$148,MATCH(C97,Articles!$A$2:$A$148,0))</f>
        <v>Papex</v>
      </c>
      <c r="F97" s="31" t="n">
        <v>1</v>
      </c>
      <c r="G97" s="13" t="n">
        <f aca="false">IF(INDEX(Articles!$G$2:$G$148,MATCH(C97,Articles!$A$2:$A$148,0))="","",INDEX(Articles!$G$2:$G$148,MATCH(C97,Articles!$A$2:$A$148,0)))</f>
        <v>1350</v>
      </c>
      <c r="H97" s="13" t="n">
        <f aca="false">IF(G97="",0,F97*G97)</f>
        <v>1350</v>
      </c>
      <c r="I97" s="13" t="n">
        <f aca="false">IF(INDEX(Articles!$E$2:$E$148,MATCH(C97,Articles!$A$2:$A$148,0))="","",INDEX(Articles!$E$2:$E$148,MATCH(C97,Articles!$A$2:$A$148,0)))</f>
        <v>1000</v>
      </c>
      <c r="J97" s="13" t="n">
        <f aca="false">IF(I97="","",F97*I97)</f>
        <v>1000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678</v>
      </c>
      <c r="B98" s="9" t="s">
        <v>749</v>
      </c>
      <c r="C98" s="31" t="s">
        <v>222</v>
      </c>
      <c r="D98" s="9" t="str">
        <f aca="false">INDEX(Articles!$C$2:$C$148,MATCH(C98,Articles!$A$2:$A$148,0))</f>
        <v>Pack de 4 stylos Schneider Tops 505 M (bleu, noir, rouge, vert)</v>
      </c>
      <c r="E98" s="9" t="str">
        <f aca="false">INDEX(Articles!$B$2:$B$148,MATCH(C98,Articles!$A$2:$A$148,0))</f>
        <v>Papex</v>
      </c>
      <c r="F98" s="31" t="n">
        <v>1</v>
      </c>
      <c r="G98" s="13" t="n">
        <f aca="false">IF(INDEX(Articles!$G$2:$G$148,MATCH(C98,Articles!$A$2:$A$148,0))="","",INDEX(Articles!$G$2:$G$148,MATCH(C98,Articles!$A$2:$A$148,0)))</f>
        <v>400</v>
      </c>
      <c r="H98" s="13" t="n">
        <f aca="false">IF(G98="",0,F98*G98)</f>
        <v>400</v>
      </c>
      <c r="I98" s="13" t="str">
        <f aca="false">IF(INDEX(Articles!$E$2:$E$148,MATCH(C98,Articles!$A$2:$A$148,0))="","",INDEX(Articles!$E$2:$E$148,MATCH(C98,Articles!$A$2:$A$148,0)))</f>
        <v/>
      </c>
      <c r="J98" s="13" t="str">
        <f aca="false">IF(I98="","",F98*I98)</f>
        <v/>
      </c>
      <c r="K98" s="9" t="str">
        <f aca="false">INDEX(Articles!$H$2:$H$148,MATCH(C98,Articles!$A$2:$A$148,0))</f>
        <v>Fixé</v>
      </c>
      <c r="L98" s="9" t="str">
        <f aca="false">INDEX(Articles!$F$2:$F$148,MATCH(C98,Articles!$A$2:$A$148,0))</f>
        <v>Inconnu</v>
      </c>
      <c r="M98" s="17" t="s">
        <v>432</v>
      </c>
      <c r="N98" s="9" t="s">
        <v>167</v>
      </c>
    </row>
    <row r="99" customFormat="false" ht="15" hidden="false" customHeight="false" outlineLevel="0" collapsed="false">
      <c r="A99" s="9" t="s">
        <v>678</v>
      </c>
      <c r="B99" s="9" t="s">
        <v>750</v>
      </c>
      <c r="C99" s="31" t="s">
        <v>235</v>
      </c>
      <c r="D99" s="9" t="str">
        <f aca="false">INDEX(Articles!$C$2:$C$148,MATCH(C99,Articles!$A$2:$A$148,0))</f>
        <v>Crayon papier (vendu à l'unité)</v>
      </c>
      <c r="E99" s="9" t="str">
        <f aca="false">INDEX(Articles!$B$2:$B$148,MATCH(C99,Articles!$A$2:$A$148,0))</f>
        <v>LPD</v>
      </c>
      <c r="F99" s="31" t="n">
        <v>1</v>
      </c>
      <c r="G99" s="13" t="n">
        <f aca="false">IF(INDEX(Articles!$G$2:$G$148,MATCH(C99,Articles!$A$2:$A$148,0))="","",INDEX(Articles!$G$2:$G$148,MATCH(C99,Articles!$A$2:$A$148,0)))</f>
        <v>75</v>
      </c>
      <c r="H99" s="13" t="n">
        <f aca="false">IF(G99="",0,F99*G99)</f>
        <v>75</v>
      </c>
      <c r="I99" s="13" t="str">
        <f aca="false">IF(INDEX(Articles!$E$2:$E$148,MATCH(C99,Articles!$A$2:$A$148,0))="","",INDEX(Articles!$E$2:$E$148,MATCH(C99,Articles!$A$2:$A$148,0)))</f>
        <v/>
      </c>
      <c r="J99" s="13" t="str">
        <f aca="false">IF(I99="","",F99*I99)</f>
        <v/>
      </c>
      <c r="K99" s="9" t="str">
        <f aca="false">INDEX(Articles!$H$2:$H$148,MATCH(C99,Articles!$A$2:$A$148,0))</f>
        <v>Fixé</v>
      </c>
      <c r="L99" s="9" t="str">
        <f aca="false">INDEX(Articles!$F$2:$F$148,MATCH(C99,Articles!$A$2:$A$148,0))</f>
        <v>Inconnu</v>
      </c>
      <c r="M99" s="17"/>
      <c r="N99" s="9" t="s">
        <v>167</v>
      </c>
    </row>
    <row r="100" customFormat="false" ht="15" hidden="false" customHeight="false" outlineLevel="0" collapsed="false">
      <c r="A100" s="9" t="s">
        <v>675</v>
      </c>
      <c r="B100" s="9" t="s">
        <v>717</v>
      </c>
      <c r="C100" s="31" t="s">
        <v>180</v>
      </c>
      <c r="D100" s="9" t="str">
        <f aca="false">INDEX(Articles!$C$2:$C$148,MATCH(C100,Articles!$A$2:$A$148,0))</f>
        <v>Gomme Staedtler Mars Plastic</v>
      </c>
      <c r="E100" s="9" t="str">
        <f aca="false">INDEX(Articles!$B$2:$B$148,MATCH(C100,Articles!$A$2:$A$148,0))</f>
        <v>LPD</v>
      </c>
      <c r="F100" s="31" t="n">
        <v>1</v>
      </c>
      <c r="G100" s="13" t="n">
        <f aca="false">IF(INDEX(Articles!$G$2:$G$148,MATCH(C100,Articles!$A$2:$A$148,0))="","",INDEX(Articles!$G$2:$G$148,MATCH(C100,Articles!$A$2:$A$148,0)))</f>
        <v>250</v>
      </c>
      <c r="H100" s="13" t="n">
        <f aca="false">IF(G100="",0,F100*G100)</f>
        <v>250</v>
      </c>
      <c r="I100" s="13" t="n">
        <f aca="false">IF(INDEX(Articles!$E$2:$E$148,MATCH(C100,Articles!$A$2:$A$148,0))="","",INDEX(Articles!$E$2:$E$148,MATCH(C100,Articles!$A$2:$A$148,0)))</f>
        <v>110</v>
      </c>
      <c r="J100" s="13" t="n">
        <f aca="false">IF(I100="","",F100*I100)</f>
        <v>110</v>
      </c>
      <c r="K100" s="9" t="str">
        <f aca="false">INDEX(Articles!$H$2:$H$148,MATCH(C100,Articles!$A$2:$A$148,0))</f>
        <v>Fixé</v>
      </c>
      <c r="L100" s="9" t="str">
        <f aca="false">INDEX(Articles!$F$2:$F$148,MATCH(C100,Articles!$A$2:$A$148,0))</f>
        <v>Estimé</v>
      </c>
      <c r="M100" s="17"/>
      <c r="N100" s="9" t="s">
        <v>167</v>
      </c>
    </row>
    <row r="101" customFormat="false" ht="15" hidden="false" customHeight="false" outlineLevel="0" collapsed="false">
      <c r="A101" s="9" t="s">
        <v>675</v>
      </c>
      <c r="B101" s="9" t="s">
        <v>751</v>
      </c>
      <c r="C101" s="31" t="s">
        <v>183</v>
      </c>
      <c r="D101" s="9" t="str">
        <f aca="false">INDEX(Articles!$C$2:$C$148,MATCH(C101,Articles!$A$2:$A$148,0))</f>
        <v>Taille-crayon avec réservoir Maped</v>
      </c>
      <c r="E101" s="9" t="str">
        <f aca="false">INDEX(Articles!$B$2:$B$148,MATCH(C101,Articles!$A$2:$A$148,0))</f>
        <v>Papex</v>
      </c>
      <c r="F101" s="31" t="n">
        <v>1</v>
      </c>
      <c r="G101" s="13" t="n">
        <f aca="false">IF(INDEX(Articles!$G$2:$G$148,MATCH(C101,Articles!$A$2:$A$148,0))="","",INDEX(Articles!$G$2:$G$148,MATCH(C101,Articles!$A$2:$A$148,0)))</f>
        <v>500</v>
      </c>
      <c r="H101" s="13" t="n">
        <f aca="false">IF(G101="",0,F101*G101)</f>
        <v>500</v>
      </c>
      <c r="I101" s="13" t="n">
        <f aca="false">IF(INDEX(Articles!$E$2:$E$148,MATCH(C101,Articles!$A$2:$A$148,0))="","",INDEX(Articles!$E$2:$E$148,MATCH(C101,Articles!$A$2:$A$148,0)))</f>
        <v>350</v>
      </c>
      <c r="J101" s="13" t="n">
        <f aca="false">IF(I101="","",F101*I101)</f>
        <v>350</v>
      </c>
      <c r="K101" s="9" t="str">
        <f aca="false">INDEX(Articles!$H$2:$H$148,MATCH(C101,Articles!$A$2:$A$148,0))</f>
        <v>Estimé</v>
      </c>
      <c r="L101" s="9" t="str">
        <f aca="false">INDEX(Articles!$F$2:$F$148,MATCH(C101,Articles!$A$2:$A$148,0))</f>
        <v>Estimé</v>
      </c>
      <c r="M101" s="17" t="s">
        <v>765</v>
      </c>
      <c r="N101" s="9" t="s">
        <v>167</v>
      </c>
    </row>
    <row r="102" customFormat="false" ht="15" hidden="false" customHeight="false" outlineLevel="0" collapsed="false">
      <c r="A102" s="9" t="s">
        <v>675</v>
      </c>
      <c r="B102" s="9" t="s">
        <v>753</v>
      </c>
      <c r="C102" s="31" t="s">
        <v>248</v>
      </c>
      <c r="D102" s="9" t="str">
        <f aca="false">INDEX(Articles!$C$2:$C$148,MATCH(C102,Articles!$A$2:$A$148,0))</f>
        <v>Bâton de colle Giotto 20 g</v>
      </c>
      <c r="E102" s="9" t="str">
        <f aca="false">INDEX(Articles!$B$2:$B$148,MATCH(C102,Articles!$A$2:$A$148,0))</f>
        <v>Papex</v>
      </c>
      <c r="F102" s="31" t="n">
        <v>1</v>
      </c>
      <c r="G102" s="13" t="n">
        <f aca="false">IF(INDEX(Articles!$G$2:$G$148,MATCH(C102,Articles!$A$2:$A$148,0))="","",INDEX(Articles!$G$2:$G$148,MATCH(C102,Articles!$A$2:$A$148,0)))</f>
        <v>900</v>
      </c>
      <c r="H102" s="13" t="n">
        <f aca="false">IF(G102="",0,F102*G102)</f>
        <v>900</v>
      </c>
      <c r="I102" s="13" t="n">
        <f aca="false">IF(INDEX(Articles!$E$2:$E$148,MATCH(C102,Articles!$A$2:$A$148,0))="","",INDEX(Articles!$E$2:$E$148,MATCH(C102,Articles!$A$2:$A$148,0)))</f>
        <v>650</v>
      </c>
      <c r="J102" s="13" t="n">
        <f aca="false">IF(I102="","",F102*I102)</f>
        <v>650</v>
      </c>
      <c r="K102" s="9" t="str">
        <f aca="false">INDEX(Articles!$H$2:$H$148,MATCH(C102,Articles!$A$2:$A$148,0))</f>
        <v>Estimé</v>
      </c>
      <c r="L102" s="9" t="str">
        <f aca="false">INDEX(Articles!$F$2:$F$148,MATCH(C102,Articles!$A$2:$A$148,0))</f>
        <v>Estimé</v>
      </c>
      <c r="M102" s="17"/>
      <c r="N102" s="9" t="s">
        <v>167</v>
      </c>
    </row>
    <row r="103" customFormat="false" ht="15" hidden="false" customHeight="false" outlineLevel="0" collapsed="false">
      <c r="A103" s="9" t="s">
        <v>675</v>
      </c>
      <c r="B103" s="9" t="s">
        <v>754</v>
      </c>
      <c r="C103" s="31" t="s">
        <v>189</v>
      </c>
      <c r="D103" s="9" t="str">
        <f aca="false">INDEX(Articles!$C$2:$C$148,MATCH(C103,Articles!$A$2:$A$148,0))</f>
        <v>Ciseaux Maped 13 cm Security</v>
      </c>
      <c r="E103" s="9" t="str">
        <f aca="false">INDEX(Articles!$B$2:$B$148,MATCH(C103,Articles!$A$2:$A$148,0))</f>
        <v>Papex</v>
      </c>
      <c r="F103" s="31" t="n">
        <v>1</v>
      </c>
      <c r="G103" s="13" t="n">
        <f aca="false">IF(INDEX(Articles!$G$2:$G$148,MATCH(C103,Articles!$A$2:$A$148,0))="","",INDEX(Articles!$G$2:$G$148,MATCH(C103,Articles!$A$2:$A$148,0)))</f>
        <v>900</v>
      </c>
      <c r="H103" s="13" t="n">
        <f aca="false">IF(G103="",0,F103*G103)</f>
        <v>900</v>
      </c>
      <c r="I103" s="13" t="n">
        <f aca="false">IF(INDEX(Articles!$E$2:$E$148,MATCH(C103,Articles!$A$2:$A$148,0))="","",INDEX(Articles!$E$2:$E$148,MATCH(C103,Articles!$A$2:$A$148,0)))</f>
        <v>650</v>
      </c>
      <c r="J103" s="13" t="n">
        <f aca="false">IF(I103="","",F103*I103)</f>
        <v>650</v>
      </c>
      <c r="K103" s="9" t="str">
        <f aca="false">INDEX(Articles!$H$2:$H$148,MATCH(C103,Articles!$A$2:$A$148,0))</f>
        <v>Estimé</v>
      </c>
      <c r="L103" s="9" t="str">
        <f aca="false">INDEX(Articles!$F$2:$F$148,MATCH(C103,Articles!$A$2:$A$148,0))</f>
        <v>Estimé</v>
      </c>
      <c r="M103" s="17"/>
      <c r="N103" s="9" t="s">
        <v>167</v>
      </c>
    </row>
    <row r="104" customFormat="false" ht="15" hidden="false" customHeight="false" outlineLevel="0" collapsed="false">
      <c r="A104" s="9" t="s">
        <v>676</v>
      </c>
      <c r="B104" s="9" t="s">
        <v>755</v>
      </c>
      <c r="C104" s="31" t="s">
        <v>215</v>
      </c>
      <c r="D104" s="9" t="str">
        <f aca="false">INDEX(Articles!$C$2:$C$148,MATCH(C104,Articles!$A$2:$A$148,0))</f>
        <v>Kit géométrie Maped 30 cm (réf. 1930)</v>
      </c>
      <c r="E104" s="9" t="str">
        <f aca="false">INDEX(Articles!$B$2:$B$148,MATCH(C104,Articles!$A$2:$A$148,0))</f>
        <v>LPD</v>
      </c>
      <c r="F104" s="31" t="n">
        <v>1</v>
      </c>
      <c r="G104" s="13" t="n">
        <f aca="false">IF(INDEX(Articles!$G$2:$G$148,MATCH(C104,Articles!$A$2:$A$148,0))="","",INDEX(Articles!$G$2:$G$148,MATCH(C104,Articles!$A$2:$A$148,0)))</f>
        <v>1800</v>
      </c>
      <c r="H104" s="13" t="n">
        <f aca="false">IF(G104="",0,F104*G104)</f>
        <v>1800</v>
      </c>
      <c r="I104" s="13" t="n">
        <f aca="false">IF(INDEX(Articles!$E$2:$E$148,MATCH(C104,Articles!$A$2:$A$148,0))="","",INDEX(Articles!$E$2:$E$148,MATCH(C104,Articles!$A$2:$A$148,0)))</f>
        <v>1500</v>
      </c>
      <c r="J104" s="13" t="n">
        <f aca="false">IF(I104="","",F104*I104)</f>
        <v>1500</v>
      </c>
      <c r="K104" s="9" t="str">
        <f aca="false">INDEX(Articles!$H$2:$H$148,MATCH(C104,Articles!$A$2:$A$148,0))</f>
        <v>À trancher</v>
      </c>
      <c r="L104" s="9" t="str">
        <f aca="false">INDEX(Articles!$F$2:$F$148,MATCH(C104,Articles!$A$2:$A$148,0))</f>
        <v>Confirmé</v>
      </c>
      <c r="M104" s="17"/>
      <c r="N104" s="9" t="s">
        <v>167</v>
      </c>
    </row>
    <row r="105" customFormat="false" ht="15" hidden="false" customHeight="false" outlineLevel="0" collapsed="false">
      <c r="A105" s="9" t="s">
        <v>676</v>
      </c>
      <c r="B105" s="9" t="s">
        <v>756</v>
      </c>
      <c r="C105" s="31" t="s">
        <v>171</v>
      </c>
      <c r="D105" s="9" t="str">
        <f aca="false">INDEX(Articles!$C$2:$C$148,MATCH(C105,Articles!$A$2:$A$148,0))</f>
        <v>Compas Maped</v>
      </c>
      <c r="E105" s="9" t="str">
        <f aca="false">INDEX(Articles!$B$2:$B$148,MATCH(C105,Articles!$A$2:$A$148,0))</f>
        <v>Papex</v>
      </c>
      <c r="F105" s="31" t="n">
        <v>1</v>
      </c>
      <c r="G105" s="13" t="n">
        <f aca="false">IF(INDEX(Articles!$G$2:$G$148,MATCH(C105,Articles!$A$2:$A$148,0))="","",INDEX(Articles!$G$2:$G$148,MATCH(C105,Articles!$A$2:$A$148,0)))</f>
        <v>2000</v>
      </c>
      <c r="H105" s="13" t="n">
        <f aca="false">IF(G105="",0,F105*G105)</f>
        <v>2000</v>
      </c>
      <c r="I105" s="13" t="n">
        <f aca="false">IF(INDEX(Articles!$E$2:$E$148,MATCH(C105,Articles!$A$2:$A$148,0))="","",INDEX(Articles!$E$2:$E$148,MATCH(C105,Articles!$A$2:$A$148,0)))</f>
        <v>1750</v>
      </c>
      <c r="J105" s="13" t="n">
        <f aca="false">IF(I105="","",F105*I105)</f>
        <v>1750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681</v>
      </c>
      <c r="B106" s="9" t="s">
        <v>757</v>
      </c>
      <c r="C106" s="31" t="s">
        <v>198</v>
      </c>
      <c r="D106" s="9" t="str">
        <f aca="false">INDEX(Articles!$C$2:$C$148,MATCH(C106,Articles!$A$2:$A$148,0))</f>
        <v>Crayons de couleur Maped, boîte de 12</v>
      </c>
      <c r="E106" s="9" t="str">
        <f aca="false">INDEX(Articles!$B$2:$B$148,MATCH(C106,Articles!$A$2:$A$148,0))</f>
        <v>Papex</v>
      </c>
      <c r="F106" s="31" t="n">
        <v>1</v>
      </c>
      <c r="G106" s="13" t="n">
        <f aca="false">IF(INDEX(Articles!$G$2:$G$148,MATCH(C106,Articles!$A$2:$A$148,0))="","",INDEX(Articles!$G$2:$G$148,MATCH(C106,Articles!$A$2:$A$148,0)))</f>
        <v>900</v>
      </c>
      <c r="H106" s="13" t="n">
        <f aca="false">IF(G106="",0,F106*G106)</f>
        <v>900</v>
      </c>
      <c r="I106" s="13" t="n">
        <f aca="false">IF(INDEX(Articles!$E$2:$E$148,MATCH(C106,Articles!$A$2:$A$148,0))="","",INDEX(Articles!$E$2:$E$148,MATCH(C106,Articles!$A$2:$A$148,0)))</f>
        <v>650</v>
      </c>
      <c r="J106" s="13" t="n">
        <f aca="false">IF(I106="","",F106*I106)</f>
        <v>650</v>
      </c>
      <c r="K106" s="9" t="str">
        <f aca="false">INDEX(Articles!$H$2:$H$148,MATCH(C106,Articles!$A$2:$A$148,0))</f>
        <v>Estimé</v>
      </c>
      <c r="L106" s="9" t="str">
        <f aca="false">INDEX(Articles!$F$2:$F$148,MATCH(C106,Articles!$A$2:$A$148,0))</f>
        <v>Estimé</v>
      </c>
      <c r="M106" s="17"/>
      <c r="N106" s="9" t="s">
        <v>167</v>
      </c>
    </row>
    <row r="107" customFormat="false" ht="15" hidden="false" customHeight="false" outlineLevel="0" collapsed="false">
      <c r="A107" s="9" t="s">
        <v>678</v>
      </c>
      <c r="B107" s="9" t="s">
        <v>766</v>
      </c>
      <c r="C107" s="31" t="s">
        <v>200</v>
      </c>
      <c r="D107" s="9" t="str">
        <f aca="false">INDEX(Articles!$C$2:$C$148,MATCH(C107,Articles!$A$2:$A$148,0))</f>
        <v>Surligneurs Maped Fluo Peps, pochette de 4</v>
      </c>
      <c r="E107" s="9" t="str">
        <f aca="false">INDEX(Articles!$B$2:$B$148,MATCH(C107,Articles!$A$2:$A$148,0))</f>
        <v>Papex</v>
      </c>
      <c r="F107" s="31" t="n">
        <v>1</v>
      </c>
      <c r="G107" s="13" t="n">
        <f aca="false">IF(INDEX(Articles!$G$2:$G$148,MATCH(C107,Articles!$A$2:$A$148,0))="","",INDEX(Articles!$G$2:$G$148,MATCH(C107,Articles!$A$2:$A$148,0)))</f>
        <v>2500</v>
      </c>
      <c r="H107" s="13" t="n">
        <f aca="false">IF(G107="",0,F107*G107)</f>
        <v>2500</v>
      </c>
      <c r="I107" s="13" t="n">
        <f aca="false">IF(INDEX(Articles!$E$2:$E$148,MATCH(C107,Articles!$A$2:$A$148,0))="","",INDEX(Articles!$E$2:$E$148,MATCH(C107,Articles!$A$2:$A$148,0)))</f>
        <v>2000</v>
      </c>
      <c r="J107" s="13" t="n">
        <f aca="false">IF(I107="","",F107*I107)</f>
        <v>2000</v>
      </c>
      <c r="K107" s="9" t="str">
        <f aca="false">INDEX(Articles!$H$2:$H$148,MATCH(C107,Articles!$A$2:$A$148,0))</f>
        <v>Estimé</v>
      </c>
      <c r="L107" s="9" t="str">
        <f aca="false">INDEX(Articles!$F$2:$F$148,MATCH(C107,Articles!$A$2:$A$148,0))</f>
        <v>Confirmé</v>
      </c>
      <c r="M107" s="17" t="s">
        <v>767</v>
      </c>
      <c r="N107" s="9" t="s">
        <v>167</v>
      </c>
    </row>
    <row r="108" customFormat="false" ht="15" hidden="false" customHeight="false" outlineLevel="0" collapsed="false">
      <c r="A108" s="9" t="s">
        <v>768</v>
      </c>
      <c r="B108" s="9" t="s">
        <v>769</v>
      </c>
      <c r="C108" s="31" t="s">
        <v>446</v>
      </c>
      <c r="D108" s="9" t="str">
        <f aca="false">INDEX(Articles!$C$2:$C$148,MATCH(C108,Articles!$A$2:$A$148,0))</f>
        <v>Chemise 3 rabats à élastique</v>
      </c>
      <c r="E108" s="9" t="str">
        <f aca="false">INDEX(Articles!$B$2:$B$148,MATCH(C108,Articles!$A$2:$A$148,0))</f>
        <v>Papex</v>
      </c>
      <c r="F108" s="31" t="n">
        <v>1</v>
      </c>
      <c r="G108" s="13" t="n">
        <f aca="false">IF(INDEX(Articles!$G$2:$G$148,MATCH(C108,Articles!$A$2:$A$148,0))="","",INDEX(Articles!$G$2:$G$148,MATCH(C108,Articles!$A$2:$A$148,0)))</f>
        <v>500</v>
      </c>
      <c r="H108" s="13" t="n">
        <f aca="false">IF(G108="",0,F108*G108)</f>
        <v>500</v>
      </c>
      <c r="I108" s="13" t="str">
        <f aca="false">IF(INDEX(Articles!$E$2:$E$148,MATCH(C108,Articles!$A$2:$A$148,0))="","",INDEX(Articles!$E$2:$E$148,MATCH(C108,Articles!$A$2:$A$148,0)))</f>
        <v/>
      </c>
      <c r="J108" s="13" t="str">
        <f aca="false">IF(I108="","",F108*I108)</f>
        <v/>
      </c>
      <c r="K108" s="9" t="str">
        <f aca="false">INDEX(Articles!$H$2:$H$148,MATCH(C108,Articles!$A$2:$A$148,0))</f>
        <v>Estimé</v>
      </c>
      <c r="L108" s="9" t="str">
        <f aca="false">INDEX(Articles!$F$2:$F$148,MATCH(C108,Articles!$A$2:$A$148,0))</f>
        <v>Inconnu</v>
      </c>
      <c r="M108" s="17" t="s">
        <v>770</v>
      </c>
      <c r="N108" s="9" t="s">
        <v>167</v>
      </c>
    </row>
    <row r="109" customFormat="false" ht="15" hidden="false" customHeight="false" outlineLevel="0" collapsed="false">
      <c r="A109" s="9" t="s">
        <v>676</v>
      </c>
      <c r="B109" s="9" t="s">
        <v>812</v>
      </c>
      <c r="C109" s="31" t="s">
        <v>205</v>
      </c>
      <c r="D109" s="9" t="str">
        <f aca="false">INDEX(Articles!$C$2:$C$148,MATCH(C109,Articles!$A$2:$A$148,0))</f>
        <v>Calculatrice Casio fx-92 Collège</v>
      </c>
      <c r="E109" s="9" t="str">
        <f aca="false">INDEX(Articles!$B$2:$B$148,MATCH(C109,Articles!$A$2:$A$148,0))</f>
        <v>Papex</v>
      </c>
      <c r="F109" s="31" t="n">
        <v>1</v>
      </c>
      <c r="G109" s="13" t="n">
        <f aca="false">IF(INDEX(Articles!$G$2:$G$148,MATCH(C109,Articles!$A$2:$A$148,0))="","",INDEX(Articles!$G$2:$G$148,MATCH(C109,Articles!$A$2:$A$148,0)))</f>
        <v>8000</v>
      </c>
      <c r="H109" s="13" t="n">
        <f aca="false">IF(G109="",0,F109*G109)</f>
        <v>8000</v>
      </c>
      <c r="I109" s="13" t="n">
        <f aca="false">IF(INDEX(Articles!$E$2:$E$148,MATCH(C109,Articles!$A$2:$A$148,0))="","",INDEX(Articles!$E$2:$E$148,MATCH(C109,Articles!$A$2:$A$148,0)))</f>
        <v>7000</v>
      </c>
      <c r="J109" s="13" t="n">
        <f aca="false">IF(I109="","",F109*I109)</f>
        <v>7000</v>
      </c>
      <c r="K109" s="9" t="str">
        <f aca="false">INDEX(Articles!$H$2:$H$148,MATCH(C109,Articles!$A$2:$A$148,0))</f>
        <v>Fixé</v>
      </c>
      <c r="L109" s="9" t="str">
        <f aca="false">INDEX(Articles!$F$2:$F$148,MATCH(C109,Articles!$A$2:$A$148,0))</f>
        <v>Confirmé</v>
      </c>
      <c r="M109" s="17" t="s">
        <v>820</v>
      </c>
      <c r="N109" s="9" t="s">
        <v>167</v>
      </c>
    </row>
    <row r="110" customFormat="false" ht="15" hidden="false" customHeight="false" outlineLevel="0" collapsed="false">
      <c r="A110" s="9" t="s">
        <v>768</v>
      </c>
      <c r="B110" s="9" t="s">
        <v>861</v>
      </c>
      <c r="C110" s="31" t="s">
        <v>246</v>
      </c>
      <c r="D110" s="9" t="str">
        <f aca="false">INDEX(Articles!$C$2:$C$148,MATCH(C110,Articles!$A$2:$A$148,0))</f>
        <v>Protège-documents porte-vues</v>
      </c>
      <c r="E110" s="9" t="str">
        <f aca="false">INDEX(Articles!$B$2:$B$148,MATCH(C110,Articles!$A$2:$A$148,0))</f>
        <v>LPD</v>
      </c>
      <c r="F110" s="31" t="n">
        <v>1</v>
      </c>
      <c r="G110" s="13" t="n">
        <f aca="false">IF(INDEX(Articles!$G$2:$G$148,MATCH(C110,Articles!$A$2:$A$148,0))="","",INDEX(Articles!$G$2:$G$148,MATCH(C110,Articles!$A$2:$A$148,0)))</f>
        <v>1150</v>
      </c>
      <c r="H110" s="13" t="n">
        <f aca="false">IF(G110="",0,F110*G110)</f>
        <v>1150</v>
      </c>
      <c r="I110" s="13" t="n">
        <f aca="false">IF(INDEX(Articles!$E$2:$E$148,MATCH(C110,Articles!$A$2:$A$148,0))="","",INDEX(Articles!$E$2:$E$148,MATCH(C110,Articles!$A$2:$A$148,0)))</f>
        <v>850</v>
      </c>
      <c r="J110" s="13" t="n">
        <f aca="false">IF(I110="","",F110*I110)</f>
        <v>850</v>
      </c>
      <c r="K110" s="9" t="str">
        <f aca="false">INDEX(Articles!$H$2:$H$148,MATCH(C110,Articles!$A$2:$A$148,0))</f>
        <v>Fixé</v>
      </c>
      <c r="L110" s="9" t="str">
        <f aca="false">INDEX(Articles!$F$2:$F$148,MATCH(C110,Articles!$A$2:$A$148,0))</f>
        <v>Estimé</v>
      </c>
      <c r="M110" s="17"/>
      <c r="N110" s="9" t="s">
        <v>167</v>
      </c>
    </row>
    <row r="111" customFormat="false" ht="15" hidden="false" customHeight="false" outlineLevel="0" collapsed="false">
      <c r="A111" s="9" t="s">
        <v>758</v>
      </c>
      <c r="B111" s="9" t="s">
        <v>759</v>
      </c>
      <c r="C111" s="31" t="s">
        <v>376</v>
      </c>
      <c r="D111" s="9" t="str">
        <f aca="false">INDEX(Articles!$C$2:$C$148,MATCH(C111,Articles!$A$2:$A$148,0))</f>
        <v>Paquet de copies doubles grand format</v>
      </c>
      <c r="E111" s="9" t="str">
        <f aca="false">INDEX(Articles!$B$2:$B$148,MATCH(C111,Articles!$A$2:$A$148,0))</f>
        <v>À préciser</v>
      </c>
      <c r="F111" s="31" t="n">
        <v>1</v>
      </c>
      <c r="G111" s="45" t="n">
        <f aca="false">IF(INDEX(Articles!$G$2:$G$148,MATCH(C111,Articles!$A$2:$A$148,0))="","",INDEX(Articles!$G$2:$G$148,MATCH(C111,Articles!$A$2:$A$148,0)))</f>
        <v>1800</v>
      </c>
      <c r="H111" s="13" t="n">
        <f aca="false">IF(G111="",0,F111*G111)</f>
        <v>1800</v>
      </c>
      <c r="I111" s="13" t="n">
        <f aca="false">IF(INDEX(Articles!$E$2:$E$148,MATCH(C111,Articles!$A$2:$A$148,0))="","",INDEX(Articles!$E$2:$E$148,MATCH(C111,Articles!$A$2:$A$148,0)))</f>
        <v>1300</v>
      </c>
      <c r="J111" s="13" t="n">
        <f aca="false">IF(I111="","",F111*I111)</f>
        <v>1300</v>
      </c>
      <c r="K111" s="9" t="str">
        <f aca="false">INDEX(Articles!$H$2:$H$148,MATCH(C111,Articles!$A$2:$A$148,0))</f>
        <v>Fixé</v>
      </c>
      <c r="L111" s="9" t="str">
        <f aca="false">INDEX(Articles!$F$2:$F$148,MATCH(C111,Articles!$A$2:$A$148,0))</f>
        <v>Confirmé</v>
      </c>
      <c r="M111" s="17"/>
      <c r="N111" s="9" t="s">
        <v>167</v>
      </c>
    </row>
    <row r="112" customFormat="false" ht="15" hidden="false" customHeight="false" outlineLevel="0" collapsed="false">
      <c r="A112" s="9" t="s">
        <v>771</v>
      </c>
      <c r="B112" s="9" t="s">
        <v>772</v>
      </c>
      <c r="C112" s="31" t="s">
        <v>160</v>
      </c>
      <c r="D112" s="9" t="str">
        <f aca="false">INDEX(Articles!$C$2:$C$148,MATCH(C112,Articles!$A$2:$A$148,0))</f>
        <v>Protège-cahier couleur petit format (à l'unité)</v>
      </c>
      <c r="E112" s="9" t="str">
        <f aca="false">INDEX(Articles!$B$2:$B$148,MATCH(C112,Articles!$A$2:$A$148,0))</f>
        <v>LPD</v>
      </c>
      <c r="F112" s="31" t="n">
        <v>2</v>
      </c>
      <c r="G112" s="13" t="n">
        <f aca="false">IF(INDEX(Articles!$G$2:$G$148,MATCH(C112,Articles!$A$2:$A$148,0))="","",INDEX(Articles!$G$2:$G$148,MATCH(C112,Articles!$A$2:$A$148,0)))</f>
        <v>150</v>
      </c>
      <c r="H112" s="13" t="n">
        <f aca="false">IF(G112="",0,F112*G112)</f>
        <v>300</v>
      </c>
      <c r="I112" s="13" t="str">
        <f aca="false">IF(INDEX(Articles!$E$2:$E$148,MATCH(C112,Articles!$A$2:$A$148,0))="","",INDEX(Articles!$E$2:$E$148,MATCH(C112,Articles!$A$2:$A$148,0)))</f>
        <v/>
      </c>
      <c r="J112" s="13" t="str">
        <f aca="false">IF(I112="","",F112*I112)</f>
        <v/>
      </c>
      <c r="K112" s="9" t="str">
        <f aca="false">INDEX(Articles!$H$2:$H$148,MATCH(C112,Articles!$A$2:$A$148,0))</f>
        <v>Fixé</v>
      </c>
      <c r="L112" s="9" t="str">
        <f aca="false">INDEX(Articles!$F$2:$F$148,MATCH(C112,Articles!$A$2:$A$148,0))</f>
        <v>Inconnu</v>
      </c>
      <c r="M112" s="17"/>
      <c r="N112" s="9" t="s">
        <v>167</v>
      </c>
    </row>
    <row r="113" customFormat="false" ht="15" hidden="false" customHeight="false" outlineLevel="0" collapsed="false">
      <c r="A113" s="9" t="s">
        <v>771</v>
      </c>
      <c r="B113" s="9" t="s">
        <v>773</v>
      </c>
      <c r="C113" s="31" t="s">
        <v>419</v>
      </c>
      <c r="D113" s="9" t="str">
        <f aca="false">INDEX(Articles!$C$2:$C$148,MATCH(C113,Articles!$A$2:$A$148,0))</f>
        <v>Protège-cahier grand format (à l'unité)</v>
      </c>
      <c r="E113" s="9" t="str">
        <f aca="false">INDEX(Articles!$B$2:$B$148,MATCH(C113,Articles!$A$2:$A$148,0))</f>
        <v>À préciser</v>
      </c>
      <c r="F113" s="31" t="n">
        <v>10</v>
      </c>
      <c r="G113" s="13" t="str">
        <f aca="false">IF(INDEX(Articles!$G$2:$G$148,MATCH(C113,Articles!$A$2:$A$148,0))="","",INDEX(Articles!$G$2:$G$148,MATCH(C113,Articles!$A$2:$A$148,0)))</f>
        <v/>
      </c>
      <c r="H113" s="13" t="n">
        <f aca="false">IF(G113="",0,F113*G113)</f>
        <v>0</v>
      </c>
      <c r="I113" s="13" t="str">
        <f aca="false">IF(INDEX(Articles!$E$2:$E$148,MATCH(C113,Articles!$A$2:$A$148,0))="","",INDEX(Articles!$E$2:$E$148,MATCH(C113,Articles!$A$2:$A$148,0)))</f>
        <v/>
      </c>
      <c r="J113" s="13" t="str">
        <f aca="false">IF(I113="","",F113*I113)</f>
        <v/>
      </c>
      <c r="K113" s="9" t="str">
        <f aca="false">INDEX(Articles!$H$2:$H$148,MATCH(C113,Articles!$A$2:$A$148,0))</f>
        <v>À fournir</v>
      </c>
      <c r="L113" s="9" t="str">
        <f aca="false">INDEX(Articles!$F$2:$F$148,MATCH(C113,Articles!$A$2:$A$148,0))</f>
        <v>Inconnu</v>
      </c>
      <c r="M113" s="17"/>
      <c r="N113" s="9" t="s">
        <v>167</v>
      </c>
    </row>
    <row r="114" customFormat="false" ht="15" hidden="false" customHeight="false" outlineLevel="0" collapsed="false">
      <c r="A114" s="9" t="s">
        <v>760</v>
      </c>
      <c r="B114" s="9" t="s">
        <v>858</v>
      </c>
      <c r="C114" s="31" t="s">
        <v>497</v>
      </c>
      <c r="D114" s="9" t="str">
        <f aca="false">INDEX(Articles!$C$2:$C$148,MATCH(C114,Articles!$A$2:$A$148,0))</f>
        <v>Les Nouveaux Contes d'Amadou Koumba (Birago Diop)</v>
      </c>
      <c r="E114" s="9" t="str">
        <f aca="false">INDEX(Articles!$B$2:$B$148,MATCH(C114,Articles!$A$2:$A$148,0))</f>
        <v>LPD</v>
      </c>
      <c r="F114" s="31" t="n">
        <v>1</v>
      </c>
      <c r="G114" s="13" t="n">
        <f aca="false">IF(INDEX(Articles!$G$2:$G$148,MATCH(C114,Articles!$A$2:$A$148,0))="","",INDEX(Articles!$G$2:$G$148,MATCH(C114,Articles!$A$2:$A$148,0)))</f>
        <v>3900</v>
      </c>
      <c r="H114" s="13" t="n">
        <f aca="false">IF(G114="",0,F114*G114)</f>
        <v>3900</v>
      </c>
      <c r="I114" s="13" t="n">
        <f aca="false">IF(INDEX(Articles!$E$2:$E$148,MATCH(C114,Articles!$A$2:$A$148,0))="","",INDEX(Articles!$E$2:$E$148,MATCH(C114,Articles!$A$2:$A$148,0)))</f>
        <v>2900</v>
      </c>
      <c r="J114" s="13" t="n">
        <f aca="false">IF(I114="","",F114*I114)</f>
        <v>2900</v>
      </c>
      <c r="K114" s="9" t="str">
        <f aca="false">INDEX(Articles!$H$2:$H$148,MATCH(C114,Articles!$A$2:$A$148,0))</f>
        <v>Fixé</v>
      </c>
      <c r="L114" s="9" t="str">
        <f aca="false">INDEX(Articles!$F$2:$F$148,MATCH(C114,Articles!$A$2:$A$148,0))</f>
        <v>Estimé</v>
      </c>
      <c r="M114" s="17"/>
      <c r="N114" s="9" t="s">
        <v>167</v>
      </c>
    </row>
    <row r="115" customFormat="false" ht="15" hidden="false" customHeight="false" outlineLevel="0" collapsed="false">
      <c r="A115" s="9" t="s">
        <v>777</v>
      </c>
      <c r="B115" s="9" t="s">
        <v>865</v>
      </c>
      <c r="C115" s="31" t="s">
        <v>635</v>
      </c>
      <c r="D115" s="9" t="str">
        <f aca="false">INDEX(Articles!$C$2:$C$148,MATCH(C115,Articles!$A$2:$A$148,0))</f>
        <v>Science de la vie et de la terre 2nde</v>
      </c>
      <c r="E115" s="9" t="str">
        <f aca="false">INDEX(Articles!$B$2:$B$148,MATCH(C115,Articles!$A$2:$A$148,0))</f>
        <v>LPD</v>
      </c>
      <c r="F115" s="31" t="n">
        <v>1</v>
      </c>
      <c r="G115" s="13" t="n">
        <f aca="false">IF(INDEX(Articles!$G$2:$G$148,MATCH(C115,Articles!$A$2:$A$148,0))="","",INDEX(Articles!$G$2:$G$148,MATCH(C115,Articles!$A$2:$A$148,0)))</f>
        <v>4720</v>
      </c>
      <c r="H115" s="13" t="n">
        <f aca="false">IF(G115="",0,F115*G115)</f>
        <v>4720</v>
      </c>
      <c r="I115" s="13" t="n">
        <f aca="false">IF(INDEX(Articles!$E$2:$E$148,MATCH(C115,Articles!$A$2:$A$148,0))="","",INDEX(Articles!$E$2:$E$148,MATCH(C115,Articles!$A$2:$A$148,0)))</f>
        <v>3720</v>
      </c>
      <c r="J115" s="13" t="n">
        <f aca="false">IF(I115="","",F115*I115)</f>
        <v>3720</v>
      </c>
      <c r="K115" s="9" t="str">
        <f aca="false">INDEX(Articles!$H$2:$H$148,MATCH(C115,Articles!$A$2:$A$148,0))</f>
        <v>Fixé</v>
      </c>
      <c r="L115" s="9" t="str">
        <f aca="false">INDEX(Articles!$F$2:$F$148,MATCH(C115,Articles!$A$2:$A$148,0))</f>
        <v>Estimé</v>
      </c>
      <c r="M115" s="17"/>
      <c r="N115" s="9" t="s">
        <v>167</v>
      </c>
    </row>
    <row r="116" customFormat="false" ht="15" hidden="false" customHeight="false" outlineLevel="0" collapsed="false">
      <c r="A116" s="9" t="s">
        <v>678</v>
      </c>
      <c r="B116" s="9" t="s">
        <v>781</v>
      </c>
      <c r="C116" s="31" t="s">
        <v>434</v>
      </c>
      <c r="D116" s="9" t="str">
        <f aca="false">INDEX(Articles!$C$2:$C$148,MATCH(C116,Articles!$A$2:$A$148,0))</f>
        <v>Stylo 4 couleurs Schneider</v>
      </c>
      <c r="E116" s="9" t="str">
        <f aca="false">INDEX(Articles!$B$2:$B$148,MATCH(C116,Articles!$A$2:$A$148,0))</f>
        <v>Papex</v>
      </c>
      <c r="F116" s="31" t="n">
        <v>1</v>
      </c>
      <c r="G116" s="13" t="n">
        <f aca="false">IF(INDEX(Articles!$G$2:$G$148,MATCH(C116,Articles!$A$2:$A$148,0))="","",INDEX(Articles!$G$2:$G$148,MATCH(C116,Articles!$A$2:$A$148,0)))</f>
        <v>1750</v>
      </c>
      <c r="H116" s="13" t="n">
        <f aca="false">IF(G116="",0,F116*G116)</f>
        <v>1750</v>
      </c>
      <c r="I116" s="13" t="n">
        <f aca="false">IF(INDEX(Articles!$E$2:$E$148,MATCH(C116,Articles!$A$2:$A$148,0))="","",INDEX(Articles!$E$2:$E$148,MATCH(C116,Articles!$A$2:$A$148,0)))</f>
        <v>1500</v>
      </c>
      <c r="J116" s="13" t="n">
        <f aca="false">IF(I116="","",F116*I116)</f>
        <v>1500</v>
      </c>
      <c r="K116" s="9" t="str">
        <f aca="false">INDEX(Articles!$H$2:$H$148,MATCH(C116,Articles!$A$2:$A$148,0))</f>
        <v>Fixé</v>
      </c>
      <c r="L116" s="9" t="str">
        <f aca="false">INDEX(Articles!$F$2:$F$148,MATCH(C116,Articles!$A$2:$A$148,0))</f>
        <v>Confirmé</v>
      </c>
      <c r="M116" s="17"/>
      <c r="N116" s="9" t="s">
        <v>167</v>
      </c>
    </row>
    <row r="117" customFormat="false" ht="15" hidden="false" customHeight="false" outlineLevel="0" collapsed="false">
      <c r="A117" s="9" t="s">
        <v>678</v>
      </c>
      <c r="B117" s="9" t="s">
        <v>782</v>
      </c>
      <c r="C117" s="31" t="s">
        <v>174</v>
      </c>
      <c r="D117" s="9" t="str">
        <f aca="false">INDEX(Articles!$C$2:$C$148,MATCH(C117,Articles!$A$2:$A$148,0))</f>
        <v>Correcteur souris ARK</v>
      </c>
      <c r="E117" s="9" t="str">
        <f aca="false">INDEX(Articles!$B$2:$B$148,MATCH(C117,Articles!$A$2:$A$148,0))</f>
        <v>Papex</v>
      </c>
      <c r="F117" s="31" t="n">
        <v>1</v>
      </c>
      <c r="G117" s="13" t="n">
        <f aca="false">IF(INDEX(Articles!$G$2:$G$148,MATCH(C117,Articles!$A$2:$A$148,0))="","",INDEX(Articles!$G$2:$G$148,MATCH(C117,Articles!$A$2:$A$148,0)))</f>
        <v>1000</v>
      </c>
      <c r="H117" s="13" t="n">
        <f aca="false">IF(G117="",0,F117*G117)</f>
        <v>1000</v>
      </c>
      <c r="I117" s="13" t="n">
        <f aca="false">IF(INDEX(Articles!$E$2:$E$148,MATCH(C117,Articles!$A$2:$A$148,0))="","",INDEX(Articles!$E$2:$E$148,MATCH(C117,Articles!$A$2:$A$148,0)))</f>
        <v>700</v>
      </c>
      <c r="J117" s="13" t="n">
        <f aca="false">IF(I117="","",F117*I117)</f>
        <v>700</v>
      </c>
      <c r="K117" s="9" t="str">
        <f aca="false">INDEX(Articles!$H$2:$H$148,MATCH(C117,Articles!$A$2:$A$148,0))</f>
        <v>Fixé</v>
      </c>
      <c r="L117" s="9" t="str">
        <f aca="false">INDEX(Articles!$F$2:$F$148,MATCH(C117,Articles!$A$2:$A$148,0))</f>
        <v>Confirmé</v>
      </c>
      <c r="M117" s="17"/>
      <c r="N117" s="9" t="s">
        <v>167</v>
      </c>
    </row>
    <row r="118" customFormat="false" ht="15" hidden="false" customHeight="false" outlineLevel="0" collapsed="false">
      <c r="A118" s="9" t="s">
        <v>840</v>
      </c>
      <c r="B118" s="9" t="s">
        <v>877</v>
      </c>
      <c r="C118" s="31" t="s">
        <v>391</v>
      </c>
      <c r="D118" s="9" t="str">
        <f aca="false">INDEX(Articles!$C$2:$C$148,MATCH(C118,Articles!$A$2:$A$148,0))</f>
        <v>KAAMILE DE MATHS - SECONDE S (Korka Diallo, Collection Cracks)</v>
      </c>
      <c r="E118" s="9" t="str">
        <f aca="false">INDEX(Articles!$B$2:$B$148,MATCH(C118,Articles!$A$2:$A$148,0))</f>
        <v>Korka Diallo</v>
      </c>
      <c r="F118" s="31" t="n">
        <v>1</v>
      </c>
      <c r="G118" s="45" t="n">
        <f aca="false">IF(INDEX(Articles!$G$2:$G$148,MATCH(C118,Articles!$A$2:$A$148,0))="","",INDEX(Articles!$G$2:$G$148,MATCH(C118,Articles!$A$2:$A$148,0)))</f>
        <v>10000</v>
      </c>
      <c r="H118" s="13" t="n">
        <f aca="false">IF(G118="",0,F118*G118)</f>
        <v>10000</v>
      </c>
      <c r="I118" s="13" t="n">
        <f aca="false">IF(INDEX(Articles!$E$2:$E$148,MATCH(C118,Articles!$A$2:$A$148,0))="","",INDEX(Articles!$E$2:$E$148,MATCH(C118,Articles!$A$2:$A$148,0)))</f>
        <v>8000</v>
      </c>
      <c r="J118" s="13" t="n">
        <f aca="false">IF(I118="","",F118*I118)</f>
        <v>8000</v>
      </c>
      <c r="K118" s="9" t="str">
        <f aca="false">INDEX(Articles!$H$2:$H$148,MATCH(C118,Articles!$A$2:$A$148,0))</f>
        <v>Fixé</v>
      </c>
      <c r="L118" s="9" t="str">
        <f aca="false">INDEX(Articles!$F$2:$F$148,MATCH(C118,Articles!$A$2:$A$148,0))</f>
        <v>Confirmé</v>
      </c>
      <c r="M118" s="17"/>
      <c r="N118" s="9" t="s">
        <v>167</v>
      </c>
    </row>
    <row r="119" customFormat="false" ht="15" hidden="false" customHeight="false" outlineLevel="0" collapsed="false">
      <c r="A119" s="9" t="s">
        <v>840</v>
      </c>
      <c r="B119" s="9" t="s">
        <v>878</v>
      </c>
      <c r="C119" s="31" t="s">
        <v>393</v>
      </c>
      <c r="D119" s="9" t="str">
        <f aca="false">INDEX(Articles!$C$2:$C$148,MATCH(C119,Articles!$A$2:$A$148,0))</f>
        <v>PHYSIQUE CHIMIE SECONDE S (Korka Diallo, Collection Cracks)</v>
      </c>
      <c r="E119" s="9" t="str">
        <f aca="false">INDEX(Articles!$B$2:$B$148,MATCH(C119,Articles!$A$2:$A$148,0))</f>
        <v>Korka Diallo</v>
      </c>
      <c r="F119" s="31" t="n">
        <v>1</v>
      </c>
      <c r="G119" s="45" t="n">
        <f aca="false">IF(INDEX(Articles!$G$2:$G$148,MATCH(C119,Articles!$A$2:$A$148,0))="","",INDEX(Articles!$G$2:$G$148,MATCH(C119,Articles!$A$2:$A$148,0)))</f>
        <v>10000</v>
      </c>
      <c r="H119" s="13" t="n">
        <f aca="false">IF(G119="",0,F119*G119)</f>
        <v>10000</v>
      </c>
      <c r="I119" s="13" t="n">
        <f aca="false">IF(INDEX(Articles!$E$2:$E$148,MATCH(C119,Articles!$A$2:$A$148,0))="","",INDEX(Articles!$E$2:$E$148,MATCH(C119,Articles!$A$2:$A$148,0)))</f>
        <v>8000</v>
      </c>
      <c r="J119" s="13" t="n">
        <f aca="false">IF(I119="","",F119*I119)</f>
        <v>8000</v>
      </c>
      <c r="K119" s="9" t="str">
        <f aca="false">INDEX(Articles!$H$2:$H$148,MATCH(C119,Articles!$A$2:$A$148,0))</f>
        <v>Fixé</v>
      </c>
      <c r="L119" s="9" t="str">
        <f aca="false">INDEX(Articles!$F$2:$F$148,MATCH(C119,Articles!$A$2:$A$148,0))</f>
        <v>Confirmé</v>
      </c>
      <c r="M119" s="17"/>
      <c r="N119" s="9" t="s">
        <v>167</v>
      </c>
    </row>
    <row r="120" customFormat="false" ht="15" hidden="false" customHeight="false" outlineLevel="0" collapsed="false">
      <c r="A120" s="9" t="s">
        <v>840</v>
      </c>
      <c r="B120" s="9" t="s">
        <v>879</v>
      </c>
      <c r="C120" s="31" t="s">
        <v>395</v>
      </c>
      <c r="D120" s="9" t="str">
        <f aca="false">INDEX(Articles!$C$2:$C$148,MATCH(C120,Articles!$A$2:$A$148,0))</f>
        <v>SVT SECONDE S</v>
      </c>
      <c r="E120" s="9" t="str">
        <f aca="false">INDEX(Articles!$B$2:$B$148,MATCH(C120,Articles!$A$2:$A$148,0))</f>
        <v>Korka Diallo</v>
      </c>
      <c r="F120" s="31" t="n">
        <v>1</v>
      </c>
      <c r="G120" s="45" t="n">
        <f aca="false">IF(INDEX(Articles!$G$2:$G$148,MATCH(C120,Articles!$A$2:$A$148,0))="","",INDEX(Articles!$G$2:$G$148,MATCH(C120,Articles!$A$2:$A$148,0)))</f>
        <v>15000</v>
      </c>
      <c r="H120" s="13" t="n">
        <f aca="false">IF(G120="",0,F120*G120)</f>
        <v>15000</v>
      </c>
      <c r="I120" s="13" t="n">
        <f aca="false">IF(INDEX(Articles!$E$2:$E$148,MATCH(C120,Articles!$A$2:$A$148,0))="","",INDEX(Articles!$E$2:$E$148,MATCH(C120,Articles!$A$2:$A$148,0)))</f>
        <v>12000</v>
      </c>
      <c r="J120" s="13" t="n">
        <f aca="false">IF(I120="","",F120*I120)</f>
        <v>12000</v>
      </c>
      <c r="K120" s="9" t="str">
        <f aca="false">INDEX(Articles!$H$2:$H$148,MATCH(C120,Articles!$A$2:$A$148,0))</f>
        <v>Fixé</v>
      </c>
      <c r="L120" s="9" t="str">
        <f aca="false">INDEX(Articles!$F$2:$F$148,MATCH(C120,Articles!$A$2:$A$148,0))</f>
        <v>Confirmé</v>
      </c>
      <c r="M120" s="17"/>
      <c r="N120" s="9" t="s">
        <v>167</v>
      </c>
    </row>
    <row r="121" customFormat="false" ht="15" hidden="false" customHeight="false" outlineLevel="0" collapsed="false">
      <c r="A121" s="9" t="s">
        <v>703</v>
      </c>
      <c r="B121" s="9" t="s">
        <v>880</v>
      </c>
      <c r="C121" s="31" t="s">
        <v>639</v>
      </c>
      <c r="D121" s="9" t="str">
        <f aca="false">INDEX(Articles!$C$2:$C$148,MATCH(C121,Articles!$A$2:$A$148,0))</f>
        <v>Mathématiques 2nde</v>
      </c>
      <c r="E121" s="9" t="str">
        <f aca="false">INDEX(Articles!$B$2:$B$148,MATCH(C121,Articles!$A$2:$A$148,0))</f>
        <v>LPD</v>
      </c>
      <c r="F121" s="31" t="n">
        <v>1</v>
      </c>
      <c r="G121" s="13" t="n">
        <f aca="false">IF(INDEX(Articles!$G$2:$G$148,MATCH(C121,Articles!$A$2:$A$148,0))="","",INDEX(Articles!$G$2:$G$148,MATCH(C121,Articles!$A$2:$A$148,0)))</f>
        <v>4720</v>
      </c>
      <c r="H121" s="13" t="n">
        <f aca="false">IF(G121="",0,F121*G121)</f>
        <v>4720</v>
      </c>
      <c r="I121" s="13" t="n">
        <f aca="false">IF(INDEX(Articles!$E$2:$E$148,MATCH(C121,Articles!$A$2:$A$148,0))="","",INDEX(Articles!$E$2:$E$148,MATCH(C121,Articles!$A$2:$A$148,0)))</f>
        <v>3720</v>
      </c>
      <c r="J121" s="13" t="n">
        <f aca="false">IF(I121="","",F121*I121)</f>
        <v>3720</v>
      </c>
      <c r="K121" s="9" t="str">
        <f aca="false">INDEX(Articles!$H$2:$H$148,MATCH(C121,Articles!$A$2:$A$148,0))</f>
        <v>Fixé</v>
      </c>
      <c r="L121" s="9" t="str">
        <f aca="false">INDEX(Articles!$F$2:$F$148,MATCH(C121,Articles!$A$2:$A$148,0))</f>
        <v>Estimé</v>
      </c>
      <c r="M121" s="17"/>
      <c r="N121" s="9" t="s">
        <v>167</v>
      </c>
    </row>
    <row r="122" customFormat="false" ht="15" hidden="false" customHeight="false" outlineLevel="0" collapsed="false">
      <c r="A122" s="9" t="s">
        <v>703</v>
      </c>
      <c r="B122" s="9" t="s">
        <v>867</v>
      </c>
      <c r="C122" s="31" t="s">
        <v>637</v>
      </c>
      <c r="D122" s="9" t="str">
        <f aca="false">INDEX(Articles!$C$2:$C$148,MATCH(C122,Articles!$A$2:$A$148,0))</f>
        <v>Cahier d’activités SVT 2nde</v>
      </c>
      <c r="E122" s="9" t="str">
        <f aca="false">INDEX(Articles!$B$2:$B$148,MATCH(C122,Articles!$A$2:$A$148,0))</f>
        <v>LPD</v>
      </c>
      <c r="F122" s="31" t="n">
        <v>1</v>
      </c>
      <c r="G122" s="13" t="n">
        <f aca="false">IF(INDEX(Articles!$G$2:$G$148,MATCH(C122,Articles!$A$2:$A$148,0))="","",INDEX(Articles!$G$2:$G$148,MATCH(C122,Articles!$A$2:$A$148,0)))</f>
        <v>3660</v>
      </c>
      <c r="H122" s="13" t="n">
        <f aca="false">IF(G122="",0,F122*G122)</f>
        <v>3660</v>
      </c>
      <c r="I122" s="13" t="n">
        <f aca="false">IF(INDEX(Articles!$E$2:$E$148,MATCH(C122,Articles!$A$2:$A$148,0))="","",INDEX(Articles!$E$2:$E$148,MATCH(C122,Articles!$A$2:$A$148,0)))</f>
        <v>2660</v>
      </c>
      <c r="J122" s="13" t="n">
        <f aca="false">IF(I122="","",F122*I122)</f>
        <v>2660</v>
      </c>
      <c r="K122" s="9" t="str">
        <f aca="false">INDEX(Articles!$H$2:$H$148,MATCH(C122,Articles!$A$2:$A$148,0))</f>
        <v>Fixé</v>
      </c>
      <c r="L122" s="9" t="str">
        <f aca="false">INDEX(Articles!$F$2:$F$148,MATCH(C122,Articles!$A$2:$A$148,0))</f>
        <v>Estimé</v>
      </c>
      <c r="M122" s="17"/>
      <c r="N122" s="9" t="s">
        <v>167</v>
      </c>
    </row>
    <row r="123" customFormat="false" ht="15" hidden="false" customHeight="false" outlineLevel="0" collapsed="false">
      <c r="D123" s="32" t="s">
        <v>683</v>
      </c>
      <c r="E123" s="32"/>
      <c r="F123" s="32"/>
      <c r="G123" s="32"/>
      <c r="H123" s="33" t="n">
        <f aca="false">COUNTIF(G88:G122,"")</f>
        <v>1</v>
      </c>
    </row>
    <row r="124" customFormat="false" ht="15" hidden="false" customHeight="false" outlineLevel="0" collapsed="false">
      <c r="D124" s="32" t="s">
        <v>684</v>
      </c>
      <c r="E124" s="32"/>
      <c r="F124" s="32"/>
      <c r="G124" s="32"/>
      <c r="H124" s="33" t="n">
        <f aca="false">SUM(H88:H122)</f>
        <v>93675</v>
      </c>
    </row>
    <row r="125" customFormat="false" ht="15" hidden="false" customHeight="false" outlineLevel="0" collapsed="false">
      <c r="D125" s="32" t="s">
        <v>28</v>
      </c>
      <c r="E125" s="32"/>
      <c r="F125" s="32"/>
      <c r="G125" s="32"/>
      <c r="H125" s="33" t="n">
        <f aca="false">SUM(J88:J122)</f>
        <v>74460</v>
      </c>
    </row>
    <row r="126" customFormat="false" ht="15" hidden="false" customHeight="false" outlineLevel="0" collapsed="false">
      <c r="D126" s="32" t="s">
        <v>685</v>
      </c>
      <c r="E126" s="32"/>
      <c r="F126" s="32"/>
      <c r="G126" s="32"/>
      <c r="H126" s="33" t="n">
        <f aca="false">COUNTIF(I88:I122,"")</f>
        <v>5</v>
      </c>
    </row>
    <row r="127" customFormat="false" ht="15" hidden="false" customHeight="false" outlineLevel="0" collapsed="false">
      <c r="D127" s="32" t="s">
        <v>686</v>
      </c>
      <c r="E127" s="32"/>
      <c r="F127" s="32"/>
      <c r="G127" s="32"/>
      <c r="H127" s="33" t="n">
        <f aca="false">SUMPRODUCT((I88:I122&lt;&gt;"")*H88:H122)-H125</f>
        <v>17940</v>
      </c>
    </row>
    <row r="128" customFormat="false" ht="15" hidden="false" customHeight="false" outlineLevel="0" collapsed="false">
      <c r="D128" s="32" t="s">
        <v>687</v>
      </c>
      <c r="E128" s="32"/>
      <c r="F128" s="32"/>
      <c r="G128" s="32"/>
      <c r="H128" s="33" t="n">
        <f aca="false">SUMIF(A88:A122,"Cahiers",F88:F122)</f>
        <v>12</v>
      </c>
    </row>
    <row r="129" customFormat="false" ht="15" hidden="false" customHeight="false" outlineLevel="0" collapsed="false">
      <c r="D129" s="32" t="s">
        <v>688</v>
      </c>
      <c r="E129" s="32"/>
      <c r="F129" s="32"/>
      <c r="G129" s="32"/>
      <c r="H129" s="34" t="n">
        <f aca="false">IF(H124=0,0,SUMIF(K88:K122,"&lt;&gt;Fixé",H88:H122)/H124)</f>
        <v>0.085401654657059</v>
      </c>
    </row>
    <row r="130" customFormat="false" ht="15" hidden="false" customHeight="false" outlineLevel="0" collapsed="false">
      <c r="D130" s="32" t="s">
        <v>689</v>
      </c>
      <c r="E130" s="32"/>
      <c r="F130" s="32"/>
      <c r="G130" s="32"/>
      <c r="H130" s="33" t="str">
        <f aca="false">IF(H123&gt;0,"Total incomplet : "&amp;H123&amp;" prix de vente à fournir",IF(H126&gt;0,"Coût incomplet : "&amp;H126&amp;" ligne(s) sans prix d'achat","Complet"))</f>
        <v>Total incomplet : 1 prix de vente à fournir</v>
      </c>
    </row>
    <row r="131" customFormat="false" ht="15" hidden="false" customHeight="false" outlineLevel="0" collapsed="false">
      <c r="D131" s="21" t="s">
        <v>696</v>
      </c>
      <c r="E131" s="21" t="str">
        <f aca="false">INDEX(Articles!$C$2:$C$148,MATCH("S020",Articles!$A$2:$A$148,0))</f>
        <v>Sac à dos bleu marine</v>
      </c>
      <c r="H131" s="41" t="n">
        <f aca="false">INDEX(Articles!$G$2:$G$148,MATCH("S020",Articles!$A$2:$A$148,0))</f>
        <v>7000</v>
      </c>
    </row>
    <row r="132" customFormat="false" ht="15" hidden="false" customHeight="false" outlineLevel="0" collapsed="false">
      <c r="D132" s="42" t="s">
        <v>697</v>
      </c>
      <c r="E132" s="43" t="s">
        <v>862</v>
      </c>
    </row>
    <row r="133" customFormat="false" ht="15" hidden="false" customHeight="false" outlineLevel="0" collapsed="false">
      <c r="E133" s="43" t="s">
        <v>863</v>
      </c>
    </row>
    <row r="134" customFormat="false" ht="15" hidden="false" customHeight="false" outlineLevel="0" collapsed="false">
      <c r="E134" s="43" t="s">
        <v>875</v>
      </c>
    </row>
  </sheetData>
  <mergeCells count="24">
    <mergeCell ref="D27:G27"/>
    <mergeCell ref="D28:G28"/>
    <mergeCell ref="D29:G29"/>
    <mergeCell ref="D30:G30"/>
    <mergeCell ref="D31:G31"/>
    <mergeCell ref="D32:G32"/>
    <mergeCell ref="D33:G33"/>
    <mergeCell ref="D34:G34"/>
    <mergeCell ref="D72:G72"/>
    <mergeCell ref="D73:G73"/>
    <mergeCell ref="D74:G74"/>
    <mergeCell ref="D75:G75"/>
    <mergeCell ref="D76:G76"/>
    <mergeCell ref="D77:G77"/>
    <mergeCell ref="D78:G78"/>
    <mergeCell ref="D79:G79"/>
    <mergeCell ref="D123:G123"/>
    <mergeCell ref="D124:G124"/>
    <mergeCell ref="D125:G125"/>
    <mergeCell ref="D126:G126"/>
    <mergeCell ref="D127:G127"/>
    <mergeCell ref="D128:G128"/>
    <mergeCell ref="D129:G129"/>
    <mergeCell ref="D130:G1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881</v>
      </c>
    </row>
    <row r="2" customFormat="false" ht="15" hidden="false" customHeight="false" outlineLevel="0" collapsed="false">
      <c r="A2" s="21" t="s">
        <v>848</v>
      </c>
    </row>
    <row r="4" customFormat="false" ht="15" hidden="false" customHeight="false" outlineLevel="0" collapsed="false">
      <c r="A4" s="28" t="s">
        <v>882</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745</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850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744</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854</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742</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852</v>
      </c>
      <c r="C13" s="31" t="s">
        <v>195</v>
      </c>
      <c r="D13" s="9" t="str">
        <f aca="false">INDEX(Articles!$C$2:$C$148,MATCH(C13,Articles!$A$2:$A$148,0))</f>
        <v>Cahier Calligraphe 96 pages 17x22 56 g seyès</v>
      </c>
      <c r="E13" s="9" t="str">
        <f aca="false">INDEX(Articles!$B$2:$B$148,MATCH(C13,Articles!$A$2:$A$148,0))</f>
        <v>Papex</v>
      </c>
      <c r="F13" s="31" t="n">
        <v>1</v>
      </c>
      <c r="G13" s="13" t="n">
        <f aca="false">IF(INDEX(Articles!$G$2:$G$148,MATCH(C13,Articles!$A$2:$A$148,0))="","",INDEX(Articles!$G$2:$G$148,MATCH(C13,Articles!$A$2:$A$148,0)))</f>
        <v>450</v>
      </c>
      <c r="H13" s="13" t="n">
        <f aca="false">IF(G13="",0,F13*G13)</f>
        <v>450</v>
      </c>
      <c r="I13" s="13" t="n">
        <f aca="false">IF(INDEX(Articles!$E$2:$E$148,MATCH(C13,Articles!$A$2:$A$148,0))="","",INDEX(Articles!$E$2:$E$148,MATCH(C13,Articles!$A$2:$A$148,0)))</f>
        <v>350</v>
      </c>
      <c r="J13" s="13" t="n">
        <f aca="false">IF(I13="","",F13*I13)</f>
        <v>350</v>
      </c>
      <c r="K13" s="9" t="str">
        <f aca="false">INDEX(Articles!$H$2:$H$148,MATCH(C13,Articles!$A$2:$A$148,0))</f>
        <v>Fixé</v>
      </c>
      <c r="L13" s="9" t="str">
        <f aca="false">INDEX(Articles!$F$2:$F$148,MATCH(C13,Articles!$A$2:$A$148,0))</f>
        <v>Confirmé</v>
      </c>
      <c r="M13" s="17"/>
      <c r="N13" s="9" t="s">
        <v>167</v>
      </c>
    </row>
    <row r="14" customFormat="false" ht="15" hidden="false" customHeight="false" outlineLevel="0" collapsed="false">
      <c r="A14" s="9" t="s">
        <v>671</v>
      </c>
      <c r="B14" s="9" t="s">
        <v>855</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853</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856</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857</v>
      </c>
      <c r="C17" s="31" t="s">
        <v>195</v>
      </c>
      <c r="D17" s="9" t="str">
        <f aca="false">INDEX(Articles!$C$2:$C$148,MATCH(C17,Articles!$A$2:$A$148,0))</f>
        <v>Cahier Calligraphe 96 pages 17x22 56 g seyès</v>
      </c>
      <c r="E17" s="9" t="str">
        <f aca="false">INDEX(Articles!$B$2:$B$148,MATCH(C17,Articles!$A$2:$A$148,0))</f>
        <v>Papex</v>
      </c>
      <c r="F17" s="31" t="n">
        <v>1</v>
      </c>
      <c r="G17" s="13" t="n">
        <f aca="false">IF(INDEX(Articles!$G$2:$G$148,MATCH(C17,Articles!$A$2:$A$148,0))="","",INDEX(Articles!$G$2:$G$148,MATCH(C17,Articles!$A$2:$A$148,0)))</f>
        <v>450</v>
      </c>
      <c r="H17" s="13" t="n">
        <f aca="false">IF(G17="",0,F17*G17)</f>
        <v>450</v>
      </c>
      <c r="I17" s="13" t="n">
        <f aca="false">IF(INDEX(Articles!$E$2:$E$148,MATCH(C17,Articles!$A$2:$A$148,0))="","",INDEX(Articles!$E$2:$E$148,MATCH(C17,Articles!$A$2:$A$148,0)))</f>
        <v>350</v>
      </c>
      <c r="J17" s="13" t="n">
        <f aca="false">IF(I17="","",F17*I17)</f>
        <v>350</v>
      </c>
      <c r="K17" s="9" t="str">
        <f aca="false">INDEX(Articles!$H$2:$H$148,MATCH(C17,Articles!$A$2:$A$148,0))</f>
        <v>Fixé</v>
      </c>
      <c r="L17" s="9" t="str">
        <f aca="false">INDEX(Articles!$F$2:$F$148,MATCH(C17,Articles!$A$2:$A$148,0))</f>
        <v>Confirmé</v>
      </c>
      <c r="M17" s="17"/>
      <c r="N17" s="9" t="s">
        <v>167</v>
      </c>
    </row>
    <row r="18" customFormat="false" ht="15" hidden="false" customHeight="false" outlineLevel="0" collapsed="false">
      <c r="A18" s="9" t="s">
        <v>678</v>
      </c>
      <c r="B18" s="9" t="s">
        <v>749</v>
      </c>
      <c r="C18" s="31" t="s">
        <v>222</v>
      </c>
      <c r="D18" s="9" t="str">
        <f aca="false">INDEX(Articles!$C$2:$C$148,MATCH(C18,Articles!$A$2:$A$148,0))</f>
        <v>Pack de 4 stylos Schneider Tops 505 M (bleu, noir, rouge, vert)</v>
      </c>
      <c r="E18" s="9" t="str">
        <f aca="false">INDEX(Articles!$B$2:$B$148,MATCH(C18,Articles!$A$2:$A$148,0))</f>
        <v>Papex</v>
      </c>
      <c r="F18" s="31" t="n">
        <v>1</v>
      </c>
      <c r="G18" s="13" t="n">
        <f aca="false">IF(INDEX(Articles!$G$2:$G$148,MATCH(C18,Articles!$A$2:$A$148,0))="","",INDEX(Articles!$G$2:$G$148,MATCH(C18,Articles!$A$2:$A$148,0)))</f>
        <v>400</v>
      </c>
      <c r="H18" s="13" t="n">
        <f aca="false">IF(G18="",0,F18*G18)</f>
        <v>400</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t="s">
        <v>432</v>
      </c>
      <c r="N18" s="9" t="s">
        <v>167</v>
      </c>
    </row>
    <row r="19" customFormat="false" ht="15" hidden="false" customHeight="false" outlineLevel="0" collapsed="false">
      <c r="A19" s="9" t="s">
        <v>678</v>
      </c>
      <c r="B19" s="9" t="s">
        <v>750</v>
      </c>
      <c r="C19" s="31" t="s">
        <v>235</v>
      </c>
      <c r="D19" s="9" t="str">
        <f aca="false">INDEX(Articles!$C$2:$C$148,MATCH(C19,Articles!$A$2:$A$148,0))</f>
        <v>Crayon papier (vendu à l'unité)</v>
      </c>
      <c r="E19" s="9" t="str">
        <f aca="false">INDEX(Articles!$B$2:$B$148,MATCH(C19,Articles!$A$2:$A$148,0))</f>
        <v>LPD</v>
      </c>
      <c r="F19" s="31" t="n">
        <v>1</v>
      </c>
      <c r="G19" s="13" t="n">
        <f aca="false">IF(INDEX(Articles!$G$2:$G$148,MATCH(C19,Articles!$A$2:$A$148,0))="","",INDEX(Articles!$G$2:$G$148,MATCH(C19,Articles!$A$2:$A$148,0)))</f>
        <v>75</v>
      </c>
      <c r="H19" s="13" t="n">
        <f aca="false">IF(G19="",0,F19*G19)</f>
        <v>75</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c r="N19" s="9" t="s">
        <v>167</v>
      </c>
    </row>
    <row r="20" customFormat="false" ht="15" hidden="false" customHeight="false" outlineLevel="0" collapsed="false">
      <c r="A20" s="9" t="s">
        <v>675</v>
      </c>
      <c r="B20" s="9" t="s">
        <v>717</v>
      </c>
      <c r="C20" s="31" t="s">
        <v>180</v>
      </c>
      <c r="D20" s="9" t="str">
        <f aca="false">INDEX(Articles!$C$2:$C$148,MATCH(C20,Articles!$A$2:$A$148,0))</f>
        <v>Gomme Staedtler Mars Plastic</v>
      </c>
      <c r="E20" s="9" t="str">
        <f aca="false">INDEX(Articles!$B$2:$B$148,MATCH(C20,Articles!$A$2:$A$148,0))</f>
        <v>LPD</v>
      </c>
      <c r="F20" s="31" t="n">
        <v>1</v>
      </c>
      <c r="G20" s="13" t="n">
        <f aca="false">IF(INDEX(Articles!$G$2:$G$148,MATCH(C20,Articles!$A$2:$A$148,0))="","",INDEX(Articles!$G$2:$G$148,MATCH(C20,Articles!$A$2:$A$148,0)))</f>
        <v>250</v>
      </c>
      <c r="H20" s="13" t="n">
        <f aca="false">IF(G20="",0,F20*G20)</f>
        <v>250</v>
      </c>
      <c r="I20" s="13" t="n">
        <f aca="false">IF(INDEX(Articles!$E$2:$E$148,MATCH(C20,Articles!$A$2:$A$148,0))="","",INDEX(Articles!$E$2:$E$148,MATCH(C20,Articles!$A$2:$A$148,0)))</f>
        <v>110</v>
      </c>
      <c r="J20" s="13" t="n">
        <f aca="false">IF(I20="","",F20*I20)</f>
        <v>110</v>
      </c>
      <c r="K20" s="9" t="str">
        <f aca="false">INDEX(Articles!$H$2:$H$148,MATCH(C20,Articles!$A$2:$A$148,0))</f>
        <v>Fixé</v>
      </c>
      <c r="L20" s="9" t="str">
        <f aca="false">INDEX(Articles!$F$2:$F$148,MATCH(C20,Articles!$A$2:$A$148,0))</f>
        <v>Estimé</v>
      </c>
      <c r="M20" s="17"/>
      <c r="N20" s="9" t="s">
        <v>167</v>
      </c>
    </row>
    <row r="21" customFormat="false" ht="15" hidden="false" customHeight="false" outlineLevel="0" collapsed="false">
      <c r="A21" s="9" t="s">
        <v>675</v>
      </c>
      <c r="B21" s="9" t="s">
        <v>751</v>
      </c>
      <c r="C21" s="31" t="s">
        <v>183</v>
      </c>
      <c r="D21" s="9" t="str">
        <f aca="false">INDEX(Articles!$C$2:$C$148,MATCH(C21,Articles!$A$2:$A$148,0))</f>
        <v>Taille-crayon avec réservoir Maped</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t="s">
        <v>752</v>
      </c>
      <c r="N21" s="9" t="s">
        <v>167</v>
      </c>
    </row>
    <row r="22" customFormat="false" ht="15" hidden="false" customHeight="false" outlineLevel="0" collapsed="false">
      <c r="A22" s="9" t="s">
        <v>675</v>
      </c>
      <c r="B22" s="9" t="s">
        <v>753</v>
      </c>
      <c r="C22" s="31" t="s">
        <v>250</v>
      </c>
      <c r="D22" s="9" t="str">
        <f aca="false">INDEX(Articles!$C$2:$C$148,MATCH(C22,Articles!$A$2:$A$148,0))</f>
        <v>Bâton de colle Giotto 10 g</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c r="N22" s="9" t="s">
        <v>167</v>
      </c>
    </row>
    <row r="23" customFormat="false" ht="15" hidden="false" customHeight="false" outlineLevel="0" collapsed="false">
      <c r="A23" s="9" t="s">
        <v>675</v>
      </c>
      <c r="B23" s="9" t="s">
        <v>754</v>
      </c>
      <c r="C23" s="31" t="s">
        <v>233</v>
      </c>
      <c r="D23" s="9" t="str">
        <f aca="false">INDEX(Articles!$C$2:$C$148,MATCH(C23,Articles!$A$2:$A$148,0))</f>
        <v>Ciseaux scolaires bouts ronds</v>
      </c>
      <c r="E23" s="9" t="str">
        <f aca="false">INDEX(Articles!$B$2:$B$148,MATCH(C23,Articles!$A$2:$A$148,0))</f>
        <v>LPD</v>
      </c>
      <c r="F23" s="31" t="n">
        <v>1</v>
      </c>
      <c r="G23" s="13" t="n">
        <f aca="false">IF(INDEX(Articles!$G$2:$G$148,MATCH(C23,Articles!$A$2:$A$148,0))="","",INDEX(Articles!$G$2:$G$148,MATCH(C23,Articles!$A$2:$A$148,0)))</f>
        <v>250</v>
      </c>
      <c r="H23" s="13" t="n">
        <f aca="false">IF(G23="",0,F23*G23)</f>
        <v>250</v>
      </c>
      <c r="I23" s="13" t="n">
        <f aca="false">IF(INDEX(Articles!$E$2:$E$148,MATCH(C23,Articles!$A$2:$A$148,0))="","",INDEX(Articles!$E$2:$E$148,MATCH(C23,Articles!$A$2:$A$148,0)))</f>
        <v>100</v>
      </c>
      <c r="J23" s="13" t="n">
        <f aca="false">IF(I23="","",F23*I23)</f>
        <v>100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676</v>
      </c>
      <c r="B24" s="9" t="s">
        <v>755</v>
      </c>
      <c r="C24" s="31" t="s">
        <v>239</v>
      </c>
      <c r="D24" s="9" t="str">
        <f aca="false">INDEX(Articles!$C$2:$C$148,MATCH(C24,Articles!$A$2:$A$148,0))</f>
        <v>Kit de traçage 30 cm, 4 pièces L'écolier</v>
      </c>
      <c r="E24" s="9" t="str">
        <f aca="false">INDEX(Articles!$B$2:$B$148,MATCH(C24,Articles!$A$2:$A$148,0))</f>
        <v>Papex</v>
      </c>
      <c r="F24" s="31" t="n">
        <v>1</v>
      </c>
      <c r="G24" s="13" t="n">
        <f aca="false">IF(INDEX(Articles!$G$2:$G$148,MATCH(C24,Articles!$A$2:$A$148,0))="","",INDEX(Articles!$G$2:$G$148,MATCH(C24,Articles!$A$2:$A$148,0)))</f>
        <v>900</v>
      </c>
      <c r="H24" s="13" t="n">
        <f aca="false">IF(G24="",0,F24*G24)</f>
        <v>900</v>
      </c>
      <c r="I24" s="13" t="n">
        <f aca="false">IF(INDEX(Articles!$E$2:$E$148,MATCH(C24,Articles!$A$2:$A$148,0))="","",INDEX(Articles!$E$2:$E$148,MATCH(C24,Articles!$A$2:$A$148,0)))</f>
        <v>650</v>
      </c>
      <c r="J24" s="13" t="n">
        <f aca="false">IF(I24="","",F24*I24)</f>
        <v>650</v>
      </c>
      <c r="K24" s="9" t="str">
        <f aca="false">INDEX(Articles!$H$2:$H$148,MATCH(C24,Articles!$A$2:$A$148,0))</f>
        <v>Estimé</v>
      </c>
      <c r="L24" s="9" t="str">
        <f aca="false">INDEX(Articles!$F$2:$F$148,MATCH(C24,Articles!$A$2:$A$148,0))</f>
        <v>Confirmé</v>
      </c>
      <c r="M24" s="17"/>
      <c r="N24" s="9" t="s">
        <v>167</v>
      </c>
    </row>
    <row r="25" customFormat="false" ht="15" hidden="false" customHeight="false" outlineLevel="0" collapsed="false">
      <c r="A25" s="9" t="s">
        <v>676</v>
      </c>
      <c r="B25" s="9" t="s">
        <v>756</v>
      </c>
      <c r="C25" s="31" t="s">
        <v>217</v>
      </c>
      <c r="D25" s="9" t="str">
        <f aca="false">INDEX(Articles!$C$2:$C$148,MATCH(C25,Articles!$A$2:$A$148,0))</f>
        <v>Compas de précision avec étui</v>
      </c>
      <c r="E25" s="9" t="str">
        <f aca="false">INDEX(Articles!$B$2:$B$148,MATCH(C25,Articles!$A$2:$A$148,0))</f>
        <v>LPD</v>
      </c>
      <c r="F25" s="31" t="n">
        <v>1</v>
      </c>
      <c r="G25" s="13" t="n">
        <f aca="false">IF(INDEX(Articles!$G$2:$G$148,MATCH(C25,Articles!$A$2:$A$148,0))="","",INDEX(Articles!$G$2:$G$148,MATCH(C25,Articles!$A$2:$A$148,0)))</f>
        <v>600</v>
      </c>
      <c r="H25" s="13" t="n">
        <f aca="false">IF(G25="",0,F25*G25)</f>
        <v>600</v>
      </c>
      <c r="I25" s="13" t="n">
        <f aca="false">IF(INDEX(Articles!$E$2:$E$148,MATCH(C25,Articles!$A$2:$A$148,0))="","",INDEX(Articles!$E$2:$E$148,MATCH(C25,Articles!$A$2:$A$148,0)))</f>
        <v>450</v>
      </c>
      <c r="J25" s="13" t="n">
        <f aca="false">IF(I25="","",F25*I25)</f>
        <v>450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681</v>
      </c>
      <c r="B26" s="9" t="s">
        <v>757</v>
      </c>
      <c r="C26" s="31" t="s">
        <v>198</v>
      </c>
      <c r="D26" s="9" t="str">
        <f aca="false">INDEX(Articles!$C$2:$C$148,MATCH(C26,Articles!$A$2:$A$148,0))</f>
        <v>Crayons de couleur Maped, boîte de 12</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Estimé</v>
      </c>
      <c r="M26" s="17"/>
      <c r="N26" s="9" t="s">
        <v>167</v>
      </c>
    </row>
    <row r="27" customFormat="false" ht="15" hidden="false" customHeight="false" outlineLevel="0" collapsed="false">
      <c r="A27" s="9" t="s">
        <v>676</v>
      </c>
      <c r="B27" s="9" t="s">
        <v>812</v>
      </c>
      <c r="C27" s="31" t="s">
        <v>242</v>
      </c>
      <c r="D27" s="9" t="str">
        <f aca="false">INDEX(Articles!$C$2:$C$148,MATCH(C27,Articles!$A$2:$A$148,0))</f>
        <v>Calculatrice scientifique Parpn YH-2000</v>
      </c>
      <c r="E27" s="9" t="str">
        <f aca="false">INDEX(Articles!$B$2:$B$148,MATCH(C27,Articles!$A$2:$A$148,0))</f>
        <v>LPD</v>
      </c>
      <c r="F27" s="31" t="n">
        <v>1</v>
      </c>
      <c r="G27" s="13" t="n">
        <f aca="false">IF(INDEX(Articles!$G$2:$G$148,MATCH(C27,Articles!$A$2:$A$148,0))="","",INDEX(Articles!$G$2:$G$148,MATCH(C27,Articles!$A$2:$A$148,0)))</f>
        <v>1400</v>
      </c>
      <c r="H27" s="13" t="n">
        <f aca="false">IF(G27="",0,F27*G27)</f>
        <v>1400</v>
      </c>
      <c r="I27" s="13" t="n">
        <f aca="false">IF(INDEX(Articles!$E$2:$E$148,MATCH(C27,Articles!$A$2:$A$148,0))="","",INDEX(Articles!$E$2:$E$148,MATCH(C27,Articles!$A$2:$A$148,0)))</f>
        <v>1100</v>
      </c>
      <c r="J27" s="13" t="n">
        <f aca="false">IF(I27="","",F27*I27)</f>
        <v>1100</v>
      </c>
      <c r="K27" s="9" t="str">
        <f aca="false">INDEX(Articles!$H$2:$H$148,MATCH(C27,Articles!$A$2:$A$148,0))</f>
        <v>Fixé</v>
      </c>
      <c r="L27" s="9" t="str">
        <f aca="false">INDEX(Articles!$F$2:$F$148,MATCH(C27,Articles!$A$2:$A$148,0))</f>
        <v>Confirmé</v>
      </c>
      <c r="M27" s="17" t="s">
        <v>813</v>
      </c>
      <c r="N27" s="9" t="s">
        <v>167</v>
      </c>
    </row>
    <row r="28" customFormat="false" ht="15" hidden="false" customHeight="false" outlineLevel="0" collapsed="false">
      <c r="A28" s="9" t="s">
        <v>758</v>
      </c>
      <c r="B28" s="9" t="s">
        <v>759</v>
      </c>
      <c r="C28" s="31" t="s">
        <v>376</v>
      </c>
      <c r="D28" s="9" t="str">
        <f aca="false">INDEX(Articles!$C$2:$C$148,MATCH(C28,Articles!$A$2:$A$148,0))</f>
        <v>Paquet de copies doubles grand format</v>
      </c>
      <c r="E28" s="9" t="str">
        <f aca="false">INDEX(Articles!$B$2:$B$148,MATCH(C28,Articles!$A$2:$A$148,0))</f>
        <v>À préciser</v>
      </c>
      <c r="F28" s="31" t="n">
        <v>1</v>
      </c>
      <c r="G28" s="45" t="n">
        <f aca="false">IF(INDEX(Articles!$G$2:$G$148,MATCH(C28,Articles!$A$2:$A$148,0))="","",INDEX(Articles!$G$2:$G$148,MATCH(C28,Articles!$A$2:$A$148,0)))</f>
        <v>1800</v>
      </c>
      <c r="H28" s="13" t="n">
        <f aca="false">IF(G28="",0,F28*G28)</f>
        <v>1800</v>
      </c>
      <c r="I28" s="13" t="n">
        <f aca="false">IF(INDEX(Articles!$E$2:$E$148,MATCH(C28,Articles!$A$2:$A$148,0))="","",INDEX(Articles!$E$2:$E$148,MATCH(C28,Articles!$A$2:$A$148,0)))</f>
        <v>1300</v>
      </c>
      <c r="J28" s="13" t="n">
        <f aca="false">IF(I28="","",F28*I28)</f>
        <v>1300</v>
      </c>
      <c r="K28" s="9" t="str">
        <f aca="false">INDEX(Articles!$H$2:$H$148,MATCH(C28,Articles!$A$2:$A$148,0))</f>
        <v>Fixé</v>
      </c>
      <c r="L28" s="9" t="str">
        <f aca="false">INDEX(Articles!$F$2:$F$148,MATCH(C28,Articles!$A$2:$A$148,0))</f>
        <v>Confirmé</v>
      </c>
      <c r="M28" s="17"/>
      <c r="N28" s="9" t="s">
        <v>167</v>
      </c>
    </row>
    <row r="29" customFormat="false" ht="15" hidden="false" customHeight="false" outlineLevel="0" collapsed="false">
      <c r="D29" s="32" t="s">
        <v>683</v>
      </c>
      <c r="E29" s="32"/>
      <c r="F29" s="32"/>
      <c r="G29" s="32"/>
      <c r="H29" s="33" t="n">
        <f aca="false">COUNTIF(G6:G28,"")</f>
        <v>0</v>
      </c>
    </row>
    <row r="30" customFormat="false" ht="15" hidden="false" customHeight="false" outlineLevel="0" collapsed="false">
      <c r="D30" s="32" t="s">
        <v>684</v>
      </c>
      <c r="E30" s="32"/>
      <c r="F30" s="32"/>
      <c r="G30" s="32"/>
      <c r="H30" s="33" t="n">
        <f aca="false">SUM(H6:H28)</f>
        <v>13425</v>
      </c>
    </row>
    <row r="31" customFormat="false" ht="15" hidden="false" customHeight="false" outlineLevel="0" collapsed="false">
      <c r="D31" s="32" t="s">
        <v>28</v>
      </c>
      <c r="E31" s="32"/>
      <c r="F31" s="32"/>
      <c r="G31" s="32"/>
      <c r="H31" s="33" t="n">
        <f aca="false">SUM(J6:J28)</f>
        <v>9710</v>
      </c>
    </row>
    <row r="32" customFormat="false" ht="15" hidden="false" customHeight="false" outlineLevel="0" collapsed="false">
      <c r="D32" s="32" t="s">
        <v>685</v>
      </c>
      <c r="E32" s="32"/>
      <c r="F32" s="32"/>
      <c r="G32" s="32"/>
      <c r="H32" s="33" t="n">
        <f aca="false">COUNTIF(I6:I28,"")</f>
        <v>2</v>
      </c>
    </row>
    <row r="33" customFormat="false" ht="15" hidden="false" customHeight="false" outlineLevel="0" collapsed="false">
      <c r="D33" s="32" t="s">
        <v>686</v>
      </c>
      <c r="E33" s="32"/>
      <c r="F33" s="32"/>
      <c r="G33" s="32"/>
      <c r="H33" s="33" t="n">
        <f aca="false">SUMPRODUCT((I6:I28&lt;&gt;"")*H6:H28)-H31</f>
        <v>3240</v>
      </c>
    </row>
    <row r="34" customFormat="false" ht="15" hidden="false" customHeight="false" outlineLevel="0" collapsed="false">
      <c r="D34" s="32" t="s">
        <v>687</v>
      </c>
      <c r="E34" s="32"/>
      <c r="F34" s="32"/>
      <c r="G34" s="32"/>
      <c r="H34" s="33" t="n">
        <f aca="false">SUMIF(A6:A28,"Cahiers",F6:F28)</f>
        <v>12</v>
      </c>
    </row>
    <row r="35" customFormat="false" ht="15" hidden="false" customHeight="false" outlineLevel="0" collapsed="false">
      <c r="D35" s="32" t="s">
        <v>688</v>
      </c>
      <c r="E35" s="32"/>
      <c r="F35" s="32"/>
      <c r="G35" s="32"/>
      <c r="H35" s="34" t="n">
        <f aca="false">IF(H30=0,0,SUMIF(K6:K28,"&lt;&gt;Fixé",H6:H28)/H30)</f>
        <v>0.543761638733706</v>
      </c>
    </row>
    <row r="36" customFormat="false" ht="15" hidden="false" customHeight="false" outlineLevel="0" collapsed="false">
      <c r="D36" s="32" t="s">
        <v>689</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690</v>
      </c>
    </row>
    <row r="39" customFormat="false" ht="15" hidden="false" customHeight="false" outlineLevel="0" collapsed="false">
      <c r="A39" s="36" t="s">
        <v>760</v>
      </c>
      <c r="B39" s="36" t="s">
        <v>883</v>
      </c>
      <c r="C39" s="31" t="s">
        <v>504</v>
      </c>
      <c r="D39" s="36" t="str">
        <f aca="false">INDEX(Articles!$C$2:$C$148,MATCH(C39,Articles!$A$2:$A$148,0))</f>
        <v>Une vie de boy (Ferdinand Oyono)</v>
      </c>
      <c r="E39" s="37"/>
      <c r="F39" s="37"/>
      <c r="G39" s="38" t="n">
        <f aca="false">INDEX(Articles!$G$2:$G$148,MATCH(C39,Articles!$A$2:$A$148,0))</f>
        <v>2800</v>
      </c>
      <c r="H39" s="37"/>
      <c r="I39" s="37"/>
      <c r="J39" s="37"/>
      <c r="K39" s="37"/>
      <c r="L39" s="37"/>
      <c r="M39" s="37"/>
      <c r="N39" s="39" t="s">
        <v>271</v>
      </c>
    </row>
    <row r="40" customFormat="false" ht="15" hidden="false" customHeight="false" outlineLevel="0" collapsed="false">
      <c r="A40" s="36" t="s">
        <v>760</v>
      </c>
      <c r="B40" s="36" t="s">
        <v>884</v>
      </c>
      <c r="C40" s="31" t="s">
        <v>506</v>
      </c>
      <c r="D40" s="36" t="str">
        <f aca="false">INDEX(Articles!$C$2:$C$148,MATCH(C40,Articles!$A$2:$A$148,0))</f>
        <v>Le Père Goriot (Balzac)</v>
      </c>
      <c r="E40" s="37"/>
      <c r="F40" s="37"/>
      <c r="G40" s="38" t="n">
        <f aca="false">INDEX(Articles!$G$2:$G$148,MATCH(C40,Articles!$A$2:$A$148,0))</f>
        <v>2800</v>
      </c>
      <c r="H40" s="37"/>
      <c r="I40" s="37"/>
      <c r="J40" s="37"/>
      <c r="K40" s="37"/>
      <c r="L40" s="37"/>
      <c r="M40" s="37"/>
      <c r="N40" s="39" t="s">
        <v>271</v>
      </c>
    </row>
    <row r="41" customFormat="false" ht="15" hidden="false" customHeight="false" outlineLevel="0" collapsed="false">
      <c r="A41" s="36" t="s">
        <v>760</v>
      </c>
      <c r="B41" s="36" t="s">
        <v>884</v>
      </c>
      <c r="C41" s="31" t="s">
        <v>508</v>
      </c>
      <c r="D41" s="36" t="str">
        <f aca="false">INDEX(Articles!$C$2:$C$148,MATCH(C41,Articles!$A$2:$A$148,0))</f>
        <v>Madame Bovary (Flaubert)</v>
      </c>
      <c r="E41" s="37"/>
      <c r="F41" s="37"/>
      <c r="G41" s="38" t="n">
        <f aca="false">INDEX(Articles!$G$2:$G$148,MATCH(C41,Articles!$A$2:$A$148,0))</f>
        <v>2800</v>
      </c>
      <c r="H41" s="37"/>
      <c r="I41" s="37"/>
      <c r="J41" s="37"/>
      <c r="K41" s="37"/>
      <c r="L41" s="37"/>
      <c r="M41" s="37"/>
      <c r="N41" s="39" t="s">
        <v>271</v>
      </c>
    </row>
    <row r="42" customFormat="false" ht="15" hidden="false" customHeight="false" outlineLevel="0" collapsed="false">
      <c r="D42" s="40" t="s">
        <v>695</v>
      </c>
      <c r="H42" s="33" t="n">
        <f aca="false">H30+SUM(G39:G41)</f>
        <v>21825</v>
      </c>
    </row>
    <row r="43" customFormat="false" ht="15" hidden="false" customHeight="false" outlineLevel="0" collapsed="false">
      <c r="D43" s="21" t="s">
        <v>696</v>
      </c>
      <c r="E43" s="21" t="str">
        <f aca="false">INDEX(Articles!$C$2:$C$148,MATCH("S020",Articles!$A$2:$A$148,0))</f>
        <v>Sac à dos bleu marine</v>
      </c>
      <c r="H43" s="41" t="n">
        <f aca="false">INDEX(Articles!$G$2:$G$148,MATCH("S020",Articles!$A$2:$A$148,0))</f>
        <v>7000</v>
      </c>
    </row>
    <row r="44" customFormat="false" ht="15" hidden="false" customHeight="false" outlineLevel="0" collapsed="false">
      <c r="D44" s="42" t="s">
        <v>697</v>
      </c>
      <c r="E44" s="44" t="s">
        <v>711</v>
      </c>
    </row>
    <row r="47" customFormat="false" ht="15" hidden="false" customHeight="false" outlineLevel="0" collapsed="false">
      <c r="A47" s="28" t="s">
        <v>885</v>
      </c>
      <c r="B47" s="29"/>
      <c r="C47" s="29"/>
      <c r="D47" s="29"/>
      <c r="E47" s="29"/>
      <c r="F47" s="29"/>
      <c r="G47" s="29"/>
      <c r="H47" s="29"/>
      <c r="I47" s="29"/>
      <c r="J47" s="29"/>
      <c r="K47" s="29"/>
      <c r="L47" s="29"/>
      <c r="M47" s="29"/>
      <c r="N47" s="29"/>
    </row>
    <row r="48" customFormat="false" ht="39.55" hidden="false" customHeight="false" outlineLevel="0" collapsed="false">
      <c r="A48" s="30" t="s">
        <v>663</v>
      </c>
      <c r="B48" s="30" t="s">
        <v>664</v>
      </c>
      <c r="C48" s="30" t="s">
        <v>348</v>
      </c>
      <c r="D48" s="30" t="s">
        <v>350</v>
      </c>
      <c r="E48" s="30" t="s">
        <v>349</v>
      </c>
      <c r="F48" s="30" t="s">
        <v>665</v>
      </c>
      <c r="G48" s="30" t="s">
        <v>666</v>
      </c>
      <c r="H48" s="30" t="s">
        <v>667</v>
      </c>
      <c r="I48" s="30" t="s">
        <v>668</v>
      </c>
      <c r="J48" s="30" t="s">
        <v>669</v>
      </c>
      <c r="K48" s="30" t="s">
        <v>355</v>
      </c>
      <c r="L48" s="30" t="s">
        <v>353</v>
      </c>
      <c r="M48" s="30" t="s">
        <v>356</v>
      </c>
      <c r="N48" s="30" t="s">
        <v>670</v>
      </c>
    </row>
    <row r="49" customFormat="false" ht="15" hidden="false" customHeight="false" outlineLevel="0" collapsed="false">
      <c r="A49" s="9" t="s">
        <v>671</v>
      </c>
      <c r="B49" s="9" t="s">
        <v>745</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850</v>
      </c>
      <c r="C50" s="31" t="s">
        <v>208</v>
      </c>
      <c r="D50" s="9" t="str">
        <f aca="false">INDEX(Articles!$C$2:$C$148,MATCH(C50,Articles!$A$2:$A$148,0))</f>
        <v>Cahier Calligraphe 96 pages 24x32 (grand format)</v>
      </c>
      <c r="E50" s="9" t="str">
        <f aca="false">INDEX(Articles!$B$2:$B$148,MATCH(C50,Articles!$A$2:$A$148,0))</f>
        <v>Papex</v>
      </c>
      <c r="F50" s="31" t="n">
        <v>1</v>
      </c>
      <c r="G50" s="13" t="n">
        <f aca="false">IF(INDEX(Articles!$G$2:$G$148,MATCH(C50,Articles!$A$2:$A$148,0))="","",INDEX(Articles!$G$2:$G$148,MATCH(C50,Articles!$A$2:$A$148,0)))</f>
        <v>1350</v>
      </c>
      <c r="H50" s="13" t="n">
        <f aca="false">IF(G50="",0,F50*G50)</f>
        <v>1350</v>
      </c>
      <c r="I50" s="13" t="n">
        <f aca="false">IF(INDEX(Articles!$E$2:$E$148,MATCH(C50,Articles!$A$2:$A$148,0))="","",INDEX(Articles!$E$2:$E$148,MATCH(C50,Articles!$A$2:$A$148,0)))</f>
        <v>1000</v>
      </c>
      <c r="J50" s="13" t="n">
        <f aca="false">IF(I50="","",F50*I50)</f>
        <v>1000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744</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854</v>
      </c>
      <c r="C52" s="31" t="s">
        <v>366</v>
      </c>
      <c r="D52" s="9" t="str">
        <f aca="false">INDEX(Articles!$C$2:$C$148,MATCH(C52,Articles!$A$2:$A$148,0))</f>
        <v>Cahier Calligraphe 140 pages 17x22 90 g seyès</v>
      </c>
      <c r="E52" s="9" t="str">
        <f aca="false">INDEX(Articles!$B$2:$B$148,MATCH(C52,Articles!$A$2:$A$148,0))</f>
        <v>Papex</v>
      </c>
      <c r="F52" s="31" t="n">
        <v>1</v>
      </c>
      <c r="G52" s="13" t="n">
        <f aca="false">IF(INDEX(Articles!$G$2:$G$148,MATCH(C52,Articles!$A$2:$A$148,0))="","",INDEX(Articles!$G$2:$G$148,MATCH(C52,Articles!$A$2:$A$148,0)))</f>
        <v>750</v>
      </c>
      <c r="H52" s="13" t="n">
        <f aca="false">IF(G52="",0,F52*G52)</f>
        <v>750</v>
      </c>
      <c r="I52" s="13" t="n">
        <f aca="false">IF(INDEX(Articles!$E$2:$E$148,MATCH(C52,Articles!$A$2:$A$148,0))="","",INDEX(Articles!$E$2:$E$148,MATCH(C52,Articles!$A$2:$A$148,0)))</f>
        <v>650</v>
      </c>
      <c r="J52" s="13" t="n">
        <f aca="false">IF(I52="","",F52*I52)</f>
        <v>650</v>
      </c>
      <c r="K52" s="9" t="str">
        <f aca="false">INDEX(Articles!$H$2:$H$148,MATCH(C52,Articles!$A$2:$A$148,0))</f>
        <v>Fixé</v>
      </c>
      <c r="L52" s="9" t="str">
        <f aca="false">INDEX(Articles!$F$2:$F$148,MATCH(C52,Articles!$A$2:$A$148,0))</f>
        <v>Estimé</v>
      </c>
      <c r="M52" s="17" t="s">
        <v>763</v>
      </c>
      <c r="N52" s="9" t="s">
        <v>167</v>
      </c>
    </row>
    <row r="53" customFormat="false" ht="15" hidden="false" customHeight="false" outlineLevel="0" collapsed="false">
      <c r="A53" s="9" t="s">
        <v>671</v>
      </c>
      <c r="B53" s="9" t="s">
        <v>737</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739</v>
      </c>
      <c r="C54" s="31" t="s">
        <v>192</v>
      </c>
      <c r="D54" s="9" t="str">
        <f aca="false">INDEX(Articles!$C$2:$C$148,MATCH(C54,Articles!$A$2:$A$148,0))</f>
        <v>Cahier Calligraphe 192 pages 17x22 90 g seyès</v>
      </c>
      <c r="E54" s="9" t="str">
        <f aca="false">INDEX(Articles!$B$2:$B$148,MATCH(C54,Articles!$A$2:$A$148,0))</f>
        <v>Papex</v>
      </c>
      <c r="F54" s="31" t="n">
        <v>1</v>
      </c>
      <c r="G54" s="13" t="n">
        <f aca="false">IF(INDEX(Articles!$G$2:$G$148,MATCH(C54,Articles!$A$2:$A$148,0))="","",INDEX(Articles!$G$2:$G$148,MATCH(C54,Articles!$A$2:$A$148,0)))</f>
        <v>900</v>
      </c>
      <c r="H54" s="13" t="n">
        <f aca="false">IF(G54="",0,F54*G54)</f>
        <v>900</v>
      </c>
      <c r="I54" s="13" t="n">
        <f aca="false">IF(INDEX(Articles!$E$2:$E$148,MATCH(C54,Articles!$A$2:$A$148,0))="","",INDEX(Articles!$E$2:$E$148,MATCH(C54,Articles!$A$2:$A$148,0)))</f>
        <v>800</v>
      </c>
      <c r="J54" s="13" t="n">
        <f aca="false">IF(I54="","",F54*I54)</f>
        <v>800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742</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852</v>
      </c>
      <c r="C56" s="31" t="s">
        <v>366</v>
      </c>
      <c r="D56" s="9" t="str">
        <f aca="false">INDEX(Articles!$C$2:$C$148,MATCH(C56,Articles!$A$2:$A$148,0))</f>
        <v>Cahier Calligraphe 140 pages 17x22 90 g seyès</v>
      </c>
      <c r="E56" s="9" t="str">
        <f aca="false">INDEX(Articles!$B$2:$B$148,MATCH(C56,Articles!$A$2:$A$148,0))</f>
        <v>Papex</v>
      </c>
      <c r="F56" s="31" t="n">
        <v>1</v>
      </c>
      <c r="G56" s="13" t="n">
        <f aca="false">IF(INDEX(Articles!$G$2:$G$148,MATCH(C56,Articles!$A$2:$A$148,0))="","",INDEX(Articles!$G$2:$G$148,MATCH(C56,Articles!$A$2:$A$148,0)))</f>
        <v>750</v>
      </c>
      <c r="H56" s="13" t="n">
        <f aca="false">IF(G56="",0,F56*G56)</f>
        <v>750</v>
      </c>
      <c r="I56" s="13" t="n">
        <f aca="false">IF(INDEX(Articles!$E$2:$E$148,MATCH(C56,Articles!$A$2:$A$148,0))="","",INDEX(Articles!$E$2:$E$148,MATCH(C56,Articles!$A$2:$A$148,0)))</f>
        <v>650</v>
      </c>
      <c r="J56" s="13" t="n">
        <f aca="false">IF(I56="","",F56*I56)</f>
        <v>650</v>
      </c>
      <c r="K56" s="9" t="str">
        <f aca="false">INDEX(Articles!$H$2:$H$148,MATCH(C56,Articles!$A$2:$A$148,0))</f>
        <v>Fixé</v>
      </c>
      <c r="L56" s="9" t="str">
        <f aca="false">INDEX(Articles!$F$2:$F$148,MATCH(C56,Articles!$A$2:$A$148,0))</f>
        <v>Estimé</v>
      </c>
      <c r="M56" s="17" t="s">
        <v>763</v>
      </c>
      <c r="N56" s="9" t="s">
        <v>167</v>
      </c>
    </row>
    <row r="57" customFormat="false" ht="15" hidden="false" customHeight="false" outlineLevel="0" collapsed="false">
      <c r="A57" s="9" t="s">
        <v>671</v>
      </c>
      <c r="B57" s="9" t="s">
        <v>855</v>
      </c>
      <c r="C57" s="31" t="s">
        <v>208</v>
      </c>
      <c r="D57" s="9" t="str">
        <f aca="false">INDEX(Articles!$C$2:$C$148,MATCH(C57,Articles!$A$2:$A$148,0))</f>
        <v>Cahier Calligraphe 96 pages 24x32 (grand format)</v>
      </c>
      <c r="E57" s="9" t="str">
        <f aca="false">INDEX(Articles!$B$2:$B$148,MATCH(C57,Articles!$A$2:$A$148,0))</f>
        <v>Papex</v>
      </c>
      <c r="F57" s="31" t="n">
        <v>1</v>
      </c>
      <c r="G57" s="13" t="n">
        <f aca="false">IF(INDEX(Articles!$G$2:$G$148,MATCH(C57,Articles!$A$2:$A$148,0))="","",INDEX(Articles!$G$2:$G$148,MATCH(C57,Articles!$A$2:$A$148,0)))</f>
        <v>1350</v>
      </c>
      <c r="H57" s="13" t="n">
        <f aca="false">IF(G57="",0,F57*G57)</f>
        <v>1350</v>
      </c>
      <c r="I57" s="13" t="n">
        <f aca="false">IF(INDEX(Articles!$E$2:$E$148,MATCH(C57,Articles!$A$2:$A$148,0))="","",INDEX(Articles!$E$2:$E$148,MATCH(C57,Articles!$A$2:$A$148,0)))</f>
        <v>1000</v>
      </c>
      <c r="J57" s="13" t="n">
        <f aca="false">IF(I57="","",F57*I57)</f>
        <v>1000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853</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856</v>
      </c>
      <c r="C59" s="31" t="s">
        <v>213</v>
      </c>
      <c r="D59" s="9" t="str">
        <f aca="false">INDEX(Articles!$C$2:$C$148,MATCH(C59,Articles!$A$2:$A$148,0))</f>
        <v>Cahier Calligraphe 192 pages 24x32 (grand format)</v>
      </c>
      <c r="E59" s="9" t="str">
        <f aca="false">INDEX(Articles!$B$2:$B$148,MATCH(C59,Articles!$A$2:$A$148,0))</f>
        <v>Papex</v>
      </c>
      <c r="F59" s="31" t="n">
        <v>1</v>
      </c>
      <c r="G59" s="13" t="n">
        <f aca="false">IF(INDEX(Articles!$G$2:$G$148,MATCH(C59,Articles!$A$2:$A$148,0))="","",INDEX(Articles!$G$2:$G$148,MATCH(C59,Articles!$A$2:$A$148,0)))</f>
        <v>1650</v>
      </c>
      <c r="H59" s="13" t="n">
        <f aca="false">IF(G59="",0,F59*G59)</f>
        <v>1650</v>
      </c>
      <c r="I59" s="13" t="n">
        <f aca="false">IF(INDEX(Articles!$E$2:$E$148,MATCH(C59,Articles!$A$2:$A$148,0))="","",INDEX(Articles!$E$2:$E$148,MATCH(C59,Articles!$A$2:$A$148,0)))</f>
        <v>1500</v>
      </c>
      <c r="J59" s="13" t="n">
        <f aca="false">IF(I59="","",F59*I59)</f>
        <v>1500</v>
      </c>
      <c r="K59" s="9" t="str">
        <f aca="false">INDEX(Articles!$H$2:$H$148,MATCH(C59,Articles!$A$2:$A$148,0))</f>
        <v>Fixé</v>
      </c>
      <c r="L59" s="9" t="str">
        <f aca="false">INDEX(Articles!$F$2:$F$148,MATCH(C59,Articles!$A$2:$A$148,0))</f>
        <v>Confirmé</v>
      </c>
      <c r="M59" s="17"/>
      <c r="N59" s="9" t="s">
        <v>167</v>
      </c>
    </row>
    <row r="60" customFormat="false" ht="15" hidden="false" customHeight="false" outlineLevel="0" collapsed="false">
      <c r="A60" s="9" t="s">
        <v>671</v>
      </c>
      <c r="B60" s="9" t="s">
        <v>857</v>
      </c>
      <c r="C60" s="31" t="s">
        <v>366</v>
      </c>
      <c r="D60" s="9" t="str">
        <f aca="false">INDEX(Articles!$C$2:$C$148,MATCH(C60,Articles!$A$2:$A$148,0))</f>
        <v>Cahier Calligraphe 140 pages 17x22 90 g seyès</v>
      </c>
      <c r="E60" s="9" t="str">
        <f aca="false">INDEX(Articles!$B$2:$B$148,MATCH(C60,Articles!$A$2:$A$148,0))</f>
        <v>Papex</v>
      </c>
      <c r="F60" s="31" t="n">
        <v>1</v>
      </c>
      <c r="G60" s="13" t="n">
        <f aca="false">IF(INDEX(Articles!$G$2:$G$148,MATCH(C60,Articles!$A$2:$A$148,0))="","",INDEX(Articles!$G$2:$G$148,MATCH(C60,Articles!$A$2:$A$148,0)))</f>
        <v>750</v>
      </c>
      <c r="H60" s="13" t="n">
        <f aca="false">IF(G60="",0,F60*G60)</f>
        <v>750</v>
      </c>
      <c r="I60" s="13" t="n">
        <f aca="false">IF(INDEX(Articles!$E$2:$E$148,MATCH(C60,Articles!$A$2:$A$148,0))="","",INDEX(Articles!$E$2:$E$148,MATCH(C60,Articles!$A$2:$A$148,0)))</f>
        <v>650</v>
      </c>
      <c r="J60" s="13" t="n">
        <f aca="false">IF(I60="","",F60*I60)</f>
        <v>650</v>
      </c>
      <c r="K60" s="9" t="str">
        <f aca="false">INDEX(Articles!$H$2:$H$148,MATCH(C60,Articles!$A$2:$A$148,0))</f>
        <v>Fixé</v>
      </c>
      <c r="L60" s="9" t="str">
        <f aca="false">INDEX(Articles!$F$2:$F$148,MATCH(C60,Articles!$A$2:$A$148,0))</f>
        <v>Estimé</v>
      </c>
      <c r="M60" s="17" t="s">
        <v>763</v>
      </c>
      <c r="N60" s="9" t="s">
        <v>167</v>
      </c>
    </row>
    <row r="61" customFormat="false" ht="15" hidden="false" customHeight="false" outlineLevel="0" collapsed="false">
      <c r="A61" s="9" t="s">
        <v>678</v>
      </c>
      <c r="B61" s="9" t="s">
        <v>749</v>
      </c>
      <c r="C61" s="31" t="s">
        <v>222</v>
      </c>
      <c r="D61" s="9" t="str">
        <f aca="false">INDEX(Articles!$C$2:$C$148,MATCH(C61,Articles!$A$2:$A$148,0))</f>
        <v>Pack de 4 stylos Schneider Tops 505 M (bleu, noir, rouge, vert)</v>
      </c>
      <c r="E61" s="9" t="str">
        <f aca="false">INDEX(Articles!$B$2:$B$148,MATCH(C61,Articles!$A$2:$A$148,0))</f>
        <v>Papex</v>
      </c>
      <c r="F61" s="31" t="n">
        <v>1</v>
      </c>
      <c r="G61" s="13" t="n">
        <f aca="false">IF(INDEX(Articles!$G$2:$G$148,MATCH(C61,Articles!$A$2:$A$148,0))="","",INDEX(Articles!$G$2:$G$148,MATCH(C61,Articles!$A$2:$A$148,0)))</f>
        <v>400</v>
      </c>
      <c r="H61" s="13" t="n">
        <f aca="false">IF(G61="",0,F61*G61)</f>
        <v>400</v>
      </c>
      <c r="I61" s="13" t="str">
        <f aca="false">IF(INDEX(Articles!$E$2:$E$148,MATCH(C61,Articles!$A$2:$A$148,0))="","",INDEX(Articles!$E$2:$E$148,MATCH(C61,Articles!$A$2:$A$148,0)))</f>
        <v/>
      </c>
      <c r="J61" s="13" t="str">
        <f aca="false">IF(I61="","",F61*I61)</f>
        <v/>
      </c>
      <c r="K61" s="9" t="str">
        <f aca="false">INDEX(Articles!$H$2:$H$148,MATCH(C61,Articles!$A$2:$A$148,0))</f>
        <v>Fixé</v>
      </c>
      <c r="L61" s="9" t="str">
        <f aca="false">INDEX(Articles!$F$2:$F$148,MATCH(C61,Articles!$A$2:$A$148,0))</f>
        <v>Inconnu</v>
      </c>
      <c r="M61" s="17" t="s">
        <v>432</v>
      </c>
      <c r="N61" s="9" t="s">
        <v>167</v>
      </c>
    </row>
    <row r="62" customFormat="false" ht="15" hidden="false" customHeight="false" outlineLevel="0" collapsed="false">
      <c r="A62" s="9" t="s">
        <v>678</v>
      </c>
      <c r="B62" s="9" t="s">
        <v>750</v>
      </c>
      <c r="C62" s="31" t="s">
        <v>235</v>
      </c>
      <c r="D62" s="9" t="str">
        <f aca="false">INDEX(Articles!$C$2:$C$148,MATCH(C62,Articles!$A$2:$A$148,0))</f>
        <v>Crayon papier (vendu à l'unité)</v>
      </c>
      <c r="E62" s="9" t="str">
        <f aca="false">INDEX(Articles!$B$2:$B$148,MATCH(C62,Articles!$A$2:$A$148,0))</f>
        <v>LPD</v>
      </c>
      <c r="F62" s="31" t="n">
        <v>1</v>
      </c>
      <c r="G62" s="13" t="n">
        <f aca="false">IF(INDEX(Articles!$G$2:$G$148,MATCH(C62,Articles!$A$2:$A$148,0))="","",INDEX(Articles!$G$2:$G$148,MATCH(C62,Articles!$A$2:$A$148,0)))</f>
        <v>75</v>
      </c>
      <c r="H62" s="13" t="n">
        <f aca="false">IF(G62="",0,F62*G62)</f>
        <v>75</v>
      </c>
      <c r="I62" s="13" t="str">
        <f aca="false">IF(INDEX(Articles!$E$2:$E$148,MATCH(C62,Articles!$A$2:$A$148,0))="","",INDEX(Articles!$E$2:$E$148,MATCH(C62,Articles!$A$2:$A$148,0)))</f>
        <v/>
      </c>
      <c r="J62" s="13" t="str">
        <f aca="false">IF(I62="","",F62*I62)</f>
        <v/>
      </c>
      <c r="K62" s="9" t="str">
        <f aca="false">INDEX(Articles!$H$2:$H$148,MATCH(C62,Articles!$A$2:$A$148,0))</f>
        <v>Fixé</v>
      </c>
      <c r="L62" s="9" t="str">
        <f aca="false">INDEX(Articles!$F$2:$F$148,MATCH(C62,Articles!$A$2:$A$148,0))</f>
        <v>Inconnu</v>
      </c>
      <c r="M62" s="17"/>
      <c r="N62" s="9" t="s">
        <v>167</v>
      </c>
    </row>
    <row r="63" customFormat="false" ht="15" hidden="false" customHeight="false" outlineLevel="0" collapsed="false">
      <c r="A63" s="9" t="s">
        <v>675</v>
      </c>
      <c r="B63" s="9" t="s">
        <v>717</v>
      </c>
      <c r="C63" s="31" t="s">
        <v>180</v>
      </c>
      <c r="D63" s="9" t="str">
        <f aca="false">INDEX(Articles!$C$2:$C$148,MATCH(C63,Articles!$A$2:$A$148,0))</f>
        <v>Gomme Staedtler Mars Plastic</v>
      </c>
      <c r="E63" s="9" t="str">
        <f aca="false">INDEX(Articles!$B$2:$B$148,MATCH(C63,Articles!$A$2:$A$148,0))</f>
        <v>LPD</v>
      </c>
      <c r="F63" s="31" t="n">
        <v>1</v>
      </c>
      <c r="G63" s="13" t="n">
        <f aca="false">IF(INDEX(Articles!$G$2:$G$148,MATCH(C63,Articles!$A$2:$A$148,0))="","",INDEX(Articles!$G$2:$G$148,MATCH(C63,Articles!$A$2:$A$148,0)))</f>
        <v>250</v>
      </c>
      <c r="H63" s="13" t="n">
        <f aca="false">IF(G63="",0,F63*G63)</f>
        <v>250</v>
      </c>
      <c r="I63" s="13" t="n">
        <f aca="false">IF(INDEX(Articles!$E$2:$E$148,MATCH(C63,Articles!$A$2:$A$148,0))="","",INDEX(Articles!$E$2:$E$148,MATCH(C63,Articles!$A$2:$A$148,0)))</f>
        <v>110</v>
      </c>
      <c r="J63" s="13" t="n">
        <f aca="false">IF(I63="","",F63*I63)</f>
        <v>110</v>
      </c>
      <c r="K63" s="9" t="str">
        <f aca="false">INDEX(Articles!$H$2:$H$148,MATCH(C63,Articles!$A$2:$A$148,0))</f>
        <v>Fixé</v>
      </c>
      <c r="L63" s="9" t="str">
        <f aca="false">INDEX(Articles!$F$2:$F$148,MATCH(C63,Articles!$A$2:$A$148,0))</f>
        <v>Estimé</v>
      </c>
      <c r="M63" s="17"/>
      <c r="N63" s="9" t="s">
        <v>167</v>
      </c>
    </row>
    <row r="64" customFormat="false" ht="15" hidden="false" customHeight="false" outlineLevel="0" collapsed="false">
      <c r="A64" s="9" t="s">
        <v>675</v>
      </c>
      <c r="B64" s="9" t="s">
        <v>751</v>
      </c>
      <c r="C64" s="31" t="s">
        <v>183</v>
      </c>
      <c r="D64" s="9" t="str">
        <f aca="false">INDEX(Articles!$C$2:$C$148,MATCH(C64,Articles!$A$2:$A$148,0))</f>
        <v>Taille-crayon avec réservoir Maped</v>
      </c>
      <c r="E64" s="9" t="str">
        <f aca="false">INDEX(Articles!$B$2:$B$148,MATCH(C64,Articles!$A$2:$A$148,0))</f>
        <v>Papex</v>
      </c>
      <c r="F64" s="31" t="n">
        <v>1</v>
      </c>
      <c r="G64" s="13" t="n">
        <f aca="false">IF(INDEX(Articles!$G$2:$G$148,MATCH(C64,Articles!$A$2:$A$148,0))="","",INDEX(Articles!$G$2:$G$148,MATCH(C64,Articles!$A$2:$A$148,0)))</f>
        <v>500</v>
      </c>
      <c r="H64" s="13" t="n">
        <f aca="false">IF(G64="",0,F64*G64)</f>
        <v>500</v>
      </c>
      <c r="I64" s="13" t="n">
        <f aca="false">IF(INDEX(Articles!$E$2:$E$148,MATCH(C64,Articles!$A$2:$A$148,0))="","",INDEX(Articles!$E$2:$E$148,MATCH(C64,Articles!$A$2:$A$148,0)))</f>
        <v>350</v>
      </c>
      <c r="J64" s="13" t="n">
        <f aca="false">IF(I64="","",F64*I64)</f>
        <v>350</v>
      </c>
      <c r="K64" s="9" t="str">
        <f aca="false">INDEX(Articles!$H$2:$H$148,MATCH(C64,Articles!$A$2:$A$148,0))</f>
        <v>Estimé</v>
      </c>
      <c r="L64" s="9" t="str">
        <f aca="false">INDEX(Articles!$F$2:$F$148,MATCH(C64,Articles!$A$2:$A$148,0))</f>
        <v>Estimé</v>
      </c>
      <c r="M64" s="17" t="s">
        <v>765</v>
      </c>
      <c r="N64" s="9" t="s">
        <v>167</v>
      </c>
    </row>
    <row r="65" customFormat="false" ht="15" hidden="false" customHeight="false" outlineLevel="0" collapsed="false">
      <c r="A65" s="9" t="s">
        <v>675</v>
      </c>
      <c r="B65" s="9" t="s">
        <v>753</v>
      </c>
      <c r="C65" s="31" t="s">
        <v>248</v>
      </c>
      <c r="D65" s="9" t="str">
        <f aca="false">INDEX(Articles!$C$2:$C$148,MATCH(C65,Articles!$A$2:$A$148,0))</f>
        <v>Bâton de colle Giotto 20 g</v>
      </c>
      <c r="E65" s="9" t="str">
        <f aca="false">INDEX(Articles!$B$2:$B$148,MATCH(C65,Articles!$A$2:$A$148,0))</f>
        <v>Papex</v>
      </c>
      <c r="F65" s="31" t="n">
        <v>1</v>
      </c>
      <c r="G65" s="13" t="n">
        <f aca="false">IF(INDEX(Articles!$G$2:$G$148,MATCH(C65,Articles!$A$2:$A$148,0))="","",INDEX(Articles!$G$2:$G$148,MATCH(C65,Articles!$A$2:$A$148,0)))</f>
        <v>900</v>
      </c>
      <c r="H65" s="13" t="n">
        <f aca="false">IF(G65="",0,F65*G65)</f>
        <v>900</v>
      </c>
      <c r="I65" s="13" t="n">
        <f aca="false">IF(INDEX(Articles!$E$2:$E$148,MATCH(C65,Articles!$A$2:$A$148,0))="","",INDEX(Articles!$E$2:$E$148,MATCH(C65,Articles!$A$2:$A$148,0)))</f>
        <v>650</v>
      </c>
      <c r="J65" s="13" t="n">
        <f aca="false">IF(I65="","",F65*I65)</f>
        <v>650</v>
      </c>
      <c r="K65" s="9" t="str">
        <f aca="false">INDEX(Articles!$H$2:$H$148,MATCH(C65,Articles!$A$2:$A$148,0))</f>
        <v>Estimé</v>
      </c>
      <c r="L65" s="9" t="str">
        <f aca="false">INDEX(Articles!$F$2:$F$148,MATCH(C65,Articles!$A$2:$A$148,0))</f>
        <v>Estimé</v>
      </c>
      <c r="M65" s="17"/>
      <c r="N65" s="9" t="s">
        <v>167</v>
      </c>
    </row>
    <row r="66" customFormat="false" ht="15" hidden="false" customHeight="false" outlineLevel="0" collapsed="false">
      <c r="A66" s="9" t="s">
        <v>675</v>
      </c>
      <c r="B66" s="9" t="s">
        <v>754</v>
      </c>
      <c r="C66" s="31" t="s">
        <v>189</v>
      </c>
      <c r="D66" s="9" t="str">
        <f aca="false">INDEX(Articles!$C$2:$C$148,MATCH(C66,Articles!$A$2:$A$148,0))</f>
        <v>Ciseaux Maped 13 cm Security</v>
      </c>
      <c r="E66" s="9" t="str">
        <f aca="false">INDEX(Articles!$B$2:$B$148,MATCH(C66,Articles!$A$2:$A$148,0))</f>
        <v>Papex</v>
      </c>
      <c r="F66" s="31" t="n">
        <v>1</v>
      </c>
      <c r="G66" s="13" t="n">
        <f aca="false">IF(INDEX(Articles!$G$2:$G$148,MATCH(C66,Articles!$A$2:$A$148,0))="","",INDEX(Articles!$G$2:$G$148,MATCH(C66,Articles!$A$2:$A$148,0)))</f>
        <v>900</v>
      </c>
      <c r="H66" s="13" t="n">
        <f aca="false">IF(G66="",0,F66*G66)</f>
        <v>900</v>
      </c>
      <c r="I66" s="13" t="n">
        <f aca="false">IF(INDEX(Articles!$E$2:$E$148,MATCH(C66,Articles!$A$2:$A$148,0))="","",INDEX(Articles!$E$2:$E$148,MATCH(C66,Articles!$A$2:$A$148,0)))</f>
        <v>650</v>
      </c>
      <c r="J66" s="13" t="n">
        <f aca="false">IF(I66="","",F66*I66)</f>
        <v>650</v>
      </c>
      <c r="K66" s="9" t="str">
        <f aca="false">INDEX(Articles!$H$2:$H$148,MATCH(C66,Articles!$A$2:$A$148,0))</f>
        <v>Estimé</v>
      </c>
      <c r="L66" s="9" t="str">
        <f aca="false">INDEX(Articles!$F$2:$F$148,MATCH(C66,Articles!$A$2:$A$148,0))</f>
        <v>Estimé</v>
      </c>
      <c r="M66" s="17"/>
      <c r="N66" s="9" t="s">
        <v>167</v>
      </c>
    </row>
    <row r="67" customFormat="false" ht="15" hidden="false" customHeight="false" outlineLevel="0" collapsed="false">
      <c r="A67" s="9" t="s">
        <v>676</v>
      </c>
      <c r="B67" s="9" t="s">
        <v>755</v>
      </c>
      <c r="C67" s="31" t="s">
        <v>215</v>
      </c>
      <c r="D67" s="9" t="str">
        <f aca="false">INDEX(Articles!$C$2:$C$148,MATCH(C67,Articles!$A$2:$A$148,0))</f>
        <v>Kit géométrie Maped 30 cm (réf. 1930)</v>
      </c>
      <c r="E67" s="9" t="str">
        <f aca="false">INDEX(Articles!$B$2:$B$148,MATCH(C67,Articles!$A$2:$A$148,0))</f>
        <v>LPD</v>
      </c>
      <c r="F67" s="31" t="n">
        <v>1</v>
      </c>
      <c r="G67" s="13" t="n">
        <f aca="false">IF(INDEX(Articles!$G$2:$G$148,MATCH(C67,Articles!$A$2:$A$148,0))="","",INDEX(Articles!$G$2:$G$148,MATCH(C67,Articles!$A$2:$A$148,0)))</f>
        <v>1800</v>
      </c>
      <c r="H67" s="13" t="n">
        <f aca="false">IF(G67="",0,F67*G67)</f>
        <v>1800</v>
      </c>
      <c r="I67" s="13" t="n">
        <f aca="false">IF(INDEX(Articles!$E$2:$E$148,MATCH(C67,Articles!$A$2:$A$148,0))="","",INDEX(Articles!$E$2:$E$148,MATCH(C67,Articles!$A$2:$A$148,0)))</f>
        <v>1500</v>
      </c>
      <c r="J67" s="13" t="n">
        <f aca="false">IF(I67="","",F67*I67)</f>
        <v>1500</v>
      </c>
      <c r="K67" s="9" t="str">
        <f aca="false">INDEX(Articles!$H$2:$H$148,MATCH(C67,Articles!$A$2:$A$148,0))</f>
        <v>À trancher</v>
      </c>
      <c r="L67" s="9" t="str">
        <f aca="false">INDEX(Articles!$F$2:$F$148,MATCH(C67,Articles!$A$2:$A$148,0))</f>
        <v>Confirmé</v>
      </c>
      <c r="M67" s="17"/>
      <c r="N67" s="9" t="s">
        <v>167</v>
      </c>
    </row>
    <row r="68" customFormat="false" ht="15" hidden="false" customHeight="false" outlineLevel="0" collapsed="false">
      <c r="A68" s="9" t="s">
        <v>676</v>
      </c>
      <c r="B68" s="9" t="s">
        <v>756</v>
      </c>
      <c r="C68" s="31" t="s">
        <v>171</v>
      </c>
      <c r="D68" s="9" t="str">
        <f aca="false">INDEX(Articles!$C$2:$C$148,MATCH(C68,Articles!$A$2:$A$148,0))</f>
        <v>Compas Maped</v>
      </c>
      <c r="E68" s="9" t="str">
        <f aca="false">INDEX(Articles!$B$2:$B$148,MATCH(C68,Articles!$A$2:$A$148,0))</f>
        <v>Papex</v>
      </c>
      <c r="F68" s="31" t="n">
        <v>1</v>
      </c>
      <c r="G68" s="13" t="n">
        <f aca="false">IF(INDEX(Articles!$G$2:$G$148,MATCH(C68,Articles!$A$2:$A$148,0))="","",INDEX(Articles!$G$2:$G$148,MATCH(C68,Articles!$A$2:$A$148,0)))</f>
        <v>2000</v>
      </c>
      <c r="H68" s="13" t="n">
        <f aca="false">IF(G68="",0,F68*G68)</f>
        <v>2000</v>
      </c>
      <c r="I68" s="13" t="n">
        <f aca="false">IF(INDEX(Articles!$E$2:$E$148,MATCH(C68,Articles!$A$2:$A$148,0))="","",INDEX(Articles!$E$2:$E$148,MATCH(C68,Articles!$A$2:$A$148,0)))</f>
        <v>1750</v>
      </c>
      <c r="J68" s="13" t="n">
        <f aca="false">IF(I68="","",F68*I68)</f>
        <v>1750</v>
      </c>
      <c r="K68" s="9" t="str">
        <f aca="false">INDEX(Articles!$H$2:$H$148,MATCH(C68,Articles!$A$2:$A$148,0))</f>
        <v>Fixé</v>
      </c>
      <c r="L68" s="9" t="str">
        <f aca="false">INDEX(Articles!$F$2:$F$148,MATCH(C68,Articles!$A$2:$A$148,0))</f>
        <v>Confirmé</v>
      </c>
      <c r="M68" s="17"/>
      <c r="N68" s="9" t="s">
        <v>167</v>
      </c>
    </row>
    <row r="69" customFormat="false" ht="15" hidden="false" customHeight="false" outlineLevel="0" collapsed="false">
      <c r="A69" s="9" t="s">
        <v>681</v>
      </c>
      <c r="B69" s="9" t="s">
        <v>757</v>
      </c>
      <c r="C69" s="31" t="s">
        <v>198</v>
      </c>
      <c r="D69" s="9" t="str">
        <f aca="false">INDEX(Articles!$C$2:$C$148,MATCH(C69,Articles!$A$2:$A$148,0))</f>
        <v>Crayons de couleur Maped, boîte de 12</v>
      </c>
      <c r="E69" s="9" t="str">
        <f aca="false">INDEX(Articles!$B$2:$B$148,MATCH(C69,Articles!$A$2:$A$148,0))</f>
        <v>Papex</v>
      </c>
      <c r="F69" s="31" t="n">
        <v>1</v>
      </c>
      <c r="G69" s="13" t="n">
        <f aca="false">IF(INDEX(Articles!$G$2:$G$148,MATCH(C69,Articles!$A$2:$A$148,0))="","",INDEX(Articles!$G$2:$G$148,MATCH(C69,Articles!$A$2:$A$148,0)))</f>
        <v>900</v>
      </c>
      <c r="H69" s="13" t="n">
        <f aca="false">IF(G69="",0,F69*G69)</f>
        <v>900</v>
      </c>
      <c r="I69" s="13" t="n">
        <f aca="false">IF(INDEX(Articles!$E$2:$E$148,MATCH(C69,Articles!$A$2:$A$148,0))="","",INDEX(Articles!$E$2:$E$148,MATCH(C69,Articles!$A$2:$A$148,0)))</f>
        <v>650</v>
      </c>
      <c r="J69" s="13" t="n">
        <f aca="false">IF(I69="","",F69*I69)</f>
        <v>650</v>
      </c>
      <c r="K69" s="9" t="str">
        <f aca="false">INDEX(Articles!$H$2:$H$148,MATCH(C69,Articles!$A$2:$A$148,0))</f>
        <v>Estimé</v>
      </c>
      <c r="L69" s="9" t="str">
        <f aca="false">INDEX(Articles!$F$2:$F$148,MATCH(C69,Articles!$A$2:$A$148,0))</f>
        <v>Estimé</v>
      </c>
      <c r="M69" s="17"/>
      <c r="N69" s="9" t="s">
        <v>167</v>
      </c>
    </row>
    <row r="70" customFormat="false" ht="15" hidden="false" customHeight="false" outlineLevel="0" collapsed="false">
      <c r="A70" s="9" t="s">
        <v>678</v>
      </c>
      <c r="B70" s="9" t="s">
        <v>766</v>
      </c>
      <c r="C70" s="31" t="s">
        <v>200</v>
      </c>
      <c r="D70" s="9" t="str">
        <f aca="false">INDEX(Articles!$C$2:$C$148,MATCH(C70,Articles!$A$2:$A$148,0))</f>
        <v>Surligneurs Maped Fluo Peps, pochette de 4</v>
      </c>
      <c r="E70" s="9" t="str">
        <f aca="false">INDEX(Articles!$B$2:$B$148,MATCH(C70,Articles!$A$2:$A$148,0))</f>
        <v>Papex</v>
      </c>
      <c r="F70" s="31" t="n">
        <v>1</v>
      </c>
      <c r="G70" s="13" t="n">
        <f aca="false">IF(INDEX(Articles!$G$2:$G$148,MATCH(C70,Articles!$A$2:$A$148,0))="","",INDEX(Articles!$G$2:$G$148,MATCH(C70,Articles!$A$2:$A$148,0)))</f>
        <v>2500</v>
      </c>
      <c r="H70" s="13" t="n">
        <f aca="false">IF(G70="",0,F70*G70)</f>
        <v>2500</v>
      </c>
      <c r="I70" s="13" t="n">
        <f aca="false">IF(INDEX(Articles!$E$2:$E$148,MATCH(C70,Articles!$A$2:$A$148,0))="","",INDEX(Articles!$E$2:$E$148,MATCH(C70,Articles!$A$2:$A$148,0)))</f>
        <v>2000</v>
      </c>
      <c r="J70" s="13" t="n">
        <f aca="false">IF(I70="","",F70*I70)</f>
        <v>2000</v>
      </c>
      <c r="K70" s="9" t="str">
        <f aca="false">INDEX(Articles!$H$2:$H$148,MATCH(C70,Articles!$A$2:$A$148,0))</f>
        <v>Estimé</v>
      </c>
      <c r="L70" s="9" t="str">
        <f aca="false">INDEX(Articles!$F$2:$F$148,MATCH(C70,Articles!$A$2:$A$148,0))</f>
        <v>Confirmé</v>
      </c>
      <c r="M70" s="17" t="s">
        <v>767</v>
      </c>
      <c r="N70" s="9" t="s">
        <v>167</v>
      </c>
    </row>
    <row r="71" customFormat="false" ht="15" hidden="false" customHeight="false" outlineLevel="0" collapsed="false">
      <c r="A71" s="9" t="s">
        <v>768</v>
      </c>
      <c r="B71" s="9" t="s">
        <v>769</v>
      </c>
      <c r="C71" s="31" t="s">
        <v>446</v>
      </c>
      <c r="D71" s="9" t="str">
        <f aca="false">INDEX(Articles!$C$2:$C$148,MATCH(C71,Articles!$A$2:$A$148,0))</f>
        <v>Chemise 3 rabats à élastique</v>
      </c>
      <c r="E71" s="9" t="str">
        <f aca="false">INDEX(Articles!$B$2:$B$148,MATCH(C71,Articles!$A$2:$A$148,0))</f>
        <v>Papex</v>
      </c>
      <c r="F71" s="31" t="n">
        <v>1</v>
      </c>
      <c r="G71" s="13" t="n">
        <f aca="false">IF(INDEX(Articles!$G$2:$G$148,MATCH(C71,Articles!$A$2:$A$148,0))="","",INDEX(Articles!$G$2:$G$148,MATCH(C71,Articles!$A$2:$A$148,0)))</f>
        <v>500</v>
      </c>
      <c r="H71" s="13" t="n">
        <f aca="false">IF(G71="",0,F71*G71)</f>
        <v>500</v>
      </c>
      <c r="I71" s="13" t="str">
        <f aca="false">IF(INDEX(Articles!$E$2:$E$148,MATCH(C71,Articles!$A$2:$A$148,0))="","",INDEX(Articles!$E$2:$E$148,MATCH(C71,Articles!$A$2:$A$148,0)))</f>
        <v/>
      </c>
      <c r="J71" s="13" t="str">
        <f aca="false">IF(I71="","",F71*I71)</f>
        <v/>
      </c>
      <c r="K71" s="9" t="str">
        <f aca="false">INDEX(Articles!$H$2:$H$148,MATCH(C71,Articles!$A$2:$A$148,0))</f>
        <v>Estimé</v>
      </c>
      <c r="L71" s="9" t="str">
        <f aca="false">INDEX(Articles!$F$2:$F$148,MATCH(C71,Articles!$A$2:$A$148,0))</f>
        <v>Inconnu</v>
      </c>
      <c r="M71" s="17" t="s">
        <v>770</v>
      </c>
      <c r="N71" s="9" t="s">
        <v>167</v>
      </c>
    </row>
    <row r="72" customFormat="false" ht="26.85" hidden="false" customHeight="false" outlineLevel="0" collapsed="false">
      <c r="A72" s="9" t="s">
        <v>676</v>
      </c>
      <c r="B72" s="9" t="s">
        <v>812</v>
      </c>
      <c r="C72" s="31" t="s">
        <v>242</v>
      </c>
      <c r="D72" s="9" t="str">
        <f aca="false">INDEX(Articles!$C$2:$C$148,MATCH(C72,Articles!$A$2:$A$148,0))</f>
        <v>Calculatrice scientifique Parpn YH-2000</v>
      </c>
      <c r="E72" s="9" t="str">
        <f aca="false">INDEX(Articles!$B$2:$B$148,MATCH(C72,Articles!$A$2:$A$148,0))</f>
        <v>LPD</v>
      </c>
      <c r="F72" s="31" t="n">
        <v>1</v>
      </c>
      <c r="G72" s="13" t="n">
        <f aca="false">IF(INDEX(Articles!$G$2:$G$148,MATCH(C72,Articles!$A$2:$A$148,0))="","",INDEX(Articles!$G$2:$G$148,MATCH(C72,Articles!$A$2:$A$148,0)))</f>
        <v>1400</v>
      </c>
      <c r="H72" s="13" t="n">
        <f aca="false">IF(G72="",0,F72*G72)</f>
        <v>1400</v>
      </c>
      <c r="I72" s="13" t="n">
        <f aca="false">IF(INDEX(Articles!$E$2:$E$148,MATCH(C72,Articles!$A$2:$A$148,0))="","",INDEX(Articles!$E$2:$E$148,MATCH(C72,Articles!$A$2:$A$148,0)))</f>
        <v>1100</v>
      </c>
      <c r="J72" s="13" t="n">
        <f aca="false">IF(I72="","",F72*I72)</f>
        <v>1100</v>
      </c>
      <c r="K72" s="9" t="str">
        <f aca="false">INDEX(Articles!$H$2:$H$148,MATCH(C72,Articles!$A$2:$A$148,0))</f>
        <v>Fixé</v>
      </c>
      <c r="L72" s="9" t="str">
        <f aca="false">INDEX(Articles!$F$2:$F$148,MATCH(C72,Articles!$A$2:$A$148,0))</f>
        <v>Confirmé</v>
      </c>
      <c r="M72" s="17" t="s">
        <v>816</v>
      </c>
      <c r="N72" s="9" t="s">
        <v>167</v>
      </c>
    </row>
    <row r="73" customFormat="false" ht="15" hidden="false" customHeight="false" outlineLevel="0" collapsed="false">
      <c r="A73" s="9" t="s">
        <v>768</v>
      </c>
      <c r="B73" s="9" t="s">
        <v>861</v>
      </c>
      <c r="C73" s="31" t="s">
        <v>246</v>
      </c>
      <c r="D73" s="9" t="str">
        <f aca="false">INDEX(Articles!$C$2:$C$148,MATCH(C73,Articles!$A$2:$A$148,0))</f>
        <v>Protège-documents porte-vues</v>
      </c>
      <c r="E73" s="9" t="str">
        <f aca="false">INDEX(Articles!$B$2:$B$148,MATCH(C73,Articles!$A$2:$A$148,0))</f>
        <v>LPD</v>
      </c>
      <c r="F73" s="31" t="n">
        <v>1</v>
      </c>
      <c r="G73" s="13" t="n">
        <f aca="false">IF(INDEX(Articles!$G$2:$G$148,MATCH(C73,Articles!$A$2:$A$148,0))="","",INDEX(Articles!$G$2:$G$148,MATCH(C73,Articles!$A$2:$A$148,0)))</f>
        <v>1150</v>
      </c>
      <c r="H73" s="13" t="n">
        <f aca="false">IF(G73="",0,F73*G73)</f>
        <v>1150</v>
      </c>
      <c r="I73" s="13" t="n">
        <f aca="false">IF(INDEX(Articles!$E$2:$E$148,MATCH(C73,Articles!$A$2:$A$148,0))="","",INDEX(Articles!$E$2:$E$148,MATCH(C73,Articles!$A$2:$A$148,0)))</f>
        <v>850</v>
      </c>
      <c r="J73" s="13" t="n">
        <f aca="false">IF(I73="","",F73*I73)</f>
        <v>850</v>
      </c>
      <c r="K73" s="9" t="str">
        <f aca="false">INDEX(Articles!$H$2:$H$148,MATCH(C73,Articles!$A$2:$A$148,0))</f>
        <v>Fixé</v>
      </c>
      <c r="L73" s="9" t="str">
        <f aca="false">INDEX(Articles!$F$2:$F$148,MATCH(C73,Articles!$A$2:$A$148,0))</f>
        <v>Estimé</v>
      </c>
      <c r="M73" s="17"/>
      <c r="N73" s="9" t="s">
        <v>167</v>
      </c>
    </row>
    <row r="74" customFormat="false" ht="15" hidden="false" customHeight="false" outlineLevel="0" collapsed="false">
      <c r="A74" s="9" t="s">
        <v>758</v>
      </c>
      <c r="B74" s="9" t="s">
        <v>759</v>
      </c>
      <c r="C74" s="31" t="s">
        <v>376</v>
      </c>
      <c r="D74" s="9" t="str">
        <f aca="false">INDEX(Articles!$C$2:$C$148,MATCH(C74,Articles!$A$2:$A$148,0))</f>
        <v>Paquet de copies doubles grand format</v>
      </c>
      <c r="E74" s="9" t="str">
        <f aca="false">INDEX(Articles!$B$2:$B$148,MATCH(C74,Articles!$A$2:$A$148,0))</f>
        <v>À préciser</v>
      </c>
      <c r="F74" s="31" t="n">
        <v>1</v>
      </c>
      <c r="G74" s="45" t="n">
        <f aca="false">IF(INDEX(Articles!$G$2:$G$148,MATCH(C74,Articles!$A$2:$A$148,0))="","",INDEX(Articles!$G$2:$G$148,MATCH(C74,Articles!$A$2:$A$148,0)))</f>
        <v>1800</v>
      </c>
      <c r="H74" s="13" t="n">
        <f aca="false">IF(G74="",0,F74*G74)</f>
        <v>1800</v>
      </c>
      <c r="I74" s="13" t="n">
        <f aca="false">IF(INDEX(Articles!$E$2:$E$148,MATCH(C74,Articles!$A$2:$A$148,0))="","",INDEX(Articles!$E$2:$E$148,MATCH(C74,Articles!$A$2:$A$148,0)))</f>
        <v>1300</v>
      </c>
      <c r="J74" s="13" t="n">
        <f aca="false">IF(I74="","",F74*I74)</f>
        <v>1300</v>
      </c>
      <c r="K74" s="9" t="str">
        <f aca="false">INDEX(Articles!$H$2:$H$148,MATCH(C74,Articles!$A$2:$A$148,0))</f>
        <v>Fixé</v>
      </c>
      <c r="L74" s="9" t="str">
        <f aca="false">INDEX(Articles!$F$2:$F$148,MATCH(C74,Articles!$A$2:$A$148,0))</f>
        <v>Confirmé</v>
      </c>
      <c r="M74" s="17"/>
      <c r="N74" s="9" t="s">
        <v>167</v>
      </c>
    </row>
    <row r="75" customFormat="false" ht="15" hidden="false" customHeight="false" outlineLevel="0" collapsed="false">
      <c r="A75" s="9" t="s">
        <v>771</v>
      </c>
      <c r="B75" s="9" t="s">
        <v>772</v>
      </c>
      <c r="C75" s="31" t="s">
        <v>160</v>
      </c>
      <c r="D75" s="9" t="str">
        <f aca="false">INDEX(Articles!$C$2:$C$148,MATCH(C75,Articles!$A$2:$A$148,0))</f>
        <v>Protège-cahier couleur petit format (à l'unité)</v>
      </c>
      <c r="E75" s="9" t="str">
        <f aca="false">INDEX(Articles!$B$2:$B$148,MATCH(C75,Articles!$A$2:$A$148,0))</f>
        <v>LPD</v>
      </c>
      <c r="F75" s="31" t="n">
        <v>4</v>
      </c>
      <c r="G75" s="13" t="n">
        <f aca="false">IF(INDEX(Articles!$G$2:$G$148,MATCH(C75,Articles!$A$2:$A$148,0))="","",INDEX(Articles!$G$2:$G$148,MATCH(C75,Articles!$A$2:$A$148,0)))</f>
        <v>150</v>
      </c>
      <c r="H75" s="13" t="n">
        <f aca="false">IF(G75="",0,F75*G75)</f>
        <v>600</v>
      </c>
      <c r="I75" s="13" t="str">
        <f aca="false">IF(INDEX(Articles!$E$2:$E$148,MATCH(C75,Articles!$A$2:$A$148,0))="","",INDEX(Articles!$E$2:$E$148,MATCH(C75,Articles!$A$2:$A$148,0)))</f>
        <v/>
      </c>
      <c r="J75" s="13" t="str">
        <f aca="false">IF(I75="","",F75*I75)</f>
        <v/>
      </c>
      <c r="K75" s="9" t="str">
        <f aca="false">INDEX(Articles!$H$2:$H$148,MATCH(C75,Articles!$A$2:$A$148,0))</f>
        <v>Fixé</v>
      </c>
      <c r="L75" s="9" t="str">
        <f aca="false">INDEX(Articles!$F$2:$F$148,MATCH(C75,Articles!$A$2:$A$148,0))</f>
        <v>Inconnu</v>
      </c>
      <c r="M75" s="17"/>
      <c r="N75" s="9" t="s">
        <v>167</v>
      </c>
    </row>
    <row r="76" customFormat="false" ht="15" hidden="false" customHeight="false" outlineLevel="0" collapsed="false">
      <c r="A76" s="9" t="s">
        <v>771</v>
      </c>
      <c r="B76" s="9" t="s">
        <v>773</v>
      </c>
      <c r="C76" s="31" t="s">
        <v>419</v>
      </c>
      <c r="D76" s="9" t="str">
        <f aca="false">INDEX(Articles!$C$2:$C$148,MATCH(C76,Articles!$A$2:$A$148,0))</f>
        <v>Protège-cahier grand format (à l'unité)</v>
      </c>
      <c r="E76" s="9" t="str">
        <f aca="false">INDEX(Articles!$B$2:$B$148,MATCH(C76,Articles!$A$2:$A$148,0))</f>
        <v>À préciser</v>
      </c>
      <c r="F76" s="31" t="n">
        <v>8</v>
      </c>
      <c r="G76" s="13" t="str">
        <f aca="false">IF(INDEX(Articles!$G$2:$G$148,MATCH(C76,Articles!$A$2:$A$148,0))="","",INDEX(Articles!$G$2:$G$148,MATCH(C76,Articles!$A$2:$A$148,0)))</f>
        <v/>
      </c>
      <c r="H76" s="13" t="n">
        <f aca="false">IF(G76="",0,F76*G76)</f>
        <v>0</v>
      </c>
      <c r="I76" s="13" t="str">
        <f aca="false">IF(INDEX(Articles!$E$2:$E$148,MATCH(C76,Articles!$A$2:$A$148,0))="","",INDEX(Articles!$E$2:$E$148,MATCH(C76,Articles!$A$2:$A$148,0)))</f>
        <v/>
      </c>
      <c r="J76" s="13" t="str">
        <f aca="false">IF(I76="","",F76*I76)</f>
        <v/>
      </c>
      <c r="K76" s="9" t="str">
        <f aca="false">INDEX(Articles!$H$2:$H$148,MATCH(C76,Articles!$A$2:$A$148,0))</f>
        <v>À fournir</v>
      </c>
      <c r="L76" s="9" t="str">
        <f aca="false">INDEX(Articles!$F$2:$F$148,MATCH(C76,Articles!$A$2:$A$148,0))</f>
        <v>Inconnu</v>
      </c>
      <c r="M76" s="17"/>
      <c r="N76" s="9" t="s">
        <v>167</v>
      </c>
    </row>
    <row r="77" customFormat="false" ht="15" hidden="false" customHeight="false" outlineLevel="0" collapsed="false">
      <c r="A77" s="9" t="s">
        <v>760</v>
      </c>
      <c r="B77" s="9" t="s">
        <v>883</v>
      </c>
      <c r="C77" s="31" t="s">
        <v>504</v>
      </c>
      <c r="D77" s="9" t="str">
        <f aca="false">INDEX(Articles!$C$2:$C$148,MATCH(C77,Articles!$A$2:$A$148,0))</f>
        <v>Une vie de boy (Ferdinand Oyono)</v>
      </c>
      <c r="E77" s="9" t="str">
        <f aca="false">INDEX(Articles!$B$2:$B$148,MATCH(C77,Articles!$A$2:$A$148,0))</f>
        <v>LPD</v>
      </c>
      <c r="F77" s="31" t="n">
        <v>1</v>
      </c>
      <c r="G77" s="13" t="n">
        <f aca="false">IF(INDEX(Articles!$G$2:$G$148,MATCH(C77,Articles!$A$2:$A$148,0))="","",INDEX(Articles!$G$2:$G$148,MATCH(C77,Articles!$A$2:$A$148,0)))</f>
        <v>2800</v>
      </c>
      <c r="H77" s="13" t="n">
        <f aca="false">IF(G77="",0,F77*G77)</f>
        <v>2800</v>
      </c>
      <c r="I77" s="13" t="n">
        <f aca="false">IF(INDEX(Articles!$E$2:$E$148,MATCH(C77,Articles!$A$2:$A$148,0))="","",INDEX(Articles!$E$2:$E$148,MATCH(C77,Articles!$A$2:$A$148,0)))</f>
        <v>1800</v>
      </c>
      <c r="J77" s="13" t="n">
        <f aca="false">IF(I77="","",F77*I77)</f>
        <v>1800</v>
      </c>
      <c r="K77" s="9" t="str">
        <f aca="false">INDEX(Articles!$H$2:$H$148,MATCH(C77,Articles!$A$2:$A$148,0))</f>
        <v>Fixé</v>
      </c>
      <c r="L77" s="9" t="str">
        <f aca="false">INDEX(Articles!$F$2:$F$148,MATCH(C77,Articles!$A$2:$A$148,0))</f>
        <v>Estimé</v>
      </c>
      <c r="M77" s="17"/>
      <c r="N77" s="9" t="s">
        <v>167</v>
      </c>
    </row>
    <row r="78" customFormat="false" ht="15" hidden="false" customHeight="false" outlineLevel="0" collapsed="false">
      <c r="A78" s="9" t="s">
        <v>760</v>
      </c>
      <c r="B78" s="9" t="s">
        <v>884</v>
      </c>
      <c r="C78" s="31" t="s">
        <v>506</v>
      </c>
      <c r="D78" s="9" t="str">
        <f aca="false">INDEX(Articles!$C$2:$C$148,MATCH(C78,Articles!$A$2:$A$148,0))</f>
        <v>Le Père Goriot (Balzac)</v>
      </c>
      <c r="E78" s="9" t="str">
        <f aca="false">INDEX(Articles!$B$2:$B$148,MATCH(C78,Articles!$A$2:$A$148,0))</f>
        <v>LPD</v>
      </c>
      <c r="F78" s="31" t="n">
        <v>1</v>
      </c>
      <c r="G78" s="13" t="n">
        <f aca="false">IF(INDEX(Articles!$G$2:$G$148,MATCH(C78,Articles!$A$2:$A$148,0))="","",INDEX(Articles!$G$2:$G$148,MATCH(C78,Articles!$A$2:$A$148,0)))</f>
        <v>2800</v>
      </c>
      <c r="H78" s="13" t="n">
        <f aca="false">IF(G78="",0,F78*G78)</f>
        <v>2800</v>
      </c>
      <c r="I78" s="13" t="n">
        <f aca="false">IF(INDEX(Articles!$E$2:$E$148,MATCH(C78,Articles!$A$2:$A$148,0))="","",INDEX(Articles!$E$2:$E$148,MATCH(C78,Articles!$A$2:$A$148,0)))</f>
        <v>1800</v>
      </c>
      <c r="J78" s="13" t="n">
        <f aca="false">IF(I78="","",F78*I78)</f>
        <v>1800</v>
      </c>
      <c r="K78" s="9" t="str">
        <f aca="false">INDEX(Articles!$H$2:$H$148,MATCH(C78,Articles!$A$2:$A$148,0))</f>
        <v>Fixé</v>
      </c>
      <c r="L78" s="9" t="str">
        <f aca="false">INDEX(Articles!$F$2:$F$148,MATCH(C78,Articles!$A$2:$A$148,0))</f>
        <v>Estimé</v>
      </c>
      <c r="M78" s="17"/>
      <c r="N78" s="9" t="s">
        <v>167</v>
      </c>
    </row>
    <row r="79" customFormat="false" ht="15" hidden="false" customHeight="false" outlineLevel="0" collapsed="false">
      <c r="A79" s="9" t="s">
        <v>760</v>
      </c>
      <c r="B79" s="9" t="s">
        <v>884</v>
      </c>
      <c r="C79" s="31" t="s">
        <v>508</v>
      </c>
      <c r="D79" s="9" t="str">
        <f aca="false">INDEX(Articles!$C$2:$C$148,MATCH(C79,Articles!$A$2:$A$148,0))</f>
        <v>Madame Bovary (Flaubert)</v>
      </c>
      <c r="E79" s="9" t="str">
        <f aca="false">INDEX(Articles!$B$2:$B$148,MATCH(C79,Articles!$A$2:$A$148,0))</f>
        <v>LPD</v>
      </c>
      <c r="F79" s="31" t="n">
        <v>1</v>
      </c>
      <c r="G79" s="13" t="n">
        <f aca="false">IF(INDEX(Articles!$G$2:$G$148,MATCH(C79,Articles!$A$2:$A$148,0))="","",INDEX(Articles!$G$2:$G$148,MATCH(C79,Articles!$A$2:$A$148,0)))</f>
        <v>2800</v>
      </c>
      <c r="H79" s="13" t="n">
        <f aca="false">IF(G79="",0,F79*G79)</f>
        <v>2800</v>
      </c>
      <c r="I79" s="13" t="n">
        <f aca="false">IF(INDEX(Articles!$E$2:$E$148,MATCH(C79,Articles!$A$2:$A$148,0))="","",INDEX(Articles!$E$2:$E$148,MATCH(C79,Articles!$A$2:$A$148,0)))</f>
        <v>1800</v>
      </c>
      <c r="J79" s="13" t="n">
        <f aca="false">IF(I79="","",F79*I79)</f>
        <v>1800</v>
      </c>
      <c r="K79" s="9" t="str">
        <f aca="false">INDEX(Articles!$H$2:$H$148,MATCH(C79,Articles!$A$2:$A$148,0))</f>
        <v>Fixé</v>
      </c>
      <c r="L79" s="9" t="str">
        <f aca="false">INDEX(Articles!$F$2:$F$148,MATCH(C79,Articles!$A$2:$A$148,0))</f>
        <v>Estimé</v>
      </c>
      <c r="M79" s="17"/>
      <c r="N79" s="9" t="s">
        <v>167</v>
      </c>
    </row>
    <row r="80" customFormat="false" ht="15" hidden="false" customHeight="false" outlineLevel="0" collapsed="false">
      <c r="D80" s="32" t="s">
        <v>683</v>
      </c>
      <c r="E80" s="32"/>
      <c r="F80" s="32"/>
      <c r="G80" s="32"/>
      <c r="H80" s="33" t="n">
        <f aca="false">COUNTIF(G49:G79,"")</f>
        <v>1</v>
      </c>
    </row>
    <row r="81" customFormat="false" ht="15" hidden="false" customHeight="false" outlineLevel="0" collapsed="false">
      <c r="D81" s="32" t="s">
        <v>684</v>
      </c>
      <c r="E81" s="32"/>
      <c r="F81" s="32"/>
      <c r="G81" s="32"/>
      <c r="H81" s="33" t="n">
        <f aca="false">SUM(H49:H79)</f>
        <v>39825</v>
      </c>
    </row>
    <row r="82" customFormat="false" ht="15" hidden="false" customHeight="false" outlineLevel="0" collapsed="false">
      <c r="D82" s="32" t="s">
        <v>28</v>
      </c>
      <c r="E82" s="32"/>
      <c r="F82" s="32"/>
      <c r="G82" s="32"/>
      <c r="H82" s="33" t="n">
        <f aca="false">SUM(J49:J79)</f>
        <v>30060</v>
      </c>
    </row>
    <row r="83" customFormat="false" ht="15" hidden="false" customHeight="false" outlineLevel="0" collapsed="false">
      <c r="D83" s="32" t="s">
        <v>685</v>
      </c>
      <c r="E83" s="32"/>
      <c r="F83" s="32"/>
      <c r="G83" s="32"/>
      <c r="H83" s="33" t="n">
        <f aca="false">COUNTIF(I49:I79,"")</f>
        <v>5</v>
      </c>
    </row>
    <row r="84" customFormat="false" ht="15" hidden="false" customHeight="false" outlineLevel="0" collapsed="false">
      <c r="D84" s="32" t="s">
        <v>686</v>
      </c>
      <c r="E84" s="32"/>
      <c r="F84" s="32"/>
      <c r="G84" s="32"/>
      <c r="H84" s="33" t="n">
        <f aca="false">SUMPRODUCT((I49:I79&lt;&gt;"")*H49:H79)-H82</f>
        <v>8190</v>
      </c>
    </row>
    <row r="85" customFormat="false" ht="15" hidden="false" customHeight="false" outlineLevel="0" collapsed="false">
      <c r="D85" s="32" t="s">
        <v>687</v>
      </c>
      <c r="E85" s="32"/>
      <c r="F85" s="32"/>
      <c r="G85" s="32"/>
      <c r="H85" s="33" t="n">
        <f aca="false">SUMIF(A49:A79,"Cahiers",F49:F79)</f>
        <v>12</v>
      </c>
    </row>
    <row r="86" customFormat="false" ht="15" hidden="false" customHeight="false" outlineLevel="0" collapsed="false">
      <c r="D86" s="32" t="s">
        <v>688</v>
      </c>
      <c r="E86" s="32"/>
      <c r="F86" s="32"/>
      <c r="G86" s="32"/>
      <c r="H86" s="34" t="n">
        <f aca="false">IF(H81=0,0,SUMIF(K49:K79,"&lt;&gt;Fixé",H49:H79)/H81)</f>
        <v>0.200878844946642</v>
      </c>
    </row>
    <row r="87" customFormat="false" ht="15" hidden="false" customHeight="false" outlineLevel="0" collapsed="false">
      <c r="D87" s="32" t="s">
        <v>689</v>
      </c>
      <c r="E87" s="32"/>
      <c r="F87" s="32"/>
      <c r="G87" s="32"/>
      <c r="H87" s="33" t="str">
        <f aca="false">IF(H80&gt;0,"Total incomplet : "&amp;H80&amp;" prix de vente à fournir",IF(H83&gt;0,"Coût incomplet : "&amp;H83&amp;" ligne(s) sans prix d'achat","Complet"))</f>
        <v>Total incomplet : 1 prix de vente à fournir</v>
      </c>
    </row>
    <row r="88" customFormat="false" ht="15" hidden="false" customHeight="false" outlineLevel="0" collapsed="false">
      <c r="D88" s="21" t="s">
        <v>696</v>
      </c>
      <c r="E88" s="21" t="str">
        <f aca="false">INDEX(Articles!$C$2:$C$148,MATCH("S020",Articles!$A$2:$A$148,0))</f>
        <v>Sac à dos bleu marine</v>
      </c>
      <c r="H88" s="41" t="n">
        <f aca="false">INDEX(Articles!$G$2:$G$148,MATCH("S020",Articles!$A$2:$A$148,0))</f>
        <v>7000</v>
      </c>
    </row>
    <row r="89" customFormat="false" ht="15" hidden="false" customHeight="false" outlineLevel="0" collapsed="false">
      <c r="D89" s="42" t="s">
        <v>697</v>
      </c>
      <c r="E89" s="43" t="s">
        <v>886</v>
      </c>
    </row>
    <row r="90" customFormat="false" ht="15" hidden="false" customHeight="false" outlineLevel="0" collapsed="false">
      <c r="E90" s="43" t="s">
        <v>887</v>
      </c>
    </row>
    <row r="93" customFormat="false" ht="15" hidden="false" customHeight="false" outlineLevel="0" collapsed="false">
      <c r="A93" s="28" t="s">
        <v>888</v>
      </c>
      <c r="B93" s="29"/>
      <c r="C93" s="29"/>
      <c r="D93" s="29"/>
      <c r="E93" s="29"/>
      <c r="F93" s="29"/>
      <c r="G93" s="29"/>
      <c r="H93" s="29"/>
      <c r="I93" s="29"/>
      <c r="J93" s="29"/>
      <c r="K93" s="29"/>
      <c r="L93" s="29"/>
      <c r="M93" s="29"/>
      <c r="N93" s="29"/>
    </row>
    <row r="94" customFormat="false" ht="39.55" hidden="false" customHeight="false" outlineLevel="0" collapsed="false">
      <c r="A94" s="30" t="s">
        <v>663</v>
      </c>
      <c r="B94" s="30" t="s">
        <v>664</v>
      </c>
      <c r="C94" s="30" t="s">
        <v>348</v>
      </c>
      <c r="D94" s="30" t="s">
        <v>350</v>
      </c>
      <c r="E94" s="30" t="s">
        <v>349</v>
      </c>
      <c r="F94" s="30" t="s">
        <v>665</v>
      </c>
      <c r="G94" s="30" t="s">
        <v>666</v>
      </c>
      <c r="H94" s="30" t="s">
        <v>667</v>
      </c>
      <c r="I94" s="30" t="s">
        <v>668</v>
      </c>
      <c r="J94" s="30" t="s">
        <v>669</v>
      </c>
      <c r="K94" s="30" t="s">
        <v>355</v>
      </c>
      <c r="L94" s="30" t="s">
        <v>353</v>
      </c>
      <c r="M94" s="30" t="s">
        <v>356</v>
      </c>
      <c r="N94" s="30" t="s">
        <v>670</v>
      </c>
    </row>
    <row r="95" customFormat="false" ht="15" hidden="false" customHeight="false" outlineLevel="0" collapsed="false">
      <c r="A95" s="9" t="s">
        <v>671</v>
      </c>
      <c r="B95" s="9" t="s">
        <v>745</v>
      </c>
      <c r="C95" s="31" t="s">
        <v>213</v>
      </c>
      <c r="D95" s="9" t="str">
        <f aca="false">INDEX(Articles!$C$2:$C$148,MATCH(C95,Articles!$A$2:$A$148,0))</f>
        <v>Cahier Calligraphe 192 pages 24x32 (grand format)</v>
      </c>
      <c r="E95" s="9" t="str">
        <f aca="false">INDEX(Articles!$B$2:$B$148,MATCH(C95,Articles!$A$2:$A$148,0))</f>
        <v>Papex</v>
      </c>
      <c r="F95" s="31" t="n">
        <v>1</v>
      </c>
      <c r="G95" s="13" t="n">
        <f aca="false">IF(INDEX(Articles!$G$2:$G$148,MATCH(C95,Articles!$A$2:$A$148,0))="","",INDEX(Articles!$G$2:$G$148,MATCH(C95,Articles!$A$2:$A$148,0)))</f>
        <v>1650</v>
      </c>
      <c r="H95" s="13" t="n">
        <f aca="false">IF(G95="",0,F95*G95)</f>
        <v>1650</v>
      </c>
      <c r="I95" s="13" t="n">
        <f aca="false">IF(INDEX(Articles!$E$2:$E$148,MATCH(C95,Articles!$A$2:$A$148,0))="","",INDEX(Articles!$E$2:$E$148,MATCH(C95,Articles!$A$2:$A$148,0)))</f>
        <v>1500</v>
      </c>
      <c r="J95" s="13" t="n">
        <f aca="false">IF(I95="","",F95*I95)</f>
        <v>1500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850</v>
      </c>
      <c r="C96" s="31" t="s">
        <v>208</v>
      </c>
      <c r="D96" s="9" t="str">
        <f aca="false">INDEX(Articles!$C$2:$C$148,MATCH(C96,Articles!$A$2:$A$148,0))</f>
        <v>Cahier Calligraphe 96 pages 24x32 (grand format)</v>
      </c>
      <c r="E96" s="9" t="str">
        <f aca="false">INDEX(Articles!$B$2:$B$148,MATCH(C96,Articles!$A$2:$A$148,0))</f>
        <v>Papex</v>
      </c>
      <c r="F96" s="31" t="n">
        <v>1</v>
      </c>
      <c r="G96" s="13" t="n">
        <f aca="false">IF(INDEX(Articles!$G$2:$G$148,MATCH(C96,Articles!$A$2:$A$148,0))="","",INDEX(Articles!$G$2:$G$148,MATCH(C96,Articles!$A$2:$A$148,0)))</f>
        <v>1350</v>
      </c>
      <c r="H96" s="13" t="n">
        <f aca="false">IF(G96="",0,F96*G96)</f>
        <v>1350</v>
      </c>
      <c r="I96" s="13" t="n">
        <f aca="false">IF(INDEX(Articles!$E$2:$E$148,MATCH(C96,Articles!$A$2:$A$148,0))="","",INDEX(Articles!$E$2:$E$148,MATCH(C96,Articles!$A$2:$A$148,0)))</f>
        <v>1000</v>
      </c>
      <c r="J96" s="13" t="n">
        <f aca="false">IF(I96="","",F96*I96)</f>
        <v>1000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744</v>
      </c>
      <c r="C97" s="31" t="s">
        <v>213</v>
      </c>
      <c r="D97" s="9" t="str">
        <f aca="false">INDEX(Articles!$C$2:$C$148,MATCH(C97,Articles!$A$2:$A$148,0))</f>
        <v>Cahier Calligraphe 192 pages 24x32 (grand format)</v>
      </c>
      <c r="E97" s="9" t="str">
        <f aca="false">INDEX(Articles!$B$2:$B$148,MATCH(C97,Articles!$A$2:$A$148,0))</f>
        <v>Papex</v>
      </c>
      <c r="F97" s="31" t="n">
        <v>1</v>
      </c>
      <c r="G97" s="13" t="n">
        <f aca="false">IF(INDEX(Articles!$G$2:$G$148,MATCH(C97,Articles!$A$2:$A$148,0))="","",INDEX(Articles!$G$2:$G$148,MATCH(C97,Articles!$A$2:$A$148,0)))</f>
        <v>1650</v>
      </c>
      <c r="H97" s="13" t="n">
        <f aca="false">IF(G97="",0,F97*G97)</f>
        <v>1650</v>
      </c>
      <c r="I97" s="13" t="n">
        <f aca="false">IF(INDEX(Articles!$E$2:$E$148,MATCH(C97,Articles!$A$2:$A$148,0))="","",INDEX(Articles!$E$2:$E$148,MATCH(C97,Articles!$A$2:$A$148,0)))</f>
        <v>1500</v>
      </c>
      <c r="J97" s="13" t="n">
        <f aca="false">IF(I97="","",F97*I97)</f>
        <v>1500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671</v>
      </c>
      <c r="B98" s="9" t="s">
        <v>854</v>
      </c>
      <c r="C98" s="31" t="s">
        <v>366</v>
      </c>
      <c r="D98" s="9" t="str">
        <f aca="false">INDEX(Articles!$C$2:$C$148,MATCH(C98,Articles!$A$2:$A$148,0))</f>
        <v>Cahier Calligraphe 140 pages 17x22 90 g seyès</v>
      </c>
      <c r="E98" s="9" t="str">
        <f aca="false">INDEX(Articles!$B$2:$B$148,MATCH(C98,Articles!$A$2:$A$148,0))</f>
        <v>Papex</v>
      </c>
      <c r="F98" s="31" t="n">
        <v>1</v>
      </c>
      <c r="G98" s="13" t="n">
        <f aca="false">IF(INDEX(Articles!$G$2:$G$148,MATCH(C98,Articles!$A$2:$A$148,0))="","",INDEX(Articles!$G$2:$G$148,MATCH(C98,Articles!$A$2:$A$148,0)))</f>
        <v>750</v>
      </c>
      <c r="H98" s="13" t="n">
        <f aca="false">IF(G98="",0,F98*G98)</f>
        <v>750</v>
      </c>
      <c r="I98" s="13" t="n">
        <f aca="false">IF(INDEX(Articles!$E$2:$E$148,MATCH(C98,Articles!$A$2:$A$148,0))="","",INDEX(Articles!$E$2:$E$148,MATCH(C98,Articles!$A$2:$A$148,0)))</f>
        <v>650</v>
      </c>
      <c r="J98" s="13" t="n">
        <f aca="false">IF(I98="","",F98*I98)</f>
        <v>650</v>
      </c>
      <c r="K98" s="9" t="str">
        <f aca="false">INDEX(Articles!$H$2:$H$148,MATCH(C98,Articles!$A$2:$A$148,0))</f>
        <v>Fixé</v>
      </c>
      <c r="L98" s="9" t="str">
        <f aca="false">INDEX(Articles!$F$2:$F$148,MATCH(C98,Articles!$A$2:$A$148,0))</f>
        <v>Estimé</v>
      </c>
      <c r="M98" s="17" t="s">
        <v>763</v>
      </c>
      <c r="N98" s="9" t="s">
        <v>167</v>
      </c>
    </row>
    <row r="99" customFormat="false" ht="15" hidden="false" customHeight="false" outlineLevel="0" collapsed="false">
      <c r="A99" s="9" t="s">
        <v>671</v>
      </c>
      <c r="B99" s="9" t="s">
        <v>737</v>
      </c>
      <c r="C99" s="31" t="s">
        <v>213</v>
      </c>
      <c r="D99" s="9" t="str">
        <f aca="false">INDEX(Articles!$C$2:$C$148,MATCH(C99,Articles!$A$2:$A$148,0))</f>
        <v>Cahier Calligraphe 192 pages 24x32 (grand format)</v>
      </c>
      <c r="E99" s="9" t="str">
        <f aca="false">INDEX(Articles!$B$2:$B$148,MATCH(C99,Articles!$A$2:$A$148,0))</f>
        <v>Papex</v>
      </c>
      <c r="F99" s="31" t="n">
        <v>1</v>
      </c>
      <c r="G99" s="13" t="n">
        <f aca="false">IF(INDEX(Articles!$G$2:$G$148,MATCH(C99,Articles!$A$2:$A$148,0))="","",INDEX(Articles!$G$2:$G$148,MATCH(C99,Articles!$A$2:$A$148,0)))</f>
        <v>1650</v>
      </c>
      <c r="H99" s="13" t="n">
        <f aca="false">IF(G99="",0,F99*G99)</f>
        <v>1650</v>
      </c>
      <c r="I99" s="13" t="n">
        <f aca="false">IF(INDEX(Articles!$E$2:$E$148,MATCH(C99,Articles!$A$2:$A$148,0))="","",INDEX(Articles!$E$2:$E$148,MATCH(C99,Articles!$A$2:$A$148,0)))</f>
        <v>1500</v>
      </c>
      <c r="J99" s="13" t="n">
        <f aca="false">IF(I99="","",F99*I99)</f>
        <v>1500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739</v>
      </c>
      <c r="C100" s="31" t="s">
        <v>192</v>
      </c>
      <c r="D100" s="9" t="str">
        <f aca="false">INDEX(Articles!$C$2:$C$148,MATCH(C100,Articles!$A$2:$A$148,0))</f>
        <v>Cahier Calligraphe 192 pages 17x22 90 g seyès</v>
      </c>
      <c r="E100" s="9" t="str">
        <f aca="false">INDEX(Articles!$B$2:$B$148,MATCH(C100,Articles!$A$2:$A$148,0))</f>
        <v>Papex</v>
      </c>
      <c r="F100" s="31" t="n">
        <v>1</v>
      </c>
      <c r="G100" s="13" t="n">
        <f aca="false">IF(INDEX(Articles!$G$2:$G$148,MATCH(C100,Articles!$A$2:$A$148,0))="","",INDEX(Articles!$G$2:$G$148,MATCH(C100,Articles!$A$2:$A$148,0)))</f>
        <v>900</v>
      </c>
      <c r="H100" s="13" t="n">
        <f aca="false">IF(G100="",0,F100*G100)</f>
        <v>900</v>
      </c>
      <c r="I100" s="13" t="n">
        <f aca="false">IF(INDEX(Articles!$E$2:$E$148,MATCH(C100,Articles!$A$2:$A$148,0))="","",INDEX(Articles!$E$2:$E$148,MATCH(C100,Articles!$A$2:$A$148,0)))</f>
        <v>800</v>
      </c>
      <c r="J100" s="13" t="n">
        <f aca="false">IF(I100="","",F100*I100)</f>
        <v>800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742</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852</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671</v>
      </c>
      <c r="B103" s="9" t="s">
        <v>855</v>
      </c>
      <c r="C103" s="31" t="s">
        <v>208</v>
      </c>
      <c r="D103" s="9" t="str">
        <f aca="false">INDEX(Articles!$C$2:$C$148,MATCH(C103,Articles!$A$2:$A$148,0))</f>
        <v>Cahier Calligraphe 96 pages 24x32 (grand format)</v>
      </c>
      <c r="E103" s="9" t="str">
        <f aca="false">INDEX(Articles!$B$2:$B$148,MATCH(C103,Articles!$A$2:$A$148,0))</f>
        <v>Papex</v>
      </c>
      <c r="F103" s="31" t="n">
        <v>1</v>
      </c>
      <c r="G103" s="13" t="n">
        <f aca="false">IF(INDEX(Articles!$G$2:$G$148,MATCH(C103,Articles!$A$2:$A$148,0))="","",INDEX(Articles!$G$2:$G$148,MATCH(C103,Articles!$A$2:$A$148,0)))</f>
        <v>1350</v>
      </c>
      <c r="H103" s="13" t="n">
        <f aca="false">IF(G103="",0,F103*G103)</f>
        <v>1350</v>
      </c>
      <c r="I103" s="13" t="n">
        <f aca="false">IF(INDEX(Articles!$E$2:$E$148,MATCH(C103,Articles!$A$2:$A$148,0))="","",INDEX(Articles!$E$2:$E$148,MATCH(C103,Articles!$A$2:$A$148,0)))</f>
        <v>1000</v>
      </c>
      <c r="J103" s="13" t="n">
        <f aca="false">IF(I103="","",F103*I103)</f>
        <v>1000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853</v>
      </c>
      <c r="C104" s="31" t="s">
        <v>213</v>
      </c>
      <c r="D104" s="9" t="str">
        <f aca="false">INDEX(Articles!$C$2:$C$148,MATCH(C104,Articles!$A$2:$A$148,0))</f>
        <v>Cahier Calligraphe 192 pages 24x32 (grand format)</v>
      </c>
      <c r="E104" s="9" t="str">
        <f aca="false">INDEX(Articles!$B$2:$B$148,MATCH(C104,Articles!$A$2:$A$148,0))</f>
        <v>Papex</v>
      </c>
      <c r="F104" s="31" t="n">
        <v>1</v>
      </c>
      <c r="G104" s="13" t="n">
        <f aca="false">IF(INDEX(Articles!$G$2:$G$148,MATCH(C104,Articles!$A$2:$A$148,0))="","",INDEX(Articles!$G$2:$G$148,MATCH(C104,Articles!$A$2:$A$148,0)))</f>
        <v>1650</v>
      </c>
      <c r="H104" s="13" t="n">
        <f aca="false">IF(G104="",0,F104*G104)</f>
        <v>1650</v>
      </c>
      <c r="I104" s="13" t="n">
        <f aca="false">IF(INDEX(Articles!$E$2:$E$148,MATCH(C104,Articles!$A$2:$A$148,0))="","",INDEX(Articles!$E$2:$E$148,MATCH(C104,Articles!$A$2:$A$148,0)))</f>
        <v>1500</v>
      </c>
      <c r="J104" s="13" t="n">
        <f aca="false">IF(I104="","",F104*I104)</f>
        <v>1500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856</v>
      </c>
      <c r="C105" s="31" t="s">
        <v>213</v>
      </c>
      <c r="D105" s="9" t="str">
        <f aca="false">INDEX(Articles!$C$2:$C$148,MATCH(C105,Articles!$A$2:$A$148,0))</f>
        <v>Cahier Calligraphe 192 pages 24x32 (grand format)</v>
      </c>
      <c r="E105" s="9" t="str">
        <f aca="false">INDEX(Articles!$B$2:$B$148,MATCH(C105,Articles!$A$2:$A$148,0))</f>
        <v>Papex</v>
      </c>
      <c r="F105" s="31" t="n">
        <v>1</v>
      </c>
      <c r="G105" s="13" t="n">
        <f aca="false">IF(INDEX(Articles!$G$2:$G$148,MATCH(C105,Articles!$A$2:$A$148,0))="","",INDEX(Articles!$G$2:$G$148,MATCH(C105,Articles!$A$2:$A$148,0)))</f>
        <v>1650</v>
      </c>
      <c r="H105" s="13" t="n">
        <f aca="false">IF(G105="",0,F105*G105)</f>
        <v>1650</v>
      </c>
      <c r="I105" s="13" t="n">
        <f aca="false">IF(INDEX(Articles!$E$2:$E$148,MATCH(C105,Articles!$A$2:$A$148,0))="","",INDEX(Articles!$E$2:$E$148,MATCH(C105,Articles!$A$2:$A$148,0)))</f>
        <v>1500</v>
      </c>
      <c r="J105" s="13" t="n">
        <f aca="false">IF(I105="","",F105*I105)</f>
        <v>1500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857</v>
      </c>
      <c r="C106" s="31" t="s">
        <v>366</v>
      </c>
      <c r="D106" s="9" t="str">
        <f aca="false">INDEX(Articles!$C$2:$C$148,MATCH(C106,Articles!$A$2:$A$148,0))</f>
        <v>Cahier Calligraphe 140 pages 17x22 90 g seyès</v>
      </c>
      <c r="E106" s="9" t="str">
        <f aca="false">INDEX(Articles!$B$2:$B$148,MATCH(C106,Articles!$A$2:$A$148,0))</f>
        <v>Papex</v>
      </c>
      <c r="F106" s="31" t="n">
        <v>1</v>
      </c>
      <c r="G106" s="13" t="n">
        <f aca="false">IF(INDEX(Articles!$G$2:$G$148,MATCH(C106,Articles!$A$2:$A$148,0))="","",INDEX(Articles!$G$2:$G$148,MATCH(C106,Articles!$A$2:$A$148,0)))</f>
        <v>750</v>
      </c>
      <c r="H106" s="13" t="n">
        <f aca="false">IF(G106="",0,F106*G106)</f>
        <v>750</v>
      </c>
      <c r="I106" s="13" t="n">
        <f aca="false">IF(INDEX(Articles!$E$2:$E$148,MATCH(C106,Articles!$A$2:$A$148,0))="","",INDEX(Articles!$E$2:$E$148,MATCH(C106,Articles!$A$2:$A$148,0)))</f>
        <v>650</v>
      </c>
      <c r="J106" s="13" t="n">
        <f aca="false">IF(I106="","",F106*I106)</f>
        <v>650</v>
      </c>
      <c r="K106" s="9" t="str">
        <f aca="false">INDEX(Articles!$H$2:$H$148,MATCH(C106,Articles!$A$2:$A$148,0))</f>
        <v>Fixé</v>
      </c>
      <c r="L106" s="9" t="str">
        <f aca="false">INDEX(Articles!$F$2:$F$148,MATCH(C106,Articles!$A$2:$A$148,0))</f>
        <v>Estimé</v>
      </c>
      <c r="M106" s="17" t="s">
        <v>763</v>
      </c>
      <c r="N106" s="9" t="s">
        <v>167</v>
      </c>
    </row>
    <row r="107" customFormat="false" ht="15" hidden="false" customHeight="false" outlineLevel="0" collapsed="false">
      <c r="A107" s="9" t="s">
        <v>678</v>
      </c>
      <c r="B107" s="9" t="s">
        <v>749</v>
      </c>
      <c r="C107" s="31" t="s">
        <v>222</v>
      </c>
      <c r="D107" s="9" t="str">
        <f aca="false">INDEX(Articles!$C$2:$C$148,MATCH(C107,Articles!$A$2:$A$148,0))</f>
        <v>Pack de 4 stylos Schneider Tops 505 M (bleu, noir, rouge, vert)</v>
      </c>
      <c r="E107" s="9" t="str">
        <f aca="false">INDEX(Articles!$B$2:$B$148,MATCH(C107,Articles!$A$2:$A$148,0))</f>
        <v>Papex</v>
      </c>
      <c r="F107" s="31" t="n">
        <v>1</v>
      </c>
      <c r="G107" s="13" t="n">
        <f aca="false">IF(INDEX(Articles!$G$2:$G$148,MATCH(C107,Articles!$A$2:$A$148,0))="","",INDEX(Articles!$G$2:$G$148,MATCH(C107,Articles!$A$2:$A$148,0)))</f>
        <v>400</v>
      </c>
      <c r="H107" s="13" t="n">
        <f aca="false">IF(G107="",0,F107*G107)</f>
        <v>400</v>
      </c>
      <c r="I107" s="13" t="str">
        <f aca="false">IF(INDEX(Articles!$E$2:$E$148,MATCH(C107,Articles!$A$2:$A$148,0))="","",INDEX(Articles!$E$2:$E$148,MATCH(C107,Articles!$A$2:$A$148,0)))</f>
        <v/>
      </c>
      <c r="J107" s="13" t="str">
        <f aca="false">IF(I107="","",F107*I107)</f>
        <v/>
      </c>
      <c r="K107" s="9" t="str">
        <f aca="false">INDEX(Articles!$H$2:$H$148,MATCH(C107,Articles!$A$2:$A$148,0))</f>
        <v>Fixé</v>
      </c>
      <c r="L107" s="9" t="str">
        <f aca="false">INDEX(Articles!$F$2:$F$148,MATCH(C107,Articles!$A$2:$A$148,0))</f>
        <v>Inconnu</v>
      </c>
      <c r="M107" s="17" t="s">
        <v>432</v>
      </c>
      <c r="N107" s="9" t="s">
        <v>167</v>
      </c>
    </row>
    <row r="108" customFormat="false" ht="15" hidden="false" customHeight="false" outlineLevel="0" collapsed="false">
      <c r="A108" s="9" t="s">
        <v>678</v>
      </c>
      <c r="B108" s="9" t="s">
        <v>750</v>
      </c>
      <c r="C108" s="31" t="s">
        <v>235</v>
      </c>
      <c r="D108" s="9" t="str">
        <f aca="false">INDEX(Articles!$C$2:$C$148,MATCH(C108,Articles!$A$2:$A$148,0))</f>
        <v>Crayon papier (vendu à l'unité)</v>
      </c>
      <c r="E108" s="9" t="str">
        <f aca="false">INDEX(Articles!$B$2:$B$148,MATCH(C108,Articles!$A$2:$A$148,0))</f>
        <v>LPD</v>
      </c>
      <c r="F108" s="31" t="n">
        <v>1</v>
      </c>
      <c r="G108" s="13" t="n">
        <f aca="false">IF(INDEX(Articles!$G$2:$G$148,MATCH(C108,Articles!$A$2:$A$148,0))="","",INDEX(Articles!$G$2:$G$148,MATCH(C108,Articles!$A$2:$A$148,0)))</f>
        <v>75</v>
      </c>
      <c r="H108" s="13" t="n">
        <f aca="false">IF(G108="",0,F108*G108)</f>
        <v>75</v>
      </c>
      <c r="I108" s="13" t="str">
        <f aca="false">IF(INDEX(Articles!$E$2:$E$148,MATCH(C108,Articles!$A$2:$A$148,0))="","",INDEX(Articles!$E$2:$E$148,MATCH(C108,Articles!$A$2:$A$148,0)))</f>
        <v/>
      </c>
      <c r="J108" s="13" t="str">
        <f aca="false">IF(I108="","",F108*I108)</f>
        <v/>
      </c>
      <c r="K108" s="9" t="str">
        <f aca="false">INDEX(Articles!$H$2:$H$148,MATCH(C108,Articles!$A$2:$A$148,0))</f>
        <v>Fixé</v>
      </c>
      <c r="L108" s="9" t="str">
        <f aca="false">INDEX(Articles!$F$2:$F$148,MATCH(C108,Articles!$A$2:$A$148,0))</f>
        <v>Inconnu</v>
      </c>
      <c r="M108" s="17"/>
      <c r="N108" s="9" t="s">
        <v>167</v>
      </c>
    </row>
    <row r="109" customFormat="false" ht="15" hidden="false" customHeight="false" outlineLevel="0" collapsed="false">
      <c r="A109" s="9" t="s">
        <v>675</v>
      </c>
      <c r="B109" s="9" t="s">
        <v>717</v>
      </c>
      <c r="C109" s="31" t="s">
        <v>180</v>
      </c>
      <c r="D109" s="9" t="str">
        <f aca="false">INDEX(Articles!$C$2:$C$148,MATCH(C109,Articles!$A$2:$A$148,0))</f>
        <v>Gomme Staedtler Mars Plastic</v>
      </c>
      <c r="E109" s="9" t="str">
        <f aca="false">INDEX(Articles!$B$2:$B$148,MATCH(C109,Articles!$A$2:$A$148,0))</f>
        <v>LPD</v>
      </c>
      <c r="F109" s="31" t="n">
        <v>1</v>
      </c>
      <c r="G109" s="13" t="n">
        <f aca="false">IF(INDEX(Articles!$G$2:$G$148,MATCH(C109,Articles!$A$2:$A$148,0))="","",INDEX(Articles!$G$2:$G$148,MATCH(C109,Articles!$A$2:$A$148,0)))</f>
        <v>250</v>
      </c>
      <c r="H109" s="13" t="n">
        <f aca="false">IF(G109="",0,F109*G109)</f>
        <v>250</v>
      </c>
      <c r="I109" s="13" t="n">
        <f aca="false">IF(INDEX(Articles!$E$2:$E$148,MATCH(C109,Articles!$A$2:$A$148,0))="","",INDEX(Articles!$E$2:$E$148,MATCH(C109,Articles!$A$2:$A$148,0)))</f>
        <v>110</v>
      </c>
      <c r="J109" s="13" t="n">
        <f aca="false">IF(I109="","",F109*I109)</f>
        <v>110</v>
      </c>
      <c r="K109" s="9" t="str">
        <f aca="false">INDEX(Articles!$H$2:$H$148,MATCH(C109,Articles!$A$2:$A$148,0))</f>
        <v>Fixé</v>
      </c>
      <c r="L109" s="9" t="str">
        <f aca="false">INDEX(Articles!$F$2:$F$148,MATCH(C109,Articles!$A$2:$A$148,0))</f>
        <v>Estimé</v>
      </c>
      <c r="M109" s="17"/>
      <c r="N109" s="9" t="s">
        <v>167</v>
      </c>
    </row>
    <row r="110" customFormat="false" ht="15" hidden="false" customHeight="false" outlineLevel="0" collapsed="false">
      <c r="A110" s="9" t="s">
        <v>675</v>
      </c>
      <c r="B110" s="9" t="s">
        <v>751</v>
      </c>
      <c r="C110" s="31" t="s">
        <v>183</v>
      </c>
      <c r="D110" s="9" t="str">
        <f aca="false">INDEX(Articles!$C$2:$C$148,MATCH(C110,Articles!$A$2:$A$148,0))</f>
        <v>Taille-crayon avec réservoir Maped</v>
      </c>
      <c r="E110" s="9" t="str">
        <f aca="false">INDEX(Articles!$B$2:$B$148,MATCH(C110,Articles!$A$2:$A$148,0))</f>
        <v>Papex</v>
      </c>
      <c r="F110" s="31" t="n">
        <v>1</v>
      </c>
      <c r="G110" s="13" t="n">
        <f aca="false">IF(INDEX(Articles!$G$2:$G$148,MATCH(C110,Articles!$A$2:$A$148,0))="","",INDEX(Articles!$G$2:$G$148,MATCH(C110,Articles!$A$2:$A$148,0)))</f>
        <v>500</v>
      </c>
      <c r="H110" s="13" t="n">
        <f aca="false">IF(G110="",0,F110*G110)</f>
        <v>500</v>
      </c>
      <c r="I110" s="13" t="n">
        <f aca="false">IF(INDEX(Articles!$E$2:$E$148,MATCH(C110,Articles!$A$2:$A$148,0))="","",INDEX(Articles!$E$2:$E$148,MATCH(C110,Articles!$A$2:$A$148,0)))</f>
        <v>350</v>
      </c>
      <c r="J110" s="13" t="n">
        <f aca="false">IF(I110="","",F110*I110)</f>
        <v>350</v>
      </c>
      <c r="K110" s="9" t="str">
        <f aca="false">INDEX(Articles!$H$2:$H$148,MATCH(C110,Articles!$A$2:$A$148,0))</f>
        <v>Estimé</v>
      </c>
      <c r="L110" s="9" t="str">
        <f aca="false">INDEX(Articles!$F$2:$F$148,MATCH(C110,Articles!$A$2:$A$148,0))</f>
        <v>Estimé</v>
      </c>
      <c r="M110" s="17" t="s">
        <v>765</v>
      </c>
      <c r="N110" s="9" t="s">
        <v>167</v>
      </c>
    </row>
    <row r="111" customFormat="false" ht="15" hidden="false" customHeight="false" outlineLevel="0" collapsed="false">
      <c r="A111" s="9" t="s">
        <v>675</v>
      </c>
      <c r="B111" s="9" t="s">
        <v>753</v>
      </c>
      <c r="C111" s="31" t="s">
        <v>248</v>
      </c>
      <c r="D111" s="9" t="str">
        <f aca="false">INDEX(Articles!$C$2:$C$148,MATCH(C111,Articles!$A$2:$A$148,0))</f>
        <v>Bâton de colle Giotto 20 g</v>
      </c>
      <c r="E111" s="9" t="str">
        <f aca="false">INDEX(Articles!$B$2:$B$148,MATCH(C111,Articles!$A$2:$A$148,0))</f>
        <v>Papex</v>
      </c>
      <c r="F111" s="31" t="n">
        <v>1</v>
      </c>
      <c r="G111" s="13" t="n">
        <f aca="false">IF(INDEX(Articles!$G$2:$G$148,MATCH(C111,Articles!$A$2:$A$148,0))="","",INDEX(Articles!$G$2:$G$148,MATCH(C111,Articles!$A$2:$A$148,0)))</f>
        <v>900</v>
      </c>
      <c r="H111" s="13" t="n">
        <f aca="false">IF(G111="",0,F111*G111)</f>
        <v>900</v>
      </c>
      <c r="I111" s="13" t="n">
        <f aca="false">IF(INDEX(Articles!$E$2:$E$148,MATCH(C111,Articles!$A$2:$A$148,0))="","",INDEX(Articles!$E$2:$E$148,MATCH(C111,Articles!$A$2:$A$148,0)))</f>
        <v>650</v>
      </c>
      <c r="J111" s="13" t="n">
        <f aca="false">IF(I111="","",F111*I111)</f>
        <v>650</v>
      </c>
      <c r="K111" s="9" t="str">
        <f aca="false">INDEX(Articles!$H$2:$H$148,MATCH(C111,Articles!$A$2:$A$148,0))</f>
        <v>Estimé</v>
      </c>
      <c r="L111" s="9" t="str">
        <f aca="false">INDEX(Articles!$F$2:$F$148,MATCH(C111,Articles!$A$2:$A$148,0))</f>
        <v>Estimé</v>
      </c>
      <c r="M111" s="17"/>
      <c r="N111" s="9" t="s">
        <v>167</v>
      </c>
    </row>
    <row r="112" customFormat="false" ht="15" hidden="false" customHeight="false" outlineLevel="0" collapsed="false">
      <c r="A112" s="9" t="s">
        <v>675</v>
      </c>
      <c r="B112" s="9" t="s">
        <v>754</v>
      </c>
      <c r="C112" s="31" t="s">
        <v>189</v>
      </c>
      <c r="D112" s="9" t="str">
        <f aca="false">INDEX(Articles!$C$2:$C$148,MATCH(C112,Articles!$A$2:$A$148,0))</f>
        <v>Ciseaux Maped 13 cm Security</v>
      </c>
      <c r="E112" s="9" t="str">
        <f aca="false">INDEX(Articles!$B$2:$B$148,MATCH(C112,Articles!$A$2:$A$148,0))</f>
        <v>Papex</v>
      </c>
      <c r="F112" s="31" t="n">
        <v>1</v>
      </c>
      <c r="G112" s="13" t="n">
        <f aca="false">IF(INDEX(Articles!$G$2:$G$148,MATCH(C112,Articles!$A$2:$A$148,0))="","",INDEX(Articles!$G$2:$G$148,MATCH(C112,Articles!$A$2:$A$148,0)))</f>
        <v>900</v>
      </c>
      <c r="H112" s="13" t="n">
        <f aca="false">IF(G112="",0,F112*G112)</f>
        <v>900</v>
      </c>
      <c r="I112" s="13" t="n">
        <f aca="false">IF(INDEX(Articles!$E$2:$E$148,MATCH(C112,Articles!$A$2:$A$148,0))="","",INDEX(Articles!$E$2:$E$148,MATCH(C112,Articles!$A$2:$A$148,0)))</f>
        <v>650</v>
      </c>
      <c r="J112" s="13" t="n">
        <f aca="false">IF(I112="","",F112*I112)</f>
        <v>650</v>
      </c>
      <c r="K112" s="9" t="str">
        <f aca="false">INDEX(Articles!$H$2:$H$148,MATCH(C112,Articles!$A$2:$A$148,0))</f>
        <v>Estimé</v>
      </c>
      <c r="L112" s="9" t="str">
        <f aca="false">INDEX(Articles!$F$2:$F$148,MATCH(C112,Articles!$A$2:$A$148,0))</f>
        <v>Estimé</v>
      </c>
      <c r="M112" s="17"/>
      <c r="N112" s="9" t="s">
        <v>167</v>
      </c>
    </row>
    <row r="113" customFormat="false" ht="15" hidden="false" customHeight="false" outlineLevel="0" collapsed="false">
      <c r="A113" s="9" t="s">
        <v>676</v>
      </c>
      <c r="B113" s="9" t="s">
        <v>755</v>
      </c>
      <c r="C113" s="31" t="s">
        <v>215</v>
      </c>
      <c r="D113" s="9" t="str">
        <f aca="false">INDEX(Articles!$C$2:$C$148,MATCH(C113,Articles!$A$2:$A$148,0))</f>
        <v>Kit géométrie Maped 30 cm (réf. 1930)</v>
      </c>
      <c r="E113" s="9" t="str">
        <f aca="false">INDEX(Articles!$B$2:$B$148,MATCH(C113,Articles!$A$2:$A$148,0))</f>
        <v>LPD</v>
      </c>
      <c r="F113" s="31" t="n">
        <v>1</v>
      </c>
      <c r="G113" s="13" t="n">
        <f aca="false">IF(INDEX(Articles!$G$2:$G$148,MATCH(C113,Articles!$A$2:$A$148,0))="","",INDEX(Articles!$G$2:$G$148,MATCH(C113,Articles!$A$2:$A$148,0)))</f>
        <v>1800</v>
      </c>
      <c r="H113" s="13" t="n">
        <f aca="false">IF(G113="",0,F113*G113)</f>
        <v>1800</v>
      </c>
      <c r="I113" s="13" t="n">
        <f aca="false">IF(INDEX(Articles!$E$2:$E$148,MATCH(C113,Articles!$A$2:$A$148,0))="","",INDEX(Articles!$E$2:$E$148,MATCH(C113,Articles!$A$2:$A$148,0)))</f>
        <v>1500</v>
      </c>
      <c r="J113" s="13" t="n">
        <f aca="false">IF(I113="","",F113*I113)</f>
        <v>1500</v>
      </c>
      <c r="K113" s="9" t="str">
        <f aca="false">INDEX(Articles!$H$2:$H$148,MATCH(C113,Articles!$A$2:$A$148,0))</f>
        <v>À trancher</v>
      </c>
      <c r="L113" s="9" t="str">
        <f aca="false">INDEX(Articles!$F$2:$F$148,MATCH(C113,Articles!$A$2:$A$148,0))</f>
        <v>Confirmé</v>
      </c>
      <c r="M113" s="17"/>
      <c r="N113" s="9" t="s">
        <v>167</v>
      </c>
    </row>
    <row r="114" customFormat="false" ht="15" hidden="false" customHeight="false" outlineLevel="0" collapsed="false">
      <c r="A114" s="9" t="s">
        <v>676</v>
      </c>
      <c r="B114" s="9" t="s">
        <v>756</v>
      </c>
      <c r="C114" s="31" t="s">
        <v>171</v>
      </c>
      <c r="D114" s="9" t="str">
        <f aca="false">INDEX(Articles!$C$2:$C$148,MATCH(C114,Articles!$A$2:$A$148,0))</f>
        <v>Compas Maped</v>
      </c>
      <c r="E114" s="9" t="str">
        <f aca="false">INDEX(Articles!$B$2:$B$148,MATCH(C114,Articles!$A$2:$A$148,0))</f>
        <v>Papex</v>
      </c>
      <c r="F114" s="31" t="n">
        <v>1</v>
      </c>
      <c r="G114" s="13" t="n">
        <f aca="false">IF(INDEX(Articles!$G$2:$G$148,MATCH(C114,Articles!$A$2:$A$148,0))="","",INDEX(Articles!$G$2:$G$148,MATCH(C114,Articles!$A$2:$A$148,0)))</f>
        <v>2000</v>
      </c>
      <c r="H114" s="13" t="n">
        <f aca="false">IF(G114="",0,F114*G114)</f>
        <v>2000</v>
      </c>
      <c r="I114" s="13" t="n">
        <f aca="false">IF(INDEX(Articles!$E$2:$E$148,MATCH(C114,Articles!$A$2:$A$148,0))="","",INDEX(Articles!$E$2:$E$148,MATCH(C114,Articles!$A$2:$A$148,0)))</f>
        <v>1750</v>
      </c>
      <c r="J114" s="13" t="n">
        <f aca="false">IF(I114="","",F114*I114)</f>
        <v>1750</v>
      </c>
      <c r="K114" s="9" t="str">
        <f aca="false">INDEX(Articles!$H$2:$H$148,MATCH(C114,Articles!$A$2:$A$148,0))</f>
        <v>Fixé</v>
      </c>
      <c r="L114" s="9" t="str">
        <f aca="false">INDEX(Articles!$F$2:$F$148,MATCH(C114,Articles!$A$2:$A$148,0))</f>
        <v>Confirmé</v>
      </c>
      <c r="M114" s="17"/>
      <c r="N114" s="9" t="s">
        <v>167</v>
      </c>
    </row>
    <row r="115" customFormat="false" ht="15" hidden="false" customHeight="false" outlineLevel="0" collapsed="false">
      <c r="A115" s="9" t="s">
        <v>681</v>
      </c>
      <c r="B115" s="9" t="s">
        <v>757</v>
      </c>
      <c r="C115" s="31" t="s">
        <v>198</v>
      </c>
      <c r="D115" s="9" t="str">
        <f aca="false">INDEX(Articles!$C$2:$C$148,MATCH(C115,Articles!$A$2:$A$148,0))</f>
        <v>Crayons de couleur Maped, boîte de 12</v>
      </c>
      <c r="E115" s="9" t="str">
        <f aca="false">INDEX(Articles!$B$2:$B$148,MATCH(C115,Articles!$A$2:$A$148,0))</f>
        <v>Papex</v>
      </c>
      <c r="F115" s="31" t="n">
        <v>1</v>
      </c>
      <c r="G115" s="13" t="n">
        <f aca="false">IF(INDEX(Articles!$G$2:$G$148,MATCH(C115,Articles!$A$2:$A$148,0))="","",INDEX(Articles!$G$2:$G$148,MATCH(C115,Articles!$A$2:$A$148,0)))</f>
        <v>900</v>
      </c>
      <c r="H115" s="13" t="n">
        <f aca="false">IF(G115="",0,F115*G115)</f>
        <v>900</v>
      </c>
      <c r="I115" s="13" t="n">
        <f aca="false">IF(INDEX(Articles!$E$2:$E$148,MATCH(C115,Articles!$A$2:$A$148,0))="","",INDEX(Articles!$E$2:$E$148,MATCH(C115,Articles!$A$2:$A$148,0)))</f>
        <v>650</v>
      </c>
      <c r="J115" s="13" t="n">
        <f aca="false">IF(I115="","",F115*I115)</f>
        <v>650</v>
      </c>
      <c r="K115" s="9" t="str">
        <f aca="false">INDEX(Articles!$H$2:$H$148,MATCH(C115,Articles!$A$2:$A$148,0))</f>
        <v>Estimé</v>
      </c>
      <c r="L115" s="9" t="str">
        <f aca="false">INDEX(Articles!$F$2:$F$148,MATCH(C115,Articles!$A$2:$A$148,0))</f>
        <v>Estimé</v>
      </c>
      <c r="M115" s="17"/>
      <c r="N115" s="9" t="s">
        <v>167</v>
      </c>
    </row>
    <row r="116" customFormat="false" ht="15" hidden="false" customHeight="false" outlineLevel="0" collapsed="false">
      <c r="A116" s="9" t="s">
        <v>678</v>
      </c>
      <c r="B116" s="9" t="s">
        <v>766</v>
      </c>
      <c r="C116" s="31" t="s">
        <v>200</v>
      </c>
      <c r="D116" s="9" t="str">
        <f aca="false">INDEX(Articles!$C$2:$C$148,MATCH(C116,Articles!$A$2:$A$148,0))</f>
        <v>Surligneurs Maped Fluo Peps, pochette de 4</v>
      </c>
      <c r="E116" s="9" t="str">
        <f aca="false">INDEX(Articles!$B$2:$B$148,MATCH(C116,Articles!$A$2:$A$148,0))</f>
        <v>Papex</v>
      </c>
      <c r="F116" s="31" t="n">
        <v>1</v>
      </c>
      <c r="G116" s="13" t="n">
        <f aca="false">IF(INDEX(Articles!$G$2:$G$148,MATCH(C116,Articles!$A$2:$A$148,0))="","",INDEX(Articles!$G$2:$G$148,MATCH(C116,Articles!$A$2:$A$148,0)))</f>
        <v>2500</v>
      </c>
      <c r="H116" s="13" t="n">
        <f aca="false">IF(G116="",0,F116*G116)</f>
        <v>2500</v>
      </c>
      <c r="I116" s="13" t="n">
        <f aca="false">IF(INDEX(Articles!$E$2:$E$148,MATCH(C116,Articles!$A$2:$A$148,0))="","",INDEX(Articles!$E$2:$E$148,MATCH(C116,Articles!$A$2:$A$148,0)))</f>
        <v>2000</v>
      </c>
      <c r="J116" s="13" t="n">
        <f aca="false">IF(I116="","",F116*I116)</f>
        <v>2000</v>
      </c>
      <c r="K116" s="9" t="str">
        <f aca="false">INDEX(Articles!$H$2:$H$148,MATCH(C116,Articles!$A$2:$A$148,0))</f>
        <v>Estimé</v>
      </c>
      <c r="L116" s="9" t="str">
        <f aca="false">INDEX(Articles!$F$2:$F$148,MATCH(C116,Articles!$A$2:$A$148,0))</f>
        <v>Confirmé</v>
      </c>
      <c r="M116" s="17" t="s">
        <v>767</v>
      </c>
      <c r="N116" s="9" t="s">
        <v>167</v>
      </c>
    </row>
    <row r="117" customFormat="false" ht="15" hidden="false" customHeight="false" outlineLevel="0" collapsed="false">
      <c r="A117" s="9" t="s">
        <v>768</v>
      </c>
      <c r="B117" s="9" t="s">
        <v>769</v>
      </c>
      <c r="C117" s="31" t="s">
        <v>446</v>
      </c>
      <c r="D117" s="9" t="str">
        <f aca="false">INDEX(Articles!$C$2:$C$148,MATCH(C117,Articles!$A$2:$A$148,0))</f>
        <v>Chemise 3 rabats à élastique</v>
      </c>
      <c r="E117" s="9" t="str">
        <f aca="false">INDEX(Articles!$B$2:$B$148,MATCH(C117,Articles!$A$2:$A$148,0))</f>
        <v>Papex</v>
      </c>
      <c r="F117" s="31" t="n">
        <v>1</v>
      </c>
      <c r="G117" s="13" t="n">
        <f aca="false">IF(INDEX(Articles!$G$2:$G$148,MATCH(C117,Articles!$A$2:$A$148,0))="","",INDEX(Articles!$G$2:$G$148,MATCH(C117,Articles!$A$2:$A$148,0)))</f>
        <v>500</v>
      </c>
      <c r="H117" s="13" t="n">
        <f aca="false">IF(G117="",0,F117*G117)</f>
        <v>500</v>
      </c>
      <c r="I117" s="13" t="str">
        <f aca="false">IF(INDEX(Articles!$E$2:$E$148,MATCH(C117,Articles!$A$2:$A$148,0))="","",INDEX(Articles!$E$2:$E$148,MATCH(C117,Articles!$A$2:$A$148,0)))</f>
        <v/>
      </c>
      <c r="J117" s="13" t="str">
        <f aca="false">IF(I117="","",F117*I117)</f>
        <v/>
      </c>
      <c r="K117" s="9" t="str">
        <f aca="false">INDEX(Articles!$H$2:$H$148,MATCH(C117,Articles!$A$2:$A$148,0))</f>
        <v>Estimé</v>
      </c>
      <c r="L117" s="9" t="str">
        <f aca="false">INDEX(Articles!$F$2:$F$148,MATCH(C117,Articles!$A$2:$A$148,0))</f>
        <v>Inconnu</v>
      </c>
      <c r="M117" s="17" t="s">
        <v>770</v>
      </c>
      <c r="N117" s="9" t="s">
        <v>167</v>
      </c>
    </row>
    <row r="118" customFormat="false" ht="15" hidden="false" customHeight="false" outlineLevel="0" collapsed="false">
      <c r="A118" s="9" t="s">
        <v>676</v>
      </c>
      <c r="B118" s="9" t="s">
        <v>812</v>
      </c>
      <c r="C118" s="31" t="s">
        <v>205</v>
      </c>
      <c r="D118" s="9" t="str">
        <f aca="false">INDEX(Articles!$C$2:$C$148,MATCH(C118,Articles!$A$2:$A$148,0))</f>
        <v>Calculatrice Casio fx-92 Collège</v>
      </c>
      <c r="E118" s="9" t="str">
        <f aca="false">INDEX(Articles!$B$2:$B$148,MATCH(C118,Articles!$A$2:$A$148,0))</f>
        <v>Papex</v>
      </c>
      <c r="F118" s="31" t="n">
        <v>1</v>
      </c>
      <c r="G118" s="13" t="n">
        <f aca="false">IF(INDEX(Articles!$G$2:$G$148,MATCH(C118,Articles!$A$2:$A$148,0))="","",INDEX(Articles!$G$2:$G$148,MATCH(C118,Articles!$A$2:$A$148,0)))</f>
        <v>8000</v>
      </c>
      <c r="H118" s="13" t="n">
        <f aca="false">IF(G118="",0,F118*G118)</f>
        <v>8000</v>
      </c>
      <c r="I118" s="13" t="n">
        <f aca="false">IF(INDEX(Articles!$E$2:$E$148,MATCH(C118,Articles!$A$2:$A$148,0))="","",INDEX(Articles!$E$2:$E$148,MATCH(C118,Articles!$A$2:$A$148,0)))</f>
        <v>7000</v>
      </c>
      <c r="J118" s="13" t="n">
        <f aca="false">IF(I118="","",F118*I118)</f>
        <v>7000</v>
      </c>
      <c r="K118" s="9" t="str">
        <f aca="false">INDEX(Articles!$H$2:$H$148,MATCH(C118,Articles!$A$2:$A$148,0))</f>
        <v>Fixé</v>
      </c>
      <c r="L118" s="9" t="str">
        <f aca="false">INDEX(Articles!$F$2:$F$148,MATCH(C118,Articles!$A$2:$A$148,0))</f>
        <v>Confirmé</v>
      </c>
      <c r="M118" s="17" t="s">
        <v>820</v>
      </c>
      <c r="N118" s="9" t="s">
        <v>167</v>
      </c>
    </row>
    <row r="119" customFormat="false" ht="15" hidden="false" customHeight="false" outlineLevel="0" collapsed="false">
      <c r="A119" s="9" t="s">
        <v>768</v>
      </c>
      <c r="B119" s="9" t="s">
        <v>861</v>
      </c>
      <c r="C119" s="31" t="s">
        <v>246</v>
      </c>
      <c r="D119" s="9" t="str">
        <f aca="false">INDEX(Articles!$C$2:$C$148,MATCH(C119,Articles!$A$2:$A$148,0))</f>
        <v>Protège-documents porte-vues</v>
      </c>
      <c r="E119" s="9" t="str">
        <f aca="false">INDEX(Articles!$B$2:$B$148,MATCH(C119,Articles!$A$2:$A$148,0))</f>
        <v>LPD</v>
      </c>
      <c r="F119" s="31" t="n">
        <v>1</v>
      </c>
      <c r="G119" s="13" t="n">
        <f aca="false">IF(INDEX(Articles!$G$2:$G$148,MATCH(C119,Articles!$A$2:$A$148,0))="","",INDEX(Articles!$G$2:$G$148,MATCH(C119,Articles!$A$2:$A$148,0)))</f>
        <v>1150</v>
      </c>
      <c r="H119" s="13" t="n">
        <f aca="false">IF(G119="",0,F119*G119)</f>
        <v>1150</v>
      </c>
      <c r="I119" s="13" t="n">
        <f aca="false">IF(INDEX(Articles!$E$2:$E$148,MATCH(C119,Articles!$A$2:$A$148,0))="","",INDEX(Articles!$E$2:$E$148,MATCH(C119,Articles!$A$2:$A$148,0)))</f>
        <v>850</v>
      </c>
      <c r="J119" s="13" t="n">
        <f aca="false">IF(I119="","",F119*I119)</f>
        <v>850</v>
      </c>
      <c r="K119" s="9" t="str">
        <f aca="false">INDEX(Articles!$H$2:$H$148,MATCH(C119,Articles!$A$2:$A$148,0))</f>
        <v>Fixé</v>
      </c>
      <c r="L119" s="9" t="str">
        <f aca="false">INDEX(Articles!$F$2:$F$148,MATCH(C119,Articles!$A$2:$A$148,0))</f>
        <v>Estimé</v>
      </c>
      <c r="M119" s="17"/>
      <c r="N119" s="9" t="s">
        <v>167</v>
      </c>
    </row>
    <row r="120" customFormat="false" ht="15" hidden="false" customHeight="false" outlineLevel="0" collapsed="false">
      <c r="A120" s="9" t="s">
        <v>758</v>
      </c>
      <c r="B120" s="9" t="s">
        <v>759</v>
      </c>
      <c r="C120" s="31" t="s">
        <v>376</v>
      </c>
      <c r="D120" s="9" t="str">
        <f aca="false">INDEX(Articles!$C$2:$C$148,MATCH(C120,Articles!$A$2:$A$148,0))</f>
        <v>Paquet de copies doubles grand format</v>
      </c>
      <c r="E120" s="9" t="str">
        <f aca="false">INDEX(Articles!$B$2:$B$148,MATCH(C120,Articles!$A$2:$A$148,0))</f>
        <v>À préciser</v>
      </c>
      <c r="F120" s="31" t="n">
        <v>1</v>
      </c>
      <c r="G120" s="45" t="n">
        <f aca="false">IF(INDEX(Articles!$G$2:$G$148,MATCH(C120,Articles!$A$2:$A$148,0))="","",INDEX(Articles!$G$2:$G$148,MATCH(C120,Articles!$A$2:$A$148,0)))</f>
        <v>1800</v>
      </c>
      <c r="H120" s="13" t="n">
        <f aca="false">IF(G120="",0,F120*G120)</f>
        <v>1800</v>
      </c>
      <c r="I120" s="13" t="n">
        <f aca="false">IF(INDEX(Articles!$E$2:$E$148,MATCH(C120,Articles!$A$2:$A$148,0))="","",INDEX(Articles!$E$2:$E$148,MATCH(C120,Articles!$A$2:$A$148,0)))</f>
        <v>1300</v>
      </c>
      <c r="J120" s="13" t="n">
        <f aca="false">IF(I120="","",F120*I120)</f>
        <v>1300</v>
      </c>
      <c r="K120" s="9" t="str">
        <f aca="false">INDEX(Articles!$H$2:$H$148,MATCH(C120,Articles!$A$2:$A$148,0))</f>
        <v>Fixé</v>
      </c>
      <c r="L120" s="9" t="str">
        <f aca="false">INDEX(Articles!$F$2:$F$148,MATCH(C120,Articles!$A$2:$A$148,0))</f>
        <v>Confirmé</v>
      </c>
      <c r="M120" s="17"/>
      <c r="N120" s="9" t="s">
        <v>167</v>
      </c>
    </row>
    <row r="121" customFormat="false" ht="15" hidden="false" customHeight="false" outlineLevel="0" collapsed="false">
      <c r="A121" s="9" t="s">
        <v>771</v>
      </c>
      <c r="B121" s="9" t="s">
        <v>772</v>
      </c>
      <c r="C121" s="31" t="s">
        <v>160</v>
      </c>
      <c r="D121" s="9" t="str">
        <f aca="false">INDEX(Articles!$C$2:$C$148,MATCH(C121,Articles!$A$2:$A$148,0))</f>
        <v>Protège-cahier couleur petit format (à l'unité)</v>
      </c>
      <c r="E121" s="9" t="str">
        <f aca="false">INDEX(Articles!$B$2:$B$148,MATCH(C121,Articles!$A$2:$A$148,0))</f>
        <v>LPD</v>
      </c>
      <c r="F121" s="31" t="n">
        <v>4</v>
      </c>
      <c r="G121" s="13" t="n">
        <f aca="false">IF(INDEX(Articles!$G$2:$G$148,MATCH(C121,Articles!$A$2:$A$148,0))="","",INDEX(Articles!$G$2:$G$148,MATCH(C121,Articles!$A$2:$A$148,0)))</f>
        <v>150</v>
      </c>
      <c r="H121" s="13" t="n">
        <f aca="false">IF(G121="",0,F121*G121)</f>
        <v>600</v>
      </c>
      <c r="I121" s="13" t="str">
        <f aca="false">IF(INDEX(Articles!$E$2:$E$148,MATCH(C121,Articles!$A$2:$A$148,0))="","",INDEX(Articles!$E$2:$E$148,MATCH(C121,Articles!$A$2:$A$148,0)))</f>
        <v/>
      </c>
      <c r="J121" s="13" t="str">
        <f aca="false">IF(I121="","",F121*I121)</f>
        <v/>
      </c>
      <c r="K121" s="9" t="str">
        <f aca="false">INDEX(Articles!$H$2:$H$148,MATCH(C121,Articles!$A$2:$A$148,0))</f>
        <v>Fixé</v>
      </c>
      <c r="L121" s="9" t="str">
        <f aca="false">INDEX(Articles!$F$2:$F$148,MATCH(C121,Articles!$A$2:$A$148,0))</f>
        <v>Inconnu</v>
      </c>
      <c r="M121" s="17"/>
      <c r="N121" s="9" t="s">
        <v>167</v>
      </c>
    </row>
    <row r="122" customFormat="false" ht="15" hidden="false" customHeight="false" outlineLevel="0" collapsed="false">
      <c r="A122" s="9" t="s">
        <v>771</v>
      </c>
      <c r="B122" s="9" t="s">
        <v>773</v>
      </c>
      <c r="C122" s="31" t="s">
        <v>419</v>
      </c>
      <c r="D122" s="9" t="str">
        <f aca="false">INDEX(Articles!$C$2:$C$148,MATCH(C122,Articles!$A$2:$A$148,0))</f>
        <v>Protège-cahier grand format (à l'unité)</v>
      </c>
      <c r="E122" s="9" t="str">
        <f aca="false">INDEX(Articles!$B$2:$B$148,MATCH(C122,Articles!$A$2:$A$148,0))</f>
        <v>À préciser</v>
      </c>
      <c r="F122" s="31" t="n">
        <v>8</v>
      </c>
      <c r="G122" s="13" t="str">
        <f aca="false">IF(INDEX(Articles!$G$2:$G$148,MATCH(C122,Articles!$A$2:$A$148,0))="","",INDEX(Articles!$G$2:$G$148,MATCH(C122,Articles!$A$2:$A$148,0)))</f>
        <v/>
      </c>
      <c r="H122" s="13" t="n">
        <f aca="false">IF(G122="",0,F122*G122)</f>
        <v>0</v>
      </c>
      <c r="I122" s="13" t="str">
        <f aca="false">IF(INDEX(Articles!$E$2:$E$148,MATCH(C122,Articles!$A$2:$A$148,0))="","",INDEX(Articles!$E$2:$E$148,MATCH(C122,Articles!$A$2:$A$148,0)))</f>
        <v/>
      </c>
      <c r="J122" s="13" t="str">
        <f aca="false">IF(I122="","",F122*I122)</f>
        <v/>
      </c>
      <c r="K122" s="9" t="str">
        <f aca="false">INDEX(Articles!$H$2:$H$148,MATCH(C122,Articles!$A$2:$A$148,0))</f>
        <v>À fournir</v>
      </c>
      <c r="L122" s="9" t="str">
        <f aca="false">INDEX(Articles!$F$2:$F$148,MATCH(C122,Articles!$A$2:$A$148,0))</f>
        <v>Inconnu</v>
      </c>
      <c r="M122" s="17"/>
      <c r="N122" s="9" t="s">
        <v>167</v>
      </c>
    </row>
    <row r="123" customFormat="false" ht="15" hidden="false" customHeight="false" outlineLevel="0" collapsed="false">
      <c r="A123" s="9" t="s">
        <v>760</v>
      </c>
      <c r="B123" s="9" t="s">
        <v>883</v>
      </c>
      <c r="C123" s="31" t="s">
        <v>504</v>
      </c>
      <c r="D123" s="9" t="str">
        <f aca="false">INDEX(Articles!$C$2:$C$148,MATCH(C123,Articles!$A$2:$A$148,0))</f>
        <v>Une vie de boy (Ferdinand Oyono)</v>
      </c>
      <c r="E123" s="9" t="str">
        <f aca="false">INDEX(Articles!$B$2:$B$148,MATCH(C123,Articles!$A$2:$A$148,0))</f>
        <v>LPD</v>
      </c>
      <c r="F123" s="31" t="n">
        <v>1</v>
      </c>
      <c r="G123" s="13" t="n">
        <f aca="false">IF(INDEX(Articles!$G$2:$G$148,MATCH(C123,Articles!$A$2:$A$148,0))="","",INDEX(Articles!$G$2:$G$148,MATCH(C123,Articles!$A$2:$A$148,0)))</f>
        <v>2800</v>
      </c>
      <c r="H123" s="13" t="n">
        <f aca="false">IF(G123="",0,F123*G123)</f>
        <v>2800</v>
      </c>
      <c r="I123" s="13" t="n">
        <f aca="false">IF(INDEX(Articles!$E$2:$E$148,MATCH(C123,Articles!$A$2:$A$148,0))="","",INDEX(Articles!$E$2:$E$148,MATCH(C123,Articles!$A$2:$A$148,0)))</f>
        <v>1800</v>
      </c>
      <c r="J123" s="13" t="n">
        <f aca="false">IF(I123="","",F123*I123)</f>
        <v>1800</v>
      </c>
      <c r="K123" s="9" t="str">
        <f aca="false">INDEX(Articles!$H$2:$H$148,MATCH(C123,Articles!$A$2:$A$148,0))</f>
        <v>Fixé</v>
      </c>
      <c r="L123" s="9" t="str">
        <f aca="false">INDEX(Articles!$F$2:$F$148,MATCH(C123,Articles!$A$2:$A$148,0))</f>
        <v>Estimé</v>
      </c>
      <c r="M123" s="17"/>
      <c r="N123" s="9" t="s">
        <v>167</v>
      </c>
    </row>
    <row r="124" customFormat="false" ht="15" hidden="false" customHeight="false" outlineLevel="0" collapsed="false">
      <c r="A124" s="9" t="s">
        <v>760</v>
      </c>
      <c r="B124" s="9" t="s">
        <v>884</v>
      </c>
      <c r="C124" s="31" t="s">
        <v>506</v>
      </c>
      <c r="D124" s="9" t="str">
        <f aca="false">INDEX(Articles!$C$2:$C$148,MATCH(C124,Articles!$A$2:$A$148,0))</f>
        <v>Le Père Goriot (Balzac)</v>
      </c>
      <c r="E124" s="9" t="str">
        <f aca="false">INDEX(Articles!$B$2:$B$148,MATCH(C124,Articles!$A$2:$A$148,0))</f>
        <v>LPD</v>
      </c>
      <c r="F124" s="31" t="n">
        <v>1</v>
      </c>
      <c r="G124" s="13" t="n">
        <f aca="false">IF(INDEX(Articles!$G$2:$G$148,MATCH(C124,Articles!$A$2:$A$148,0))="","",INDEX(Articles!$G$2:$G$148,MATCH(C124,Articles!$A$2:$A$148,0)))</f>
        <v>2800</v>
      </c>
      <c r="H124" s="13" t="n">
        <f aca="false">IF(G124="",0,F124*G124)</f>
        <v>2800</v>
      </c>
      <c r="I124" s="13" t="n">
        <f aca="false">IF(INDEX(Articles!$E$2:$E$148,MATCH(C124,Articles!$A$2:$A$148,0))="","",INDEX(Articles!$E$2:$E$148,MATCH(C124,Articles!$A$2:$A$148,0)))</f>
        <v>1800</v>
      </c>
      <c r="J124" s="13" t="n">
        <f aca="false">IF(I124="","",F124*I124)</f>
        <v>1800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760</v>
      </c>
      <c r="B125" s="9" t="s">
        <v>884</v>
      </c>
      <c r="C125" s="31" t="s">
        <v>508</v>
      </c>
      <c r="D125" s="9" t="str">
        <f aca="false">INDEX(Articles!$C$2:$C$148,MATCH(C125,Articles!$A$2:$A$148,0))</f>
        <v>Madame Bovary (Flaubert)</v>
      </c>
      <c r="E125" s="9" t="str">
        <f aca="false">INDEX(Articles!$B$2:$B$148,MATCH(C125,Articles!$A$2:$A$148,0))</f>
        <v>LPD</v>
      </c>
      <c r="F125" s="31" t="n">
        <v>1</v>
      </c>
      <c r="G125" s="13" t="n">
        <f aca="false">IF(INDEX(Articles!$G$2:$G$148,MATCH(C125,Articles!$A$2:$A$148,0))="","",INDEX(Articles!$G$2:$G$148,MATCH(C125,Articles!$A$2:$A$148,0)))</f>
        <v>2800</v>
      </c>
      <c r="H125" s="13" t="n">
        <f aca="false">IF(G125="",0,F125*G125)</f>
        <v>2800</v>
      </c>
      <c r="I125" s="13" t="n">
        <f aca="false">IF(INDEX(Articles!$E$2:$E$148,MATCH(C125,Articles!$A$2:$A$148,0))="","",INDEX(Articles!$E$2:$E$148,MATCH(C125,Articles!$A$2:$A$148,0)))</f>
        <v>1800</v>
      </c>
      <c r="J125" s="13" t="n">
        <f aca="false">IF(I125="","",F125*I125)</f>
        <v>1800</v>
      </c>
      <c r="K125" s="9" t="str">
        <f aca="false">INDEX(Articles!$H$2:$H$148,MATCH(C125,Articles!$A$2:$A$148,0))</f>
        <v>Fixé</v>
      </c>
      <c r="L125" s="9" t="str">
        <f aca="false">INDEX(Articles!$F$2:$F$148,MATCH(C125,Articles!$A$2:$A$148,0))</f>
        <v>Estimé</v>
      </c>
      <c r="M125" s="17"/>
      <c r="N125" s="9" t="s">
        <v>167</v>
      </c>
    </row>
    <row r="126" customFormat="false" ht="15" hidden="false" customHeight="false" outlineLevel="0" collapsed="false">
      <c r="A126" s="9" t="s">
        <v>777</v>
      </c>
      <c r="B126" s="9" t="s">
        <v>889</v>
      </c>
      <c r="C126" s="31" t="s">
        <v>643</v>
      </c>
      <c r="D126" s="9" t="str">
        <f aca="false">INDEX(Articles!$C$2:$C$148,MATCH(C126,Articles!$A$2:$A$148,0))</f>
        <v>Science de la vie et de la terre 1ʳᵉ</v>
      </c>
      <c r="E126" s="9" t="str">
        <f aca="false">INDEX(Articles!$B$2:$B$148,MATCH(C126,Articles!$A$2:$A$148,0))</f>
        <v>LPD</v>
      </c>
      <c r="F126" s="31" t="n">
        <v>1</v>
      </c>
      <c r="G126" s="13" t="n">
        <f aca="false">IF(INDEX(Articles!$G$2:$G$148,MATCH(C126,Articles!$A$2:$A$148,0))="","",INDEX(Articles!$G$2:$G$148,MATCH(C126,Articles!$A$2:$A$148,0)))</f>
        <v>4720</v>
      </c>
      <c r="H126" s="13" t="n">
        <f aca="false">IF(G126="",0,F126*G126)</f>
        <v>4720</v>
      </c>
      <c r="I126" s="13" t="n">
        <f aca="false">IF(INDEX(Articles!$E$2:$E$148,MATCH(C126,Articles!$A$2:$A$148,0))="","",INDEX(Articles!$E$2:$E$148,MATCH(C126,Articles!$A$2:$A$148,0)))</f>
        <v>3720</v>
      </c>
      <c r="J126" s="13" t="n">
        <f aca="false">IF(I126="","",F126*I126)</f>
        <v>3720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A127" s="9" t="s">
        <v>678</v>
      </c>
      <c r="B127" s="9" t="s">
        <v>781</v>
      </c>
      <c r="C127" s="31" t="s">
        <v>434</v>
      </c>
      <c r="D127" s="9" t="str">
        <f aca="false">INDEX(Articles!$C$2:$C$148,MATCH(C127,Articles!$A$2:$A$148,0))</f>
        <v>Stylo 4 couleurs Schneider</v>
      </c>
      <c r="E127" s="9" t="str">
        <f aca="false">INDEX(Articles!$B$2:$B$148,MATCH(C127,Articles!$A$2:$A$148,0))</f>
        <v>Papex</v>
      </c>
      <c r="F127" s="31" t="n">
        <v>1</v>
      </c>
      <c r="G127" s="13" t="n">
        <f aca="false">IF(INDEX(Articles!$G$2:$G$148,MATCH(C127,Articles!$A$2:$A$148,0))="","",INDEX(Articles!$G$2:$G$148,MATCH(C127,Articles!$A$2:$A$148,0)))</f>
        <v>1750</v>
      </c>
      <c r="H127" s="13" t="n">
        <f aca="false">IF(G127="",0,F127*G127)</f>
        <v>1750</v>
      </c>
      <c r="I127" s="13" t="n">
        <f aca="false">IF(INDEX(Articles!$E$2:$E$148,MATCH(C127,Articles!$A$2:$A$148,0))="","",INDEX(Articles!$E$2:$E$148,MATCH(C127,Articles!$A$2:$A$148,0)))</f>
        <v>1500</v>
      </c>
      <c r="J127" s="13" t="n">
        <f aca="false">IF(I127="","",F127*I127)</f>
        <v>1500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678</v>
      </c>
      <c r="B128" s="9" t="s">
        <v>782</v>
      </c>
      <c r="C128" s="31" t="s">
        <v>174</v>
      </c>
      <c r="D128" s="9" t="str">
        <f aca="false">INDEX(Articles!$C$2:$C$148,MATCH(C128,Articles!$A$2:$A$148,0))</f>
        <v>Correcteur souris ARK</v>
      </c>
      <c r="E128" s="9" t="str">
        <f aca="false">INDEX(Articles!$B$2:$B$148,MATCH(C128,Articles!$A$2:$A$148,0))</f>
        <v>Papex</v>
      </c>
      <c r="F128" s="31" t="n">
        <v>1</v>
      </c>
      <c r="G128" s="13" t="n">
        <f aca="false">IF(INDEX(Articles!$G$2:$G$148,MATCH(C128,Articles!$A$2:$A$148,0))="","",INDEX(Articles!$G$2:$G$148,MATCH(C128,Articles!$A$2:$A$148,0)))</f>
        <v>1000</v>
      </c>
      <c r="H128" s="13" t="n">
        <f aca="false">IF(G128="",0,F128*G128)</f>
        <v>1000</v>
      </c>
      <c r="I128" s="13" t="n">
        <f aca="false">IF(INDEX(Articles!$E$2:$E$148,MATCH(C128,Articles!$A$2:$A$148,0))="","",INDEX(Articles!$E$2:$E$148,MATCH(C128,Articles!$A$2:$A$148,0)))</f>
        <v>700</v>
      </c>
      <c r="J128" s="13" t="n">
        <f aca="false">IF(I128="","",F128*I128)</f>
        <v>700</v>
      </c>
      <c r="K128" s="9" t="str">
        <f aca="false">INDEX(Articles!$H$2:$H$148,MATCH(C128,Articles!$A$2:$A$148,0))</f>
        <v>Fixé</v>
      </c>
      <c r="L128" s="9" t="str">
        <f aca="false">INDEX(Articles!$F$2:$F$148,MATCH(C128,Articles!$A$2:$A$148,0))</f>
        <v>Confirmé</v>
      </c>
      <c r="M128" s="17"/>
      <c r="N128" s="9" t="s">
        <v>167</v>
      </c>
    </row>
    <row r="129" customFormat="false" ht="15" hidden="false" customHeight="false" outlineLevel="0" collapsed="false">
      <c r="A129" s="9" t="s">
        <v>783</v>
      </c>
      <c r="B129" s="9" t="s">
        <v>784</v>
      </c>
      <c r="C129" s="31" t="s">
        <v>510</v>
      </c>
      <c r="D129" s="9" t="str">
        <f aca="false">INDEX(Articles!$C$2:$C$148,MATCH(C129,Articles!$A$2:$A$148,0))</f>
        <v>Les Bouts de bois de Dieu (Ousmane Sembène)</v>
      </c>
      <c r="E129" s="9" t="str">
        <f aca="false">INDEX(Articles!$B$2:$B$148,MATCH(C129,Articles!$A$2:$A$148,0))</f>
        <v>LPD</v>
      </c>
      <c r="F129" s="31" t="n">
        <v>1</v>
      </c>
      <c r="G129" s="13" t="n">
        <f aca="false">IF(INDEX(Articles!$G$2:$G$148,MATCH(C129,Articles!$A$2:$A$148,0))="","",INDEX(Articles!$G$2:$G$148,MATCH(C129,Articles!$A$2:$A$148,0)))</f>
        <v>3500</v>
      </c>
      <c r="H129" s="13" t="n">
        <f aca="false">IF(G129="",0,F129*G129)</f>
        <v>3500</v>
      </c>
      <c r="I129" s="13" t="n">
        <f aca="false">IF(INDEX(Articles!$E$2:$E$148,MATCH(C129,Articles!$A$2:$A$148,0))="","",INDEX(Articles!$E$2:$E$148,MATCH(C129,Articles!$A$2:$A$148,0)))</f>
        <v>2500</v>
      </c>
      <c r="J129" s="13" t="n">
        <f aca="false">IF(I129="","",F129*I129)</f>
        <v>2500</v>
      </c>
      <c r="K129" s="9" t="str">
        <f aca="false">INDEX(Articles!$H$2:$H$148,MATCH(C129,Articles!$A$2:$A$148,0))</f>
        <v>Fixé</v>
      </c>
      <c r="L129" s="9" t="str">
        <f aca="false">INDEX(Articles!$F$2:$F$148,MATCH(C129,Articles!$A$2:$A$148,0))</f>
        <v>Estimé</v>
      </c>
      <c r="M129" s="17"/>
      <c r="N129" s="9" t="s">
        <v>167</v>
      </c>
    </row>
    <row r="130" customFormat="false" ht="15" hidden="false" customHeight="false" outlineLevel="0" collapsed="false">
      <c r="A130" s="9" t="s">
        <v>783</v>
      </c>
      <c r="B130" s="9" t="s">
        <v>890</v>
      </c>
      <c r="C130" s="31" t="s">
        <v>512</v>
      </c>
      <c r="D130" s="9" t="str">
        <f aca="false">INDEX(Articles!$C$2:$C$148,MATCH(C130,Articles!$A$2:$A$148,0))</f>
        <v>Nini, mulâtresse du Sénégal (Abdoulaye Sadji)</v>
      </c>
      <c r="E130" s="9" t="str">
        <f aca="false">INDEX(Articles!$B$2:$B$148,MATCH(C130,Articles!$A$2:$A$148,0))</f>
        <v>LPD</v>
      </c>
      <c r="F130" s="31" t="n">
        <v>1</v>
      </c>
      <c r="G130" s="13" t="n">
        <f aca="false">IF(INDEX(Articles!$G$2:$G$148,MATCH(C130,Articles!$A$2:$A$148,0))="","",INDEX(Articles!$G$2:$G$148,MATCH(C130,Articles!$A$2:$A$148,0)))</f>
        <v>3500</v>
      </c>
      <c r="H130" s="13" t="n">
        <f aca="false">IF(G130="",0,F130*G130)</f>
        <v>3500</v>
      </c>
      <c r="I130" s="13" t="n">
        <f aca="false">IF(INDEX(Articles!$E$2:$E$148,MATCH(C130,Articles!$A$2:$A$148,0))="","",INDEX(Articles!$E$2:$E$148,MATCH(C130,Articles!$A$2:$A$148,0)))</f>
        <v>2500</v>
      </c>
      <c r="J130" s="13" t="n">
        <f aca="false">IF(I130="","",F130*I130)</f>
        <v>2500</v>
      </c>
      <c r="K130" s="9" t="str">
        <f aca="false">INDEX(Articles!$H$2:$H$148,MATCH(C130,Articles!$A$2:$A$148,0))</f>
        <v>Fixé</v>
      </c>
      <c r="L130" s="9" t="str">
        <f aca="false">INDEX(Articles!$F$2:$F$148,MATCH(C130,Articles!$A$2:$A$148,0))</f>
        <v>Estimé</v>
      </c>
      <c r="M130" s="17"/>
      <c r="N130" s="9" t="s">
        <v>167</v>
      </c>
    </row>
    <row r="131" customFormat="false" ht="15" hidden="false" customHeight="false" outlineLevel="0" collapsed="false">
      <c r="A131" s="9" t="s">
        <v>703</v>
      </c>
      <c r="B131" s="9" t="s">
        <v>891</v>
      </c>
      <c r="C131" s="31" t="s">
        <v>647</v>
      </c>
      <c r="D131" s="9" t="str">
        <f aca="false">INDEX(Articles!$C$2:$C$148,MATCH(C131,Articles!$A$2:$A$148,0))</f>
        <v>Livre de Français 1ʳᵉ</v>
      </c>
      <c r="E131" s="9" t="str">
        <f aca="false">INDEX(Articles!$B$2:$B$148,MATCH(C131,Articles!$A$2:$A$148,0))</f>
        <v>LPD</v>
      </c>
      <c r="F131" s="31" t="n">
        <v>1</v>
      </c>
      <c r="G131" s="13" t="n">
        <f aca="false">IF(INDEX(Articles!$G$2:$G$148,MATCH(C131,Articles!$A$2:$A$148,0))="","",INDEX(Articles!$G$2:$G$148,MATCH(C131,Articles!$A$2:$A$148,0)))</f>
        <v>4720</v>
      </c>
      <c r="H131" s="13" t="n">
        <f aca="false">IF(G131="",0,F131*G131)</f>
        <v>4720</v>
      </c>
      <c r="I131" s="13" t="n">
        <f aca="false">IF(INDEX(Articles!$E$2:$E$148,MATCH(C131,Articles!$A$2:$A$148,0))="","",INDEX(Articles!$E$2:$E$148,MATCH(C131,Articles!$A$2:$A$148,0)))</f>
        <v>3720</v>
      </c>
      <c r="J131" s="13" t="n">
        <f aca="false">IF(I131="","",F131*I131)</f>
        <v>3720</v>
      </c>
      <c r="K131" s="9" t="str">
        <f aca="false">INDEX(Articles!$H$2:$H$148,MATCH(C131,Articles!$A$2:$A$148,0))</f>
        <v>Fixé</v>
      </c>
      <c r="L131" s="9" t="str">
        <f aca="false">INDEX(Articles!$F$2:$F$148,MATCH(C131,Articles!$A$2:$A$148,0))</f>
        <v>Estimé</v>
      </c>
      <c r="M131" s="17"/>
      <c r="N131" s="9" t="s">
        <v>167</v>
      </c>
    </row>
    <row r="132" customFormat="false" ht="15" hidden="false" customHeight="false" outlineLevel="0" collapsed="false">
      <c r="D132" s="32" t="s">
        <v>683</v>
      </c>
      <c r="E132" s="32"/>
      <c r="F132" s="32"/>
      <c r="G132" s="32"/>
      <c r="H132" s="33" t="n">
        <f aca="false">COUNTIF(G95:G131,"")</f>
        <v>1</v>
      </c>
    </row>
    <row r="133" customFormat="false" ht="15" hidden="false" customHeight="false" outlineLevel="0" collapsed="false">
      <c r="D133" s="32" t="s">
        <v>684</v>
      </c>
      <c r="E133" s="32"/>
      <c r="F133" s="32"/>
      <c r="G133" s="32"/>
      <c r="H133" s="33" t="n">
        <f aca="false">SUM(H95:H131)</f>
        <v>65615</v>
      </c>
    </row>
    <row r="134" customFormat="false" ht="15" hidden="false" customHeight="false" outlineLevel="0" collapsed="false">
      <c r="D134" s="32" t="s">
        <v>28</v>
      </c>
      <c r="E134" s="32"/>
      <c r="F134" s="32"/>
      <c r="G134" s="32"/>
      <c r="H134" s="33" t="n">
        <f aca="false">SUM(J95:J131)</f>
        <v>50600</v>
      </c>
    </row>
    <row r="135" customFormat="false" ht="15" hidden="false" customHeight="false" outlineLevel="0" collapsed="false">
      <c r="D135" s="32" t="s">
        <v>685</v>
      </c>
      <c r="E135" s="32"/>
      <c r="F135" s="32"/>
      <c r="G135" s="32"/>
      <c r="H135" s="33" t="n">
        <f aca="false">COUNTIF(I95:I131,"")</f>
        <v>5</v>
      </c>
    </row>
    <row r="136" customFormat="false" ht="15" hidden="false" customHeight="false" outlineLevel="0" collapsed="false">
      <c r="D136" s="32" t="s">
        <v>686</v>
      </c>
      <c r="E136" s="32"/>
      <c r="F136" s="32"/>
      <c r="G136" s="32"/>
      <c r="H136" s="33" t="n">
        <f aca="false">SUMPRODUCT((I95:I131&lt;&gt;"")*H95:H131)-H134</f>
        <v>13440</v>
      </c>
    </row>
    <row r="137" customFormat="false" ht="15" hidden="false" customHeight="false" outlineLevel="0" collapsed="false">
      <c r="D137" s="32" t="s">
        <v>687</v>
      </c>
      <c r="E137" s="32"/>
      <c r="F137" s="32"/>
      <c r="G137" s="32"/>
      <c r="H137" s="33" t="n">
        <f aca="false">SUMIF(A95:A131,"Cahiers",F95:F131)</f>
        <v>12</v>
      </c>
    </row>
    <row r="138" customFormat="false" ht="15" hidden="false" customHeight="false" outlineLevel="0" collapsed="false">
      <c r="D138" s="32" t="s">
        <v>688</v>
      </c>
      <c r="E138" s="32"/>
      <c r="F138" s="32"/>
      <c r="G138" s="32"/>
      <c r="H138" s="34" t="n">
        <f aca="false">IF(H133=0,0,SUMIF(K95:K131,"&lt;&gt;Fixé",H95:H131)/H133)</f>
        <v>0.121923340699535</v>
      </c>
    </row>
    <row r="139" customFormat="false" ht="15" hidden="false" customHeight="false" outlineLevel="0" collapsed="false">
      <c r="D139" s="32" t="s">
        <v>689</v>
      </c>
      <c r="E139" s="32"/>
      <c r="F139" s="32"/>
      <c r="G139" s="32"/>
      <c r="H139" s="33" t="str">
        <f aca="false">IF(H132&gt;0,"Total incomplet : "&amp;H132&amp;" prix de vente à fournir",IF(H135&gt;0,"Coût incomplet : "&amp;H135&amp;" ligne(s) sans prix d'achat","Complet"))</f>
        <v>Total incomplet : 1 prix de vente à fournir</v>
      </c>
    </row>
    <row r="140" customFormat="false" ht="15" hidden="false" customHeight="false" outlineLevel="0" collapsed="false">
      <c r="D140" s="21" t="s">
        <v>696</v>
      </c>
      <c r="E140" s="21" t="str">
        <f aca="false">INDEX(Articles!$C$2:$C$148,MATCH("S020",Articles!$A$2:$A$148,0))</f>
        <v>Sac à dos bleu marine</v>
      </c>
      <c r="H140" s="41" t="n">
        <f aca="false">INDEX(Articles!$G$2:$G$148,MATCH("S020",Articles!$A$2:$A$148,0))</f>
        <v>7000</v>
      </c>
    </row>
    <row r="141" customFormat="false" ht="15" hidden="false" customHeight="false" outlineLevel="0" collapsed="false">
      <c r="D141" s="42" t="s">
        <v>697</v>
      </c>
      <c r="E141" s="43" t="s">
        <v>886</v>
      </c>
    </row>
    <row r="142" customFormat="false" ht="15" hidden="false" customHeight="false" outlineLevel="0" collapsed="false">
      <c r="E142" s="43" t="s">
        <v>887</v>
      </c>
    </row>
    <row r="143" customFormat="false" ht="15" hidden="false" customHeight="false" outlineLevel="0" collapsed="false">
      <c r="E143" s="43" t="s">
        <v>892</v>
      </c>
    </row>
  </sheetData>
  <mergeCells count="24">
    <mergeCell ref="D29:G29"/>
    <mergeCell ref="D30:G30"/>
    <mergeCell ref="D31:G31"/>
    <mergeCell ref="D32:G32"/>
    <mergeCell ref="D33:G33"/>
    <mergeCell ref="D34:G34"/>
    <mergeCell ref="D35:G35"/>
    <mergeCell ref="D36:G36"/>
    <mergeCell ref="D80:G80"/>
    <mergeCell ref="D81:G81"/>
    <mergeCell ref="D82:G82"/>
    <mergeCell ref="D83:G83"/>
    <mergeCell ref="D84:G84"/>
    <mergeCell ref="D85:G85"/>
    <mergeCell ref="D86:G86"/>
    <mergeCell ref="D87:G87"/>
    <mergeCell ref="D132:G132"/>
    <mergeCell ref="D133:G133"/>
    <mergeCell ref="D134:G134"/>
    <mergeCell ref="D135:G135"/>
    <mergeCell ref="D136:G136"/>
    <mergeCell ref="D137:G137"/>
    <mergeCell ref="D138:G138"/>
    <mergeCell ref="D139:G1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893</v>
      </c>
    </row>
    <row r="2" customFormat="false" ht="15" hidden="false" customHeight="false" outlineLevel="0" collapsed="false">
      <c r="A2" s="21" t="s">
        <v>894</v>
      </c>
    </row>
    <row r="4" customFormat="false" ht="15" hidden="false" customHeight="false" outlineLevel="0" collapsed="false">
      <c r="A4" s="28" t="s">
        <v>895</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745</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850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744</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854</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742</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852</v>
      </c>
      <c r="C13" s="31" t="s">
        <v>195</v>
      </c>
      <c r="D13" s="9" t="str">
        <f aca="false">INDEX(Articles!$C$2:$C$148,MATCH(C13,Articles!$A$2:$A$148,0))</f>
        <v>Cahier Calligraphe 96 pages 17x22 56 g seyès</v>
      </c>
      <c r="E13" s="9" t="str">
        <f aca="false">INDEX(Articles!$B$2:$B$148,MATCH(C13,Articles!$A$2:$A$148,0))</f>
        <v>Papex</v>
      </c>
      <c r="F13" s="31" t="n">
        <v>1</v>
      </c>
      <c r="G13" s="13" t="n">
        <f aca="false">IF(INDEX(Articles!$G$2:$G$148,MATCH(C13,Articles!$A$2:$A$148,0))="","",INDEX(Articles!$G$2:$G$148,MATCH(C13,Articles!$A$2:$A$148,0)))</f>
        <v>450</v>
      </c>
      <c r="H13" s="13" t="n">
        <f aca="false">IF(G13="",0,F13*G13)</f>
        <v>450</v>
      </c>
      <c r="I13" s="13" t="n">
        <f aca="false">IF(INDEX(Articles!$E$2:$E$148,MATCH(C13,Articles!$A$2:$A$148,0))="","",INDEX(Articles!$E$2:$E$148,MATCH(C13,Articles!$A$2:$A$148,0)))</f>
        <v>350</v>
      </c>
      <c r="J13" s="13" t="n">
        <f aca="false">IF(I13="","",F13*I13)</f>
        <v>350</v>
      </c>
      <c r="K13" s="9" t="str">
        <f aca="false">INDEX(Articles!$H$2:$H$148,MATCH(C13,Articles!$A$2:$A$148,0))</f>
        <v>Fixé</v>
      </c>
      <c r="L13" s="9" t="str">
        <f aca="false">INDEX(Articles!$F$2:$F$148,MATCH(C13,Articles!$A$2:$A$148,0))</f>
        <v>Confirmé</v>
      </c>
      <c r="M13" s="17"/>
      <c r="N13" s="9" t="s">
        <v>167</v>
      </c>
    </row>
    <row r="14" customFormat="false" ht="15" hidden="false" customHeight="false" outlineLevel="0" collapsed="false">
      <c r="A14" s="9" t="s">
        <v>671</v>
      </c>
      <c r="B14" s="9" t="s">
        <v>855</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853</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831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678</v>
      </c>
      <c r="B17" s="9" t="s">
        <v>749</v>
      </c>
      <c r="C17" s="31" t="s">
        <v>222</v>
      </c>
      <c r="D17" s="9" t="str">
        <f aca="false">INDEX(Articles!$C$2:$C$148,MATCH(C17,Articles!$A$2:$A$148,0))</f>
        <v>Pack de 4 stylos Schneider Tops 505 M (bleu, noir, rouge, vert)</v>
      </c>
      <c r="E17" s="9" t="str">
        <f aca="false">INDEX(Articles!$B$2:$B$148,MATCH(C17,Articles!$A$2:$A$148,0))</f>
        <v>Papex</v>
      </c>
      <c r="F17" s="31" t="n">
        <v>1</v>
      </c>
      <c r="G17" s="13" t="n">
        <f aca="false">IF(INDEX(Articles!$G$2:$G$148,MATCH(C17,Articles!$A$2:$A$148,0))="","",INDEX(Articles!$G$2:$G$148,MATCH(C17,Articles!$A$2:$A$148,0)))</f>
        <v>400</v>
      </c>
      <c r="H17" s="13" t="n">
        <f aca="false">IF(G17="",0,F17*G17)</f>
        <v>400</v>
      </c>
      <c r="I17" s="13" t="str">
        <f aca="false">IF(INDEX(Articles!$E$2:$E$148,MATCH(C17,Articles!$A$2:$A$148,0))="","",INDEX(Articles!$E$2:$E$148,MATCH(C17,Articles!$A$2:$A$148,0)))</f>
        <v/>
      </c>
      <c r="J17" s="13" t="str">
        <f aca="false">IF(I17="","",F17*I17)</f>
        <v/>
      </c>
      <c r="K17" s="9" t="str">
        <f aca="false">INDEX(Articles!$H$2:$H$148,MATCH(C17,Articles!$A$2:$A$148,0))</f>
        <v>Fixé</v>
      </c>
      <c r="L17" s="9" t="str">
        <f aca="false">INDEX(Articles!$F$2:$F$148,MATCH(C17,Articles!$A$2:$A$148,0))</f>
        <v>Inconnu</v>
      </c>
      <c r="M17" s="17" t="s">
        <v>432</v>
      </c>
      <c r="N17" s="9" t="s">
        <v>167</v>
      </c>
    </row>
    <row r="18" customFormat="false" ht="15" hidden="false" customHeight="false" outlineLevel="0" collapsed="false">
      <c r="A18" s="9" t="s">
        <v>678</v>
      </c>
      <c r="B18" s="9" t="s">
        <v>750</v>
      </c>
      <c r="C18" s="31" t="s">
        <v>235</v>
      </c>
      <c r="D18" s="9" t="str">
        <f aca="false">INDEX(Articles!$C$2:$C$148,MATCH(C18,Articles!$A$2:$A$148,0))</f>
        <v>Crayon papier (vendu à l'unité)</v>
      </c>
      <c r="E18" s="9" t="str">
        <f aca="false">INDEX(Articles!$B$2:$B$148,MATCH(C18,Articles!$A$2:$A$148,0))</f>
        <v>LPD</v>
      </c>
      <c r="F18" s="31" t="n">
        <v>1</v>
      </c>
      <c r="G18" s="13" t="n">
        <f aca="false">IF(INDEX(Articles!$G$2:$G$148,MATCH(C18,Articles!$A$2:$A$148,0))="","",INDEX(Articles!$G$2:$G$148,MATCH(C18,Articles!$A$2:$A$148,0)))</f>
        <v>75</v>
      </c>
      <c r="H18" s="13" t="n">
        <f aca="false">IF(G18="",0,F18*G18)</f>
        <v>75</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c r="N18" s="9" t="s">
        <v>167</v>
      </c>
    </row>
    <row r="19" customFormat="false" ht="15" hidden="false" customHeight="false" outlineLevel="0" collapsed="false">
      <c r="A19" s="9" t="s">
        <v>675</v>
      </c>
      <c r="B19" s="9" t="s">
        <v>717</v>
      </c>
      <c r="C19" s="31" t="s">
        <v>180</v>
      </c>
      <c r="D19" s="9" t="str">
        <f aca="false">INDEX(Articles!$C$2:$C$148,MATCH(C19,Articles!$A$2:$A$148,0))</f>
        <v>Gomme Staedtler Mars Plastic</v>
      </c>
      <c r="E19" s="9" t="str">
        <f aca="false">INDEX(Articles!$B$2:$B$148,MATCH(C19,Articles!$A$2:$A$148,0))</f>
        <v>LPD</v>
      </c>
      <c r="F19" s="31" t="n">
        <v>1</v>
      </c>
      <c r="G19" s="13" t="n">
        <f aca="false">IF(INDEX(Articles!$G$2:$G$148,MATCH(C19,Articles!$A$2:$A$148,0))="","",INDEX(Articles!$G$2:$G$148,MATCH(C19,Articles!$A$2:$A$148,0)))</f>
        <v>250</v>
      </c>
      <c r="H19" s="13" t="n">
        <f aca="false">IF(G19="",0,F19*G19)</f>
        <v>250</v>
      </c>
      <c r="I19" s="13" t="n">
        <f aca="false">IF(INDEX(Articles!$E$2:$E$148,MATCH(C19,Articles!$A$2:$A$148,0))="","",INDEX(Articles!$E$2:$E$148,MATCH(C19,Articles!$A$2:$A$148,0)))</f>
        <v>110</v>
      </c>
      <c r="J19" s="13" t="n">
        <f aca="false">IF(I19="","",F19*I19)</f>
        <v>110</v>
      </c>
      <c r="K19" s="9" t="str">
        <f aca="false">INDEX(Articles!$H$2:$H$148,MATCH(C19,Articles!$A$2:$A$148,0))</f>
        <v>Fixé</v>
      </c>
      <c r="L19" s="9" t="str">
        <f aca="false">INDEX(Articles!$F$2:$F$148,MATCH(C19,Articles!$A$2:$A$148,0))</f>
        <v>Estimé</v>
      </c>
      <c r="M19" s="17"/>
      <c r="N19" s="9" t="s">
        <v>167</v>
      </c>
    </row>
    <row r="20" customFormat="false" ht="15" hidden="false" customHeight="false" outlineLevel="0" collapsed="false">
      <c r="A20" s="9" t="s">
        <v>675</v>
      </c>
      <c r="B20" s="9" t="s">
        <v>751</v>
      </c>
      <c r="C20" s="31" t="s">
        <v>183</v>
      </c>
      <c r="D20" s="9" t="str">
        <f aca="false">INDEX(Articles!$C$2:$C$148,MATCH(C20,Articles!$A$2:$A$148,0))</f>
        <v>Taille-crayon avec réservoir Maped</v>
      </c>
      <c r="E20" s="9" t="str">
        <f aca="false">INDEX(Articles!$B$2:$B$148,MATCH(C20,Articles!$A$2:$A$148,0))</f>
        <v>Papex</v>
      </c>
      <c r="F20" s="31" t="n">
        <v>1</v>
      </c>
      <c r="G20" s="13" t="n">
        <f aca="false">IF(INDEX(Articles!$G$2:$G$148,MATCH(C20,Articles!$A$2:$A$148,0))="","",INDEX(Articles!$G$2:$G$148,MATCH(C20,Articles!$A$2:$A$148,0)))</f>
        <v>500</v>
      </c>
      <c r="H20" s="13" t="n">
        <f aca="false">IF(G20="",0,F20*G20)</f>
        <v>500</v>
      </c>
      <c r="I20" s="13" t="n">
        <f aca="false">IF(INDEX(Articles!$E$2:$E$148,MATCH(C20,Articles!$A$2:$A$148,0))="","",INDEX(Articles!$E$2:$E$148,MATCH(C20,Articles!$A$2:$A$148,0)))</f>
        <v>350</v>
      </c>
      <c r="J20" s="13" t="n">
        <f aca="false">IF(I20="","",F20*I20)</f>
        <v>350</v>
      </c>
      <c r="K20" s="9" t="str">
        <f aca="false">INDEX(Articles!$H$2:$H$148,MATCH(C20,Articles!$A$2:$A$148,0))</f>
        <v>Estimé</v>
      </c>
      <c r="L20" s="9" t="str">
        <f aca="false">INDEX(Articles!$F$2:$F$148,MATCH(C20,Articles!$A$2:$A$148,0))</f>
        <v>Estimé</v>
      </c>
      <c r="M20" s="17" t="s">
        <v>752</v>
      </c>
      <c r="N20" s="9" t="s">
        <v>167</v>
      </c>
    </row>
    <row r="21" customFormat="false" ht="15" hidden="false" customHeight="false" outlineLevel="0" collapsed="false">
      <c r="A21" s="9" t="s">
        <v>675</v>
      </c>
      <c r="B21" s="9" t="s">
        <v>753</v>
      </c>
      <c r="C21" s="31" t="s">
        <v>250</v>
      </c>
      <c r="D21" s="9" t="str">
        <f aca="false">INDEX(Articles!$C$2:$C$148,MATCH(C21,Articles!$A$2:$A$148,0))</f>
        <v>Bâton de colle Giotto 10 g</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c r="N21" s="9" t="s">
        <v>167</v>
      </c>
    </row>
    <row r="22" customFormat="false" ht="15" hidden="false" customHeight="false" outlineLevel="0" collapsed="false">
      <c r="A22" s="9" t="s">
        <v>675</v>
      </c>
      <c r="B22" s="9" t="s">
        <v>754</v>
      </c>
      <c r="C22" s="31" t="s">
        <v>233</v>
      </c>
      <c r="D22" s="9" t="str">
        <f aca="false">INDEX(Articles!$C$2:$C$148,MATCH(C22,Articles!$A$2:$A$148,0))</f>
        <v>Ciseaux scolaires bouts ronds</v>
      </c>
      <c r="E22" s="9" t="str">
        <f aca="false">INDEX(Articles!$B$2:$B$148,MATCH(C22,Articles!$A$2:$A$148,0))</f>
        <v>LPD</v>
      </c>
      <c r="F22" s="31" t="n">
        <v>1</v>
      </c>
      <c r="G22" s="13" t="n">
        <f aca="false">IF(INDEX(Articles!$G$2:$G$148,MATCH(C22,Articles!$A$2:$A$148,0))="","",INDEX(Articles!$G$2:$G$148,MATCH(C22,Articles!$A$2:$A$148,0)))</f>
        <v>250</v>
      </c>
      <c r="H22" s="13" t="n">
        <f aca="false">IF(G22="",0,F22*G22)</f>
        <v>250</v>
      </c>
      <c r="I22" s="13" t="n">
        <f aca="false">IF(INDEX(Articles!$E$2:$E$148,MATCH(C22,Articles!$A$2:$A$148,0))="","",INDEX(Articles!$E$2:$E$148,MATCH(C22,Articles!$A$2:$A$148,0)))</f>
        <v>100</v>
      </c>
      <c r="J22" s="13" t="n">
        <f aca="false">IF(I22="","",F22*I22)</f>
        <v>100</v>
      </c>
      <c r="K22" s="9" t="str">
        <f aca="false">INDEX(Articles!$H$2:$H$148,MATCH(C22,Articles!$A$2:$A$148,0))</f>
        <v>Fixé</v>
      </c>
      <c r="L22" s="9" t="str">
        <f aca="false">INDEX(Articles!$F$2:$F$148,MATCH(C22,Articles!$A$2:$A$148,0))</f>
        <v>Estimé</v>
      </c>
      <c r="M22" s="17"/>
      <c r="N22" s="9" t="s">
        <v>167</v>
      </c>
    </row>
    <row r="23" customFormat="false" ht="15" hidden="false" customHeight="false" outlineLevel="0" collapsed="false">
      <c r="A23" s="9" t="s">
        <v>676</v>
      </c>
      <c r="B23" s="9" t="s">
        <v>755</v>
      </c>
      <c r="C23" s="31" t="s">
        <v>239</v>
      </c>
      <c r="D23" s="9" t="str">
        <f aca="false">INDEX(Articles!$C$2:$C$148,MATCH(C23,Articles!$A$2:$A$148,0))</f>
        <v>Kit de traçage 30 cm, 4 pièces L'écolier</v>
      </c>
      <c r="E23" s="9" t="str">
        <f aca="false">INDEX(Articles!$B$2:$B$148,MATCH(C23,Articles!$A$2:$A$148,0))</f>
        <v>Papex</v>
      </c>
      <c r="F23" s="31" t="n">
        <v>1</v>
      </c>
      <c r="G23" s="13" t="n">
        <f aca="false">IF(INDEX(Articles!$G$2:$G$148,MATCH(C23,Articles!$A$2:$A$148,0))="","",INDEX(Articles!$G$2:$G$148,MATCH(C23,Articles!$A$2:$A$148,0)))</f>
        <v>900</v>
      </c>
      <c r="H23" s="13" t="n">
        <f aca="false">IF(G23="",0,F23*G23)</f>
        <v>900</v>
      </c>
      <c r="I23" s="13" t="n">
        <f aca="false">IF(INDEX(Articles!$E$2:$E$148,MATCH(C23,Articles!$A$2:$A$148,0))="","",INDEX(Articles!$E$2:$E$148,MATCH(C23,Articles!$A$2:$A$148,0)))</f>
        <v>650</v>
      </c>
      <c r="J23" s="13" t="n">
        <f aca="false">IF(I23="","",F23*I23)</f>
        <v>650</v>
      </c>
      <c r="K23" s="9" t="str">
        <f aca="false">INDEX(Articles!$H$2:$H$148,MATCH(C23,Articles!$A$2:$A$148,0))</f>
        <v>Estimé</v>
      </c>
      <c r="L23" s="9" t="str">
        <f aca="false">INDEX(Articles!$F$2:$F$148,MATCH(C23,Articles!$A$2:$A$148,0))</f>
        <v>Confirmé</v>
      </c>
      <c r="M23" s="17"/>
      <c r="N23" s="9" t="s">
        <v>167</v>
      </c>
    </row>
    <row r="24" customFormat="false" ht="15" hidden="false" customHeight="false" outlineLevel="0" collapsed="false">
      <c r="A24" s="9" t="s">
        <v>676</v>
      </c>
      <c r="B24" s="9" t="s">
        <v>756</v>
      </c>
      <c r="C24" s="31" t="s">
        <v>217</v>
      </c>
      <c r="D24" s="9" t="str">
        <f aca="false">INDEX(Articles!$C$2:$C$148,MATCH(C24,Articles!$A$2:$A$148,0))</f>
        <v>Compas de précision avec étui</v>
      </c>
      <c r="E24" s="9" t="str">
        <f aca="false">INDEX(Articles!$B$2:$B$148,MATCH(C24,Articles!$A$2:$A$148,0))</f>
        <v>LPD</v>
      </c>
      <c r="F24" s="31" t="n">
        <v>1</v>
      </c>
      <c r="G24" s="13" t="n">
        <f aca="false">IF(INDEX(Articles!$G$2:$G$148,MATCH(C24,Articles!$A$2:$A$148,0))="","",INDEX(Articles!$G$2:$G$148,MATCH(C24,Articles!$A$2:$A$148,0)))</f>
        <v>600</v>
      </c>
      <c r="H24" s="13" t="n">
        <f aca="false">IF(G24="",0,F24*G24)</f>
        <v>600</v>
      </c>
      <c r="I24" s="13" t="n">
        <f aca="false">IF(INDEX(Articles!$E$2:$E$148,MATCH(C24,Articles!$A$2:$A$148,0))="","",INDEX(Articles!$E$2:$E$148,MATCH(C24,Articles!$A$2:$A$148,0)))</f>
        <v>450</v>
      </c>
      <c r="J24" s="13" t="n">
        <f aca="false">IF(I24="","",F24*I24)</f>
        <v>450</v>
      </c>
      <c r="K24" s="9" t="str">
        <f aca="false">INDEX(Articles!$H$2:$H$148,MATCH(C24,Articles!$A$2:$A$148,0))</f>
        <v>Fixé</v>
      </c>
      <c r="L24" s="9" t="str">
        <f aca="false">INDEX(Articles!$F$2:$F$148,MATCH(C24,Articles!$A$2:$A$148,0))</f>
        <v>Estimé</v>
      </c>
      <c r="M24" s="17"/>
      <c r="N24" s="9" t="s">
        <v>167</v>
      </c>
    </row>
    <row r="25" customFormat="false" ht="15" hidden="false" customHeight="false" outlineLevel="0" collapsed="false">
      <c r="A25" s="9" t="s">
        <v>681</v>
      </c>
      <c r="B25" s="9" t="s">
        <v>757</v>
      </c>
      <c r="C25" s="31" t="s">
        <v>198</v>
      </c>
      <c r="D25" s="9" t="str">
        <f aca="false">INDEX(Articles!$C$2:$C$148,MATCH(C25,Articles!$A$2:$A$148,0))</f>
        <v>Crayons de couleur Maped, boîte de 12</v>
      </c>
      <c r="E25" s="9" t="str">
        <f aca="false">INDEX(Articles!$B$2:$B$148,MATCH(C25,Articles!$A$2:$A$148,0))</f>
        <v>Papex</v>
      </c>
      <c r="F25" s="31" t="n">
        <v>1</v>
      </c>
      <c r="G25" s="13" t="n">
        <f aca="false">IF(INDEX(Articles!$G$2:$G$148,MATCH(C25,Articles!$A$2:$A$148,0))="","",INDEX(Articles!$G$2:$G$148,MATCH(C25,Articles!$A$2:$A$148,0)))</f>
        <v>900</v>
      </c>
      <c r="H25" s="13" t="n">
        <f aca="false">IF(G25="",0,F25*G25)</f>
        <v>900</v>
      </c>
      <c r="I25" s="13" t="n">
        <f aca="false">IF(INDEX(Articles!$E$2:$E$148,MATCH(C25,Articles!$A$2:$A$148,0))="","",INDEX(Articles!$E$2:$E$148,MATCH(C25,Articles!$A$2:$A$148,0)))</f>
        <v>650</v>
      </c>
      <c r="J25" s="13" t="n">
        <f aca="false">IF(I25="","",F25*I25)</f>
        <v>650</v>
      </c>
      <c r="K25" s="9" t="str">
        <f aca="false">INDEX(Articles!$H$2:$H$148,MATCH(C25,Articles!$A$2:$A$148,0))</f>
        <v>Estimé</v>
      </c>
      <c r="L25" s="9" t="str">
        <f aca="false">INDEX(Articles!$F$2:$F$148,MATCH(C25,Articles!$A$2:$A$148,0))</f>
        <v>Estimé</v>
      </c>
      <c r="M25" s="17"/>
      <c r="N25" s="9" t="s">
        <v>167</v>
      </c>
    </row>
    <row r="26" customFormat="false" ht="15" hidden="false" customHeight="false" outlineLevel="0" collapsed="false">
      <c r="A26" s="9" t="s">
        <v>676</v>
      </c>
      <c r="B26" s="9" t="s">
        <v>812</v>
      </c>
      <c r="C26" s="31" t="s">
        <v>242</v>
      </c>
      <c r="D26" s="9" t="str">
        <f aca="false">INDEX(Articles!$C$2:$C$148,MATCH(C26,Articles!$A$2:$A$148,0))</f>
        <v>Calculatrice scientifique Parpn YH-2000</v>
      </c>
      <c r="E26" s="9" t="str">
        <f aca="false">INDEX(Articles!$B$2:$B$148,MATCH(C26,Articles!$A$2:$A$148,0))</f>
        <v>LPD</v>
      </c>
      <c r="F26" s="31" t="n">
        <v>1</v>
      </c>
      <c r="G26" s="13" t="n">
        <f aca="false">IF(INDEX(Articles!$G$2:$G$148,MATCH(C26,Articles!$A$2:$A$148,0))="","",INDEX(Articles!$G$2:$G$148,MATCH(C26,Articles!$A$2:$A$148,0)))</f>
        <v>1400</v>
      </c>
      <c r="H26" s="13" t="n">
        <f aca="false">IF(G26="",0,F26*G26)</f>
        <v>1400</v>
      </c>
      <c r="I26" s="13" t="n">
        <f aca="false">IF(INDEX(Articles!$E$2:$E$148,MATCH(C26,Articles!$A$2:$A$148,0))="","",INDEX(Articles!$E$2:$E$148,MATCH(C26,Articles!$A$2:$A$148,0)))</f>
        <v>1100</v>
      </c>
      <c r="J26" s="13" t="n">
        <f aca="false">IF(I26="","",F26*I26)</f>
        <v>1100</v>
      </c>
      <c r="K26" s="9" t="str">
        <f aca="false">INDEX(Articles!$H$2:$H$148,MATCH(C26,Articles!$A$2:$A$148,0))</f>
        <v>Fixé</v>
      </c>
      <c r="L26" s="9" t="str">
        <f aca="false">INDEX(Articles!$F$2:$F$148,MATCH(C26,Articles!$A$2:$A$148,0))</f>
        <v>Confirmé</v>
      </c>
      <c r="M26" s="17" t="s">
        <v>813</v>
      </c>
      <c r="N26" s="9" t="s">
        <v>167</v>
      </c>
    </row>
    <row r="27" customFormat="false" ht="15" hidden="false" customHeight="false" outlineLevel="0" collapsed="false">
      <c r="A27" s="9" t="s">
        <v>758</v>
      </c>
      <c r="B27" s="9" t="s">
        <v>759</v>
      </c>
      <c r="C27" s="31" t="s">
        <v>376</v>
      </c>
      <c r="D27" s="9" t="str">
        <f aca="false">INDEX(Articles!$C$2:$C$148,MATCH(C27,Articles!$A$2:$A$148,0))</f>
        <v>Paquet de copies doubles grand format</v>
      </c>
      <c r="E27" s="9" t="str">
        <f aca="false">INDEX(Articles!$B$2:$B$148,MATCH(C27,Articles!$A$2:$A$148,0))</f>
        <v>À préciser</v>
      </c>
      <c r="F27" s="31" t="n">
        <v>1</v>
      </c>
      <c r="G27" s="45" t="n">
        <f aca="false">IF(INDEX(Articles!$G$2:$G$148,MATCH(C27,Articles!$A$2:$A$148,0))="","",INDEX(Articles!$G$2:$G$148,MATCH(C27,Articles!$A$2:$A$148,0)))</f>
        <v>1800</v>
      </c>
      <c r="H27" s="13" t="n">
        <f aca="false">IF(G27="",0,F27*G27)</f>
        <v>1800</v>
      </c>
      <c r="I27" s="13" t="n">
        <f aca="false">IF(INDEX(Articles!$E$2:$E$148,MATCH(C27,Articles!$A$2:$A$148,0))="","",INDEX(Articles!$E$2:$E$148,MATCH(C27,Articles!$A$2:$A$148,0)))</f>
        <v>1300</v>
      </c>
      <c r="J27" s="13" t="n">
        <f aca="false">IF(I27="","",F27*I27)</f>
        <v>1300</v>
      </c>
      <c r="K27" s="9" t="str">
        <f aca="false">INDEX(Articles!$H$2:$H$148,MATCH(C27,Articles!$A$2:$A$148,0))</f>
        <v>Fixé</v>
      </c>
      <c r="L27" s="9" t="str">
        <f aca="false">INDEX(Articles!$F$2:$F$148,MATCH(C27,Articles!$A$2:$A$148,0))</f>
        <v>Confirmé</v>
      </c>
      <c r="M27" s="17"/>
      <c r="N27" s="9" t="s">
        <v>167</v>
      </c>
    </row>
    <row r="28" customFormat="false" ht="15" hidden="false" customHeight="false" outlineLevel="0" collapsed="false">
      <c r="D28" s="32" t="s">
        <v>683</v>
      </c>
      <c r="E28" s="32"/>
      <c r="F28" s="32"/>
      <c r="G28" s="32"/>
      <c r="H28" s="33" t="n">
        <f aca="false">COUNTIF(G6:G27,"")</f>
        <v>0</v>
      </c>
    </row>
    <row r="29" customFormat="false" ht="15" hidden="false" customHeight="false" outlineLevel="0" collapsed="false">
      <c r="D29" s="32" t="s">
        <v>684</v>
      </c>
      <c r="E29" s="32"/>
      <c r="F29" s="32"/>
      <c r="G29" s="32"/>
      <c r="H29" s="33" t="n">
        <f aca="false">SUM(H6:H27)</f>
        <v>12975</v>
      </c>
    </row>
    <row r="30" customFormat="false" ht="15" hidden="false" customHeight="false" outlineLevel="0" collapsed="false">
      <c r="D30" s="32" t="s">
        <v>28</v>
      </c>
      <c r="E30" s="32"/>
      <c r="F30" s="32"/>
      <c r="G30" s="32"/>
      <c r="H30" s="33" t="n">
        <f aca="false">SUM(J6:J27)</f>
        <v>9360</v>
      </c>
    </row>
    <row r="31" customFormat="false" ht="15" hidden="false" customHeight="false" outlineLevel="0" collapsed="false">
      <c r="D31" s="32" t="s">
        <v>685</v>
      </c>
      <c r="E31" s="32"/>
      <c r="F31" s="32"/>
      <c r="G31" s="32"/>
      <c r="H31" s="33" t="n">
        <f aca="false">COUNTIF(I6:I27,"")</f>
        <v>2</v>
      </c>
    </row>
    <row r="32" customFormat="false" ht="15" hidden="false" customHeight="false" outlineLevel="0" collapsed="false">
      <c r="D32" s="32" t="s">
        <v>686</v>
      </c>
      <c r="E32" s="32"/>
      <c r="F32" s="32"/>
      <c r="G32" s="32"/>
      <c r="H32" s="33" t="n">
        <f aca="false">SUMPRODUCT((I6:I27&lt;&gt;"")*H6:H27)-H30</f>
        <v>3140</v>
      </c>
    </row>
    <row r="33" customFormat="false" ht="15" hidden="false" customHeight="false" outlineLevel="0" collapsed="false">
      <c r="D33" s="32" t="s">
        <v>687</v>
      </c>
      <c r="E33" s="32"/>
      <c r="F33" s="32"/>
      <c r="G33" s="32"/>
      <c r="H33" s="33" t="n">
        <f aca="false">SUMIF(A6:A27,"Cahiers",F6:F27)</f>
        <v>11</v>
      </c>
    </row>
    <row r="34" customFormat="false" ht="15" hidden="false" customHeight="false" outlineLevel="0" collapsed="false">
      <c r="D34" s="32" t="s">
        <v>688</v>
      </c>
      <c r="E34" s="32"/>
      <c r="F34" s="32"/>
      <c r="G34" s="32"/>
      <c r="H34" s="34" t="n">
        <f aca="false">IF(H29=0,0,SUMIF(K6:K27,"&lt;&gt;Fixé",H6:H27)/H29)</f>
        <v>0.5626204238921</v>
      </c>
    </row>
    <row r="35" customFormat="false" ht="15" hidden="false" customHeight="false" outlineLevel="0" collapsed="false">
      <c r="D35" s="32" t="s">
        <v>689</v>
      </c>
      <c r="E35" s="32"/>
      <c r="F35" s="32"/>
      <c r="G35" s="32"/>
      <c r="H35" s="33" t="str">
        <f aca="false">IF(H28&gt;0,"Total incomplet : "&amp;H28&amp;" prix de vente à fournir",IF(H31&gt;0,"Coût incomplet : "&amp;H31&amp;" ligne(s) sans prix d'achat","Complet"))</f>
        <v>Coût incomplet : 2 ligne(s) sans prix d'achat</v>
      </c>
    </row>
    <row r="37" customFormat="false" ht="15" hidden="false" customHeight="false" outlineLevel="0" collapsed="false">
      <c r="D37" s="35" t="s">
        <v>690</v>
      </c>
    </row>
    <row r="38" customFormat="false" ht="15" hidden="false" customHeight="false" outlineLevel="0" collapsed="false">
      <c r="A38" s="36" t="s">
        <v>760</v>
      </c>
      <c r="B38" s="36" t="s">
        <v>883</v>
      </c>
      <c r="C38" s="31" t="s">
        <v>504</v>
      </c>
      <c r="D38" s="36" t="str">
        <f aca="false">INDEX(Articles!$C$2:$C$148,MATCH(C38,Articles!$A$2:$A$148,0))</f>
        <v>Une vie de boy (Ferdinand Oyono)</v>
      </c>
      <c r="E38" s="37"/>
      <c r="F38" s="37"/>
      <c r="G38" s="38" t="n">
        <f aca="false">INDEX(Articles!$G$2:$G$148,MATCH(C38,Articles!$A$2:$A$148,0))</f>
        <v>2800</v>
      </c>
      <c r="H38" s="37"/>
      <c r="I38" s="37"/>
      <c r="J38" s="37"/>
      <c r="K38" s="37"/>
      <c r="L38" s="37"/>
      <c r="M38" s="37"/>
      <c r="N38" s="39" t="s">
        <v>271</v>
      </c>
    </row>
    <row r="39" customFormat="false" ht="15" hidden="false" customHeight="false" outlineLevel="0" collapsed="false">
      <c r="A39" s="36" t="s">
        <v>760</v>
      </c>
      <c r="B39" s="36" t="s">
        <v>884</v>
      </c>
      <c r="C39" s="31" t="s">
        <v>506</v>
      </c>
      <c r="D39" s="36" t="str">
        <f aca="false">INDEX(Articles!$C$2:$C$148,MATCH(C39,Articles!$A$2:$A$148,0))</f>
        <v>Le Père Goriot (Balzac)</v>
      </c>
      <c r="E39" s="37"/>
      <c r="F39" s="37"/>
      <c r="G39" s="38" t="n">
        <f aca="false">INDEX(Articles!$G$2:$G$148,MATCH(C39,Articles!$A$2:$A$148,0))</f>
        <v>2800</v>
      </c>
      <c r="H39" s="37"/>
      <c r="I39" s="37"/>
      <c r="J39" s="37"/>
      <c r="K39" s="37"/>
      <c r="L39" s="37"/>
      <c r="M39" s="37"/>
      <c r="N39" s="39" t="s">
        <v>271</v>
      </c>
    </row>
    <row r="40" customFormat="false" ht="15" hidden="false" customHeight="false" outlineLevel="0" collapsed="false">
      <c r="A40" s="36" t="s">
        <v>760</v>
      </c>
      <c r="B40" s="36" t="s">
        <v>884</v>
      </c>
      <c r="C40" s="31" t="s">
        <v>508</v>
      </c>
      <c r="D40" s="36" t="str">
        <f aca="false">INDEX(Articles!$C$2:$C$148,MATCH(C40,Articles!$A$2:$A$148,0))</f>
        <v>Madame Bovary (Flaubert)</v>
      </c>
      <c r="E40" s="37"/>
      <c r="F40" s="37"/>
      <c r="G40" s="38" t="n">
        <f aca="false">INDEX(Articles!$G$2:$G$148,MATCH(C40,Articles!$A$2:$A$148,0))</f>
        <v>2800</v>
      </c>
      <c r="H40" s="37"/>
      <c r="I40" s="37"/>
      <c r="J40" s="37"/>
      <c r="K40" s="37"/>
      <c r="L40" s="37"/>
      <c r="M40" s="37"/>
      <c r="N40" s="39" t="s">
        <v>271</v>
      </c>
    </row>
    <row r="41" customFormat="false" ht="15" hidden="false" customHeight="false" outlineLevel="0" collapsed="false">
      <c r="D41" s="40" t="s">
        <v>695</v>
      </c>
      <c r="H41" s="33" t="n">
        <f aca="false">H29+SUM(G38:G40)</f>
        <v>21375</v>
      </c>
    </row>
    <row r="42" customFormat="false" ht="15" hidden="false" customHeight="false" outlineLevel="0" collapsed="false">
      <c r="D42" s="21" t="s">
        <v>696</v>
      </c>
      <c r="E42" s="21" t="str">
        <f aca="false">INDEX(Articles!$C$2:$C$148,MATCH("S020",Articles!$A$2:$A$148,0))</f>
        <v>Sac à dos bleu marine</v>
      </c>
      <c r="H42" s="41" t="n">
        <f aca="false">INDEX(Articles!$G$2:$G$148,MATCH("S020",Articles!$A$2:$A$148,0))</f>
        <v>7000</v>
      </c>
    </row>
    <row r="43" customFormat="false" ht="15" hidden="false" customHeight="false" outlineLevel="0" collapsed="false">
      <c r="D43" s="42" t="s">
        <v>697</v>
      </c>
      <c r="E43" s="44" t="s">
        <v>711</v>
      </c>
    </row>
    <row r="46" customFormat="false" ht="15" hidden="false" customHeight="false" outlineLevel="0" collapsed="false">
      <c r="A46" s="28" t="s">
        <v>896</v>
      </c>
      <c r="B46" s="29"/>
      <c r="C46" s="29"/>
      <c r="D46" s="29"/>
      <c r="E46" s="29"/>
      <c r="F46" s="29"/>
      <c r="G46" s="29"/>
      <c r="H46" s="29"/>
      <c r="I46" s="29"/>
      <c r="J46" s="29"/>
      <c r="K46" s="29"/>
      <c r="L46" s="29"/>
      <c r="M46" s="29"/>
      <c r="N46" s="29"/>
    </row>
    <row r="47" customFormat="false" ht="39.55" hidden="false" customHeight="false" outlineLevel="0" collapsed="false">
      <c r="A47" s="30" t="s">
        <v>663</v>
      </c>
      <c r="B47" s="30" t="s">
        <v>664</v>
      </c>
      <c r="C47" s="30" t="s">
        <v>348</v>
      </c>
      <c r="D47" s="30" t="s">
        <v>350</v>
      </c>
      <c r="E47" s="30" t="s">
        <v>349</v>
      </c>
      <c r="F47" s="30" t="s">
        <v>665</v>
      </c>
      <c r="G47" s="30" t="s">
        <v>666</v>
      </c>
      <c r="H47" s="30" t="s">
        <v>667</v>
      </c>
      <c r="I47" s="30" t="s">
        <v>668</v>
      </c>
      <c r="J47" s="30" t="s">
        <v>669</v>
      </c>
      <c r="K47" s="30" t="s">
        <v>355</v>
      </c>
      <c r="L47" s="30" t="s">
        <v>353</v>
      </c>
      <c r="M47" s="30" t="s">
        <v>356</v>
      </c>
      <c r="N47" s="30" t="s">
        <v>670</v>
      </c>
    </row>
    <row r="48" customFormat="false" ht="15" hidden="false" customHeight="false" outlineLevel="0" collapsed="false">
      <c r="A48" s="9" t="s">
        <v>671</v>
      </c>
      <c r="B48" s="9" t="s">
        <v>745</v>
      </c>
      <c r="C48" s="31" t="s">
        <v>213</v>
      </c>
      <c r="D48" s="9" t="str">
        <f aca="false">INDEX(Articles!$C$2:$C$148,MATCH(C48,Articles!$A$2:$A$148,0))</f>
        <v>Cahier Calligraphe 192 pages 24x32 (grand format)</v>
      </c>
      <c r="E48" s="9" t="str">
        <f aca="false">INDEX(Articles!$B$2:$B$148,MATCH(C48,Articles!$A$2:$A$148,0))</f>
        <v>Papex</v>
      </c>
      <c r="F48" s="31" t="n">
        <v>1</v>
      </c>
      <c r="G48" s="13" t="n">
        <f aca="false">IF(INDEX(Articles!$G$2:$G$148,MATCH(C48,Articles!$A$2:$A$148,0))="","",INDEX(Articles!$G$2:$G$148,MATCH(C48,Articles!$A$2:$A$148,0)))</f>
        <v>1650</v>
      </c>
      <c r="H48" s="13" t="n">
        <f aca="false">IF(G48="",0,F48*G48)</f>
        <v>1650</v>
      </c>
      <c r="I48" s="13" t="n">
        <f aca="false">IF(INDEX(Articles!$E$2:$E$148,MATCH(C48,Articles!$A$2:$A$148,0))="","",INDEX(Articles!$E$2:$E$148,MATCH(C48,Articles!$A$2:$A$148,0)))</f>
        <v>1500</v>
      </c>
      <c r="J48" s="13" t="n">
        <f aca="false">IF(I48="","",F48*I48)</f>
        <v>1500</v>
      </c>
      <c r="K48" s="9" t="str">
        <f aca="false">INDEX(Articles!$H$2:$H$148,MATCH(C48,Articles!$A$2:$A$148,0))</f>
        <v>Fixé</v>
      </c>
      <c r="L48" s="9" t="str">
        <f aca="false">INDEX(Articles!$F$2:$F$148,MATCH(C48,Articles!$A$2:$A$148,0))</f>
        <v>Confirmé</v>
      </c>
      <c r="M48" s="17"/>
      <c r="N48" s="9" t="s">
        <v>167</v>
      </c>
    </row>
    <row r="49" customFormat="false" ht="15" hidden="false" customHeight="false" outlineLevel="0" collapsed="false">
      <c r="A49" s="9" t="s">
        <v>671</v>
      </c>
      <c r="B49" s="9" t="s">
        <v>850</v>
      </c>
      <c r="C49" s="31" t="s">
        <v>208</v>
      </c>
      <c r="D49" s="9" t="str">
        <f aca="false">INDEX(Articles!$C$2:$C$148,MATCH(C49,Articles!$A$2:$A$148,0))</f>
        <v>Cahier Calligraphe 96 pages 24x32 (grand format)</v>
      </c>
      <c r="E49" s="9" t="str">
        <f aca="false">INDEX(Articles!$B$2:$B$148,MATCH(C49,Articles!$A$2:$A$148,0))</f>
        <v>Papex</v>
      </c>
      <c r="F49" s="31" t="n">
        <v>1</v>
      </c>
      <c r="G49" s="13" t="n">
        <f aca="false">IF(INDEX(Articles!$G$2:$G$148,MATCH(C49,Articles!$A$2:$A$148,0))="","",INDEX(Articles!$G$2:$G$148,MATCH(C49,Articles!$A$2:$A$148,0)))</f>
        <v>1350</v>
      </c>
      <c r="H49" s="13" t="n">
        <f aca="false">IF(G49="",0,F49*G49)</f>
        <v>1350</v>
      </c>
      <c r="I49" s="13" t="n">
        <f aca="false">IF(INDEX(Articles!$E$2:$E$148,MATCH(C49,Articles!$A$2:$A$148,0))="","",INDEX(Articles!$E$2:$E$148,MATCH(C49,Articles!$A$2:$A$148,0)))</f>
        <v>1000</v>
      </c>
      <c r="J49" s="13" t="n">
        <f aca="false">IF(I49="","",F49*I49)</f>
        <v>1000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744</v>
      </c>
      <c r="C50" s="31" t="s">
        <v>213</v>
      </c>
      <c r="D50" s="9" t="str">
        <f aca="false">INDEX(Articles!$C$2:$C$148,MATCH(C50,Articles!$A$2:$A$148,0))</f>
        <v>Cahier Calligraphe 192 pages 24x32 (grand format)</v>
      </c>
      <c r="E50" s="9" t="str">
        <f aca="false">INDEX(Articles!$B$2:$B$148,MATCH(C50,Articles!$A$2:$A$148,0))</f>
        <v>Papex</v>
      </c>
      <c r="F50" s="31" t="n">
        <v>1</v>
      </c>
      <c r="G50" s="13" t="n">
        <f aca="false">IF(INDEX(Articles!$G$2:$G$148,MATCH(C50,Articles!$A$2:$A$148,0))="","",INDEX(Articles!$G$2:$G$148,MATCH(C50,Articles!$A$2:$A$148,0)))</f>
        <v>1650</v>
      </c>
      <c r="H50" s="13" t="n">
        <f aca="false">IF(G50="",0,F50*G50)</f>
        <v>1650</v>
      </c>
      <c r="I50" s="13" t="n">
        <f aca="false">IF(INDEX(Articles!$E$2:$E$148,MATCH(C50,Articles!$A$2:$A$148,0))="","",INDEX(Articles!$E$2:$E$148,MATCH(C50,Articles!$A$2:$A$148,0)))</f>
        <v>1500</v>
      </c>
      <c r="J50" s="13" t="n">
        <f aca="false">IF(I50="","",F50*I50)</f>
        <v>1500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854</v>
      </c>
      <c r="C51" s="31" t="s">
        <v>366</v>
      </c>
      <c r="D51" s="9" t="str">
        <f aca="false">INDEX(Articles!$C$2:$C$148,MATCH(C51,Articles!$A$2:$A$148,0))</f>
        <v>Cahier Calligraphe 140 pages 17x22 90 g seyès</v>
      </c>
      <c r="E51" s="9" t="str">
        <f aca="false">INDEX(Articles!$B$2:$B$148,MATCH(C51,Articles!$A$2:$A$148,0))</f>
        <v>Papex</v>
      </c>
      <c r="F51" s="31" t="n">
        <v>1</v>
      </c>
      <c r="G51" s="13" t="n">
        <f aca="false">IF(INDEX(Articles!$G$2:$G$148,MATCH(C51,Articles!$A$2:$A$148,0))="","",INDEX(Articles!$G$2:$G$148,MATCH(C51,Articles!$A$2:$A$148,0)))</f>
        <v>750</v>
      </c>
      <c r="H51" s="13" t="n">
        <f aca="false">IF(G51="",0,F51*G51)</f>
        <v>750</v>
      </c>
      <c r="I51" s="13" t="n">
        <f aca="false">IF(INDEX(Articles!$E$2:$E$148,MATCH(C51,Articles!$A$2:$A$148,0))="","",INDEX(Articles!$E$2:$E$148,MATCH(C51,Articles!$A$2:$A$148,0)))</f>
        <v>650</v>
      </c>
      <c r="J51" s="13" t="n">
        <f aca="false">IF(I51="","",F51*I51)</f>
        <v>650</v>
      </c>
      <c r="K51" s="9" t="str">
        <f aca="false">INDEX(Articles!$H$2:$H$148,MATCH(C51,Articles!$A$2:$A$148,0))</f>
        <v>Fixé</v>
      </c>
      <c r="L51" s="9" t="str">
        <f aca="false">INDEX(Articles!$F$2:$F$148,MATCH(C51,Articles!$A$2:$A$148,0))</f>
        <v>Estimé</v>
      </c>
      <c r="M51" s="17" t="s">
        <v>763</v>
      </c>
      <c r="N51" s="9" t="s">
        <v>167</v>
      </c>
    </row>
    <row r="52" customFormat="false" ht="15" hidden="false" customHeight="false" outlineLevel="0" collapsed="false">
      <c r="A52" s="9" t="s">
        <v>671</v>
      </c>
      <c r="B52" s="9" t="s">
        <v>737</v>
      </c>
      <c r="C52" s="31" t="s">
        <v>213</v>
      </c>
      <c r="D52" s="9" t="str">
        <f aca="false">INDEX(Articles!$C$2:$C$148,MATCH(C52,Articles!$A$2:$A$148,0))</f>
        <v>Cahier Calligraphe 192 pages 24x32 (grand format)</v>
      </c>
      <c r="E52" s="9" t="str">
        <f aca="false">INDEX(Articles!$B$2:$B$148,MATCH(C52,Articles!$A$2:$A$148,0))</f>
        <v>Papex</v>
      </c>
      <c r="F52" s="31" t="n">
        <v>1</v>
      </c>
      <c r="G52" s="13" t="n">
        <f aca="false">IF(INDEX(Articles!$G$2:$G$148,MATCH(C52,Articles!$A$2:$A$148,0))="","",INDEX(Articles!$G$2:$G$148,MATCH(C52,Articles!$A$2:$A$148,0)))</f>
        <v>1650</v>
      </c>
      <c r="H52" s="13" t="n">
        <f aca="false">IF(G52="",0,F52*G52)</f>
        <v>1650</v>
      </c>
      <c r="I52" s="13" t="n">
        <f aca="false">IF(INDEX(Articles!$E$2:$E$148,MATCH(C52,Articles!$A$2:$A$148,0))="","",INDEX(Articles!$E$2:$E$148,MATCH(C52,Articles!$A$2:$A$148,0)))</f>
        <v>1500</v>
      </c>
      <c r="J52" s="13" t="n">
        <f aca="false">IF(I52="","",F52*I52)</f>
        <v>1500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739</v>
      </c>
      <c r="C53" s="31" t="s">
        <v>192</v>
      </c>
      <c r="D53" s="9" t="str">
        <f aca="false">INDEX(Articles!$C$2:$C$148,MATCH(C53,Articles!$A$2:$A$148,0))</f>
        <v>Cahier Calligraphe 192 pages 17x22 90 g seyès</v>
      </c>
      <c r="E53" s="9" t="str">
        <f aca="false">INDEX(Articles!$B$2:$B$148,MATCH(C53,Articles!$A$2:$A$148,0))</f>
        <v>Papex</v>
      </c>
      <c r="F53" s="31" t="n">
        <v>1</v>
      </c>
      <c r="G53" s="13" t="n">
        <f aca="false">IF(INDEX(Articles!$G$2:$G$148,MATCH(C53,Articles!$A$2:$A$148,0))="","",INDEX(Articles!$G$2:$G$148,MATCH(C53,Articles!$A$2:$A$148,0)))</f>
        <v>900</v>
      </c>
      <c r="H53" s="13" t="n">
        <f aca="false">IF(G53="",0,F53*G53)</f>
        <v>900</v>
      </c>
      <c r="I53" s="13" t="n">
        <f aca="false">IF(INDEX(Articles!$E$2:$E$148,MATCH(C53,Articles!$A$2:$A$148,0))="","",INDEX(Articles!$E$2:$E$148,MATCH(C53,Articles!$A$2:$A$148,0)))</f>
        <v>800</v>
      </c>
      <c r="J53" s="13" t="n">
        <f aca="false">IF(I53="","",F53*I53)</f>
        <v>800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742</v>
      </c>
      <c r="C54" s="31" t="s">
        <v>213</v>
      </c>
      <c r="D54" s="9" t="str">
        <f aca="false">INDEX(Articles!$C$2:$C$148,MATCH(C54,Articles!$A$2:$A$148,0))</f>
        <v>Cahier Calligraphe 192 pages 24x32 (grand format)</v>
      </c>
      <c r="E54" s="9" t="str">
        <f aca="false">INDEX(Articles!$B$2:$B$148,MATCH(C54,Articles!$A$2:$A$148,0))</f>
        <v>Papex</v>
      </c>
      <c r="F54" s="31" t="n">
        <v>1</v>
      </c>
      <c r="G54" s="13" t="n">
        <f aca="false">IF(INDEX(Articles!$G$2:$G$148,MATCH(C54,Articles!$A$2:$A$148,0))="","",INDEX(Articles!$G$2:$G$148,MATCH(C54,Articles!$A$2:$A$148,0)))</f>
        <v>1650</v>
      </c>
      <c r="H54" s="13" t="n">
        <f aca="false">IF(G54="",0,F54*G54)</f>
        <v>1650</v>
      </c>
      <c r="I54" s="13" t="n">
        <f aca="false">IF(INDEX(Articles!$E$2:$E$148,MATCH(C54,Articles!$A$2:$A$148,0))="","",INDEX(Articles!$E$2:$E$148,MATCH(C54,Articles!$A$2:$A$148,0)))</f>
        <v>1500</v>
      </c>
      <c r="J54" s="13" t="n">
        <f aca="false">IF(I54="","",F54*I54)</f>
        <v>1500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852</v>
      </c>
      <c r="C55" s="31" t="s">
        <v>366</v>
      </c>
      <c r="D55" s="9" t="str">
        <f aca="false">INDEX(Articles!$C$2:$C$148,MATCH(C55,Articles!$A$2:$A$148,0))</f>
        <v>Cahier Calligraphe 140 pages 17x22 90 g seyès</v>
      </c>
      <c r="E55" s="9" t="str">
        <f aca="false">INDEX(Articles!$B$2:$B$148,MATCH(C55,Articles!$A$2:$A$148,0))</f>
        <v>Papex</v>
      </c>
      <c r="F55" s="31" t="n">
        <v>1</v>
      </c>
      <c r="G55" s="13" t="n">
        <f aca="false">IF(INDEX(Articles!$G$2:$G$148,MATCH(C55,Articles!$A$2:$A$148,0))="","",INDEX(Articles!$G$2:$G$148,MATCH(C55,Articles!$A$2:$A$148,0)))</f>
        <v>750</v>
      </c>
      <c r="H55" s="13" t="n">
        <f aca="false">IF(G55="",0,F55*G55)</f>
        <v>750</v>
      </c>
      <c r="I55" s="13" t="n">
        <f aca="false">IF(INDEX(Articles!$E$2:$E$148,MATCH(C55,Articles!$A$2:$A$148,0))="","",INDEX(Articles!$E$2:$E$148,MATCH(C55,Articles!$A$2:$A$148,0)))</f>
        <v>650</v>
      </c>
      <c r="J55" s="13" t="n">
        <f aca="false">IF(I55="","",F55*I55)</f>
        <v>650</v>
      </c>
      <c r="K55" s="9" t="str">
        <f aca="false">INDEX(Articles!$H$2:$H$148,MATCH(C55,Articles!$A$2:$A$148,0))</f>
        <v>Fixé</v>
      </c>
      <c r="L55" s="9" t="str">
        <f aca="false">INDEX(Articles!$F$2:$F$148,MATCH(C55,Articles!$A$2:$A$148,0))</f>
        <v>Estimé</v>
      </c>
      <c r="M55" s="17" t="s">
        <v>763</v>
      </c>
      <c r="N55" s="9" t="s">
        <v>167</v>
      </c>
    </row>
    <row r="56" customFormat="false" ht="15" hidden="false" customHeight="false" outlineLevel="0" collapsed="false">
      <c r="A56" s="9" t="s">
        <v>671</v>
      </c>
      <c r="B56" s="9" t="s">
        <v>855</v>
      </c>
      <c r="C56" s="31" t="s">
        <v>208</v>
      </c>
      <c r="D56" s="9" t="str">
        <f aca="false">INDEX(Articles!$C$2:$C$148,MATCH(C56,Articles!$A$2:$A$148,0))</f>
        <v>Cahier Calligraphe 96 pages 24x32 (grand format)</v>
      </c>
      <c r="E56" s="9" t="str">
        <f aca="false">INDEX(Articles!$B$2:$B$148,MATCH(C56,Articles!$A$2:$A$148,0))</f>
        <v>Papex</v>
      </c>
      <c r="F56" s="31" t="n">
        <v>1</v>
      </c>
      <c r="G56" s="13" t="n">
        <f aca="false">IF(INDEX(Articles!$G$2:$G$148,MATCH(C56,Articles!$A$2:$A$148,0))="","",INDEX(Articles!$G$2:$G$148,MATCH(C56,Articles!$A$2:$A$148,0)))</f>
        <v>1350</v>
      </c>
      <c r="H56" s="13" t="n">
        <f aca="false">IF(G56="",0,F56*G56)</f>
        <v>1350</v>
      </c>
      <c r="I56" s="13" t="n">
        <f aca="false">IF(INDEX(Articles!$E$2:$E$148,MATCH(C56,Articles!$A$2:$A$148,0))="","",INDEX(Articles!$E$2:$E$148,MATCH(C56,Articles!$A$2:$A$148,0)))</f>
        <v>1000</v>
      </c>
      <c r="J56" s="13" t="n">
        <f aca="false">IF(I56="","",F56*I56)</f>
        <v>1000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853</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831</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678</v>
      </c>
      <c r="B59" s="9" t="s">
        <v>749</v>
      </c>
      <c r="C59" s="31" t="s">
        <v>222</v>
      </c>
      <c r="D59" s="9" t="str">
        <f aca="false">INDEX(Articles!$C$2:$C$148,MATCH(C59,Articles!$A$2:$A$148,0))</f>
        <v>Pack de 4 stylos Schneider Tops 505 M (bleu, noir, rouge, vert)</v>
      </c>
      <c r="E59" s="9" t="str">
        <f aca="false">INDEX(Articles!$B$2:$B$148,MATCH(C59,Articles!$A$2:$A$148,0))</f>
        <v>Papex</v>
      </c>
      <c r="F59" s="31" t="n">
        <v>1</v>
      </c>
      <c r="G59" s="13" t="n">
        <f aca="false">IF(INDEX(Articles!$G$2:$G$148,MATCH(C59,Articles!$A$2:$A$148,0))="","",INDEX(Articles!$G$2:$G$148,MATCH(C59,Articles!$A$2:$A$148,0)))</f>
        <v>400</v>
      </c>
      <c r="H59" s="13" t="n">
        <f aca="false">IF(G59="",0,F59*G59)</f>
        <v>400</v>
      </c>
      <c r="I59" s="13" t="str">
        <f aca="false">IF(INDEX(Articles!$E$2:$E$148,MATCH(C59,Articles!$A$2:$A$148,0))="","",INDEX(Articles!$E$2:$E$148,MATCH(C59,Articles!$A$2:$A$148,0)))</f>
        <v/>
      </c>
      <c r="J59" s="13" t="str">
        <f aca="false">IF(I59="","",F59*I59)</f>
        <v/>
      </c>
      <c r="K59" s="9" t="str">
        <f aca="false">INDEX(Articles!$H$2:$H$148,MATCH(C59,Articles!$A$2:$A$148,0))</f>
        <v>Fixé</v>
      </c>
      <c r="L59" s="9" t="str">
        <f aca="false">INDEX(Articles!$F$2:$F$148,MATCH(C59,Articles!$A$2:$A$148,0))</f>
        <v>Inconnu</v>
      </c>
      <c r="M59" s="17" t="s">
        <v>432</v>
      </c>
      <c r="N59" s="9" t="s">
        <v>167</v>
      </c>
    </row>
    <row r="60" customFormat="false" ht="15" hidden="false" customHeight="false" outlineLevel="0" collapsed="false">
      <c r="A60" s="9" t="s">
        <v>678</v>
      </c>
      <c r="B60" s="9" t="s">
        <v>750</v>
      </c>
      <c r="C60" s="31" t="s">
        <v>235</v>
      </c>
      <c r="D60" s="9" t="str">
        <f aca="false">INDEX(Articles!$C$2:$C$148,MATCH(C60,Articles!$A$2:$A$148,0))</f>
        <v>Crayon papier (vendu à l'unité)</v>
      </c>
      <c r="E60" s="9" t="str">
        <f aca="false">INDEX(Articles!$B$2:$B$148,MATCH(C60,Articles!$A$2:$A$148,0))</f>
        <v>LPD</v>
      </c>
      <c r="F60" s="31" t="n">
        <v>1</v>
      </c>
      <c r="G60" s="13" t="n">
        <f aca="false">IF(INDEX(Articles!$G$2:$G$148,MATCH(C60,Articles!$A$2:$A$148,0))="","",INDEX(Articles!$G$2:$G$148,MATCH(C60,Articles!$A$2:$A$148,0)))</f>
        <v>75</v>
      </c>
      <c r="H60" s="13" t="n">
        <f aca="false">IF(G60="",0,F60*G60)</f>
        <v>75</v>
      </c>
      <c r="I60" s="13" t="str">
        <f aca="false">IF(INDEX(Articles!$E$2:$E$148,MATCH(C60,Articles!$A$2:$A$148,0))="","",INDEX(Articles!$E$2:$E$148,MATCH(C60,Articles!$A$2:$A$148,0)))</f>
        <v/>
      </c>
      <c r="J60" s="13" t="str">
        <f aca="false">IF(I60="","",F60*I60)</f>
        <v/>
      </c>
      <c r="K60" s="9" t="str">
        <f aca="false">INDEX(Articles!$H$2:$H$148,MATCH(C60,Articles!$A$2:$A$148,0))</f>
        <v>Fixé</v>
      </c>
      <c r="L60" s="9" t="str">
        <f aca="false">INDEX(Articles!$F$2:$F$148,MATCH(C60,Articles!$A$2:$A$148,0))</f>
        <v>Inconnu</v>
      </c>
      <c r="M60" s="17"/>
      <c r="N60" s="9" t="s">
        <v>167</v>
      </c>
    </row>
    <row r="61" customFormat="false" ht="15" hidden="false" customHeight="false" outlineLevel="0" collapsed="false">
      <c r="A61" s="9" t="s">
        <v>675</v>
      </c>
      <c r="B61" s="9" t="s">
        <v>717</v>
      </c>
      <c r="C61" s="31" t="s">
        <v>180</v>
      </c>
      <c r="D61" s="9" t="str">
        <f aca="false">INDEX(Articles!$C$2:$C$148,MATCH(C61,Articles!$A$2:$A$148,0))</f>
        <v>Gomme Staedtler Mars Plastic</v>
      </c>
      <c r="E61" s="9" t="str">
        <f aca="false">INDEX(Articles!$B$2:$B$148,MATCH(C61,Articles!$A$2:$A$148,0))</f>
        <v>LPD</v>
      </c>
      <c r="F61" s="31" t="n">
        <v>1</v>
      </c>
      <c r="G61" s="13" t="n">
        <f aca="false">IF(INDEX(Articles!$G$2:$G$148,MATCH(C61,Articles!$A$2:$A$148,0))="","",INDEX(Articles!$G$2:$G$148,MATCH(C61,Articles!$A$2:$A$148,0)))</f>
        <v>250</v>
      </c>
      <c r="H61" s="13" t="n">
        <f aca="false">IF(G61="",0,F61*G61)</f>
        <v>250</v>
      </c>
      <c r="I61" s="13" t="n">
        <f aca="false">IF(INDEX(Articles!$E$2:$E$148,MATCH(C61,Articles!$A$2:$A$148,0))="","",INDEX(Articles!$E$2:$E$148,MATCH(C61,Articles!$A$2:$A$148,0)))</f>
        <v>110</v>
      </c>
      <c r="J61" s="13" t="n">
        <f aca="false">IF(I61="","",F61*I61)</f>
        <v>110</v>
      </c>
      <c r="K61" s="9" t="str">
        <f aca="false">INDEX(Articles!$H$2:$H$148,MATCH(C61,Articles!$A$2:$A$148,0))</f>
        <v>Fixé</v>
      </c>
      <c r="L61" s="9" t="str">
        <f aca="false">INDEX(Articles!$F$2:$F$148,MATCH(C61,Articles!$A$2:$A$148,0))</f>
        <v>Estimé</v>
      </c>
      <c r="M61" s="17"/>
      <c r="N61" s="9" t="s">
        <v>167</v>
      </c>
    </row>
    <row r="62" customFormat="false" ht="15" hidden="false" customHeight="false" outlineLevel="0" collapsed="false">
      <c r="A62" s="9" t="s">
        <v>675</v>
      </c>
      <c r="B62" s="9" t="s">
        <v>751</v>
      </c>
      <c r="C62" s="31" t="s">
        <v>183</v>
      </c>
      <c r="D62" s="9" t="str">
        <f aca="false">INDEX(Articles!$C$2:$C$148,MATCH(C62,Articles!$A$2:$A$148,0))</f>
        <v>Taille-crayon avec réservoir Maped</v>
      </c>
      <c r="E62" s="9" t="str">
        <f aca="false">INDEX(Articles!$B$2:$B$148,MATCH(C62,Articles!$A$2:$A$148,0))</f>
        <v>Papex</v>
      </c>
      <c r="F62" s="31" t="n">
        <v>1</v>
      </c>
      <c r="G62" s="13" t="n">
        <f aca="false">IF(INDEX(Articles!$G$2:$G$148,MATCH(C62,Articles!$A$2:$A$148,0))="","",INDEX(Articles!$G$2:$G$148,MATCH(C62,Articles!$A$2:$A$148,0)))</f>
        <v>500</v>
      </c>
      <c r="H62" s="13" t="n">
        <f aca="false">IF(G62="",0,F62*G62)</f>
        <v>500</v>
      </c>
      <c r="I62" s="13" t="n">
        <f aca="false">IF(INDEX(Articles!$E$2:$E$148,MATCH(C62,Articles!$A$2:$A$148,0))="","",INDEX(Articles!$E$2:$E$148,MATCH(C62,Articles!$A$2:$A$148,0)))</f>
        <v>350</v>
      </c>
      <c r="J62" s="13" t="n">
        <f aca="false">IF(I62="","",F62*I62)</f>
        <v>350</v>
      </c>
      <c r="K62" s="9" t="str">
        <f aca="false">INDEX(Articles!$H$2:$H$148,MATCH(C62,Articles!$A$2:$A$148,0))</f>
        <v>Estimé</v>
      </c>
      <c r="L62" s="9" t="str">
        <f aca="false">INDEX(Articles!$F$2:$F$148,MATCH(C62,Articles!$A$2:$A$148,0))</f>
        <v>Estimé</v>
      </c>
      <c r="M62" s="17" t="s">
        <v>765</v>
      </c>
      <c r="N62" s="9" t="s">
        <v>167</v>
      </c>
    </row>
    <row r="63" customFormat="false" ht="15" hidden="false" customHeight="false" outlineLevel="0" collapsed="false">
      <c r="A63" s="9" t="s">
        <v>675</v>
      </c>
      <c r="B63" s="9" t="s">
        <v>753</v>
      </c>
      <c r="C63" s="31" t="s">
        <v>248</v>
      </c>
      <c r="D63" s="9" t="str">
        <f aca="false">INDEX(Articles!$C$2:$C$148,MATCH(C63,Articles!$A$2:$A$148,0))</f>
        <v>Bâton de colle Giotto 20 g</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650</v>
      </c>
      <c r="J63" s="13" t="n">
        <f aca="false">IF(I63="","",F63*I63)</f>
        <v>650</v>
      </c>
      <c r="K63" s="9" t="str">
        <f aca="false">INDEX(Articles!$H$2:$H$148,MATCH(C63,Articles!$A$2:$A$148,0))</f>
        <v>Estimé</v>
      </c>
      <c r="L63" s="9" t="str">
        <f aca="false">INDEX(Articles!$F$2:$F$148,MATCH(C63,Articles!$A$2:$A$148,0))</f>
        <v>Estimé</v>
      </c>
      <c r="M63" s="17"/>
      <c r="N63" s="9" t="s">
        <v>167</v>
      </c>
    </row>
    <row r="64" customFormat="false" ht="15" hidden="false" customHeight="false" outlineLevel="0" collapsed="false">
      <c r="A64" s="9" t="s">
        <v>675</v>
      </c>
      <c r="B64" s="9" t="s">
        <v>754</v>
      </c>
      <c r="C64" s="31" t="s">
        <v>189</v>
      </c>
      <c r="D64" s="9" t="str">
        <f aca="false">INDEX(Articles!$C$2:$C$148,MATCH(C64,Articles!$A$2:$A$148,0))</f>
        <v>Ciseaux Maped 13 cm Security</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676</v>
      </c>
      <c r="B65" s="9" t="s">
        <v>755</v>
      </c>
      <c r="C65" s="31" t="s">
        <v>215</v>
      </c>
      <c r="D65" s="9" t="str">
        <f aca="false">INDEX(Articles!$C$2:$C$148,MATCH(C65,Articles!$A$2:$A$148,0))</f>
        <v>Kit géométrie Maped 30 cm (réf. 1930)</v>
      </c>
      <c r="E65" s="9" t="str">
        <f aca="false">INDEX(Articles!$B$2:$B$148,MATCH(C65,Articles!$A$2:$A$148,0))</f>
        <v>LPD</v>
      </c>
      <c r="F65" s="31" t="n">
        <v>1</v>
      </c>
      <c r="G65" s="13" t="n">
        <f aca="false">IF(INDEX(Articles!$G$2:$G$148,MATCH(C65,Articles!$A$2:$A$148,0))="","",INDEX(Articles!$G$2:$G$148,MATCH(C65,Articles!$A$2:$A$148,0)))</f>
        <v>1800</v>
      </c>
      <c r="H65" s="13" t="n">
        <f aca="false">IF(G65="",0,F65*G65)</f>
        <v>1800</v>
      </c>
      <c r="I65" s="13" t="n">
        <f aca="false">IF(INDEX(Articles!$E$2:$E$148,MATCH(C65,Articles!$A$2:$A$148,0))="","",INDEX(Articles!$E$2:$E$148,MATCH(C65,Articles!$A$2:$A$148,0)))</f>
        <v>1500</v>
      </c>
      <c r="J65" s="13" t="n">
        <f aca="false">IF(I65="","",F65*I65)</f>
        <v>1500</v>
      </c>
      <c r="K65" s="9" t="str">
        <f aca="false">INDEX(Articles!$H$2:$H$148,MATCH(C65,Articles!$A$2:$A$148,0))</f>
        <v>À trancher</v>
      </c>
      <c r="L65" s="9" t="str">
        <f aca="false">INDEX(Articles!$F$2:$F$148,MATCH(C65,Articles!$A$2:$A$148,0))</f>
        <v>Confirmé</v>
      </c>
      <c r="M65" s="17"/>
      <c r="N65" s="9" t="s">
        <v>167</v>
      </c>
    </row>
    <row r="66" customFormat="false" ht="15" hidden="false" customHeight="false" outlineLevel="0" collapsed="false">
      <c r="A66" s="9" t="s">
        <v>676</v>
      </c>
      <c r="B66" s="9" t="s">
        <v>756</v>
      </c>
      <c r="C66" s="31" t="s">
        <v>171</v>
      </c>
      <c r="D66" s="9" t="str">
        <f aca="false">INDEX(Articles!$C$2:$C$148,MATCH(C66,Articles!$A$2:$A$148,0))</f>
        <v>Compas Maped</v>
      </c>
      <c r="E66" s="9" t="str">
        <f aca="false">INDEX(Articles!$B$2:$B$148,MATCH(C66,Articles!$A$2:$A$148,0))</f>
        <v>Papex</v>
      </c>
      <c r="F66" s="31" t="n">
        <v>1</v>
      </c>
      <c r="G66" s="13" t="n">
        <f aca="false">IF(INDEX(Articles!$G$2:$G$148,MATCH(C66,Articles!$A$2:$A$148,0))="","",INDEX(Articles!$G$2:$G$148,MATCH(C66,Articles!$A$2:$A$148,0)))</f>
        <v>2000</v>
      </c>
      <c r="H66" s="13" t="n">
        <f aca="false">IF(G66="",0,F66*G66)</f>
        <v>2000</v>
      </c>
      <c r="I66" s="13" t="n">
        <f aca="false">IF(INDEX(Articles!$E$2:$E$148,MATCH(C66,Articles!$A$2:$A$148,0))="","",INDEX(Articles!$E$2:$E$148,MATCH(C66,Articles!$A$2:$A$148,0)))</f>
        <v>1750</v>
      </c>
      <c r="J66" s="13" t="n">
        <f aca="false">IF(I66="","",F66*I66)</f>
        <v>1750</v>
      </c>
      <c r="K66" s="9" t="str">
        <f aca="false">INDEX(Articles!$H$2:$H$148,MATCH(C66,Articles!$A$2:$A$148,0))</f>
        <v>Fixé</v>
      </c>
      <c r="L66" s="9" t="str">
        <f aca="false">INDEX(Articles!$F$2:$F$148,MATCH(C66,Articles!$A$2:$A$148,0))</f>
        <v>Confirmé</v>
      </c>
      <c r="M66" s="17"/>
      <c r="N66" s="9" t="s">
        <v>167</v>
      </c>
    </row>
    <row r="67" customFormat="false" ht="15" hidden="false" customHeight="false" outlineLevel="0" collapsed="false">
      <c r="A67" s="9" t="s">
        <v>681</v>
      </c>
      <c r="B67" s="9" t="s">
        <v>757</v>
      </c>
      <c r="C67" s="31" t="s">
        <v>198</v>
      </c>
      <c r="D67" s="9" t="str">
        <f aca="false">INDEX(Articles!$C$2:$C$148,MATCH(C67,Articles!$A$2:$A$148,0))</f>
        <v>Crayons de couleur Maped, boîte de 12</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678</v>
      </c>
      <c r="B68" s="9" t="s">
        <v>766</v>
      </c>
      <c r="C68" s="31" t="s">
        <v>200</v>
      </c>
      <c r="D68" s="9" t="str">
        <f aca="false">INDEX(Articles!$C$2:$C$148,MATCH(C68,Articles!$A$2:$A$148,0))</f>
        <v>Surligneurs Maped Fluo Peps, pochette de 4</v>
      </c>
      <c r="E68" s="9" t="str">
        <f aca="false">INDEX(Articles!$B$2:$B$148,MATCH(C68,Articles!$A$2:$A$148,0))</f>
        <v>Papex</v>
      </c>
      <c r="F68" s="31" t="n">
        <v>1</v>
      </c>
      <c r="G68" s="13" t="n">
        <f aca="false">IF(INDEX(Articles!$G$2:$G$148,MATCH(C68,Articles!$A$2:$A$148,0))="","",INDEX(Articles!$G$2:$G$148,MATCH(C68,Articles!$A$2:$A$148,0)))</f>
        <v>2500</v>
      </c>
      <c r="H68" s="13" t="n">
        <f aca="false">IF(G68="",0,F68*G68)</f>
        <v>2500</v>
      </c>
      <c r="I68" s="13" t="n">
        <f aca="false">IF(INDEX(Articles!$E$2:$E$148,MATCH(C68,Articles!$A$2:$A$148,0))="","",INDEX(Articles!$E$2:$E$148,MATCH(C68,Articles!$A$2:$A$148,0)))</f>
        <v>2000</v>
      </c>
      <c r="J68" s="13" t="n">
        <f aca="false">IF(I68="","",F68*I68)</f>
        <v>2000</v>
      </c>
      <c r="K68" s="9" t="str">
        <f aca="false">INDEX(Articles!$H$2:$H$148,MATCH(C68,Articles!$A$2:$A$148,0))</f>
        <v>Estimé</v>
      </c>
      <c r="L68" s="9" t="str">
        <f aca="false">INDEX(Articles!$F$2:$F$148,MATCH(C68,Articles!$A$2:$A$148,0))</f>
        <v>Confirmé</v>
      </c>
      <c r="M68" s="17" t="s">
        <v>767</v>
      </c>
      <c r="N68" s="9" t="s">
        <v>167</v>
      </c>
    </row>
    <row r="69" customFormat="false" ht="15" hidden="false" customHeight="false" outlineLevel="0" collapsed="false">
      <c r="A69" s="9" t="s">
        <v>768</v>
      </c>
      <c r="B69" s="9" t="s">
        <v>769</v>
      </c>
      <c r="C69" s="31" t="s">
        <v>446</v>
      </c>
      <c r="D69" s="9" t="str">
        <f aca="false">INDEX(Articles!$C$2:$C$148,MATCH(C69,Articles!$A$2:$A$148,0))</f>
        <v>Chemise 3 rabats à élastique</v>
      </c>
      <c r="E69" s="9" t="str">
        <f aca="false">INDEX(Articles!$B$2:$B$148,MATCH(C69,Articles!$A$2:$A$148,0))</f>
        <v>Papex</v>
      </c>
      <c r="F69" s="31" t="n">
        <v>1</v>
      </c>
      <c r="G69" s="13" t="n">
        <f aca="false">IF(INDEX(Articles!$G$2:$G$148,MATCH(C69,Articles!$A$2:$A$148,0))="","",INDEX(Articles!$G$2:$G$148,MATCH(C69,Articles!$A$2:$A$148,0)))</f>
        <v>500</v>
      </c>
      <c r="H69" s="13" t="n">
        <f aca="false">IF(G69="",0,F69*G69)</f>
        <v>500</v>
      </c>
      <c r="I69" s="13" t="str">
        <f aca="false">IF(INDEX(Articles!$E$2:$E$148,MATCH(C69,Articles!$A$2:$A$148,0))="","",INDEX(Articles!$E$2:$E$148,MATCH(C69,Articles!$A$2:$A$148,0)))</f>
        <v/>
      </c>
      <c r="J69" s="13" t="str">
        <f aca="false">IF(I69="","",F69*I69)</f>
        <v/>
      </c>
      <c r="K69" s="9" t="str">
        <f aca="false">INDEX(Articles!$H$2:$H$148,MATCH(C69,Articles!$A$2:$A$148,0))</f>
        <v>Estimé</v>
      </c>
      <c r="L69" s="9" t="str">
        <f aca="false">INDEX(Articles!$F$2:$F$148,MATCH(C69,Articles!$A$2:$A$148,0))</f>
        <v>Inconnu</v>
      </c>
      <c r="M69" s="17" t="s">
        <v>770</v>
      </c>
      <c r="N69" s="9" t="s">
        <v>167</v>
      </c>
    </row>
    <row r="70" customFormat="false" ht="26.85" hidden="false" customHeight="false" outlineLevel="0" collapsed="false">
      <c r="A70" s="9" t="s">
        <v>676</v>
      </c>
      <c r="B70" s="9" t="s">
        <v>812</v>
      </c>
      <c r="C70" s="31" t="s">
        <v>242</v>
      </c>
      <c r="D70" s="9" t="str">
        <f aca="false">INDEX(Articles!$C$2:$C$148,MATCH(C70,Articles!$A$2:$A$148,0))</f>
        <v>Calculatrice scientifique Parpn YH-2000</v>
      </c>
      <c r="E70" s="9" t="str">
        <f aca="false">INDEX(Articles!$B$2:$B$148,MATCH(C70,Articles!$A$2:$A$148,0))</f>
        <v>LPD</v>
      </c>
      <c r="F70" s="31" t="n">
        <v>1</v>
      </c>
      <c r="G70" s="13" t="n">
        <f aca="false">IF(INDEX(Articles!$G$2:$G$148,MATCH(C70,Articles!$A$2:$A$148,0))="","",INDEX(Articles!$G$2:$G$148,MATCH(C70,Articles!$A$2:$A$148,0)))</f>
        <v>1400</v>
      </c>
      <c r="H70" s="13" t="n">
        <f aca="false">IF(G70="",0,F70*G70)</f>
        <v>1400</v>
      </c>
      <c r="I70" s="13" t="n">
        <f aca="false">IF(INDEX(Articles!$E$2:$E$148,MATCH(C70,Articles!$A$2:$A$148,0))="","",INDEX(Articles!$E$2:$E$148,MATCH(C70,Articles!$A$2:$A$148,0)))</f>
        <v>1100</v>
      </c>
      <c r="J70" s="13" t="n">
        <f aca="false">IF(I70="","",F70*I70)</f>
        <v>1100</v>
      </c>
      <c r="K70" s="9" t="str">
        <f aca="false">INDEX(Articles!$H$2:$H$148,MATCH(C70,Articles!$A$2:$A$148,0))</f>
        <v>Fixé</v>
      </c>
      <c r="L70" s="9" t="str">
        <f aca="false">INDEX(Articles!$F$2:$F$148,MATCH(C70,Articles!$A$2:$A$148,0))</f>
        <v>Confirmé</v>
      </c>
      <c r="M70" s="17" t="s">
        <v>816</v>
      </c>
      <c r="N70" s="9" t="s">
        <v>167</v>
      </c>
    </row>
    <row r="71" customFormat="false" ht="15" hidden="false" customHeight="false" outlineLevel="0" collapsed="false">
      <c r="A71" s="9" t="s">
        <v>768</v>
      </c>
      <c r="B71" s="9" t="s">
        <v>861</v>
      </c>
      <c r="C71" s="31" t="s">
        <v>246</v>
      </c>
      <c r="D71" s="9" t="str">
        <f aca="false">INDEX(Articles!$C$2:$C$148,MATCH(C71,Articles!$A$2:$A$148,0))</f>
        <v>Protège-documents porte-vues</v>
      </c>
      <c r="E71" s="9" t="str">
        <f aca="false">INDEX(Articles!$B$2:$B$148,MATCH(C71,Articles!$A$2:$A$148,0))</f>
        <v>LPD</v>
      </c>
      <c r="F71" s="31" t="n">
        <v>1</v>
      </c>
      <c r="G71" s="13" t="n">
        <f aca="false">IF(INDEX(Articles!$G$2:$G$148,MATCH(C71,Articles!$A$2:$A$148,0))="","",INDEX(Articles!$G$2:$G$148,MATCH(C71,Articles!$A$2:$A$148,0)))</f>
        <v>1150</v>
      </c>
      <c r="H71" s="13" t="n">
        <f aca="false">IF(G71="",0,F71*G71)</f>
        <v>1150</v>
      </c>
      <c r="I71" s="13" t="n">
        <f aca="false">IF(INDEX(Articles!$E$2:$E$148,MATCH(C71,Articles!$A$2:$A$148,0))="","",INDEX(Articles!$E$2:$E$148,MATCH(C71,Articles!$A$2:$A$148,0)))</f>
        <v>850</v>
      </c>
      <c r="J71" s="13" t="n">
        <f aca="false">IF(I71="","",F71*I71)</f>
        <v>850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A72" s="9" t="s">
        <v>758</v>
      </c>
      <c r="B72" s="9" t="s">
        <v>759</v>
      </c>
      <c r="C72" s="31" t="s">
        <v>376</v>
      </c>
      <c r="D72" s="9" t="str">
        <f aca="false">INDEX(Articles!$C$2:$C$148,MATCH(C72,Articles!$A$2:$A$148,0))</f>
        <v>Paquet de copies doubles grand format</v>
      </c>
      <c r="E72" s="9" t="str">
        <f aca="false">INDEX(Articles!$B$2:$B$148,MATCH(C72,Articles!$A$2:$A$148,0))</f>
        <v>À préciser</v>
      </c>
      <c r="F72" s="31" t="n">
        <v>1</v>
      </c>
      <c r="G72" s="45" t="n">
        <f aca="false">IF(INDEX(Articles!$G$2:$G$148,MATCH(C72,Articles!$A$2:$A$148,0))="","",INDEX(Articles!$G$2:$G$148,MATCH(C72,Articles!$A$2:$A$148,0)))</f>
        <v>1800</v>
      </c>
      <c r="H72" s="13" t="n">
        <f aca="false">IF(G72="",0,F72*G72)</f>
        <v>1800</v>
      </c>
      <c r="I72" s="13" t="n">
        <f aca="false">IF(INDEX(Articles!$E$2:$E$148,MATCH(C72,Articles!$A$2:$A$148,0))="","",INDEX(Articles!$E$2:$E$148,MATCH(C72,Articles!$A$2:$A$148,0)))</f>
        <v>1300</v>
      </c>
      <c r="J72" s="13" t="n">
        <f aca="false">IF(I72="","",F72*I72)</f>
        <v>1300</v>
      </c>
      <c r="K72" s="9" t="str">
        <f aca="false">INDEX(Articles!$H$2:$H$148,MATCH(C72,Articles!$A$2:$A$148,0))</f>
        <v>Fixé</v>
      </c>
      <c r="L72" s="9" t="str">
        <f aca="false">INDEX(Articles!$F$2:$F$148,MATCH(C72,Articles!$A$2:$A$148,0))</f>
        <v>Confirmé</v>
      </c>
      <c r="M72" s="17"/>
      <c r="N72" s="9" t="s">
        <v>167</v>
      </c>
    </row>
    <row r="73" customFormat="false" ht="15" hidden="false" customHeight="false" outlineLevel="0" collapsed="false">
      <c r="A73" s="9" t="s">
        <v>771</v>
      </c>
      <c r="B73" s="9" t="s">
        <v>772</v>
      </c>
      <c r="C73" s="31" t="s">
        <v>160</v>
      </c>
      <c r="D73" s="9" t="str">
        <f aca="false">INDEX(Articles!$C$2:$C$148,MATCH(C73,Articles!$A$2:$A$148,0))</f>
        <v>Protège-cahier couleur petit format (à l'unité)</v>
      </c>
      <c r="E73" s="9" t="str">
        <f aca="false">INDEX(Articles!$B$2:$B$148,MATCH(C73,Articles!$A$2:$A$148,0))</f>
        <v>LPD</v>
      </c>
      <c r="F73" s="31" t="n">
        <v>3</v>
      </c>
      <c r="G73" s="13" t="n">
        <f aca="false">IF(INDEX(Articles!$G$2:$G$148,MATCH(C73,Articles!$A$2:$A$148,0))="","",INDEX(Articles!$G$2:$G$148,MATCH(C73,Articles!$A$2:$A$148,0)))</f>
        <v>150</v>
      </c>
      <c r="H73" s="13" t="n">
        <f aca="false">IF(G73="",0,F73*G73)</f>
        <v>450</v>
      </c>
      <c r="I73" s="13" t="str">
        <f aca="false">IF(INDEX(Articles!$E$2:$E$148,MATCH(C73,Articles!$A$2:$A$148,0))="","",INDEX(Articles!$E$2:$E$148,MATCH(C73,Articles!$A$2:$A$148,0)))</f>
        <v/>
      </c>
      <c r="J73" s="13" t="str">
        <f aca="false">IF(I73="","",F73*I73)</f>
        <v/>
      </c>
      <c r="K73" s="9" t="str">
        <f aca="false">INDEX(Articles!$H$2:$H$148,MATCH(C73,Articles!$A$2:$A$148,0))</f>
        <v>Fixé</v>
      </c>
      <c r="L73" s="9" t="str">
        <f aca="false">INDEX(Articles!$F$2:$F$148,MATCH(C73,Articles!$A$2:$A$148,0))</f>
        <v>Inconnu</v>
      </c>
      <c r="M73" s="17"/>
      <c r="N73" s="9" t="s">
        <v>167</v>
      </c>
    </row>
    <row r="74" customFormat="false" ht="15" hidden="false" customHeight="false" outlineLevel="0" collapsed="false">
      <c r="A74" s="9" t="s">
        <v>771</v>
      </c>
      <c r="B74" s="9" t="s">
        <v>773</v>
      </c>
      <c r="C74" s="31" t="s">
        <v>419</v>
      </c>
      <c r="D74" s="9" t="str">
        <f aca="false">INDEX(Articles!$C$2:$C$148,MATCH(C74,Articles!$A$2:$A$148,0))</f>
        <v>Protège-cahier grand format (à l'unité)</v>
      </c>
      <c r="E74" s="9" t="str">
        <f aca="false">INDEX(Articles!$B$2:$B$148,MATCH(C74,Articles!$A$2:$A$148,0))</f>
        <v>À préciser</v>
      </c>
      <c r="F74" s="31" t="n">
        <v>8</v>
      </c>
      <c r="G74" s="13" t="str">
        <f aca="false">IF(INDEX(Articles!$G$2:$G$148,MATCH(C74,Articles!$A$2:$A$148,0))="","",INDEX(Articles!$G$2:$G$148,MATCH(C74,Articles!$A$2:$A$148,0)))</f>
        <v/>
      </c>
      <c r="H74" s="13" t="n">
        <f aca="false">IF(G74="",0,F74*G74)</f>
        <v>0</v>
      </c>
      <c r="I74" s="13" t="str">
        <f aca="false">IF(INDEX(Articles!$E$2:$E$148,MATCH(C74,Articles!$A$2:$A$148,0))="","",INDEX(Articles!$E$2:$E$148,MATCH(C74,Articles!$A$2:$A$148,0)))</f>
        <v/>
      </c>
      <c r="J74" s="13" t="str">
        <f aca="false">IF(I74="","",F74*I74)</f>
        <v/>
      </c>
      <c r="K74" s="9" t="str">
        <f aca="false">INDEX(Articles!$H$2:$H$148,MATCH(C74,Articles!$A$2:$A$148,0))</f>
        <v>À fournir</v>
      </c>
      <c r="L74" s="9" t="str">
        <f aca="false">INDEX(Articles!$F$2:$F$148,MATCH(C74,Articles!$A$2:$A$148,0))</f>
        <v>Inconnu</v>
      </c>
      <c r="M74" s="17"/>
      <c r="N74" s="9" t="s">
        <v>167</v>
      </c>
    </row>
    <row r="75" customFormat="false" ht="15" hidden="false" customHeight="false" outlineLevel="0" collapsed="false">
      <c r="A75" s="9" t="s">
        <v>760</v>
      </c>
      <c r="B75" s="9" t="s">
        <v>883</v>
      </c>
      <c r="C75" s="31" t="s">
        <v>504</v>
      </c>
      <c r="D75" s="9" t="str">
        <f aca="false">INDEX(Articles!$C$2:$C$148,MATCH(C75,Articles!$A$2:$A$148,0))</f>
        <v>Une vie de boy (Ferdinand Oyono)</v>
      </c>
      <c r="E75" s="9" t="str">
        <f aca="false">INDEX(Articles!$B$2:$B$148,MATCH(C75,Articles!$A$2:$A$148,0))</f>
        <v>LPD</v>
      </c>
      <c r="F75" s="31" t="n">
        <v>1</v>
      </c>
      <c r="G75" s="13" t="n">
        <f aca="false">IF(INDEX(Articles!$G$2:$G$148,MATCH(C75,Articles!$A$2:$A$148,0))="","",INDEX(Articles!$G$2:$G$148,MATCH(C75,Articles!$A$2:$A$148,0)))</f>
        <v>2800</v>
      </c>
      <c r="H75" s="13" t="n">
        <f aca="false">IF(G75="",0,F75*G75)</f>
        <v>2800</v>
      </c>
      <c r="I75" s="13" t="n">
        <f aca="false">IF(INDEX(Articles!$E$2:$E$148,MATCH(C75,Articles!$A$2:$A$148,0))="","",INDEX(Articles!$E$2:$E$148,MATCH(C75,Articles!$A$2:$A$148,0)))</f>
        <v>1800</v>
      </c>
      <c r="J75" s="13" t="n">
        <f aca="false">IF(I75="","",F75*I75)</f>
        <v>1800</v>
      </c>
      <c r="K75" s="9" t="str">
        <f aca="false">INDEX(Articles!$H$2:$H$148,MATCH(C75,Articles!$A$2:$A$148,0))</f>
        <v>Fixé</v>
      </c>
      <c r="L75" s="9" t="str">
        <f aca="false">INDEX(Articles!$F$2:$F$148,MATCH(C75,Articles!$A$2:$A$148,0))</f>
        <v>Estimé</v>
      </c>
      <c r="M75" s="17"/>
      <c r="N75" s="9" t="s">
        <v>167</v>
      </c>
    </row>
    <row r="76" customFormat="false" ht="15" hidden="false" customHeight="false" outlineLevel="0" collapsed="false">
      <c r="A76" s="9" t="s">
        <v>760</v>
      </c>
      <c r="B76" s="9" t="s">
        <v>884</v>
      </c>
      <c r="C76" s="31" t="s">
        <v>506</v>
      </c>
      <c r="D76" s="9" t="str">
        <f aca="false">INDEX(Articles!$C$2:$C$148,MATCH(C76,Articles!$A$2:$A$148,0))</f>
        <v>Le Père Goriot (Balzac)</v>
      </c>
      <c r="E76" s="9" t="str">
        <f aca="false">INDEX(Articles!$B$2:$B$148,MATCH(C76,Articles!$A$2:$A$148,0))</f>
        <v>LPD</v>
      </c>
      <c r="F76" s="31" t="n">
        <v>1</v>
      </c>
      <c r="G76" s="13" t="n">
        <f aca="false">IF(INDEX(Articles!$G$2:$G$148,MATCH(C76,Articles!$A$2:$A$148,0))="","",INDEX(Articles!$G$2:$G$148,MATCH(C76,Articles!$A$2:$A$148,0)))</f>
        <v>2800</v>
      </c>
      <c r="H76" s="13" t="n">
        <f aca="false">IF(G76="",0,F76*G76)</f>
        <v>2800</v>
      </c>
      <c r="I76" s="13" t="n">
        <f aca="false">IF(INDEX(Articles!$E$2:$E$148,MATCH(C76,Articles!$A$2:$A$148,0))="","",INDEX(Articles!$E$2:$E$148,MATCH(C76,Articles!$A$2:$A$148,0)))</f>
        <v>1800</v>
      </c>
      <c r="J76" s="13" t="n">
        <f aca="false">IF(I76="","",F76*I76)</f>
        <v>1800</v>
      </c>
      <c r="K76" s="9" t="str">
        <f aca="false">INDEX(Articles!$H$2:$H$148,MATCH(C76,Articles!$A$2:$A$148,0))</f>
        <v>Fixé</v>
      </c>
      <c r="L76" s="9" t="str">
        <f aca="false">INDEX(Articles!$F$2:$F$148,MATCH(C76,Articles!$A$2:$A$148,0))</f>
        <v>Estimé</v>
      </c>
      <c r="M76" s="17"/>
      <c r="N76" s="9" t="s">
        <v>167</v>
      </c>
    </row>
    <row r="77" customFormat="false" ht="15" hidden="false" customHeight="false" outlineLevel="0" collapsed="false">
      <c r="A77" s="9" t="s">
        <v>760</v>
      </c>
      <c r="B77" s="9" t="s">
        <v>884</v>
      </c>
      <c r="C77" s="31" t="s">
        <v>508</v>
      </c>
      <c r="D77" s="9" t="str">
        <f aca="false">INDEX(Articles!$C$2:$C$148,MATCH(C77,Articles!$A$2:$A$148,0))</f>
        <v>Madame Bovary (Flaubert)</v>
      </c>
      <c r="E77" s="9" t="str">
        <f aca="false">INDEX(Articles!$B$2:$B$148,MATCH(C77,Articles!$A$2:$A$148,0))</f>
        <v>LPD</v>
      </c>
      <c r="F77" s="31" t="n">
        <v>1</v>
      </c>
      <c r="G77" s="13" t="n">
        <f aca="false">IF(INDEX(Articles!$G$2:$G$148,MATCH(C77,Articles!$A$2:$A$148,0))="","",INDEX(Articles!$G$2:$G$148,MATCH(C77,Articles!$A$2:$A$148,0)))</f>
        <v>2800</v>
      </c>
      <c r="H77" s="13" t="n">
        <f aca="false">IF(G77="",0,F77*G77)</f>
        <v>2800</v>
      </c>
      <c r="I77" s="13" t="n">
        <f aca="false">IF(INDEX(Articles!$E$2:$E$148,MATCH(C77,Articles!$A$2:$A$148,0))="","",INDEX(Articles!$E$2:$E$148,MATCH(C77,Articles!$A$2:$A$148,0)))</f>
        <v>1800</v>
      </c>
      <c r="J77" s="13" t="n">
        <f aca="false">IF(I77="","",F77*I77)</f>
        <v>1800</v>
      </c>
      <c r="K77" s="9" t="str">
        <f aca="false">INDEX(Articles!$H$2:$H$148,MATCH(C77,Articles!$A$2:$A$148,0))</f>
        <v>Fixé</v>
      </c>
      <c r="L77" s="9" t="str">
        <f aca="false">INDEX(Articles!$F$2:$F$148,MATCH(C77,Articles!$A$2:$A$148,0))</f>
        <v>Estimé</v>
      </c>
      <c r="M77" s="17"/>
      <c r="N77" s="9" t="s">
        <v>167</v>
      </c>
    </row>
    <row r="78" customFormat="false" ht="15" hidden="false" customHeight="false" outlineLevel="0" collapsed="false">
      <c r="D78" s="32" t="s">
        <v>683</v>
      </c>
      <c r="E78" s="32"/>
      <c r="F78" s="32"/>
      <c r="G78" s="32"/>
      <c r="H78" s="33" t="n">
        <f aca="false">COUNTIF(G48:G77,"")</f>
        <v>1</v>
      </c>
    </row>
    <row r="79" customFormat="false" ht="15" hidden="false" customHeight="false" outlineLevel="0" collapsed="false">
      <c r="D79" s="32" t="s">
        <v>684</v>
      </c>
      <c r="E79" s="32"/>
      <c r="F79" s="32"/>
      <c r="G79" s="32"/>
      <c r="H79" s="33" t="n">
        <f aca="false">SUM(H48:H77)</f>
        <v>38925</v>
      </c>
    </row>
    <row r="80" customFormat="false" ht="15" hidden="false" customHeight="false" outlineLevel="0" collapsed="false">
      <c r="D80" s="32" t="s">
        <v>28</v>
      </c>
      <c r="E80" s="32"/>
      <c r="F80" s="32"/>
      <c r="G80" s="32"/>
      <c r="H80" s="33" t="n">
        <f aca="false">SUM(J48:J77)</f>
        <v>29410</v>
      </c>
    </row>
    <row r="81" customFormat="false" ht="15" hidden="false" customHeight="false" outlineLevel="0" collapsed="false">
      <c r="D81" s="32" t="s">
        <v>685</v>
      </c>
      <c r="E81" s="32"/>
      <c r="F81" s="32"/>
      <c r="G81" s="32"/>
      <c r="H81" s="33" t="n">
        <f aca="false">COUNTIF(I48:I77,"")</f>
        <v>5</v>
      </c>
    </row>
    <row r="82" customFormat="false" ht="15" hidden="false" customHeight="false" outlineLevel="0" collapsed="false">
      <c r="D82" s="32" t="s">
        <v>686</v>
      </c>
      <c r="E82" s="32"/>
      <c r="F82" s="32"/>
      <c r="G82" s="32"/>
      <c r="H82" s="33" t="n">
        <f aca="false">SUMPRODUCT((I48:I77&lt;&gt;"")*H48:H77)-H80</f>
        <v>8090</v>
      </c>
    </row>
    <row r="83" customFormat="false" ht="15" hidden="false" customHeight="false" outlineLevel="0" collapsed="false">
      <c r="D83" s="32" t="s">
        <v>687</v>
      </c>
      <c r="E83" s="32"/>
      <c r="F83" s="32"/>
      <c r="G83" s="32"/>
      <c r="H83" s="33" t="n">
        <f aca="false">SUMIF(A48:A77,"Cahiers",F48:F77)</f>
        <v>11</v>
      </c>
    </row>
    <row r="84" customFormat="false" ht="15" hidden="false" customHeight="false" outlineLevel="0" collapsed="false">
      <c r="D84" s="32" t="s">
        <v>688</v>
      </c>
      <c r="E84" s="32"/>
      <c r="F84" s="32"/>
      <c r="G84" s="32"/>
      <c r="H84" s="34" t="n">
        <f aca="false">IF(H79=0,0,SUMIF(K48:K77,"&lt;&gt;Fixé",H48:H77)/H79)</f>
        <v>0.205523442517662</v>
      </c>
    </row>
    <row r="85" customFormat="false" ht="15" hidden="false" customHeight="false" outlineLevel="0" collapsed="false">
      <c r="D85" s="32" t="s">
        <v>689</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696</v>
      </c>
      <c r="E86" s="21" t="str">
        <f aca="false">INDEX(Articles!$C$2:$C$148,MATCH("S020",Articles!$A$2:$A$148,0))</f>
        <v>Sac à dos bleu marine</v>
      </c>
      <c r="H86" s="41" t="n">
        <f aca="false">INDEX(Articles!$G$2:$G$148,MATCH("S020",Articles!$A$2:$A$148,0))</f>
        <v>7000</v>
      </c>
    </row>
    <row r="87" customFormat="false" ht="15" hidden="false" customHeight="false" outlineLevel="0" collapsed="false">
      <c r="D87" s="42" t="s">
        <v>697</v>
      </c>
      <c r="E87" s="43" t="s">
        <v>886</v>
      </c>
    </row>
    <row r="88" customFormat="false" ht="15" hidden="false" customHeight="false" outlineLevel="0" collapsed="false">
      <c r="E88" s="43" t="s">
        <v>887</v>
      </c>
    </row>
    <row r="89" customFormat="false" ht="15" hidden="false" customHeight="false" outlineLevel="0" collapsed="false">
      <c r="E89" s="43" t="s">
        <v>897</v>
      </c>
    </row>
    <row r="92" customFormat="false" ht="15" hidden="false" customHeight="false" outlineLevel="0" collapsed="false">
      <c r="A92" s="28" t="s">
        <v>898</v>
      </c>
      <c r="B92" s="29"/>
      <c r="C92" s="29"/>
      <c r="D92" s="29"/>
      <c r="E92" s="29"/>
      <c r="F92" s="29"/>
      <c r="G92" s="29"/>
      <c r="H92" s="29"/>
      <c r="I92" s="29"/>
      <c r="J92" s="29"/>
      <c r="K92" s="29"/>
      <c r="L92" s="29"/>
      <c r="M92" s="29"/>
      <c r="N92" s="29"/>
    </row>
    <row r="93" customFormat="false" ht="39.55" hidden="false" customHeight="false" outlineLevel="0" collapsed="false">
      <c r="A93" s="30" t="s">
        <v>663</v>
      </c>
      <c r="B93" s="30" t="s">
        <v>664</v>
      </c>
      <c r="C93" s="30" t="s">
        <v>348</v>
      </c>
      <c r="D93" s="30" t="s">
        <v>350</v>
      </c>
      <c r="E93" s="30" t="s">
        <v>349</v>
      </c>
      <c r="F93" s="30" t="s">
        <v>665</v>
      </c>
      <c r="G93" s="30" t="s">
        <v>666</v>
      </c>
      <c r="H93" s="30" t="s">
        <v>667</v>
      </c>
      <c r="I93" s="30" t="s">
        <v>668</v>
      </c>
      <c r="J93" s="30" t="s">
        <v>669</v>
      </c>
      <c r="K93" s="30" t="s">
        <v>355</v>
      </c>
      <c r="L93" s="30" t="s">
        <v>353</v>
      </c>
      <c r="M93" s="30" t="s">
        <v>356</v>
      </c>
      <c r="N93" s="30" t="s">
        <v>670</v>
      </c>
    </row>
    <row r="94" customFormat="false" ht="15" hidden="false" customHeight="false" outlineLevel="0" collapsed="false">
      <c r="A94" s="9" t="s">
        <v>671</v>
      </c>
      <c r="B94" s="9" t="s">
        <v>745</v>
      </c>
      <c r="C94" s="31" t="s">
        <v>213</v>
      </c>
      <c r="D94" s="9" t="str">
        <f aca="false">INDEX(Articles!$C$2:$C$148,MATCH(C94,Articles!$A$2:$A$148,0))</f>
        <v>Cahier Calligraphe 192 pages 24x32 (grand format)</v>
      </c>
      <c r="E94" s="9" t="str">
        <f aca="false">INDEX(Articles!$B$2:$B$148,MATCH(C94,Articles!$A$2:$A$148,0))</f>
        <v>Papex</v>
      </c>
      <c r="F94" s="31" t="n">
        <v>1</v>
      </c>
      <c r="G94" s="13" t="n">
        <f aca="false">IF(INDEX(Articles!$G$2:$G$148,MATCH(C94,Articles!$A$2:$A$148,0))="","",INDEX(Articles!$G$2:$G$148,MATCH(C94,Articles!$A$2:$A$148,0)))</f>
        <v>1650</v>
      </c>
      <c r="H94" s="13" t="n">
        <f aca="false">IF(G94="",0,F94*G94)</f>
        <v>1650</v>
      </c>
      <c r="I94" s="13" t="n">
        <f aca="false">IF(INDEX(Articles!$E$2:$E$148,MATCH(C94,Articles!$A$2:$A$148,0))="","",INDEX(Articles!$E$2:$E$148,MATCH(C94,Articles!$A$2:$A$148,0)))</f>
        <v>1500</v>
      </c>
      <c r="J94" s="13" t="n">
        <f aca="false">IF(I94="","",F94*I94)</f>
        <v>1500</v>
      </c>
      <c r="K94" s="9" t="str">
        <f aca="false">INDEX(Articles!$H$2:$H$148,MATCH(C94,Articles!$A$2:$A$148,0))</f>
        <v>Fixé</v>
      </c>
      <c r="L94" s="9" t="str">
        <f aca="false">INDEX(Articles!$F$2:$F$148,MATCH(C94,Articles!$A$2:$A$148,0))</f>
        <v>Confirmé</v>
      </c>
      <c r="M94" s="17"/>
      <c r="N94" s="9" t="s">
        <v>167</v>
      </c>
    </row>
    <row r="95" customFormat="false" ht="15" hidden="false" customHeight="false" outlineLevel="0" collapsed="false">
      <c r="A95" s="9" t="s">
        <v>671</v>
      </c>
      <c r="B95" s="9" t="s">
        <v>850</v>
      </c>
      <c r="C95" s="31" t="s">
        <v>208</v>
      </c>
      <c r="D95" s="9" t="str">
        <f aca="false">INDEX(Articles!$C$2:$C$148,MATCH(C95,Articles!$A$2:$A$148,0))</f>
        <v>Cahier Calligraphe 96 pages 24x32 (grand format)</v>
      </c>
      <c r="E95" s="9" t="str">
        <f aca="false">INDEX(Articles!$B$2:$B$148,MATCH(C95,Articles!$A$2:$A$148,0))</f>
        <v>Papex</v>
      </c>
      <c r="F95" s="31" t="n">
        <v>1</v>
      </c>
      <c r="G95" s="13" t="n">
        <f aca="false">IF(INDEX(Articles!$G$2:$G$148,MATCH(C95,Articles!$A$2:$A$148,0))="","",INDEX(Articles!$G$2:$G$148,MATCH(C95,Articles!$A$2:$A$148,0)))</f>
        <v>1350</v>
      </c>
      <c r="H95" s="13" t="n">
        <f aca="false">IF(G95="",0,F95*G95)</f>
        <v>1350</v>
      </c>
      <c r="I95" s="13" t="n">
        <f aca="false">IF(INDEX(Articles!$E$2:$E$148,MATCH(C95,Articles!$A$2:$A$148,0))="","",INDEX(Articles!$E$2:$E$148,MATCH(C95,Articles!$A$2:$A$148,0)))</f>
        <v>1000</v>
      </c>
      <c r="J95" s="13" t="n">
        <f aca="false">IF(I95="","",F95*I95)</f>
        <v>1000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744</v>
      </c>
      <c r="C96" s="31" t="s">
        <v>213</v>
      </c>
      <c r="D96" s="9" t="str">
        <f aca="false">INDEX(Articles!$C$2:$C$148,MATCH(C96,Articles!$A$2:$A$148,0))</f>
        <v>Cahier Calligraphe 192 pages 24x32 (grand format)</v>
      </c>
      <c r="E96" s="9" t="str">
        <f aca="false">INDEX(Articles!$B$2:$B$148,MATCH(C96,Articles!$A$2:$A$148,0))</f>
        <v>Papex</v>
      </c>
      <c r="F96" s="31" t="n">
        <v>1</v>
      </c>
      <c r="G96" s="13" t="n">
        <f aca="false">IF(INDEX(Articles!$G$2:$G$148,MATCH(C96,Articles!$A$2:$A$148,0))="","",INDEX(Articles!$G$2:$G$148,MATCH(C96,Articles!$A$2:$A$148,0)))</f>
        <v>1650</v>
      </c>
      <c r="H96" s="13" t="n">
        <f aca="false">IF(G96="",0,F96*G96)</f>
        <v>1650</v>
      </c>
      <c r="I96" s="13" t="n">
        <f aca="false">IF(INDEX(Articles!$E$2:$E$148,MATCH(C96,Articles!$A$2:$A$148,0))="","",INDEX(Articles!$E$2:$E$148,MATCH(C96,Articles!$A$2:$A$148,0)))</f>
        <v>1500</v>
      </c>
      <c r="J96" s="13" t="n">
        <f aca="false">IF(I96="","",F96*I96)</f>
        <v>1500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854</v>
      </c>
      <c r="C97" s="31" t="s">
        <v>366</v>
      </c>
      <c r="D97" s="9" t="str">
        <f aca="false">INDEX(Articles!$C$2:$C$148,MATCH(C97,Articles!$A$2:$A$148,0))</f>
        <v>Cahier Calligraphe 140 pages 17x22 90 g seyès</v>
      </c>
      <c r="E97" s="9" t="str">
        <f aca="false">INDEX(Articles!$B$2:$B$148,MATCH(C97,Articles!$A$2:$A$148,0))</f>
        <v>Papex</v>
      </c>
      <c r="F97" s="31" t="n">
        <v>1</v>
      </c>
      <c r="G97" s="13" t="n">
        <f aca="false">IF(INDEX(Articles!$G$2:$G$148,MATCH(C97,Articles!$A$2:$A$148,0))="","",INDEX(Articles!$G$2:$G$148,MATCH(C97,Articles!$A$2:$A$148,0)))</f>
        <v>750</v>
      </c>
      <c r="H97" s="13" t="n">
        <f aca="false">IF(G97="",0,F97*G97)</f>
        <v>750</v>
      </c>
      <c r="I97" s="13" t="n">
        <f aca="false">IF(INDEX(Articles!$E$2:$E$148,MATCH(C97,Articles!$A$2:$A$148,0))="","",INDEX(Articles!$E$2:$E$148,MATCH(C97,Articles!$A$2:$A$148,0)))</f>
        <v>650</v>
      </c>
      <c r="J97" s="13" t="n">
        <f aca="false">IF(I97="","",F97*I97)</f>
        <v>650</v>
      </c>
      <c r="K97" s="9" t="str">
        <f aca="false">INDEX(Articles!$H$2:$H$148,MATCH(C97,Articles!$A$2:$A$148,0))</f>
        <v>Fixé</v>
      </c>
      <c r="L97" s="9" t="str">
        <f aca="false">INDEX(Articles!$F$2:$F$148,MATCH(C97,Articles!$A$2:$A$148,0))</f>
        <v>Estimé</v>
      </c>
      <c r="M97" s="17" t="s">
        <v>763</v>
      </c>
      <c r="N97" s="9" t="s">
        <v>167</v>
      </c>
    </row>
    <row r="98" customFormat="false" ht="15" hidden="false" customHeight="false" outlineLevel="0" collapsed="false">
      <c r="A98" s="9" t="s">
        <v>671</v>
      </c>
      <c r="B98" s="9" t="s">
        <v>737</v>
      </c>
      <c r="C98" s="31" t="s">
        <v>213</v>
      </c>
      <c r="D98" s="9" t="str">
        <f aca="false">INDEX(Articles!$C$2:$C$148,MATCH(C98,Articles!$A$2:$A$148,0))</f>
        <v>Cahier Calligraphe 192 pages 24x32 (grand format)</v>
      </c>
      <c r="E98" s="9" t="str">
        <f aca="false">INDEX(Articles!$B$2:$B$148,MATCH(C98,Articles!$A$2:$A$148,0))</f>
        <v>Papex</v>
      </c>
      <c r="F98" s="31" t="n">
        <v>1</v>
      </c>
      <c r="G98" s="13" t="n">
        <f aca="false">IF(INDEX(Articles!$G$2:$G$148,MATCH(C98,Articles!$A$2:$A$148,0))="","",INDEX(Articles!$G$2:$G$148,MATCH(C98,Articles!$A$2:$A$148,0)))</f>
        <v>1650</v>
      </c>
      <c r="H98" s="13" t="n">
        <f aca="false">IF(G98="",0,F98*G98)</f>
        <v>1650</v>
      </c>
      <c r="I98" s="13" t="n">
        <f aca="false">IF(INDEX(Articles!$E$2:$E$148,MATCH(C98,Articles!$A$2:$A$148,0))="","",INDEX(Articles!$E$2:$E$148,MATCH(C98,Articles!$A$2:$A$148,0)))</f>
        <v>1500</v>
      </c>
      <c r="J98" s="13" t="n">
        <f aca="false">IF(I98="","",F98*I98)</f>
        <v>1500</v>
      </c>
      <c r="K98" s="9" t="str">
        <f aca="false">INDEX(Articles!$H$2:$H$148,MATCH(C98,Articles!$A$2:$A$148,0))</f>
        <v>Fixé</v>
      </c>
      <c r="L98" s="9" t="str">
        <f aca="false">INDEX(Articles!$F$2:$F$148,MATCH(C98,Articles!$A$2:$A$148,0))</f>
        <v>Confirmé</v>
      </c>
      <c r="M98" s="17"/>
      <c r="N98" s="9" t="s">
        <v>167</v>
      </c>
    </row>
    <row r="99" customFormat="false" ht="15" hidden="false" customHeight="false" outlineLevel="0" collapsed="false">
      <c r="A99" s="9" t="s">
        <v>671</v>
      </c>
      <c r="B99" s="9" t="s">
        <v>739</v>
      </c>
      <c r="C99" s="31" t="s">
        <v>192</v>
      </c>
      <c r="D99" s="9" t="str">
        <f aca="false">INDEX(Articles!$C$2:$C$148,MATCH(C99,Articles!$A$2:$A$148,0))</f>
        <v>Cahier Calligraphe 192 pages 17x22 90 g seyès</v>
      </c>
      <c r="E99" s="9" t="str">
        <f aca="false">INDEX(Articles!$B$2:$B$148,MATCH(C99,Articles!$A$2:$A$148,0))</f>
        <v>Papex</v>
      </c>
      <c r="F99" s="31" t="n">
        <v>1</v>
      </c>
      <c r="G99" s="13" t="n">
        <f aca="false">IF(INDEX(Articles!$G$2:$G$148,MATCH(C99,Articles!$A$2:$A$148,0))="","",INDEX(Articles!$G$2:$G$148,MATCH(C99,Articles!$A$2:$A$148,0)))</f>
        <v>900</v>
      </c>
      <c r="H99" s="13" t="n">
        <f aca="false">IF(G99="",0,F99*G99)</f>
        <v>900</v>
      </c>
      <c r="I99" s="13" t="n">
        <f aca="false">IF(INDEX(Articles!$E$2:$E$148,MATCH(C99,Articles!$A$2:$A$148,0))="","",INDEX(Articles!$E$2:$E$148,MATCH(C99,Articles!$A$2:$A$148,0)))</f>
        <v>800</v>
      </c>
      <c r="J99" s="13" t="n">
        <f aca="false">IF(I99="","",F99*I99)</f>
        <v>800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742</v>
      </c>
      <c r="C100" s="31" t="s">
        <v>213</v>
      </c>
      <c r="D100" s="9" t="str">
        <f aca="false">INDEX(Articles!$C$2:$C$148,MATCH(C100,Articles!$A$2:$A$148,0))</f>
        <v>Cahier Calligraphe 192 pages 24x32 (grand format)</v>
      </c>
      <c r="E100" s="9" t="str">
        <f aca="false">INDEX(Articles!$B$2:$B$148,MATCH(C100,Articles!$A$2:$A$148,0))</f>
        <v>Papex</v>
      </c>
      <c r="F100" s="31" t="n">
        <v>1</v>
      </c>
      <c r="G100" s="13" t="n">
        <f aca="false">IF(INDEX(Articles!$G$2:$G$148,MATCH(C100,Articles!$A$2:$A$148,0))="","",INDEX(Articles!$G$2:$G$148,MATCH(C100,Articles!$A$2:$A$148,0)))</f>
        <v>1650</v>
      </c>
      <c r="H100" s="13" t="n">
        <f aca="false">IF(G100="",0,F100*G100)</f>
        <v>1650</v>
      </c>
      <c r="I100" s="13" t="n">
        <f aca="false">IF(INDEX(Articles!$E$2:$E$148,MATCH(C100,Articles!$A$2:$A$148,0))="","",INDEX(Articles!$E$2:$E$148,MATCH(C100,Articles!$A$2:$A$148,0)))</f>
        <v>1500</v>
      </c>
      <c r="J100" s="13" t="n">
        <f aca="false">IF(I100="","",F100*I100)</f>
        <v>1500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852</v>
      </c>
      <c r="C101" s="31" t="s">
        <v>366</v>
      </c>
      <c r="D101" s="9" t="str">
        <f aca="false">INDEX(Articles!$C$2:$C$148,MATCH(C101,Articles!$A$2:$A$148,0))</f>
        <v>Cahier Calligraphe 140 pages 17x22 90 g seyès</v>
      </c>
      <c r="E101" s="9" t="str">
        <f aca="false">INDEX(Articles!$B$2:$B$148,MATCH(C101,Articles!$A$2:$A$148,0))</f>
        <v>Papex</v>
      </c>
      <c r="F101" s="31" t="n">
        <v>1</v>
      </c>
      <c r="G101" s="13" t="n">
        <f aca="false">IF(INDEX(Articles!$G$2:$G$148,MATCH(C101,Articles!$A$2:$A$148,0))="","",INDEX(Articles!$G$2:$G$148,MATCH(C101,Articles!$A$2:$A$148,0)))</f>
        <v>750</v>
      </c>
      <c r="H101" s="13" t="n">
        <f aca="false">IF(G101="",0,F101*G101)</f>
        <v>750</v>
      </c>
      <c r="I101" s="13" t="n">
        <f aca="false">IF(INDEX(Articles!$E$2:$E$148,MATCH(C101,Articles!$A$2:$A$148,0))="","",INDEX(Articles!$E$2:$E$148,MATCH(C101,Articles!$A$2:$A$148,0)))</f>
        <v>650</v>
      </c>
      <c r="J101" s="13" t="n">
        <f aca="false">IF(I101="","",F101*I101)</f>
        <v>650</v>
      </c>
      <c r="K101" s="9" t="str">
        <f aca="false">INDEX(Articles!$H$2:$H$148,MATCH(C101,Articles!$A$2:$A$148,0))</f>
        <v>Fixé</v>
      </c>
      <c r="L101" s="9" t="str">
        <f aca="false">INDEX(Articles!$F$2:$F$148,MATCH(C101,Articles!$A$2:$A$148,0))</f>
        <v>Estimé</v>
      </c>
      <c r="M101" s="17" t="s">
        <v>763</v>
      </c>
      <c r="N101" s="9" t="s">
        <v>167</v>
      </c>
    </row>
    <row r="102" customFormat="false" ht="15" hidden="false" customHeight="false" outlineLevel="0" collapsed="false">
      <c r="A102" s="9" t="s">
        <v>671</v>
      </c>
      <c r="B102" s="9" t="s">
        <v>855</v>
      </c>
      <c r="C102" s="31" t="s">
        <v>208</v>
      </c>
      <c r="D102" s="9" t="str">
        <f aca="false">INDEX(Articles!$C$2:$C$148,MATCH(C102,Articles!$A$2:$A$148,0))</f>
        <v>Cahier Calligraphe 96 pages 24x32 (grand format)</v>
      </c>
      <c r="E102" s="9" t="str">
        <f aca="false">INDEX(Articles!$B$2:$B$148,MATCH(C102,Articles!$A$2:$A$148,0))</f>
        <v>Papex</v>
      </c>
      <c r="F102" s="31" t="n">
        <v>1</v>
      </c>
      <c r="G102" s="13" t="n">
        <f aca="false">IF(INDEX(Articles!$G$2:$G$148,MATCH(C102,Articles!$A$2:$A$148,0))="","",INDEX(Articles!$G$2:$G$148,MATCH(C102,Articles!$A$2:$A$148,0)))</f>
        <v>1350</v>
      </c>
      <c r="H102" s="13" t="n">
        <f aca="false">IF(G102="",0,F102*G102)</f>
        <v>1350</v>
      </c>
      <c r="I102" s="13" t="n">
        <f aca="false">IF(INDEX(Articles!$E$2:$E$148,MATCH(C102,Articles!$A$2:$A$148,0))="","",INDEX(Articles!$E$2:$E$148,MATCH(C102,Articles!$A$2:$A$148,0)))</f>
        <v>1000</v>
      </c>
      <c r="J102" s="13" t="n">
        <f aca="false">IF(I102="","",F102*I102)</f>
        <v>1000</v>
      </c>
      <c r="K102" s="9" t="str">
        <f aca="false">INDEX(Articles!$H$2:$H$148,MATCH(C102,Articles!$A$2:$A$148,0))</f>
        <v>Fixé</v>
      </c>
      <c r="L102" s="9" t="str">
        <f aca="false">INDEX(Articles!$F$2:$F$148,MATCH(C102,Articles!$A$2:$A$148,0))</f>
        <v>Confirmé</v>
      </c>
      <c r="M102" s="17"/>
      <c r="N102" s="9" t="s">
        <v>167</v>
      </c>
    </row>
    <row r="103" customFormat="false" ht="15" hidden="false" customHeight="false" outlineLevel="0" collapsed="false">
      <c r="A103" s="9" t="s">
        <v>671</v>
      </c>
      <c r="B103" s="9" t="s">
        <v>853</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831</v>
      </c>
      <c r="C104" s="31" t="s">
        <v>213</v>
      </c>
      <c r="D104" s="9" t="str">
        <f aca="false">INDEX(Articles!$C$2:$C$148,MATCH(C104,Articles!$A$2:$A$148,0))</f>
        <v>Cahier Calligraphe 192 pages 24x32 (grand format)</v>
      </c>
      <c r="E104" s="9" t="str">
        <f aca="false">INDEX(Articles!$B$2:$B$148,MATCH(C104,Articles!$A$2:$A$148,0))</f>
        <v>Papex</v>
      </c>
      <c r="F104" s="31" t="n">
        <v>1</v>
      </c>
      <c r="G104" s="13" t="n">
        <f aca="false">IF(INDEX(Articles!$G$2:$G$148,MATCH(C104,Articles!$A$2:$A$148,0))="","",INDEX(Articles!$G$2:$G$148,MATCH(C104,Articles!$A$2:$A$148,0)))</f>
        <v>1650</v>
      </c>
      <c r="H104" s="13" t="n">
        <f aca="false">IF(G104="",0,F104*G104)</f>
        <v>1650</v>
      </c>
      <c r="I104" s="13" t="n">
        <f aca="false">IF(INDEX(Articles!$E$2:$E$148,MATCH(C104,Articles!$A$2:$A$148,0))="","",INDEX(Articles!$E$2:$E$148,MATCH(C104,Articles!$A$2:$A$148,0)))</f>
        <v>1500</v>
      </c>
      <c r="J104" s="13" t="n">
        <f aca="false">IF(I104="","",F104*I104)</f>
        <v>1500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678</v>
      </c>
      <c r="B105" s="9" t="s">
        <v>749</v>
      </c>
      <c r="C105" s="31" t="s">
        <v>222</v>
      </c>
      <c r="D105" s="9" t="str">
        <f aca="false">INDEX(Articles!$C$2:$C$148,MATCH(C105,Articles!$A$2:$A$148,0))</f>
        <v>Pack de 4 stylos Schneider Tops 505 M (bleu, noir, rouge, vert)</v>
      </c>
      <c r="E105" s="9" t="str">
        <f aca="false">INDEX(Articles!$B$2:$B$148,MATCH(C105,Articles!$A$2:$A$148,0))</f>
        <v>Papex</v>
      </c>
      <c r="F105" s="31" t="n">
        <v>1</v>
      </c>
      <c r="G105" s="13" t="n">
        <f aca="false">IF(INDEX(Articles!$G$2:$G$148,MATCH(C105,Articles!$A$2:$A$148,0))="","",INDEX(Articles!$G$2:$G$148,MATCH(C105,Articles!$A$2:$A$148,0)))</f>
        <v>400</v>
      </c>
      <c r="H105" s="13" t="n">
        <f aca="false">IF(G105="",0,F105*G105)</f>
        <v>400</v>
      </c>
      <c r="I105" s="13" t="str">
        <f aca="false">IF(INDEX(Articles!$E$2:$E$148,MATCH(C105,Articles!$A$2:$A$148,0))="","",INDEX(Articles!$E$2:$E$148,MATCH(C105,Articles!$A$2:$A$148,0)))</f>
        <v/>
      </c>
      <c r="J105" s="13" t="str">
        <f aca="false">IF(I105="","",F105*I105)</f>
        <v/>
      </c>
      <c r="K105" s="9" t="str">
        <f aca="false">INDEX(Articles!$H$2:$H$148,MATCH(C105,Articles!$A$2:$A$148,0))</f>
        <v>Fixé</v>
      </c>
      <c r="L105" s="9" t="str">
        <f aca="false">INDEX(Articles!$F$2:$F$148,MATCH(C105,Articles!$A$2:$A$148,0))</f>
        <v>Inconnu</v>
      </c>
      <c r="M105" s="17" t="s">
        <v>432</v>
      </c>
      <c r="N105" s="9" t="s">
        <v>167</v>
      </c>
    </row>
    <row r="106" customFormat="false" ht="15" hidden="false" customHeight="false" outlineLevel="0" collapsed="false">
      <c r="A106" s="9" t="s">
        <v>678</v>
      </c>
      <c r="B106" s="9" t="s">
        <v>750</v>
      </c>
      <c r="C106" s="31" t="s">
        <v>235</v>
      </c>
      <c r="D106" s="9" t="str">
        <f aca="false">INDEX(Articles!$C$2:$C$148,MATCH(C106,Articles!$A$2:$A$148,0))</f>
        <v>Crayon papier (vendu à l'unité)</v>
      </c>
      <c r="E106" s="9" t="str">
        <f aca="false">INDEX(Articles!$B$2:$B$148,MATCH(C106,Articles!$A$2:$A$148,0))</f>
        <v>LPD</v>
      </c>
      <c r="F106" s="31" t="n">
        <v>1</v>
      </c>
      <c r="G106" s="13" t="n">
        <f aca="false">IF(INDEX(Articles!$G$2:$G$148,MATCH(C106,Articles!$A$2:$A$148,0))="","",INDEX(Articles!$G$2:$G$148,MATCH(C106,Articles!$A$2:$A$148,0)))</f>
        <v>75</v>
      </c>
      <c r="H106" s="13" t="n">
        <f aca="false">IF(G106="",0,F106*G106)</f>
        <v>75</v>
      </c>
      <c r="I106" s="13" t="str">
        <f aca="false">IF(INDEX(Articles!$E$2:$E$148,MATCH(C106,Articles!$A$2:$A$148,0))="","",INDEX(Articles!$E$2:$E$148,MATCH(C106,Articles!$A$2:$A$148,0)))</f>
        <v/>
      </c>
      <c r="J106" s="13" t="str">
        <f aca="false">IF(I106="","",F106*I106)</f>
        <v/>
      </c>
      <c r="K106" s="9" t="str">
        <f aca="false">INDEX(Articles!$H$2:$H$148,MATCH(C106,Articles!$A$2:$A$148,0))</f>
        <v>Fixé</v>
      </c>
      <c r="L106" s="9" t="str">
        <f aca="false">INDEX(Articles!$F$2:$F$148,MATCH(C106,Articles!$A$2:$A$148,0))</f>
        <v>Inconnu</v>
      </c>
      <c r="M106" s="17"/>
      <c r="N106" s="9" t="s">
        <v>167</v>
      </c>
    </row>
    <row r="107" customFormat="false" ht="15" hidden="false" customHeight="false" outlineLevel="0" collapsed="false">
      <c r="A107" s="9" t="s">
        <v>675</v>
      </c>
      <c r="B107" s="9" t="s">
        <v>717</v>
      </c>
      <c r="C107" s="31" t="s">
        <v>180</v>
      </c>
      <c r="D107" s="9" t="str">
        <f aca="false">INDEX(Articles!$C$2:$C$148,MATCH(C107,Articles!$A$2:$A$148,0))</f>
        <v>Gomme Staedtler Mars Plastic</v>
      </c>
      <c r="E107" s="9" t="str">
        <f aca="false">INDEX(Articles!$B$2:$B$148,MATCH(C107,Articles!$A$2:$A$148,0))</f>
        <v>LPD</v>
      </c>
      <c r="F107" s="31" t="n">
        <v>1</v>
      </c>
      <c r="G107" s="13" t="n">
        <f aca="false">IF(INDEX(Articles!$G$2:$G$148,MATCH(C107,Articles!$A$2:$A$148,0))="","",INDEX(Articles!$G$2:$G$148,MATCH(C107,Articles!$A$2:$A$148,0)))</f>
        <v>250</v>
      </c>
      <c r="H107" s="13" t="n">
        <f aca="false">IF(G107="",0,F107*G107)</f>
        <v>250</v>
      </c>
      <c r="I107" s="13" t="n">
        <f aca="false">IF(INDEX(Articles!$E$2:$E$148,MATCH(C107,Articles!$A$2:$A$148,0))="","",INDEX(Articles!$E$2:$E$148,MATCH(C107,Articles!$A$2:$A$148,0)))</f>
        <v>110</v>
      </c>
      <c r="J107" s="13" t="n">
        <f aca="false">IF(I107="","",F107*I107)</f>
        <v>110</v>
      </c>
      <c r="K107" s="9" t="str">
        <f aca="false">INDEX(Articles!$H$2:$H$148,MATCH(C107,Articles!$A$2:$A$148,0))</f>
        <v>Fixé</v>
      </c>
      <c r="L107" s="9" t="str">
        <f aca="false">INDEX(Articles!$F$2:$F$148,MATCH(C107,Articles!$A$2:$A$148,0))</f>
        <v>Estimé</v>
      </c>
      <c r="M107" s="17"/>
      <c r="N107" s="9" t="s">
        <v>167</v>
      </c>
    </row>
    <row r="108" customFormat="false" ht="15" hidden="false" customHeight="false" outlineLevel="0" collapsed="false">
      <c r="A108" s="9" t="s">
        <v>675</v>
      </c>
      <c r="B108" s="9" t="s">
        <v>751</v>
      </c>
      <c r="C108" s="31" t="s">
        <v>183</v>
      </c>
      <c r="D108" s="9" t="str">
        <f aca="false">INDEX(Articles!$C$2:$C$148,MATCH(C108,Articles!$A$2:$A$148,0))</f>
        <v>Taille-crayon avec réservoir Maped</v>
      </c>
      <c r="E108" s="9" t="str">
        <f aca="false">INDEX(Articles!$B$2:$B$148,MATCH(C108,Articles!$A$2:$A$148,0))</f>
        <v>Papex</v>
      </c>
      <c r="F108" s="31" t="n">
        <v>1</v>
      </c>
      <c r="G108" s="13" t="n">
        <f aca="false">IF(INDEX(Articles!$G$2:$G$148,MATCH(C108,Articles!$A$2:$A$148,0))="","",INDEX(Articles!$G$2:$G$148,MATCH(C108,Articles!$A$2:$A$148,0)))</f>
        <v>500</v>
      </c>
      <c r="H108" s="13" t="n">
        <f aca="false">IF(G108="",0,F108*G108)</f>
        <v>500</v>
      </c>
      <c r="I108" s="13" t="n">
        <f aca="false">IF(INDEX(Articles!$E$2:$E$148,MATCH(C108,Articles!$A$2:$A$148,0))="","",INDEX(Articles!$E$2:$E$148,MATCH(C108,Articles!$A$2:$A$148,0)))</f>
        <v>350</v>
      </c>
      <c r="J108" s="13" t="n">
        <f aca="false">IF(I108="","",F108*I108)</f>
        <v>350</v>
      </c>
      <c r="K108" s="9" t="str">
        <f aca="false">INDEX(Articles!$H$2:$H$148,MATCH(C108,Articles!$A$2:$A$148,0))</f>
        <v>Estimé</v>
      </c>
      <c r="L108" s="9" t="str">
        <f aca="false">INDEX(Articles!$F$2:$F$148,MATCH(C108,Articles!$A$2:$A$148,0))</f>
        <v>Estimé</v>
      </c>
      <c r="M108" s="17" t="s">
        <v>765</v>
      </c>
      <c r="N108" s="9" t="s">
        <v>167</v>
      </c>
    </row>
    <row r="109" customFormat="false" ht="15" hidden="false" customHeight="false" outlineLevel="0" collapsed="false">
      <c r="A109" s="9" t="s">
        <v>675</v>
      </c>
      <c r="B109" s="9" t="s">
        <v>753</v>
      </c>
      <c r="C109" s="31" t="s">
        <v>248</v>
      </c>
      <c r="D109" s="9" t="str">
        <f aca="false">INDEX(Articles!$C$2:$C$148,MATCH(C109,Articles!$A$2:$A$148,0))</f>
        <v>Bâton de colle Giotto 20 g</v>
      </c>
      <c r="E109" s="9" t="str">
        <f aca="false">INDEX(Articles!$B$2:$B$148,MATCH(C109,Articles!$A$2:$A$148,0))</f>
        <v>Papex</v>
      </c>
      <c r="F109" s="31" t="n">
        <v>1</v>
      </c>
      <c r="G109" s="13" t="n">
        <f aca="false">IF(INDEX(Articles!$G$2:$G$148,MATCH(C109,Articles!$A$2:$A$148,0))="","",INDEX(Articles!$G$2:$G$148,MATCH(C109,Articles!$A$2:$A$148,0)))</f>
        <v>900</v>
      </c>
      <c r="H109" s="13" t="n">
        <f aca="false">IF(G109="",0,F109*G109)</f>
        <v>900</v>
      </c>
      <c r="I109" s="13" t="n">
        <f aca="false">IF(INDEX(Articles!$E$2:$E$148,MATCH(C109,Articles!$A$2:$A$148,0))="","",INDEX(Articles!$E$2:$E$148,MATCH(C109,Articles!$A$2:$A$148,0)))</f>
        <v>650</v>
      </c>
      <c r="J109" s="13" t="n">
        <f aca="false">IF(I109="","",F109*I109)</f>
        <v>650</v>
      </c>
      <c r="K109" s="9" t="str">
        <f aca="false">INDEX(Articles!$H$2:$H$148,MATCH(C109,Articles!$A$2:$A$148,0))</f>
        <v>Estimé</v>
      </c>
      <c r="L109" s="9" t="str">
        <f aca="false">INDEX(Articles!$F$2:$F$148,MATCH(C109,Articles!$A$2:$A$148,0))</f>
        <v>Estimé</v>
      </c>
      <c r="M109" s="17"/>
      <c r="N109" s="9" t="s">
        <v>167</v>
      </c>
    </row>
    <row r="110" customFormat="false" ht="15" hidden="false" customHeight="false" outlineLevel="0" collapsed="false">
      <c r="A110" s="9" t="s">
        <v>675</v>
      </c>
      <c r="B110" s="9" t="s">
        <v>754</v>
      </c>
      <c r="C110" s="31" t="s">
        <v>189</v>
      </c>
      <c r="D110" s="9" t="str">
        <f aca="false">INDEX(Articles!$C$2:$C$148,MATCH(C110,Articles!$A$2:$A$148,0))</f>
        <v>Ciseaux Maped 13 cm Security</v>
      </c>
      <c r="E110" s="9" t="str">
        <f aca="false">INDEX(Articles!$B$2:$B$148,MATCH(C110,Articles!$A$2:$A$148,0))</f>
        <v>Papex</v>
      </c>
      <c r="F110" s="31" t="n">
        <v>1</v>
      </c>
      <c r="G110" s="13" t="n">
        <f aca="false">IF(INDEX(Articles!$G$2:$G$148,MATCH(C110,Articles!$A$2:$A$148,0))="","",INDEX(Articles!$G$2:$G$148,MATCH(C110,Articles!$A$2:$A$148,0)))</f>
        <v>900</v>
      </c>
      <c r="H110" s="13" t="n">
        <f aca="false">IF(G110="",0,F110*G110)</f>
        <v>900</v>
      </c>
      <c r="I110" s="13" t="n">
        <f aca="false">IF(INDEX(Articles!$E$2:$E$148,MATCH(C110,Articles!$A$2:$A$148,0))="","",INDEX(Articles!$E$2:$E$148,MATCH(C110,Articles!$A$2:$A$148,0)))</f>
        <v>650</v>
      </c>
      <c r="J110" s="13" t="n">
        <f aca="false">IF(I110="","",F110*I110)</f>
        <v>650</v>
      </c>
      <c r="K110" s="9" t="str">
        <f aca="false">INDEX(Articles!$H$2:$H$148,MATCH(C110,Articles!$A$2:$A$148,0))</f>
        <v>Estimé</v>
      </c>
      <c r="L110" s="9" t="str">
        <f aca="false">INDEX(Articles!$F$2:$F$148,MATCH(C110,Articles!$A$2:$A$148,0))</f>
        <v>Estimé</v>
      </c>
      <c r="M110" s="17"/>
      <c r="N110" s="9" t="s">
        <v>167</v>
      </c>
    </row>
    <row r="111" customFormat="false" ht="15" hidden="false" customHeight="false" outlineLevel="0" collapsed="false">
      <c r="A111" s="9" t="s">
        <v>676</v>
      </c>
      <c r="B111" s="9" t="s">
        <v>755</v>
      </c>
      <c r="C111" s="31" t="s">
        <v>215</v>
      </c>
      <c r="D111" s="9" t="str">
        <f aca="false">INDEX(Articles!$C$2:$C$148,MATCH(C111,Articles!$A$2:$A$148,0))</f>
        <v>Kit géométrie Maped 30 cm (réf. 1930)</v>
      </c>
      <c r="E111" s="9" t="str">
        <f aca="false">INDEX(Articles!$B$2:$B$148,MATCH(C111,Articles!$A$2:$A$148,0))</f>
        <v>LPD</v>
      </c>
      <c r="F111" s="31" t="n">
        <v>1</v>
      </c>
      <c r="G111" s="13" t="n">
        <f aca="false">IF(INDEX(Articles!$G$2:$G$148,MATCH(C111,Articles!$A$2:$A$148,0))="","",INDEX(Articles!$G$2:$G$148,MATCH(C111,Articles!$A$2:$A$148,0)))</f>
        <v>1800</v>
      </c>
      <c r="H111" s="13" t="n">
        <f aca="false">IF(G111="",0,F111*G111)</f>
        <v>1800</v>
      </c>
      <c r="I111" s="13" t="n">
        <f aca="false">IF(INDEX(Articles!$E$2:$E$148,MATCH(C111,Articles!$A$2:$A$148,0))="","",INDEX(Articles!$E$2:$E$148,MATCH(C111,Articles!$A$2:$A$148,0)))</f>
        <v>1500</v>
      </c>
      <c r="J111" s="13" t="n">
        <f aca="false">IF(I111="","",F111*I111)</f>
        <v>1500</v>
      </c>
      <c r="K111" s="9" t="str">
        <f aca="false">INDEX(Articles!$H$2:$H$148,MATCH(C111,Articles!$A$2:$A$148,0))</f>
        <v>À trancher</v>
      </c>
      <c r="L111" s="9" t="str">
        <f aca="false">INDEX(Articles!$F$2:$F$148,MATCH(C111,Articles!$A$2:$A$148,0))</f>
        <v>Confirmé</v>
      </c>
      <c r="M111" s="17"/>
      <c r="N111" s="9" t="s">
        <v>167</v>
      </c>
    </row>
    <row r="112" customFormat="false" ht="15" hidden="false" customHeight="false" outlineLevel="0" collapsed="false">
      <c r="A112" s="9" t="s">
        <v>676</v>
      </c>
      <c r="B112" s="9" t="s">
        <v>756</v>
      </c>
      <c r="C112" s="31" t="s">
        <v>171</v>
      </c>
      <c r="D112" s="9" t="str">
        <f aca="false">INDEX(Articles!$C$2:$C$148,MATCH(C112,Articles!$A$2:$A$148,0))</f>
        <v>Compas Maped</v>
      </c>
      <c r="E112" s="9" t="str">
        <f aca="false">INDEX(Articles!$B$2:$B$148,MATCH(C112,Articles!$A$2:$A$148,0))</f>
        <v>Papex</v>
      </c>
      <c r="F112" s="31" t="n">
        <v>1</v>
      </c>
      <c r="G112" s="13" t="n">
        <f aca="false">IF(INDEX(Articles!$G$2:$G$148,MATCH(C112,Articles!$A$2:$A$148,0))="","",INDEX(Articles!$G$2:$G$148,MATCH(C112,Articles!$A$2:$A$148,0)))</f>
        <v>2000</v>
      </c>
      <c r="H112" s="13" t="n">
        <f aca="false">IF(G112="",0,F112*G112)</f>
        <v>2000</v>
      </c>
      <c r="I112" s="13" t="n">
        <f aca="false">IF(INDEX(Articles!$E$2:$E$148,MATCH(C112,Articles!$A$2:$A$148,0))="","",INDEX(Articles!$E$2:$E$148,MATCH(C112,Articles!$A$2:$A$148,0)))</f>
        <v>1750</v>
      </c>
      <c r="J112" s="13" t="n">
        <f aca="false">IF(I112="","",F112*I112)</f>
        <v>1750</v>
      </c>
      <c r="K112" s="9" t="str">
        <f aca="false">INDEX(Articles!$H$2:$H$148,MATCH(C112,Articles!$A$2:$A$148,0))</f>
        <v>Fixé</v>
      </c>
      <c r="L112" s="9" t="str">
        <f aca="false">INDEX(Articles!$F$2:$F$148,MATCH(C112,Articles!$A$2:$A$148,0))</f>
        <v>Confirmé</v>
      </c>
      <c r="M112" s="17"/>
      <c r="N112" s="9" t="s">
        <v>167</v>
      </c>
    </row>
    <row r="113" customFormat="false" ht="15" hidden="false" customHeight="false" outlineLevel="0" collapsed="false">
      <c r="A113" s="9" t="s">
        <v>681</v>
      </c>
      <c r="B113" s="9" t="s">
        <v>757</v>
      </c>
      <c r="C113" s="31" t="s">
        <v>198</v>
      </c>
      <c r="D113" s="9" t="str">
        <f aca="false">INDEX(Articles!$C$2:$C$148,MATCH(C113,Articles!$A$2:$A$148,0))</f>
        <v>Crayons de couleur Maped, boîte de 12</v>
      </c>
      <c r="E113" s="9" t="str">
        <f aca="false">INDEX(Articles!$B$2:$B$148,MATCH(C113,Articles!$A$2:$A$148,0))</f>
        <v>Papex</v>
      </c>
      <c r="F113" s="31" t="n">
        <v>1</v>
      </c>
      <c r="G113" s="13" t="n">
        <f aca="false">IF(INDEX(Articles!$G$2:$G$148,MATCH(C113,Articles!$A$2:$A$148,0))="","",INDEX(Articles!$G$2:$G$148,MATCH(C113,Articles!$A$2:$A$148,0)))</f>
        <v>900</v>
      </c>
      <c r="H113" s="13" t="n">
        <f aca="false">IF(G113="",0,F113*G113)</f>
        <v>900</v>
      </c>
      <c r="I113" s="13" t="n">
        <f aca="false">IF(INDEX(Articles!$E$2:$E$148,MATCH(C113,Articles!$A$2:$A$148,0))="","",INDEX(Articles!$E$2:$E$148,MATCH(C113,Articles!$A$2:$A$148,0)))</f>
        <v>650</v>
      </c>
      <c r="J113" s="13" t="n">
        <f aca="false">IF(I113="","",F113*I113)</f>
        <v>650</v>
      </c>
      <c r="K113" s="9" t="str">
        <f aca="false">INDEX(Articles!$H$2:$H$148,MATCH(C113,Articles!$A$2:$A$148,0))</f>
        <v>Estimé</v>
      </c>
      <c r="L113" s="9" t="str">
        <f aca="false">INDEX(Articles!$F$2:$F$148,MATCH(C113,Articles!$A$2:$A$148,0))</f>
        <v>Estimé</v>
      </c>
      <c r="M113" s="17"/>
      <c r="N113" s="9" t="s">
        <v>167</v>
      </c>
    </row>
    <row r="114" customFormat="false" ht="15" hidden="false" customHeight="false" outlineLevel="0" collapsed="false">
      <c r="A114" s="9" t="s">
        <v>678</v>
      </c>
      <c r="B114" s="9" t="s">
        <v>766</v>
      </c>
      <c r="C114" s="31" t="s">
        <v>200</v>
      </c>
      <c r="D114" s="9" t="str">
        <f aca="false">INDEX(Articles!$C$2:$C$148,MATCH(C114,Articles!$A$2:$A$148,0))</f>
        <v>Surligneurs Maped Fluo Peps, pochette de 4</v>
      </c>
      <c r="E114" s="9" t="str">
        <f aca="false">INDEX(Articles!$B$2:$B$148,MATCH(C114,Articles!$A$2:$A$148,0))</f>
        <v>Papex</v>
      </c>
      <c r="F114" s="31" t="n">
        <v>1</v>
      </c>
      <c r="G114" s="13" t="n">
        <f aca="false">IF(INDEX(Articles!$G$2:$G$148,MATCH(C114,Articles!$A$2:$A$148,0))="","",INDEX(Articles!$G$2:$G$148,MATCH(C114,Articles!$A$2:$A$148,0)))</f>
        <v>2500</v>
      </c>
      <c r="H114" s="13" t="n">
        <f aca="false">IF(G114="",0,F114*G114)</f>
        <v>2500</v>
      </c>
      <c r="I114" s="13" t="n">
        <f aca="false">IF(INDEX(Articles!$E$2:$E$148,MATCH(C114,Articles!$A$2:$A$148,0))="","",INDEX(Articles!$E$2:$E$148,MATCH(C114,Articles!$A$2:$A$148,0)))</f>
        <v>2000</v>
      </c>
      <c r="J114" s="13" t="n">
        <f aca="false">IF(I114="","",F114*I114)</f>
        <v>2000</v>
      </c>
      <c r="K114" s="9" t="str">
        <f aca="false">INDEX(Articles!$H$2:$H$148,MATCH(C114,Articles!$A$2:$A$148,0))</f>
        <v>Estimé</v>
      </c>
      <c r="L114" s="9" t="str">
        <f aca="false">INDEX(Articles!$F$2:$F$148,MATCH(C114,Articles!$A$2:$A$148,0))</f>
        <v>Confirmé</v>
      </c>
      <c r="M114" s="17" t="s">
        <v>767</v>
      </c>
      <c r="N114" s="9" t="s">
        <v>167</v>
      </c>
    </row>
    <row r="115" customFormat="false" ht="15" hidden="false" customHeight="false" outlineLevel="0" collapsed="false">
      <c r="A115" s="9" t="s">
        <v>768</v>
      </c>
      <c r="B115" s="9" t="s">
        <v>769</v>
      </c>
      <c r="C115" s="31" t="s">
        <v>446</v>
      </c>
      <c r="D115" s="9" t="str">
        <f aca="false">INDEX(Articles!$C$2:$C$148,MATCH(C115,Articles!$A$2:$A$148,0))</f>
        <v>Chemise 3 rabats à élastique</v>
      </c>
      <c r="E115" s="9" t="str">
        <f aca="false">INDEX(Articles!$B$2:$B$148,MATCH(C115,Articles!$A$2:$A$148,0))</f>
        <v>Papex</v>
      </c>
      <c r="F115" s="31" t="n">
        <v>1</v>
      </c>
      <c r="G115" s="13" t="n">
        <f aca="false">IF(INDEX(Articles!$G$2:$G$148,MATCH(C115,Articles!$A$2:$A$148,0))="","",INDEX(Articles!$G$2:$G$148,MATCH(C115,Articles!$A$2:$A$148,0)))</f>
        <v>500</v>
      </c>
      <c r="H115" s="13" t="n">
        <f aca="false">IF(G115="",0,F115*G115)</f>
        <v>500</v>
      </c>
      <c r="I115" s="13" t="str">
        <f aca="false">IF(INDEX(Articles!$E$2:$E$148,MATCH(C115,Articles!$A$2:$A$148,0))="","",INDEX(Articles!$E$2:$E$148,MATCH(C115,Articles!$A$2:$A$148,0)))</f>
        <v/>
      </c>
      <c r="J115" s="13" t="str">
        <f aca="false">IF(I115="","",F115*I115)</f>
        <v/>
      </c>
      <c r="K115" s="9" t="str">
        <f aca="false">INDEX(Articles!$H$2:$H$148,MATCH(C115,Articles!$A$2:$A$148,0))</f>
        <v>Estimé</v>
      </c>
      <c r="L115" s="9" t="str">
        <f aca="false">INDEX(Articles!$F$2:$F$148,MATCH(C115,Articles!$A$2:$A$148,0))</f>
        <v>Inconnu</v>
      </c>
      <c r="M115" s="17" t="s">
        <v>770</v>
      </c>
      <c r="N115" s="9" t="s">
        <v>167</v>
      </c>
    </row>
    <row r="116" customFormat="false" ht="15" hidden="false" customHeight="false" outlineLevel="0" collapsed="false">
      <c r="A116" s="9" t="s">
        <v>676</v>
      </c>
      <c r="B116" s="9" t="s">
        <v>812</v>
      </c>
      <c r="C116" s="31" t="s">
        <v>205</v>
      </c>
      <c r="D116" s="9" t="str">
        <f aca="false">INDEX(Articles!$C$2:$C$148,MATCH(C116,Articles!$A$2:$A$148,0))</f>
        <v>Calculatrice Casio fx-92 Collège</v>
      </c>
      <c r="E116" s="9" t="str">
        <f aca="false">INDEX(Articles!$B$2:$B$148,MATCH(C116,Articles!$A$2:$A$148,0))</f>
        <v>Papex</v>
      </c>
      <c r="F116" s="31" t="n">
        <v>1</v>
      </c>
      <c r="G116" s="13" t="n">
        <f aca="false">IF(INDEX(Articles!$G$2:$G$148,MATCH(C116,Articles!$A$2:$A$148,0))="","",INDEX(Articles!$G$2:$G$148,MATCH(C116,Articles!$A$2:$A$148,0)))</f>
        <v>8000</v>
      </c>
      <c r="H116" s="13" t="n">
        <f aca="false">IF(G116="",0,F116*G116)</f>
        <v>8000</v>
      </c>
      <c r="I116" s="13" t="n">
        <f aca="false">IF(INDEX(Articles!$E$2:$E$148,MATCH(C116,Articles!$A$2:$A$148,0))="","",INDEX(Articles!$E$2:$E$148,MATCH(C116,Articles!$A$2:$A$148,0)))</f>
        <v>7000</v>
      </c>
      <c r="J116" s="13" t="n">
        <f aca="false">IF(I116="","",F116*I116)</f>
        <v>7000</v>
      </c>
      <c r="K116" s="9" t="str">
        <f aca="false">INDEX(Articles!$H$2:$H$148,MATCH(C116,Articles!$A$2:$A$148,0))</f>
        <v>Fixé</v>
      </c>
      <c r="L116" s="9" t="str">
        <f aca="false">INDEX(Articles!$F$2:$F$148,MATCH(C116,Articles!$A$2:$A$148,0))</f>
        <v>Confirmé</v>
      </c>
      <c r="M116" s="17" t="s">
        <v>820</v>
      </c>
      <c r="N116" s="9" t="s">
        <v>167</v>
      </c>
    </row>
    <row r="117" customFormat="false" ht="15" hidden="false" customHeight="false" outlineLevel="0" collapsed="false">
      <c r="A117" s="9" t="s">
        <v>768</v>
      </c>
      <c r="B117" s="9" t="s">
        <v>861</v>
      </c>
      <c r="C117" s="31" t="s">
        <v>246</v>
      </c>
      <c r="D117" s="9" t="str">
        <f aca="false">INDEX(Articles!$C$2:$C$148,MATCH(C117,Articles!$A$2:$A$148,0))</f>
        <v>Protège-documents porte-vues</v>
      </c>
      <c r="E117" s="9" t="str">
        <f aca="false">INDEX(Articles!$B$2:$B$148,MATCH(C117,Articles!$A$2:$A$148,0))</f>
        <v>LPD</v>
      </c>
      <c r="F117" s="31" t="n">
        <v>1</v>
      </c>
      <c r="G117" s="13" t="n">
        <f aca="false">IF(INDEX(Articles!$G$2:$G$148,MATCH(C117,Articles!$A$2:$A$148,0))="","",INDEX(Articles!$G$2:$G$148,MATCH(C117,Articles!$A$2:$A$148,0)))</f>
        <v>1150</v>
      </c>
      <c r="H117" s="13" t="n">
        <f aca="false">IF(G117="",0,F117*G117)</f>
        <v>1150</v>
      </c>
      <c r="I117" s="13" t="n">
        <f aca="false">IF(INDEX(Articles!$E$2:$E$148,MATCH(C117,Articles!$A$2:$A$148,0))="","",INDEX(Articles!$E$2:$E$148,MATCH(C117,Articles!$A$2:$A$148,0)))</f>
        <v>850</v>
      </c>
      <c r="J117" s="13" t="n">
        <f aca="false">IF(I117="","",F117*I117)</f>
        <v>850</v>
      </c>
      <c r="K117" s="9" t="str">
        <f aca="false">INDEX(Articles!$H$2:$H$148,MATCH(C117,Articles!$A$2:$A$148,0))</f>
        <v>Fixé</v>
      </c>
      <c r="L117" s="9" t="str">
        <f aca="false">INDEX(Articles!$F$2:$F$148,MATCH(C117,Articles!$A$2:$A$148,0))</f>
        <v>Estimé</v>
      </c>
      <c r="M117" s="17"/>
      <c r="N117" s="9" t="s">
        <v>167</v>
      </c>
    </row>
    <row r="118" customFormat="false" ht="15" hidden="false" customHeight="false" outlineLevel="0" collapsed="false">
      <c r="A118" s="9" t="s">
        <v>758</v>
      </c>
      <c r="B118" s="9" t="s">
        <v>759</v>
      </c>
      <c r="C118" s="31" t="s">
        <v>376</v>
      </c>
      <c r="D118" s="9" t="str">
        <f aca="false">INDEX(Articles!$C$2:$C$148,MATCH(C118,Articles!$A$2:$A$148,0))</f>
        <v>Paquet de copies doubles grand format</v>
      </c>
      <c r="E118" s="9" t="str">
        <f aca="false">INDEX(Articles!$B$2:$B$148,MATCH(C118,Articles!$A$2:$A$148,0))</f>
        <v>À préciser</v>
      </c>
      <c r="F118" s="31" t="n">
        <v>1</v>
      </c>
      <c r="G118" s="45" t="n">
        <f aca="false">IF(INDEX(Articles!$G$2:$G$148,MATCH(C118,Articles!$A$2:$A$148,0))="","",INDEX(Articles!$G$2:$G$148,MATCH(C118,Articles!$A$2:$A$148,0)))</f>
        <v>1800</v>
      </c>
      <c r="H118" s="13" t="n">
        <f aca="false">IF(G118="",0,F118*G118)</f>
        <v>1800</v>
      </c>
      <c r="I118" s="13" t="n">
        <f aca="false">IF(INDEX(Articles!$E$2:$E$148,MATCH(C118,Articles!$A$2:$A$148,0))="","",INDEX(Articles!$E$2:$E$148,MATCH(C118,Articles!$A$2:$A$148,0)))</f>
        <v>1300</v>
      </c>
      <c r="J118" s="13" t="n">
        <f aca="false">IF(I118="","",F118*I118)</f>
        <v>1300</v>
      </c>
      <c r="K118" s="9" t="str">
        <f aca="false">INDEX(Articles!$H$2:$H$148,MATCH(C118,Articles!$A$2:$A$148,0))</f>
        <v>Fixé</v>
      </c>
      <c r="L118" s="9" t="str">
        <f aca="false">INDEX(Articles!$F$2:$F$148,MATCH(C118,Articles!$A$2:$A$148,0))</f>
        <v>Confirmé</v>
      </c>
      <c r="M118" s="17"/>
      <c r="N118" s="9" t="s">
        <v>167</v>
      </c>
    </row>
    <row r="119" customFormat="false" ht="15" hidden="false" customHeight="false" outlineLevel="0" collapsed="false">
      <c r="A119" s="9" t="s">
        <v>771</v>
      </c>
      <c r="B119" s="9" t="s">
        <v>772</v>
      </c>
      <c r="C119" s="31" t="s">
        <v>160</v>
      </c>
      <c r="D119" s="9" t="str">
        <f aca="false">INDEX(Articles!$C$2:$C$148,MATCH(C119,Articles!$A$2:$A$148,0))</f>
        <v>Protège-cahier couleur petit format (à l'unité)</v>
      </c>
      <c r="E119" s="9" t="str">
        <f aca="false">INDEX(Articles!$B$2:$B$148,MATCH(C119,Articles!$A$2:$A$148,0))</f>
        <v>LPD</v>
      </c>
      <c r="F119" s="31" t="n">
        <v>3</v>
      </c>
      <c r="G119" s="13" t="n">
        <f aca="false">IF(INDEX(Articles!$G$2:$G$148,MATCH(C119,Articles!$A$2:$A$148,0))="","",INDEX(Articles!$G$2:$G$148,MATCH(C119,Articles!$A$2:$A$148,0)))</f>
        <v>150</v>
      </c>
      <c r="H119" s="13" t="n">
        <f aca="false">IF(G119="",0,F119*G119)</f>
        <v>450</v>
      </c>
      <c r="I119" s="13" t="str">
        <f aca="false">IF(INDEX(Articles!$E$2:$E$148,MATCH(C119,Articles!$A$2:$A$148,0))="","",INDEX(Articles!$E$2:$E$148,MATCH(C119,Articles!$A$2:$A$148,0)))</f>
        <v/>
      </c>
      <c r="J119" s="13" t="str">
        <f aca="false">IF(I119="","",F119*I119)</f>
        <v/>
      </c>
      <c r="K119" s="9" t="str">
        <f aca="false">INDEX(Articles!$H$2:$H$148,MATCH(C119,Articles!$A$2:$A$148,0))</f>
        <v>Fixé</v>
      </c>
      <c r="L119" s="9" t="str">
        <f aca="false">INDEX(Articles!$F$2:$F$148,MATCH(C119,Articles!$A$2:$A$148,0))</f>
        <v>Inconnu</v>
      </c>
      <c r="M119" s="17"/>
      <c r="N119" s="9" t="s">
        <v>167</v>
      </c>
    </row>
    <row r="120" customFormat="false" ht="15" hidden="false" customHeight="false" outlineLevel="0" collapsed="false">
      <c r="A120" s="9" t="s">
        <v>771</v>
      </c>
      <c r="B120" s="9" t="s">
        <v>773</v>
      </c>
      <c r="C120" s="31" t="s">
        <v>419</v>
      </c>
      <c r="D120" s="9" t="str">
        <f aca="false">INDEX(Articles!$C$2:$C$148,MATCH(C120,Articles!$A$2:$A$148,0))</f>
        <v>Protège-cahier grand format (à l'unité)</v>
      </c>
      <c r="E120" s="9" t="str">
        <f aca="false">INDEX(Articles!$B$2:$B$148,MATCH(C120,Articles!$A$2:$A$148,0))</f>
        <v>À préciser</v>
      </c>
      <c r="F120" s="31" t="n">
        <v>8</v>
      </c>
      <c r="G120" s="13" t="str">
        <f aca="false">IF(INDEX(Articles!$G$2:$G$148,MATCH(C120,Articles!$A$2:$A$148,0))="","",INDEX(Articles!$G$2:$G$148,MATCH(C120,Articles!$A$2:$A$148,0)))</f>
        <v/>
      </c>
      <c r="H120" s="13" t="n">
        <f aca="false">IF(G120="",0,F120*G120)</f>
        <v>0</v>
      </c>
      <c r="I120" s="13" t="str">
        <f aca="false">IF(INDEX(Articles!$E$2:$E$148,MATCH(C120,Articles!$A$2:$A$148,0))="","",INDEX(Articles!$E$2:$E$148,MATCH(C120,Articles!$A$2:$A$148,0)))</f>
        <v/>
      </c>
      <c r="J120" s="13" t="str">
        <f aca="false">IF(I120="","",F120*I120)</f>
        <v/>
      </c>
      <c r="K120" s="9" t="str">
        <f aca="false">INDEX(Articles!$H$2:$H$148,MATCH(C120,Articles!$A$2:$A$148,0))</f>
        <v>À fournir</v>
      </c>
      <c r="L120" s="9" t="str">
        <f aca="false">INDEX(Articles!$F$2:$F$148,MATCH(C120,Articles!$A$2:$A$148,0))</f>
        <v>Inconnu</v>
      </c>
      <c r="M120" s="17"/>
      <c r="N120" s="9" t="s">
        <v>167</v>
      </c>
    </row>
    <row r="121" customFormat="false" ht="15" hidden="false" customHeight="false" outlineLevel="0" collapsed="false">
      <c r="A121" s="9" t="s">
        <v>760</v>
      </c>
      <c r="B121" s="9" t="s">
        <v>883</v>
      </c>
      <c r="C121" s="31" t="s">
        <v>504</v>
      </c>
      <c r="D121" s="9" t="str">
        <f aca="false">INDEX(Articles!$C$2:$C$148,MATCH(C121,Articles!$A$2:$A$148,0))</f>
        <v>Une vie de boy (Ferdinand Oyono)</v>
      </c>
      <c r="E121" s="9" t="str">
        <f aca="false">INDEX(Articles!$B$2:$B$148,MATCH(C121,Articles!$A$2:$A$148,0))</f>
        <v>LPD</v>
      </c>
      <c r="F121" s="31" t="n">
        <v>1</v>
      </c>
      <c r="G121" s="13" t="n">
        <f aca="false">IF(INDEX(Articles!$G$2:$G$148,MATCH(C121,Articles!$A$2:$A$148,0))="","",INDEX(Articles!$G$2:$G$148,MATCH(C121,Articles!$A$2:$A$148,0)))</f>
        <v>2800</v>
      </c>
      <c r="H121" s="13" t="n">
        <f aca="false">IF(G121="",0,F121*G121)</f>
        <v>2800</v>
      </c>
      <c r="I121" s="13" t="n">
        <f aca="false">IF(INDEX(Articles!$E$2:$E$148,MATCH(C121,Articles!$A$2:$A$148,0))="","",INDEX(Articles!$E$2:$E$148,MATCH(C121,Articles!$A$2:$A$148,0)))</f>
        <v>1800</v>
      </c>
      <c r="J121" s="13" t="n">
        <f aca="false">IF(I121="","",F121*I121)</f>
        <v>1800</v>
      </c>
      <c r="K121" s="9" t="str">
        <f aca="false">INDEX(Articles!$H$2:$H$148,MATCH(C121,Articles!$A$2:$A$148,0))</f>
        <v>Fixé</v>
      </c>
      <c r="L121" s="9" t="str">
        <f aca="false">INDEX(Articles!$F$2:$F$148,MATCH(C121,Articles!$A$2:$A$148,0))</f>
        <v>Estimé</v>
      </c>
      <c r="M121" s="17"/>
      <c r="N121" s="9" t="s">
        <v>167</v>
      </c>
    </row>
    <row r="122" customFormat="false" ht="15" hidden="false" customHeight="false" outlineLevel="0" collapsed="false">
      <c r="A122" s="9" t="s">
        <v>760</v>
      </c>
      <c r="B122" s="9" t="s">
        <v>884</v>
      </c>
      <c r="C122" s="31" t="s">
        <v>506</v>
      </c>
      <c r="D122" s="9" t="str">
        <f aca="false">INDEX(Articles!$C$2:$C$148,MATCH(C122,Articles!$A$2:$A$148,0))</f>
        <v>Le Père Goriot (Balzac)</v>
      </c>
      <c r="E122" s="9" t="str">
        <f aca="false">INDEX(Articles!$B$2:$B$148,MATCH(C122,Articles!$A$2:$A$148,0))</f>
        <v>LPD</v>
      </c>
      <c r="F122" s="31" t="n">
        <v>1</v>
      </c>
      <c r="G122" s="13" t="n">
        <f aca="false">IF(INDEX(Articles!$G$2:$G$148,MATCH(C122,Articles!$A$2:$A$148,0))="","",INDEX(Articles!$G$2:$G$148,MATCH(C122,Articles!$A$2:$A$148,0)))</f>
        <v>2800</v>
      </c>
      <c r="H122" s="13" t="n">
        <f aca="false">IF(G122="",0,F122*G122)</f>
        <v>2800</v>
      </c>
      <c r="I122" s="13" t="n">
        <f aca="false">IF(INDEX(Articles!$E$2:$E$148,MATCH(C122,Articles!$A$2:$A$148,0))="","",INDEX(Articles!$E$2:$E$148,MATCH(C122,Articles!$A$2:$A$148,0)))</f>
        <v>1800</v>
      </c>
      <c r="J122" s="13" t="n">
        <f aca="false">IF(I122="","",F122*I122)</f>
        <v>1800</v>
      </c>
      <c r="K122" s="9" t="str">
        <f aca="false">INDEX(Articles!$H$2:$H$148,MATCH(C122,Articles!$A$2:$A$148,0))</f>
        <v>Fixé</v>
      </c>
      <c r="L122" s="9" t="str">
        <f aca="false">INDEX(Articles!$F$2:$F$148,MATCH(C122,Articles!$A$2:$A$148,0))</f>
        <v>Estimé</v>
      </c>
      <c r="M122" s="17"/>
      <c r="N122" s="9" t="s">
        <v>167</v>
      </c>
    </row>
    <row r="123" customFormat="false" ht="15" hidden="false" customHeight="false" outlineLevel="0" collapsed="false">
      <c r="A123" s="9" t="s">
        <v>760</v>
      </c>
      <c r="B123" s="9" t="s">
        <v>884</v>
      </c>
      <c r="C123" s="31" t="s">
        <v>508</v>
      </c>
      <c r="D123" s="9" t="str">
        <f aca="false">INDEX(Articles!$C$2:$C$148,MATCH(C123,Articles!$A$2:$A$148,0))</f>
        <v>Madame Bovary (Flaubert)</v>
      </c>
      <c r="E123" s="9" t="str">
        <f aca="false">INDEX(Articles!$B$2:$B$148,MATCH(C123,Articles!$A$2:$A$148,0))</f>
        <v>LPD</v>
      </c>
      <c r="F123" s="31" t="n">
        <v>1</v>
      </c>
      <c r="G123" s="13" t="n">
        <f aca="false">IF(INDEX(Articles!$G$2:$G$148,MATCH(C123,Articles!$A$2:$A$148,0))="","",INDEX(Articles!$G$2:$G$148,MATCH(C123,Articles!$A$2:$A$148,0)))</f>
        <v>2800</v>
      </c>
      <c r="H123" s="13" t="n">
        <f aca="false">IF(G123="",0,F123*G123)</f>
        <v>2800</v>
      </c>
      <c r="I123" s="13" t="n">
        <f aca="false">IF(INDEX(Articles!$E$2:$E$148,MATCH(C123,Articles!$A$2:$A$148,0))="","",INDEX(Articles!$E$2:$E$148,MATCH(C123,Articles!$A$2:$A$148,0)))</f>
        <v>1800</v>
      </c>
      <c r="J123" s="13" t="n">
        <f aca="false">IF(I123="","",F123*I123)</f>
        <v>1800</v>
      </c>
      <c r="K123" s="9" t="str">
        <f aca="false">INDEX(Articles!$H$2:$H$148,MATCH(C123,Articles!$A$2:$A$148,0))</f>
        <v>Fixé</v>
      </c>
      <c r="L123" s="9" t="str">
        <f aca="false">INDEX(Articles!$F$2:$F$148,MATCH(C123,Articles!$A$2:$A$148,0))</f>
        <v>Estimé</v>
      </c>
      <c r="M123" s="17"/>
      <c r="N123" s="9" t="s">
        <v>167</v>
      </c>
    </row>
    <row r="124" customFormat="false" ht="15" hidden="false" customHeight="false" outlineLevel="0" collapsed="false">
      <c r="A124" s="9" t="s">
        <v>777</v>
      </c>
      <c r="B124" s="9" t="s">
        <v>889</v>
      </c>
      <c r="C124" s="31" t="s">
        <v>643</v>
      </c>
      <c r="D124" s="9" t="str">
        <f aca="false">INDEX(Articles!$C$2:$C$148,MATCH(C124,Articles!$A$2:$A$148,0))</f>
        <v>Science de la vie et de la terre 1ʳᵉ</v>
      </c>
      <c r="E124" s="9" t="str">
        <f aca="false">INDEX(Articles!$B$2:$B$148,MATCH(C124,Articles!$A$2:$A$148,0))</f>
        <v>LPD</v>
      </c>
      <c r="F124" s="31" t="n">
        <v>1</v>
      </c>
      <c r="G124" s="13" t="n">
        <f aca="false">IF(INDEX(Articles!$G$2:$G$148,MATCH(C124,Articles!$A$2:$A$148,0))="","",INDEX(Articles!$G$2:$G$148,MATCH(C124,Articles!$A$2:$A$148,0)))</f>
        <v>4720</v>
      </c>
      <c r="H124" s="13" t="n">
        <f aca="false">IF(G124="",0,F124*G124)</f>
        <v>4720</v>
      </c>
      <c r="I124" s="13" t="n">
        <f aca="false">IF(INDEX(Articles!$E$2:$E$148,MATCH(C124,Articles!$A$2:$A$148,0))="","",INDEX(Articles!$E$2:$E$148,MATCH(C124,Articles!$A$2:$A$148,0)))</f>
        <v>3720</v>
      </c>
      <c r="J124" s="13" t="n">
        <f aca="false">IF(I124="","",F124*I124)</f>
        <v>3720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678</v>
      </c>
      <c r="B125" s="9" t="s">
        <v>781</v>
      </c>
      <c r="C125" s="31" t="s">
        <v>434</v>
      </c>
      <c r="D125" s="9" t="str">
        <f aca="false">INDEX(Articles!$C$2:$C$148,MATCH(C125,Articles!$A$2:$A$148,0))</f>
        <v>Stylo 4 couleurs Schneider</v>
      </c>
      <c r="E125" s="9" t="str">
        <f aca="false">INDEX(Articles!$B$2:$B$148,MATCH(C125,Articles!$A$2:$A$148,0))</f>
        <v>Papex</v>
      </c>
      <c r="F125" s="31" t="n">
        <v>1</v>
      </c>
      <c r="G125" s="13" t="n">
        <f aca="false">IF(INDEX(Articles!$G$2:$G$148,MATCH(C125,Articles!$A$2:$A$148,0))="","",INDEX(Articles!$G$2:$G$148,MATCH(C125,Articles!$A$2:$A$148,0)))</f>
        <v>1750</v>
      </c>
      <c r="H125" s="13" t="n">
        <f aca="false">IF(G125="",0,F125*G125)</f>
        <v>1750</v>
      </c>
      <c r="I125" s="13" t="n">
        <f aca="false">IF(INDEX(Articles!$E$2:$E$148,MATCH(C125,Articles!$A$2:$A$148,0))="","",INDEX(Articles!$E$2:$E$148,MATCH(C125,Articles!$A$2:$A$148,0)))</f>
        <v>1500</v>
      </c>
      <c r="J125" s="13" t="n">
        <f aca="false">IF(I125="","",F125*I125)</f>
        <v>1500</v>
      </c>
      <c r="K125" s="9" t="str">
        <f aca="false">INDEX(Articles!$H$2:$H$148,MATCH(C125,Articles!$A$2:$A$148,0))</f>
        <v>Fixé</v>
      </c>
      <c r="L125" s="9" t="str">
        <f aca="false">INDEX(Articles!$F$2:$F$148,MATCH(C125,Articles!$A$2:$A$148,0))</f>
        <v>Confirmé</v>
      </c>
      <c r="M125" s="17"/>
      <c r="N125" s="9" t="s">
        <v>167</v>
      </c>
    </row>
    <row r="126" customFormat="false" ht="15" hidden="false" customHeight="false" outlineLevel="0" collapsed="false">
      <c r="A126" s="9" t="s">
        <v>678</v>
      </c>
      <c r="B126" s="9" t="s">
        <v>782</v>
      </c>
      <c r="C126" s="31" t="s">
        <v>174</v>
      </c>
      <c r="D126" s="9" t="str">
        <f aca="false">INDEX(Articles!$C$2:$C$148,MATCH(C126,Articles!$A$2:$A$148,0))</f>
        <v>Correcteur souris ARK</v>
      </c>
      <c r="E126" s="9" t="str">
        <f aca="false">INDEX(Articles!$B$2:$B$148,MATCH(C126,Articles!$A$2:$A$148,0))</f>
        <v>Papex</v>
      </c>
      <c r="F126" s="31" t="n">
        <v>1</v>
      </c>
      <c r="G126" s="13" t="n">
        <f aca="false">IF(INDEX(Articles!$G$2:$G$148,MATCH(C126,Articles!$A$2:$A$148,0))="","",INDEX(Articles!$G$2:$G$148,MATCH(C126,Articles!$A$2:$A$148,0)))</f>
        <v>1000</v>
      </c>
      <c r="H126" s="13" t="n">
        <f aca="false">IF(G126="",0,F126*G126)</f>
        <v>1000</v>
      </c>
      <c r="I126" s="13" t="n">
        <f aca="false">IF(INDEX(Articles!$E$2:$E$148,MATCH(C126,Articles!$A$2:$A$148,0))="","",INDEX(Articles!$E$2:$E$148,MATCH(C126,Articles!$A$2:$A$148,0)))</f>
        <v>700</v>
      </c>
      <c r="J126" s="13" t="n">
        <f aca="false">IF(I126="","",F126*I126)</f>
        <v>700</v>
      </c>
      <c r="K126" s="9" t="str">
        <f aca="false">INDEX(Articles!$H$2:$H$148,MATCH(C126,Articles!$A$2:$A$148,0))</f>
        <v>Fixé</v>
      </c>
      <c r="L126" s="9" t="str">
        <f aca="false">INDEX(Articles!$F$2:$F$148,MATCH(C126,Articles!$A$2:$A$148,0))</f>
        <v>Confirmé</v>
      </c>
      <c r="M126" s="17"/>
      <c r="N126" s="9" t="s">
        <v>167</v>
      </c>
    </row>
    <row r="127" customFormat="false" ht="15" hidden="false" customHeight="false" outlineLevel="0" collapsed="false">
      <c r="A127" s="9" t="s">
        <v>840</v>
      </c>
      <c r="B127" s="9" t="s">
        <v>899</v>
      </c>
      <c r="C127" s="31" t="s">
        <v>398</v>
      </c>
      <c r="D127" s="9" t="str">
        <f aca="false">INDEX(Articles!$C$2:$C$148,MATCH(C127,Articles!$A$2:$A$148,0))</f>
        <v>MATHS 1S1 (CRACKS EN MATHS) (Korka Diallo)</v>
      </c>
      <c r="E127" s="9" t="str">
        <f aca="false">INDEX(Articles!$B$2:$B$148,MATCH(C127,Articles!$A$2:$A$148,0))</f>
        <v>Korka Diallo</v>
      </c>
      <c r="F127" s="31" t="n">
        <v>1</v>
      </c>
      <c r="G127" s="45" t="n">
        <f aca="false">IF(INDEX(Articles!$G$2:$G$148,MATCH(C127,Articles!$A$2:$A$148,0))="","",INDEX(Articles!$G$2:$G$148,MATCH(C127,Articles!$A$2:$A$148,0)))</f>
        <v>15000</v>
      </c>
      <c r="H127" s="13" t="n">
        <f aca="false">IF(G127="",0,F127*G127)</f>
        <v>15000</v>
      </c>
      <c r="I127" s="13" t="n">
        <f aca="false">IF(INDEX(Articles!$E$2:$E$148,MATCH(C127,Articles!$A$2:$A$148,0))="","",INDEX(Articles!$E$2:$E$148,MATCH(C127,Articles!$A$2:$A$148,0)))</f>
        <v>12000</v>
      </c>
      <c r="J127" s="13" t="n">
        <f aca="false">IF(I127="","",F127*I127)</f>
        <v>12000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840</v>
      </c>
      <c r="B128" s="9" t="s">
        <v>900</v>
      </c>
      <c r="C128" s="31" t="s">
        <v>404</v>
      </c>
      <c r="D128" s="9" t="str">
        <f aca="false">INDEX(Articles!$C$2:$C$148,MATCH(C128,Articles!$A$2:$A$148,0))</f>
        <v>PHYSIQUE CHIMIE PREMIERE S (Sidy Mohamed Ndiaye, Collection Atomic)</v>
      </c>
      <c r="E128" s="9" t="str">
        <f aca="false">INDEX(Articles!$B$2:$B$148,MATCH(C128,Articles!$A$2:$A$148,0))</f>
        <v>Korka Diallo</v>
      </c>
      <c r="F128" s="31" t="n">
        <v>1</v>
      </c>
      <c r="G128" s="45" t="n">
        <f aca="false">IF(INDEX(Articles!$G$2:$G$148,MATCH(C128,Articles!$A$2:$A$148,0))="","",INDEX(Articles!$G$2:$G$148,MATCH(C128,Articles!$A$2:$A$148,0)))</f>
        <v>8000</v>
      </c>
      <c r="H128" s="13" t="n">
        <f aca="false">IF(G128="",0,F128*G128)</f>
        <v>8000</v>
      </c>
      <c r="I128" s="13" t="n">
        <f aca="false">IF(INDEX(Articles!$E$2:$E$148,MATCH(C128,Articles!$A$2:$A$148,0))="","",INDEX(Articles!$E$2:$E$148,MATCH(C128,Articles!$A$2:$A$148,0)))</f>
        <v>6400</v>
      </c>
      <c r="J128" s="13" t="n">
        <f aca="false">IF(I128="","",F128*I128)</f>
        <v>6400</v>
      </c>
      <c r="K128" s="9" t="str">
        <f aca="false">INDEX(Articles!$H$2:$H$148,MATCH(C128,Articles!$A$2:$A$148,0))</f>
        <v>Fixé</v>
      </c>
      <c r="L128" s="9" t="str">
        <f aca="false">INDEX(Articles!$F$2:$F$148,MATCH(C128,Articles!$A$2:$A$148,0))</f>
        <v>Confirmé</v>
      </c>
      <c r="M128" s="17"/>
      <c r="N128" s="9" t="s">
        <v>167</v>
      </c>
    </row>
    <row r="129" customFormat="false" ht="15" hidden="false" customHeight="false" outlineLevel="0" collapsed="false">
      <c r="A129" s="9" t="s">
        <v>703</v>
      </c>
      <c r="B129" s="9" t="s">
        <v>901</v>
      </c>
      <c r="C129" s="31" t="s">
        <v>645</v>
      </c>
      <c r="D129" s="9" t="str">
        <f aca="false">INDEX(Articles!$C$2:$C$148,MATCH(C129,Articles!$A$2:$A$148,0))</f>
        <v>Livre de Mathématiques 1ʳᵉ</v>
      </c>
      <c r="E129" s="9" t="str">
        <f aca="false">INDEX(Articles!$B$2:$B$148,MATCH(C129,Articles!$A$2:$A$148,0))</f>
        <v>LPD</v>
      </c>
      <c r="F129" s="31" t="n">
        <v>1</v>
      </c>
      <c r="G129" s="13" t="n">
        <f aca="false">IF(INDEX(Articles!$G$2:$G$148,MATCH(C129,Articles!$A$2:$A$148,0))="","",INDEX(Articles!$G$2:$G$148,MATCH(C129,Articles!$A$2:$A$148,0)))</f>
        <v>4720</v>
      </c>
      <c r="H129" s="13" t="n">
        <f aca="false">IF(G129="",0,F129*G129)</f>
        <v>4720</v>
      </c>
      <c r="I129" s="13" t="n">
        <f aca="false">IF(INDEX(Articles!$E$2:$E$148,MATCH(C129,Articles!$A$2:$A$148,0))="","",INDEX(Articles!$E$2:$E$148,MATCH(C129,Articles!$A$2:$A$148,0)))</f>
        <v>3720</v>
      </c>
      <c r="J129" s="13" t="n">
        <f aca="false">IF(I129="","",F129*I129)</f>
        <v>3720</v>
      </c>
      <c r="K129" s="9" t="str">
        <f aca="false">INDEX(Articles!$H$2:$H$148,MATCH(C129,Articles!$A$2:$A$148,0))</f>
        <v>Fixé</v>
      </c>
      <c r="L129" s="9" t="str">
        <f aca="false">INDEX(Articles!$F$2:$F$148,MATCH(C129,Articles!$A$2:$A$148,0))</f>
        <v>Estimé</v>
      </c>
      <c r="M129" s="17"/>
      <c r="N129" s="9" t="s">
        <v>167</v>
      </c>
    </row>
    <row r="130" customFormat="false" ht="15" hidden="false" customHeight="false" outlineLevel="0" collapsed="false">
      <c r="D130" s="32" t="s">
        <v>683</v>
      </c>
      <c r="E130" s="32"/>
      <c r="F130" s="32"/>
      <c r="G130" s="32"/>
      <c r="H130" s="33" t="n">
        <f aca="false">COUNTIF(G94:G129,"")</f>
        <v>1</v>
      </c>
    </row>
    <row r="131" customFormat="false" ht="15" hidden="false" customHeight="false" outlineLevel="0" collapsed="false">
      <c r="D131" s="32" t="s">
        <v>684</v>
      </c>
      <c r="E131" s="32"/>
      <c r="F131" s="32"/>
      <c r="G131" s="32"/>
      <c r="H131" s="33" t="n">
        <f aca="false">SUM(H94:H129)</f>
        <v>80715</v>
      </c>
    </row>
    <row r="132" customFormat="false" ht="15" hidden="false" customHeight="false" outlineLevel="0" collapsed="false">
      <c r="D132" s="32" t="s">
        <v>28</v>
      </c>
      <c r="E132" s="32"/>
      <c r="F132" s="32"/>
      <c r="G132" s="32"/>
      <c r="H132" s="33" t="n">
        <f aca="false">SUM(J94:J129)</f>
        <v>63350</v>
      </c>
    </row>
    <row r="133" customFormat="false" ht="15" hidden="false" customHeight="false" outlineLevel="0" collapsed="false">
      <c r="D133" s="32" t="s">
        <v>685</v>
      </c>
      <c r="E133" s="32"/>
      <c r="F133" s="32"/>
      <c r="G133" s="32"/>
      <c r="H133" s="33" t="n">
        <f aca="false">COUNTIF(I94:I129,"")</f>
        <v>5</v>
      </c>
    </row>
    <row r="134" customFormat="false" ht="15" hidden="false" customHeight="false" outlineLevel="0" collapsed="false">
      <c r="D134" s="32" t="s">
        <v>686</v>
      </c>
      <c r="E134" s="32"/>
      <c r="F134" s="32"/>
      <c r="G134" s="32"/>
      <c r="H134" s="33" t="n">
        <f aca="false">SUMPRODUCT((I94:I129&lt;&gt;"")*H94:H129)-H132</f>
        <v>15940</v>
      </c>
    </row>
    <row r="135" customFormat="false" ht="15" hidden="false" customHeight="false" outlineLevel="0" collapsed="false">
      <c r="D135" s="32" t="s">
        <v>687</v>
      </c>
      <c r="E135" s="32"/>
      <c r="F135" s="32"/>
      <c r="G135" s="32"/>
      <c r="H135" s="33" t="n">
        <f aca="false">SUMIF(A94:A129,"Cahiers",F94:F129)</f>
        <v>11</v>
      </c>
    </row>
    <row r="136" customFormat="false" ht="15" hidden="false" customHeight="false" outlineLevel="0" collapsed="false">
      <c r="D136" s="32" t="s">
        <v>688</v>
      </c>
      <c r="E136" s="32"/>
      <c r="F136" s="32"/>
      <c r="G136" s="32"/>
      <c r="H136" s="34" t="n">
        <f aca="false">IF(H131=0,0,SUMIF(K94:K129,"&lt;&gt;Fixé",H94:H129)/H131)</f>
        <v>0.0991141671312643</v>
      </c>
    </row>
    <row r="137" customFormat="false" ht="15" hidden="false" customHeight="false" outlineLevel="0" collapsed="false">
      <c r="D137" s="32" t="s">
        <v>689</v>
      </c>
      <c r="E137" s="32"/>
      <c r="F137" s="32"/>
      <c r="G137" s="32"/>
      <c r="H137" s="33" t="str">
        <f aca="false">IF(H130&gt;0,"Total incomplet : "&amp;H130&amp;" prix de vente à fournir",IF(H133&gt;0,"Coût incomplet : "&amp;H133&amp;" ligne(s) sans prix d'achat","Complet"))</f>
        <v>Total incomplet : 1 prix de vente à fournir</v>
      </c>
    </row>
    <row r="138" customFormat="false" ht="15" hidden="false" customHeight="false" outlineLevel="0" collapsed="false">
      <c r="D138" s="21" t="s">
        <v>696</v>
      </c>
      <c r="E138" s="21" t="str">
        <f aca="false">INDEX(Articles!$C$2:$C$148,MATCH("S020",Articles!$A$2:$A$148,0))</f>
        <v>Sac à dos bleu marine</v>
      </c>
      <c r="H138" s="41" t="n">
        <f aca="false">INDEX(Articles!$G$2:$G$148,MATCH("S020",Articles!$A$2:$A$148,0))</f>
        <v>7000</v>
      </c>
    </row>
    <row r="139" customFormat="false" ht="15" hidden="false" customHeight="false" outlineLevel="0" collapsed="false">
      <c r="D139" s="42" t="s">
        <v>697</v>
      </c>
      <c r="E139" s="43" t="s">
        <v>886</v>
      </c>
    </row>
    <row r="140" customFormat="false" ht="15" hidden="false" customHeight="false" outlineLevel="0" collapsed="false">
      <c r="E140" s="43" t="s">
        <v>887</v>
      </c>
    </row>
    <row r="141" customFormat="false" ht="15" hidden="false" customHeight="false" outlineLevel="0" collapsed="false">
      <c r="E141" s="43" t="s">
        <v>897</v>
      </c>
    </row>
  </sheetData>
  <mergeCells count="24">
    <mergeCell ref="D28:G28"/>
    <mergeCell ref="D29:G29"/>
    <mergeCell ref="D30:G30"/>
    <mergeCell ref="D31:G31"/>
    <mergeCell ref="D32:G32"/>
    <mergeCell ref="D33:G33"/>
    <mergeCell ref="D34:G34"/>
    <mergeCell ref="D35:G35"/>
    <mergeCell ref="D78:G78"/>
    <mergeCell ref="D79:G79"/>
    <mergeCell ref="D80:G80"/>
    <mergeCell ref="D81:G81"/>
    <mergeCell ref="D82:G82"/>
    <mergeCell ref="D83:G83"/>
    <mergeCell ref="D84:G84"/>
    <mergeCell ref="D85:G85"/>
    <mergeCell ref="D130:G130"/>
    <mergeCell ref="D131:G131"/>
    <mergeCell ref="D132:G132"/>
    <mergeCell ref="D133:G133"/>
    <mergeCell ref="D134:G134"/>
    <mergeCell ref="D135:G135"/>
    <mergeCell ref="D136:G136"/>
    <mergeCell ref="D137:G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902</v>
      </c>
    </row>
    <row r="2" customFormat="false" ht="15" hidden="false" customHeight="false" outlineLevel="0" collapsed="false">
      <c r="A2" s="21" t="s">
        <v>894</v>
      </c>
    </row>
    <row r="4" customFormat="false" ht="15" hidden="false" customHeight="false" outlineLevel="0" collapsed="false">
      <c r="A4" s="28" t="s">
        <v>903</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745</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850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744</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854</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742</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852</v>
      </c>
      <c r="C13" s="31" t="s">
        <v>195</v>
      </c>
      <c r="D13" s="9" t="str">
        <f aca="false">INDEX(Articles!$C$2:$C$148,MATCH(C13,Articles!$A$2:$A$148,0))</f>
        <v>Cahier Calligraphe 96 pages 17x22 56 g seyès</v>
      </c>
      <c r="E13" s="9" t="str">
        <f aca="false">INDEX(Articles!$B$2:$B$148,MATCH(C13,Articles!$A$2:$A$148,0))</f>
        <v>Papex</v>
      </c>
      <c r="F13" s="31" t="n">
        <v>1</v>
      </c>
      <c r="G13" s="13" t="n">
        <f aca="false">IF(INDEX(Articles!$G$2:$G$148,MATCH(C13,Articles!$A$2:$A$148,0))="","",INDEX(Articles!$G$2:$G$148,MATCH(C13,Articles!$A$2:$A$148,0)))</f>
        <v>450</v>
      </c>
      <c r="H13" s="13" t="n">
        <f aca="false">IF(G13="",0,F13*G13)</f>
        <v>450</v>
      </c>
      <c r="I13" s="13" t="n">
        <f aca="false">IF(INDEX(Articles!$E$2:$E$148,MATCH(C13,Articles!$A$2:$A$148,0))="","",INDEX(Articles!$E$2:$E$148,MATCH(C13,Articles!$A$2:$A$148,0)))</f>
        <v>350</v>
      </c>
      <c r="J13" s="13" t="n">
        <f aca="false">IF(I13="","",F13*I13)</f>
        <v>350</v>
      </c>
      <c r="K13" s="9" t="str">
        <f aca="false">INDEX(Articles!$H$2:$H$148,MATCH(C13,Articles!$A$2:$A$148,0))</f>
        <v>Fixé</v>
      </c>
      <c r="L13" s="9" t="str">
        <f aca="false">INDEX(Articles!$F$2:$F$148,MATCH(C13,Articles!$A$2:$A$148,0))</f>
        <v>Confirmé</v>
      </c>
      <c r="M13" s="17"/>
      <c r="N13" s="9" t="s">
        <v>167</v>
      </c>
    </row>
    <row r="14" customFormat="false" ht="15" hidden="false" customHeight="false" outlineLevel="0" collapsed="false">
      <c r="A14" s="9" t="s">
        <v>671</v>
      </c>
      <c r="B14" s="9" t="s">
        <v>855</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853</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831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678</v>
      </c>
      <c r="B17" s="9" t="s">
        <v>749</v>
      </c>
      <c r="C17" s="31" t="s">
        <v>222</v>
      </c>
      <c r="D17" s="9" t="str">
        <f aca="false">INDEX(Articles!$C$2:$C$148,MATCH(C17,Articles!$A$2:$A$148,0))</f>
        <v>Pack de 4 stylos Schneider Tops 505 M (bleu, noir, rouge, vert)</v>
      </c>
      <c r="E17" s="9" t="str">
        <f aca="false">INDEX(Articles!$B$2:$B$148,MATCH(C17,Articles!$A$2:$A$148,0))</f>
        <v>Papex</v>
      </c>
      <c r="F17" s="31" t="n">
        <v>1</v>
      </c>
      <c r="G17" s="13" t="n">
        <f aca="false">IF(INDEX(Articles!$G$2:$G$148,MATCH(C17,Articles!$A$2:$A$148,0))="","",INDEX(Articles!$G$2:$G$148,MATCH(C17,Articles!$A$2:$A$148,0)))</f>
        <v>400</v>
      </c>
      <c r="H17" s="13" t="n">
        <f aca="false">IF(G17="",0,F17*G17)</f>
        <v>400</v>
      </c>
      <c r="I17" s="13" t="str">
        <f aca="false">IF(INDEX(Articles!$E$2:$E$148,MATCH(C17,Articles!$A$2:$A$148,0))="","",INDEX(Articles!$E$2:$E$148,MATCH(C17,Articles!$A$2:$A$148,0)))</f>
        <v/>
      </c>
      <c r="J17" s="13" t="str">
        <f aca="false">IF(I17="","",F17*I17)</f>
        <v/>
      </c>
      <c r="K17" s="9" t="str">
        <f aca="false">INDEX(Articles!$H$2:$H$148,MATCH(C17,Articles!$A$2:$A$148,0))</f>
        <v>Fixé</v>
      </c>
      <c r="L17" s="9" t="str">
        <f aca="false">INDEX(Articles!$F$2:$F$148,MATCH(C17,Articles!$A$2:$A$148,0))</f>
        <v>Inconnu</v>
      </c>
      <c r="M17" s="17" t="s">
        <v>432</v>
      </c>
      <c r="N17" s="9" t="s">
        <v>167</v>
      </c>
    </row>
    <row r="18" customFormat="false" ht="15" hidden="false" customHeight="false" outlineLevel="0" collapsed="false">
      <c r="A18" s="9" t="s">
        <v>678</v>
      </c>
      <c r="B18" s="9" t="s">
        <v>750</v>
      </c>
      <c r="C18" s="31" t="s">
        <v>235</v>
      </c>
      <c r="D18" s="9" t="str">
        <f aca="false">INDEX(Articles!$C$2:$C$148,MATCH(C18,Articles!$A$2:$A$148,0))</f>
        <v>Crayon papier (vendu à l'unité)</v>
      </c>
      <c r="E18" s="9" t="str">
        <f aca="false">INDEX(Articles!$B$2:$B$148,MATCH(C18,Articles!$A$2:$A$148,0))</f>
        <v>LPD</v>
      </c>
      <c r="F18" s="31" t="n">
        <v>1</v>
      </c>
      <c r="G18" s="13" t="n">
        <f aca="false">IF(INDEX(Articles!$G$2:$G$148,MATCH(C18,Articles!$A$2:$A$148,0))="","",INDEX(Articles!$G$2:$G$148,MATCH(C18,Articles!$A$2:$A$148,0)))</f>
        <v>75</v>
      </c>
      <c r="H18" s="13" t="n">
        <f aca="false">IF(G18="",0,F18*G18)</f>
        <v>75</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c r="N18" s="9" t="s">
        <v>167</v>
      </c>
    </row>
    <row r="19" customFormat="false" ht="15" hidden="false" customHeight="false" outlineLevel="0" collapsed="false">
      <c r="A19" s="9" t="s">
        <v>675</v>
      </c>
      <c r="B19" s="9" t="s">
        <v>717</v>
      </c>
      <c r="C19" s="31" t="s">
        <v>180</v>
      </c>
      <c r="D19" s="9" t="str">
        <f aca="false">INDEX(Articles!$C$2:$C$148,MATCH(C19,Articles!$A$2:$A$148,0))</f>
        <v>Gomme Staedtler Mars Plastic</v>
      </c>
      <c r="E19" s="9" t="str">
        <f aca="false">INDEX(Articles!$B$2:$B$148,MATCH(C19,Articles!$A$2:$A$148,0))</f>
        <v>LPD</v>
      </c>
      <c r="F19" s="31" t="n">
        <v>1</v>
      </c>
      <c r="G19" s="13" t="n">
        <f aca="false">IF(INDEX(Articles!$G$2:$G$148,MATCH(C19,Articles!$A$2:$A$148,0))="","",INDEX(Articles!$G$2:$G$148,MATCH(C19,Articles!$A$2:$A$148,0)))</f>
        <v>250</v>
      </c>
      <c r="H19" s="13" t="n">
        <f aca="false">IF(G19="",0,F19*G19)</f>
        <v>250</v>
      </c>
      <c r="I19" s="13" t="n">
        <f aca="false">IF(INDEX(Articles!$E$2:$E$148,MATCH(C19,Articles!$A$2:$A$148,0))="","",INDEX(Articles!$E$2:$E$148,MATCH(C19,Articles!$A$2:$A$148,0)))</f>
        <v>110</v>
      </c>
      <c r="J19" s="13" t="n">
        <f aca="false">IF(I19="","",F19*I19)</f>
        <v>110</v>
      </c>
      <c r="K19" s="9" t="str">
        <f aca="false">INDEX(Articles!$H$2:$H$148,MATCH(C19,Articles!$A$2:$A$148,0))</f>
        <v>Fixé</v>
      </c>
      <c r="L19" s="9" t="str">
        <f aca="false">INDEX(Articles!$F$2:$F$148,MATCH(C19,Articles!$A$2:$A$148,0))</f>
        <v>Estimé</v>
      </c>
      <c r="M19" s="17"/>
      <c r="N19" s="9" t="s">
        <v>167</v>
      </c>
    </row>
    <row r="20" customFormat="false" ht="15" hidden="false" customHeight="false" outlineLevel="0" collapsed="false">
      <c r="A20" s="9" t="s">
        <v>675</v>
      </c>
      <c r="B20" s="9" t="s">
        <v>751</v>
      </c>
      <c r="C20" s="31" t="s">
        <v>183</v>
      </c>
      <c r="D20" s="9" t="str">
        <f aca="false">INDEX(Articles!$C$2:$C$148,MATCH(C20,Articles!$A$2:$A$148,0))</f>
        <v>Taille-crayon avec réservoir Maped</v>
      </c>
      <c r="E20" s="9" t="str">
        <f aca="false">INDEX(Articles!$B$2:$B$148,MATCH(C20,Articles!$A$2:$A$148,0))</f>
        <v>Papex</v>
      </c>
      <c r="F20" s="31" t="n">
        <v>1</v>
      </c>
      <c r="G20" s="13" t="n">
        <f aca="false">IF(INDEX(Articles!$G$2:$G$148,MATCH(C20,Articles!$A$2:$A$148,0))="","",INDEX(Articles!$G$2:$G$148,MATCH(C20,Articles!$A$2:$A$148,0)))</f>
        <v>500</v>
      </c>
      <c r="H20" s="13" t="n">
        <f aca="false">IF(G20="",0,F20*G20)</f>
        <v>500</v>
      </c>
      <c r="I20" s="13" t="n">
        <f aca="false">IF(INDEX(Articles!$E$2:$E$148,MATCH(C20,Articles!$A$2:$A$148,0))="","",INDEX(Articles!$E$2:$E$148,MATCH(C20,Articles!$A$2:$A$148,0)))</f>
        <v>350</v>
      </c>
      <c r="J20" s="13" t="n">
        <f aca="false">IF(I20="","",F20*I20)</f>
        <v>350</v>
      </c>
      <c r="K20" s="9" t="str">
        <f aca="false">INDEX(Articles!$H$2:$H$148,MATCH(C20,Articles!$A$2:$A$148,0))</f>
        <v>Estimé</v>
      </c>
      <c r="L20" s="9" t="str">
        <f aca="false">INDEX(Articles!$F$2:$F$148,MATCH(C20,Articles!$A$2:$A$148,0))</f>
        <v>Estimé</v>
      </c>
      <c r="M20" s="17" t="s">
        <v>752</v>
      </c>
      <c r="N20" s="9" t="s">
        <v>167</v>
      </c>
    </row>
    <row r="21" customFormat="false" ht="15" hidden="false" customHeight="false" outlineLevel="0" collapsed="false">
      <c r="A21" s="9" t="s">
        <v>675</v>
      </c>
      <c r="B21" s="9" t="s">
        <v>753</v>
      </c>
      <c r="C21" s="31" t="s">
        <v>250</v>
      </c>
      <c r="D21" s="9" t="str">
        <f aca="false">INDEX(Articles!$C$2:$C$148,MATCH(C21,Articles!$A$2:$A$148,0))</f>
        <v>Bâton de colle Giotto 10 g</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c r="N21" s="9" t="s">
        <v>167</v>
      </c>
    </row>
    <row r="22" customFormat="false" ht="15" hidden="false" customHeight="false" outlineLevel="0" collapsed="false">
      <c r="A22" s="9" t="s">
        <v>675</v>
      </c>
      <c r="B22" s="9" t="s">
        <v>754</v>
      </c>
      <c r="C22" s="31" t="s">
        <v>233</v>
      </c>
      <c r="D22" s="9" t="str">
        <f aca="false">INDEX(Articles!$C$2:$C$148,MATCH(C22,Articles!$A$2:$A$148,0))</f>
        <v>Ciseaux scolaires bouts ronds</v>
      </c>
      <c r="E22" s="9" t="str">
        <f aca="false">INDEX(Articles!$B$2:$B$148,MATCH(C22,Articles!$A$2:$A$148,0))</f>
        <v>LPD</v>
      </c>
      <c r="F22" s="31" t="n">
        <v>1</v>
      </c>
      <c r="G22" s="13" t="n">
        <f aca="false">IF(INDEX(Articles!$G$2:$G$148,MATCH(C22,Articles!$A$2:$A$148,0))="","",INDEX(Articles!$G$2:$G$148,MATCH(C22,Articles!$A$2:$A$148,0)))</f>
        <v>250</v>
      </c>
      <c r="H22" s="13" t="n">
        <f aca="false">IF(G22="",0,F22*G22)</f>
        <v>250</v>
      </c>
      <c r="I22" s="13" t="n">
        <f aca="false">IF(INDEX(Articles!$E$2:$E$148,MATCH(C22,Articles!$A$2:$A$148,0))="","",INDEX(Articles!$E$2:$E$148,MATCH(C22,Articles!$A$2:$A$148,0)))</f>
        <v>100</v>
      </c>
      <c r="J22" s="13" t="n">
        <f aca="false">IF(I22="","",F22*I22)</f>
        <v>100</v>
      </c>
      <c r="K22" s="9" t="str">
        <f aca="false">INDEX(Articles!$H$2:$H$148,MATCH(C22,Articles!$A$2:$A$148,0))</f>
        <v>Fixé</v>
      </c>
      <c r="L22" s="9" t="str">
        <f aca="false">INDEX(Articles!$F$2:$F$148,MATCH(C22,Articles!$A$2:$A$148,0))</f>
        <v>Estimé</v>
      </c>
      <c r="M22" s="17"/>
      <c r="N22" s="9" t="s">
        <v>167</v>
      </c>
    </row>
    <row r="23" customFormat="false" ht="15" hidden="false" customHeight="false" outlineLevel="0" collapsed="false">
      <c r="A23" s="9" t="s">
        <v>676</v>
      </c>
      <c r="B23" s="9" t="s">
        <v>755</v>
      </c>
      <c r="C23" s="31" t="s">
        <v>239</v>
      </c>
      <c r="D23" s="9" t="str">
        <f aca="false">INDEX(Articles!$C$2:$C$148,MATCH(C23,Articles!$A$2:$A$148,0))</f>
        <v>Kit de traçage 30 cm, 4 pièces L'écolier</v>
      </c>
      <c r="E23" s="9" t="str">
        <f aca="false">INDEX(Articles!$B$2:$B$148,MATCH(C23,Articles!$A$2:$A$148,0))</f>
        <v>Papex</v>
      </c>
      <c r="F23" s="31" t="n">
        <v>1</v>
      </c>
      <c r="G23" s="13" t="n">
        <f aca="false">IF(INDEX(Articles!$G$2:$G$148,MATCH(C23,Articles!$A$2:$A$148,0))="","",INDEX(Articles!$G$2:$G$148,MATCH(C23,Articles!$A$2:$A$148,0)))</f>
        <v>900</v>
      </c>
      <c r="H23" s="13" t="n">
        <f aca="false">IF(G23="",0,F23*G23)</f>
        <v>900</v>
      </c>
      <c r="I23" s="13" t="n">
        <f aca="false">IF(INDEX(Articles!$E$2:$E$148,MATCH(C23,Articles!$A$2:$A$148,0))="","",INDEX(Articles!$E$2:$E$148,MATCH(C23,Articles!$A$2:$A$148,0)))</f>
        <v>650</v>
      </c>
      <c r="J23" s="13" t="n">
        <f aca="false">IF(I23="","",F23*I23)</f>
        <v>650</v>
      </c>
      <c r="K23" s="9" t="str">
        <f aca="false">INDEX(Articles!$H$2:$H$148,MATCH(C23,Articles!$A$2:$A$148,0))</f>
        <v>Estimé</v>
      </c>
      <c r="L23" s="9" t="str">
        <f aca="false">INDEX(Articles!$F$2:$F$148,MATCH(C23,Articles!$A$2:$A$148,0))</f>
        <v>Confirmé</v>
      </c>
      <c r="M23" s="17"/>
      <c r="N23" s="9" t="s">
        <v>167</v>
      </c>
    </row>
    <row r="24" customFormat="false" ht="15" hidden="false" customHeight="false" outlineLevel="0" collapsed="false">
      <c r="A24" s="9" t="s">
        <v>676</v>
      </c>
      <c r="B24" s="9" t="s">
        <v>756</v>
      </c>
      <c r="C24" s="31" t="s">
        <v>217</v>
      </c>
      <c r="D24" s="9" t="str">
        <f aca="false">INDEX(Articles!$C$2:$C$148,MATCH(C24,Articles!$A$2:$A$148,0))</f>
        <v>Compas de précision avec étui</v>
      </c>
      <c r="E24" s="9" t="str">
        <f aca="false">INDEX(Articles!$B$2:$B$148,MATCH(C24,Articles!$A$2:$A$148,0))</f>
        <v>LPD</v>
      </c>
      <c r="F24" s="31" t="n">
        <v>1</v>
      </c>
      <c r="G24" s="13" t="n">
        <f aca="false">IF(INDEX(Articles!$G$2:$G$148,MATCH(C24,Articles!$A$2:$A$148,0))="","",INDEX(Articles!$G$2:$G$148,MATCH(C24,Articles!$A$2:$A$148,0)))</f>
        <v>600</v>
      </c>
      <c r="H24" s="13" t="n">
        <f aca="false">IF(G24="",0,F24*G24)</f>
        <v>600</v>
      </c>
      <c r="I24" s="13" t="n">
        <f aca="false">IF(INDEX(Articles!$E$2:$E$148,MATCH(C24,Articles!$A$2:$A$148,0))="","",INDEX(Articles!$E$2:$E$148,MATCH(C24,Articles!$A$2:$A$148,0)))</f>
        <v>450</v>
      </c>
      <c r="J24" s="13" t="n">
        <f aca="false">IF(I24="","",F24*I24)</f>
        <v>450</v>
      </c>
      <c r="K24" s="9" t="str">
        <f aca="false">INDEX(Articles!$H$2:$H$148,MATCH(C24,Articles!$A$2:$A$148,0))</f>
        <v>Fixé</v>
      </c>
      <c r="L24" s="9" t="str">
        <f aca="false">INDEX(Articles!$F$2:$F$148,MATCH(C24,Articles!$A$2:$A$148,0))</f>
        <v>Estimé</v>
      </c>
      <c r="M24" s="17"/>
      <c r="N24" s="9" t="s">
        <v>167</v>
      </c>
    </row>
    <row r="25" customFormat="false" ht="15" hidden="false" customHeight="false" outlineLevel="0" collapsed="false">
      <c r="A25" s="9" t="s">
        <v>681</v>
      </c>
      <c r="B25" s="9" t="s">
        <v>757</v>
      </c>
      <c r="C25" s="31" t="s">
        <v>198</v>
      </c>
      <c r="D25" s="9" t="str">
        <f aca="false">INDEX(Articles!$C$2:$C$148,MATCH(C25,Articles!$A$2:$A$148,0))</f>
        <v>Crayons de couleur Maped, boîte de 12</v>
      </c>
      <c r="E25" s="9" t="str">
        <f aca="false">INDEX(Articles!$B$2:$B$148,MATCH(C25,Articles!$A$2:$A$148,0))</f>
        <v>Papex</v>
      </c>
      <c r="F25" s="31" t="n">
        <v>1</v>
      </c>
      <c r="G25" s="13" t="n">
        <f aca="false">IF(INDEX(Articles!$G$2:$G$148,MATCH(C25,Articles!$A$2:$A$148,0))="","",INDEX(Articles!$G$2:$G$148,MATCH(C25,Articles!$A$2:$A$148,0)))</f>
        <v>900</v>
      </c>
      <c r="H25" s="13" t="n">
        <f aca="false">IF(G25="",0,F25*G25)</f>
        <v>900</v>
      </c>
      <c r="I25" s="13" t="n">
        <f aca="false">IF(INDEX(Articles!$E$2:$E$148,MATCH(C25,Articles!$A$2:$A$148,0))="","",INDEX(Articles!$E$2:$E$148,MATCH(C25,Articles!$A$2:$A$148,0)))</f>
        <v>650</v>
      </c>
      <c r="J25" s="13" t="n">
        <f aca="false">IF(I25="","",F25*I25)</f>
        <v>650</v>
      </c>
      <c r="K25" s="9" t="str">
        <f aca="false">INDEX(Articles!$H$2:$H$148,MATCH(C25,Articles!$A$2:$A$148,0))</f>
        <v>Estimé</v>
      </c>
      <c r="L25" s="9" t="str">
        <f aca="false">INDEX(Articles!$F$2:$F$148,MATCH(C25,Articles!$A$2:$A$148,0))</f>
        <v>Estimé</v>
      </c>
      <c r="M25" s="17"/>
      <c r="N25" s="9" t="s">
        <v>167</v>
      </c>
    </row>
    <row r="26" customFormat="false" ht="15" hidden="false" customHeight="false" outlineLevel="0" collapsed="false">
      <c r="A26" s="9" t="s">
        <v>676</v>
      </c>
      <c r="B26" s="9" t="s">
        <v>812</v>
      </c>
      <c r="C26" s="31" t="s">
        <v>242</v>
      </c>
      <c r="D26" s="9" t="str">
        <f aca="false">INDEX(Articles!$C$2:$C$148,MATCH(C26,Articles!$A$2:$A$148,0))</f>
        <v>Calculatrice scientifique Parpn YH-2000</v>
      </c>
      <c r="E26" s="9" t="str">
        <f aca="false">INDEX(Articles!$B$2:$B$148,MATCH(C26,Articles!$A$2:$A$148,0))</f>
        <v>LPD</v>
      </c>
      <c r="F26" s="31" t="n">
        <v>1</v>
      </c>
      <c r="G26" s="13" t="n">
        <f aca="false">IF(INDEX(Articles!$G$2:$G$148,MATCH(C26,Articles!$A$2:$A$148,0))="","",INDEX(Articles!$G$2:$G$148,MATCH(C26,Articles!$A$2:$A$148,0)))</f>
        <v>1400</v>
      </c>
      <c r="H26" s="13" t="n">
        <f aca="false">IF(G26="",0,F26*G26)</f>
        <v>1400</v>
      </c>
      <c r="I26" s="13" t="n">
        <f aca="false">IF(INDEX(Articles!$E$2:$E$148,MATCH(C26,Articles!$A$2:$A$148,0))="","",INDEX(Articles!$E$2:$E$148,MATCH(C26,Articles!$A$2:$A$148,0)))</f>
        <v>1100</v>
      </c>
      <c r="J26" s="13" t="n">
        <f aca="false">IF(I26="","",F26*I26)</f>
        <v>1100</v>
      </c>
      <c r="K26" s="9" t="str">
        <f aca="false">INDEX(Articles!$H$2:$H$148,MATCH(C26,Articles!$A$2:$A$148,0))</f>
        <v>Fixé</v>
      </c>
      <c r="L26" s="9" t="str">
        <f aca="false">INDEX(Articles!$F$2:$F$148,MATCH(C26,Articles!$A$2:$A$148,0))</f>
        <v>Confirmé</v>
      </c>
      <c r="M26" s="17" t="s">
        <v>813</v>
      </c>
      <c r="N26" s="9" t="s">
        <v>167</v>
      </c>
    </row>
    <row r="27" customFormat="false" ht="15" hidden="false" customHeight="false" outlineLevel="0" collapsed="false">
      <c r="A27" s="9" t="s">
        <v>758</v>
      </c>
      <c r="B27" s="9" t="s">
        <v>759</v>
      </c>
      <c r="C27" s="31" t="s">
        <v>376</v>
      </c>
      <c r="D27" s="9" t="str">
        <f aca="false">INDEX(Articles!$C$2:$C$148,MATCH(C27,Articles!$A$2:$A$148,0))</f>
        <v>Paquet de copies doubles grand format</v>
      </c>
      <c r="E27" s="9" t="str">
        <f aca="false">INDEX(Articles!$B$2:$B$148,MATCH(C27,Articles!$A$2:$A$148,0))</f>
        <v>À préciser</v>
      </c>
      <c r="F27" s="31" t="n">
        <v>1</v>
      </c>
      <c r="G27" s="45" t="n">
        <f aca="false">IF(INDEX(Articles!$G$2:$G$148,MATCH(C27,Articles!$A$2:$A$148,0))="","",INDEX(Articles!$G$2:$G$148,MATCH(C27,Articles!$A$2:$A$148,0)))</f>
        <v>1800</v>
      </c>
      <c r="H27" s="13" t="n">
        <f aca="false">IF(G27="",0,F27*G27)</f>
        <v>1800</v>
      </c>
      <c r="I27" s="13" t="n">
        <f aca="false">IF(INDEX(Articles!$E$2:$E$148,MATCH(C27,Articles!$A$2:$A$148,0))="","",INDEX(Articles!$E$2:$E$148,MATCH(C27,Articles!$A$2:$A$148,0)))</f>
        <v>1300</v>
      </c>
      <c r="J27" s="13" t="n">
        <f aca="false">IF(I27="","",F27*I27)</f>
        <v>1300</v>
      </c>
      <c r="K27" s="9" t="str">
        <f aca="false">INDEX(Articles!$H$2:$H$148,MATCH(C27,Articles!$A$2:$A$148,0))</f>
        <v>Fixé</v>
      </c>
      <c r="L27" s="9" t="str">
        <f aca="false">INDEX(Articles!$F$2:$F$148,MATCH(C27,Articles!$A$2:$A$148,0))</f>
        <v>Confirmé</v>
      </c>
      <c r="M27" s="17"/>
      <c r="N27" s="9" t="s">
        <v>167</v>
      </c>
    </row>
    <row r="28" customFormat="false" ht="15" hidden="false" customHeight="false" outlineLevel="0" collapsed="false">
      <c r="D28" s="32" t="s">
        <v>683</v>
      </c>
      <c r="E28" s="32"/>
      <c r="F28" s="32"/>
      <c r="G28" s="32"/>
      <c r="H28" s="33" t="n">
        <f aca="false">COUNTIF(G6:G27,"")</f>
        <v>0</v>
      </c>
    </row>
    <row r="29" customFormat="false" ht="15" hidden="false" customHeight="false" outlineLevel="0" collapsed="false">
      <c r="D29" s="32" t="s">
        <v>684</v>
      </c>
      <c r="E29" s="32"/>
      <c r="F29" s="32"/>
      <c r="G29" s="32"/>
      <c r="H29" s="33" t="n">
        <f aca="false">SUM(H6:H27)</f>
        <v>12975</v>
      </c>
    </row>
    <row r="30" customFormat="false" ht="15" hidden="false" customHeight="false" outlineLevel="0" collapsed="false">
      <c r="D30" s="32" t="s">
        <v>28</v>
      </c>
      <c r="E30" s="32"/>
      <c r="F30" s="32"/>
      <c r="G30" s="32"/>
      <c r="H30" s="33" t="n">
        <f aca="false">SUM(J6:J27)</f>
        <v>9360</v>
      </c>
    </row>
    <row r="31" customFormat="false" ht="15" hidden="false" customHeight="false" outlineLevel="0" collapsed="false">
      <c r="D31" s="32" t="s">
        <v>685</v>
      </c>
      <c r="E31" s="32"/>
      <c r="F31" s="32"/>
      <c r="G31" s="32"/>
      <c r="H31" s="33" t="n">
        <f aca="false">COUNTIF(I6:I27,"")</f>
        <v>2</v>
      </c>
    </row>
    <row r="32" customFormat="false" ht="15" hidden="false" customHeight="false" outlineLevel="0" collapsed="false">
      <c r="D32" s="32" t="s">
        <v>686</v>
      </c>
      <c r="E32" s="32"/>
      <c r="F32" s="32"/>
      <c r="G32" s="32"/>
      <c r="H32" s="33" t="n">
        <f aca="false">SUMPRODUCT((I6:I27&lt;&gt;"")*H6:H27)-H30</f>
        <v>3140</v>
      </c>
    </row>
    <row r="33" customFormat="false" ht="15" hidden="false" customHeight="false" outlineLevel="0" collapsed="false">
      <c r="D33" s="32" t="s">
        <v>687</v>
      </c>
      <c r="E33" s="32"/>
      <c r="F33" s="32"/>
      <c r="G33" s="32"/>
      <c r="H33" s="33" t="n">
        <f aca="false">SUMIF(A6:A27,"Cahiers",F6:F27)</f>
        <v>11</v>
      </c>
    </row>
    <row r="34" customFormat="false" ht="15" hidden="false" customHeight="false" outlineLevel="0" collapsed="false">
      <c r="D34" s="32" t="s">
        <v>688</v>
      </c>
      <c r="E34" s="32"/>
      <c r="F34" s="32"/>
      <c r="G34" s="32"/>
      <c r="H34" s="34" t="n">
        <f aca="false">IF(H29=0,0,SUMIF(K6:K27,"&lt;&gt;Fixé",H6:H27)/H29)</f>
        <v>0.5626204238921</v>
      </c>
    </row>
    <row r="35" customFormat="false" ht="15" hidden="false" customHeight="false" outlineLevel="0" collapsed="false">
      <c r="D35" s="32" t="s">
        <v>689</v>
      </c>
      <c r="E35" s="32"/>
      <c r="F35" s="32"/>
      <c r="G35" s="32"/>
      <c r="H35" s="33" t="str">
        <f aca="false">IF(H28&gt;0,"Total incomplet : "&amp;H28&amp;" prix de vente à fournir",IF(H31&gt;0,"Coût incomplet : "&amp;H31&amp;" ligne(s) sans prix d'achat","Complet"))</f>
        <v>Coût incomplet : 2 ligne(s) sans prix d'achat</v>
      </c>
    </row>
    <row r="37" customFormat="false" ht="15" hidden="false" customHeight="false" outlineLevel="0" collapsed="false">
      <c r="D37" s="35" t="s">
        <v>690</v>
      </c>
    </row>
    <row r="38" customFormat="false" ht="15" hidden="false" customHeight="false" outlineLevel="0" collapsed="false">
      <c r="A38" s="36" t="s">
        <v>760</v>
      </c>
      <c r="B38" s="36" t="s">
        <v>883</v>
      </c>
      <c r="C38" s="31" t="s">
        <v>504</v>
      </c>
      <c r="D38" s="36" t="str">
        <f aca="false">INDEX(Articles!$C$2:$C$148,MATCH(C38,Articles!$A$2:$A$148,0))</f>
        <v>Une vie de boy (Ferdinand Oyono)</v>
      </c>
      <c r="E38" s="37"/>
      <c r="F38" s="37"/>
      <c r="G38" s="38" t="n">
        <f aca="false">INDEX(Articles!$G$2:$G$148,MATCH(C38,Articles!$A$2:$A$148,0))</f>
        <v>2800</v>
      </c>
      <c r="H38" s="37"/>
      <c r="I38" s="37"/>
      <c r="J38" s="37"/>
      <c r="K38" s="37"/>
      <c r="L38" s="37"/>
      <c r="M38" s="37"/>
      <c r="N38" s="39" t="s">
        <v>271</v>
      </c>
    </row>
    <row r="39" customFormat="false" ht="15" hidden="false" customHeight="false" outlineLevel="0" collapsed="false">
      <c r="A39" s="36" t="s">
        <v>760</v>
      </c>
      <c r="B39" s="36" t="s">
        <v>884</v>
      </c>
      <c r="C39" s="31" t="s">
        <v>506</v>
      </c>
      <c r="D39" s="36" t="str">
        <f aca="false">INDEX(Articles!$C$2:$C$148,MATCH(C39,Articles!$A$2:$A$148,0))</f>
        <v>Le Père Goriot (Balzac)</v>
      </c>
      <c r="E39" s="37"/>
      <c r="F39" s="37"/>
      <c r="G39" s="38" t="n">
        <f aca="false">INDEX(Articles!$G$2:$G$148,MATCH(C39,Articles!$A$2:$A$148,0))</f>
        <v>2800</v>
      </c>
      <c r="H39" s="37"/>
      <c r="I39" s="37"/>
      <c r="J39" s="37"/>
      <c r="K39" s="37"/>
      <c r="L39" s="37"/>
      <c r="M39" s="37"/>
      <c r="N39" s="39" t="s">
        <v>271</v>
      </c>
    </row>
    <row r="40" customFormat="false" ht="15" hidden="false" customHeight="false" outlineLevel="0" collapsed="false">
      <c r="A40" s="36" t="s">
        <v>760</v>
      </c>
      <c r="B40" s="36" t="s">
        <v>884</v>
      </c>
      <c r="C40" s="31" t="s">
        <v>508</v>
      </c>
      <c r="D40" s="36" t="str">
        <f aca="false">INDEX(Articles!$C$2:$C$148,MATCH(C40,Articles!$A$2:$A$148,0))</f>
        <v>Madame Bovary (Flaubert)</v>
      </c>
      <c r="E40" s="37"/>
      <c r="F40" s="37"/>
      <c r="G40" s="38" t="n">
        <f aca="false">INDEX(Articles!$G$2:$G$148,MATCH(C40,Articles!$A$2:$A$148,0))</f>
        <v>2800</v>
      </c>
      <c r="H40" s="37"/>
      <c r="I40" s="37"/>
      <c r="J40" s="37"/>
      <c r="K40" s="37"/>
      <c r="L40" s="37"/>
      <c r="M40" s="37"/>
      <c r="N40" s="39" t="s">
        <v>271</v>
      </c>
    </row>
    <row r="41" customFormat="false" ht="15" hidden="false" customHeight="false" outlineLevel="0" collapsed="false">
      <c r="D41" s="40" t="s">
        <v>695</v>
      </c>
      <c r="H41" s="33" t="n">
        <f aca="false">H29+SUM(G38:G40)</f>
        <v>21375</v>
      </c>
    </row>
    <row r="42" customFormat="false" ht="15" hidden="false" customHeight="false" outlineLevel="0" collapsed="false">
      <c r="D42" s="21" t="s">
        <v>696</v>
      </c>
      <c r="E42" s="21" t="str">
        <f aca="false">INDEX(Articles!$C$2:$C$148,MATCH("S020",Articles!$A$2:$A$148,0))</f>
        <v>Sac à dos bleu marine</v>
      </c>
      <c r="H42" s="41" t="n">
        <f aca="false">INDEX(Articles!$G$2:$G$148,MATCH("S020",Articles!$A$2:$A$148,0))</f>
        <v>7000</v>
      </c>
    </row>
    <row r="43" customFormat="false" ht="15" hidden="false" customHeight="false" outlineLevel="0" collapsed="false">
      <c r="D43" s="42" t="s">
        <v>697</v>
      </c>
      <c r="E43" s="44" t="s">
        <v>711</v>
      </c>
    </row>
    <row r="46" customFormat="false" ht="15" hidden="false" customHeight="false" outlineLevel="0" collapsed="false">
      <c r="A46" s="28" t="s">
        <v>904</v>
      </c>
      <c r="B46" s="29"/>
      <c r="C46" s="29"/>
      <c r="D46" s="29"/>
      <c r="E46" s="29"/>
      <c r="F46" s="29"/>
      <c r="G46" s="29"/>
      <c r="H46" s="29"/>
      <c r="I46" s="29"/>
      <c r="J46" s="29"/>
      <c r="K46" s="29"/>
      <c r="L46" s="29"/>
      <c r="M46" s="29"/>
      <c r="N46" s="29"/>
    </row>
    <row r="47" customFormat="false" ht="39.55" hidden="false" customHeight="false" outlineLevel="0" collapsed="false">
      <c r="A47" s="30" t="s">
        <v>663</v>
      </c>
      <c r="B47" s="30" t="s">
        <v>664</v>
      </c>
      <c r="C47" s="30" t="s">
        <v>348</v>
      </c>
      <c r="D47" s="30" t="s">
        <v>350</v>
      </c>
      <c r="E47" s="30" t="s">
        <v>349</v>
      </c>
      <c r="F47" s="30" t="s">
        <v>665</v>
      </c>
      <c r="G47" s="30" t="s">
        <v>666</v>
      </c>
      <c r="H47" s="30" t="s">
        <v>667</v>
      </c>
      <c r="I47" s="30" t="s">
        <v>668</v>
      </c>
      <c r="J47" s="30" t="s">
        <v>669</v>
      </c>
      <c r="K47" s="30" t="s">
        <v>355</v>
      </c>
      <c r="L47" s="30" t="s">
        <v>353</v>
      </c>
      <c r="M47" s="30" t="s">
        <v>356</v>
      </c>
      <c r="N47" s="30" t="s">
        <v>670</v>
      </c>
    </row>
    <row r="48" customFormat="false" ht="15" hidden="false" customHeight="false" outlineLevel="0" collapsed="false">
      <c r="A48" s="9" t="s">
        <v>671</v>
      </c>
      <c r="B48" s="9" t="s">
        <v>745</v>
      </c>
      <c r="C48" s="31" t="s">
        <v>213</v>
      </c>
      <c r="D48" s="9" t="str">
        <f aca="false">INDEX(Articles!$C$2:$C$148,MATCH(C48,Articles!$A$2:$A$148,0))</f>
        <v>Cahier Calligraphe 192 pages 24x32 (grand format)</v>
      </c>
      <c r="E48" s="9" t="str">
        <f aca="false">INDEX(Articles!$B$2:$B$148,MATCH(C48,Articles!$A$2:$A$148,0))</f>
        <v>Papex</v>
      </c>
      <c r="F48" s="31" t="n">
        <v>1</v>
      </c>
      <c r="G48" s="13" t="n">
        <f aca="false">IF(INDEX(Articles!$G$2:$G$148,MATCH(C48,Articles!$A$2:$A$148,0))="","",INDEX(Articles!$G$2:$G$148,MATCH(C48,Articles!$A$2:$A$148,0)))</f>
        <v>1650</v>
      </c>
      <c r="H48" s="13" t="n">
        <f aca="false">IF(G48="",0,F48*G48)</f>
        <v>1650</v>
      </c>
      <c r="I48" s="13" t="n">
        <f aca="false">IF(INDEX(Articles!$E$2:$E$148,MATCH(C48,Articles!$A$2:$A$148,0))="","",INDEX(Articles!$E$2:$E$148,MATCH(C48,Articles!$A$2:$A$148,0)))</f>
        <v>1500</v>
      </c>
      <c r="J48" s="13" t="n">
        <f aca="false">IF(I48="","",F48*I48)</f>
        <v>1500</v>
      </c>
      <c r="K48" s="9" t="str">
        <f aca="false">INDEX(Articles!$H$2:$H$148,MATCH(C48,Articles!$A$2:$A$148,0))</f>
        <v>Fixé</v>
      </c>
      <c r="L48" s="9" t="str">
        <f aca="false">INDEX(Articles!$F$2:$F$148,MATCH(C48,Articles!$A$2:$A$148,0))</f>
        <v>Confirmé</v>
      </c>
      <c r="M48" s="17"/>
      <c r="N48" s="9" t="s">
        <v>167</v>
      </c>
    </row>
    <row r="49" customFormat="false" ht="15" hidden="false" customHeight="false" outlineLevel="0" collapsed="false">
      <c r="A49" s="9" t="s">
        <v>671</v>
      </c>
      <c r="B49" s="9" t="s">
        <v>850</v>
      </c>
      <c r="C49" s="31" t="s">
        <v>208</v>
      </c>
      <c r="D49" s="9" t="str">
        <f aca="false">INDEX(Articles!$C$2:$C$148,MATCH(C49,Articles!$A$2:$A$148,0))</f>
        <v>Cahier Calligraphe 96 pages 24x32 (grand format)</v>
      </c>
      <c r="E49" s="9" t="str">
        <f aca="false">INDEX(Articles!$B$2:$B$148,MATCH(C49,Articles!$A$2:$A$148,0))</f>
        <v>Papex</v>
      </c>
      <c r="F49" s="31" t="n">
        <v>1</v>
      </c>
      <c r="G49" s="13" t="n">
        <f aca="false">IF(INDEX(Articles!$G$2:$G$148,MATCH(C49,Articles!$A$2:$A$148,0))="","",INDEX(Articles!$G$2:$G$148,MATCH(C49,Articles!$A$2:$A$148,0)))</f>
        <v>1350</v>
      </c>
      <c r="H49" s="13" t="n">
        <f aca="false">IF(G49="",0,F49*G49)</f>
        <v>1350</v>
      </c>
      <c r="I49" s="13" t="n">
        <f aca="false">IF(INDEX(Articles!$E$2:$E$148,MATCH(C49,Articles!$A$2:$A$148,0))="","",INDEX(Articles!$E$2:$E$148,MATCH(C49,Articles!$A$2:$A$148,0)))</f>
        <v>1000</v>
      </c>
      <c r="J49" s="13" t="n">
        <f aca="false">IF(I49="","",F49*I49)</f>
        <v>1000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744</v>
      </c>
      <c r="C50" s="31" t="s">
        <v>213</v>
      </c>
      <c r="D50" s="9" t="str">
        <f aca="false">INDEX(Articles!$C$2:$C$148,MATCH(C50,Articles!$A$2:$A$148,0))</f>
        <v>Cahier Calligraphe 192 pages 24x32 (grand format)</v>
      </c>
      <c r="E50" s="9" t="str">
        <f aca="false">INDEX(Articles!$B$2:$B$148,MATCH(C50,Articles!$A$2:$A$148,0))</f>
        <v>Papex</v>
      </c>
      <c r="F50" s="31" t="n">
        <v>1</v>
      </c>
      <c r="G50" s="13" t="n">
        <f aca="false">IF(INDEX(Articles!$G$2:$G$148,MATCH(C50,Articles!$A$2:$A$148,0))="","",INDEX(Articles!$G$2:$G$148,MATCH(C50,Articles!$A$2:$A$148,0)))</f>
        <v>1650</v>
      </c>
      <c r="H50" s="13" t="n">
        <f aca="false">IF(G50="",0,F50*G50)</f>
        <v>1650</v>
      </c>
      <c r="I50" s="13" t="n">
        <f aca="false">IF(INDEX(Articles!$E$2:$E$148,MATCH(C50,Articles!$A$2:$A$148,0))="","",INDEX(Articles!$E$2:$E$148,MATCH(C50,Articles!$A$2:$A$148,0)))</f>
        <v>1500</v>
      </c>
      <c r="J50" s="13" t="n">
        <f aca="false">IF(I50="","",F50*I50)</f>
        <v>1500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854</v>
      </c>
      <c r="C51" s="31" t="s">
        <v>366</v>
      </c>
      <c r="D51" s="9" t="str">
        <f aca="false">INDEX(Articles!$C$2:$C$148,MATCH(C51,Articles!$A$2:$A$148,0))</f>
        <v>Cahier Calligraphe 140 pages 17x22 90 g seyès</v>
      </c>
      <c r="E51" s="9" t="str">
        <f aca="false">INDEX(Articles!$B$2:$B$148,MATCH(C51,Articles!$A$2:$A$148,0))</f>
        <v>Papex</v>
      </c>
      <c r="F51" s="31" t="n">
        <v>1</v>
      </c>
      <c r="G51" s="13" t="n">
        <f aca="false">IF(INDEX(Articles!$G$2:$G$148,MATCH(C51,Articles!$A$2:$A$148,0))="","",INDEX(Articles!$G$2:$G$148,MATCH(C51,Articles!$A$2:$A$148,0)))</f>
        <v>750</v>
      </c>
      <c r="H51" s="13" t="n">
        <f aca="false">IF(G51="",0,F51*G51)</f>
        <v>750</v>
      </c>
      <c r="I51" s="13" t="n">
        <f aca="false">IF(INDEX(Articles!$E$2:$E$148,MATCH(C51,Articles!$A$2:$A$148,0))="","",INDEX(Articles!$E$2:$E$148,MATCH(C51,Articles!$A$2:$A$148,0)))</f>
        <v>650</v>
      </c>
      <c r="J51" s="13" t="n">
        <f aca="false">IF(I51="","",F51*I51)</f>
        <v>650</v>
      </c>
      <c r="K51" s="9" t="str">
        <f aca="false">INDEX(Articles!$H$2:$H$148,MATCH(C51,Articles!$A$2:$A$148,0))</f>
        <v>Fixé</v>
      </c>
      <c r="L51" s="9" t="str">
        <f aca="false">INDEX(Articles!$F$2:$F$148,MATCH(C51,Articles!$A$2:$A$148,0))</f>
        <v>Estimé</v>
      </c>
      <c r="M51" s="17" t="s">
        <v>763</v>
      </c>
      <c r="N51" s="9" t="s">
        <v>167</v>
      </c>
    </row>
    <row r="52" customFormat="false" ht="15" hidden="false" customHeight="false" outlineLevel="0" collapsed="false">
      <c r="A52" s="9" t="s">
        <v>671</v>
      </c>
      <c r="B52" s="9" t="s">
        <v>737</v>
      </c>
      <c r="C52" s="31" t="s">
        <v>213</v>
      </c>
      <c r="D52" s="9" t="str">
        <f aca="false">INDEX(Articles!$C$2:$C$148,MATCH(C52,Articles!$A$2:$A$148,0))</f>
        <v>Cahier Calligraphe 192 pages 24x32 (grand format)</v>
      </c>
      <c r="E52" s="9" t="str">
        <f aca="false">INDEX(Articles!$B$2:$B$148,MATCH(C52,Articles!$A$2:$A$148,0))</f>
        <v>Papex</v>
      </c>
      <c r="F52" s="31" t="n">
        <v>1</v>
      </c>
      <c r="G52" s="13" t="n">
        <f aca="false">IF(INDEX(Articles!$G$2:$G$148,MATCH(C52,Articles!$A$2:$A$148,0))="","",INDEX(Articles!$G$2:$G$148,MATCH(C52,Articles!$A$2:$A$148,0)))</f>
        <v>1650</v>
      </c>
      <c r="H52" s="13" t="n">
        <f aca="false">IF(G52="",0,F52*G52)</f>
        <v>1650</v>
      </c>
      <c r="I52" s="13" t="n">
        <f aca="false">IF(INDEX(Articles!$E$2:$E$148,MATCH(C52,Articles!$A$2:$A$148,0))="","",INDEX(Articles!$E$2:$E$148,MATCH(C52,Articles!$A$2:$A$148,0)))</f>
        <v>1500</v>
      </c>
      <c r="J52" s="13" t="n">
        <f aca="false">IF(I52="","",F52*I52)</f>
        <v>1500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739</v>
      </c>
      <c r="C53" s="31" t="s">
        <v>192</v>
      </c>
      <c r="D53" s="9" t="str">
        <f aca="false">INDEX(Articles!$C$2:$C$148,MATCH(C53,Articles!$A$2:$A$148,0))</f>
        <v>Cahier Calligraphe 192 pages 17x22 90 g seyès</v>
      </c>
      <c r="E53" s="9" t="str">
        <f aca="false">INDEX(Articles!$B$2:$B$148,MATCH(C53,Articles!$A$2:$A$148,0))</f>
        <v>Papex</v>
      </c>
      <c r="F53" s="31" t="n">
        <v>1</v>
      </c>
      <c r="G53" s="13" t="n">
        <f aca="false">IF(INDEX(Articles!$G$2:$G$148,MATCH(C53,Articles!$A$2:$A$148,0))="","",INDEX(Articles!$G$2:$G$148,MATCH(C53,Articles!$A$2:$A$148,0)))</f>
        <v>900</v>
      </c>
      <c r="H53" s="13" t="n">
        <f aca="false">IF(G53="",0,F53*G53)</f>
        <v>900</v>
      </c>
      <c r="I53" s="13" t="n">
        <f aca="false">IF(INDEX(Articles!$E$2:$E$148,MATCH(C53,Articles!$A$2:$A$148,0))="","",INDEX(Articles!$E$2:$E$148,MATCH(C53,Articles!$A$2:$A$148,0)))</f>
        <v>800</v>
      </c>
      <c r="J53" s="13" t="n">
        <f aca="false">IF(I53="","",F53*I53)</f>
        <v>800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742</v>
      </c>
      <c r="C54" s="31" t="s">
        <v>213</v>
      </c>
      <c r="D54" s="9" t="str">
        <f aca="false">INDEX(Articles!$C$2:$C$148,MATCH(C54,Articles!$A$2:$A$148,0))</f>
        <v>Cahier Calligraphe 192 pages 24x32 (grand format)</v>
      </c>
      <c r="E54" s="9" t="str">
        <f aca="false">INDEX(Articles!$B$2:$B$148,MATCH(C54,Articles!$A$2:$A$148,0))</f>
        <v>Papex</v>
      </c>
      <c r="F54" s="31" t="n">
        <v>1</v>
      </c>
      <c r="G54" s="13" t="n">
        <f aca="false">IF(INDEX(Articles!$G$2:$G$148,MATCH(C54,Articles!$A$2:$A$148,0))="","",INDEX(Articles!$G$2:$G$148,MATCH(C54,Articles!$A$2:$A$148,0)))</f>
        <v>1650</v>
      </c>
      <c r="H54" s="13" t="n">
        <f aca="false">IF(G54="",0,F54*G54)</f>
        <v>1650</v>
      </c>
      <c r="I54" s="13" t="n">
        <f aca="false">IF(INDEX(Articles!$E$2:$E$148,MATCH(C54,Articles!$A$2:$A$148,0))="","",INDEX(Articles!$E$2:$E$148,MATCH(C54,Articles!$A$2:$A$148,0)))</f>
        <v>1500</v>
      </c>
      <c r="J54" s="13" t="n">
        <f aca="false">IF(I54="","",F54*I54)</f>
        <v>1500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852</v>
      </c>
      <c r="C55" s="31" t="s">
        <v>366</v>
      </c>
      <c r="D55" s="9" t="str">
        <f aca="false">INDEX(Articles!$C$2:$C$148,MATCH(C55,Articles!$A$2:$A$148,0))</f>
        <v>Cahier Calligraphe 140 pages 17x22 90 g seyès</v>
      </c>
      <c r="E55" s="9" t="str">
        <f aca="false">INDEX(Articles!$B$2:$B$148,MATCH(C55,Articles!$A$2:$A$148,0))</f>
        <v>Papex</v>
      </c>
      <c r="F55" s="31" t="n">
        <v>1</v>
      </c>
      <c r="G55" s="13" t="n">
        <f aca="false">IF(INDEX(Articles!$G$2:$G$148,MATCH(C55,Articles!$A$2:$A$148,0))="","",INDEX(Articles!$G$2:$G$148,MATCH(C55,Articles!$A$2:$A$148,0)))</f>
        <v>750</v>
      </c>
      <c r="H55" s="13" t="n">
        <f aca="false">IF(G55="",0,F55*G55)</f>
        <v>750</v>
      </c>
      <c r="I55" s="13" t="n">
        <f aca="false">IF(INDEX(Articles!$E$2:$E$148,MATCH(C55,Articles!$A$2:$A$148,0))="","",INDEX(Articles!$E$2:$E$148,MATCH(C55,Articles!$A$2:$A$148,0)))</f>
        <v>650</v>
      </c>
      <c r="J55" s="13" t="n">
        <f aca="false">IF(I55="","",F55*I55)</f>
        <v>650</v>
      </c>
      <c r="K55" s="9" t="str">
        <f aca="false">INDEX(Articles!$H$2:$H$148,MATCH(C55,Articles!$A$2:$A$148,0))</f>
        <v>Fixé</v>
      </c>
      <c r="L55" s="9" t="str">
        <f aca="false">INDEX(Articles!$F$2:$F$148,MATCH(C55,Articles!$A$2:$A$148,0))</f>
        <v>Estimé</v>
      </c>
      <c r="M55" s="17" t="s">
        <v>763</v>
      </c>
      <c r="N55" s="9" t="s">
        <v>167</v>
      </c>
    </row>
    <row r="56" customFormat="false" ht="15" hidden="false" customHeight="false" outlineLevel="0" collapsed="false">
      <c r="A56" s="9" t="s">
        <v>671</v>
      </c>
      <c r="B56" s="9" t="s">
        <v>855</v>
      </c>
      <c r="C56" s="31" t="s">
        <v>208</v>
      </c>
      <c r="D56" s="9" t="str">
        <f aca="false">INDEX(Articles!$C$2:$C$148,MATCH(C56,Articles!$A$2:$A$148,0))</f>
        <v>Cahier Calligraphe 96 pages 24x32 (grand format)</v>
      </c>
      <c r="E56" s="9" t="str">
        <f aca="false">INDEX(Articles!$B$2:$B$148,MATCH(C56,Articles!$A$2:$A$148,0))</f>
        <v>Papex</v>
      </c>
      <c r="F56" s="31" t="n">
        <v>1</v>
      </c>
      <c r="G56" s="13" t="n">
        <f aca="false">IF(INDEX(Articles!$G$2:$G$148,MATCH(C56,Articles!$A$2:$A$148,0))="","",INDEX(Articles!$G$2:$G$148,MATCH(C56,Articles!$A$2:$A$148,0)))</f>
        <v>1350</v>
      </c>
      <c r="H56" s="13" t="n">
        <f aca="false">IF(G56="",0,F56*G56)</f>
        <v>1350</v>
      </c>
      <c r="I56" s="13" t="n">
        <f aca="false">IF(INDEX(Articles!$E$2:$E$148,MATCH(C56,Articles!$A$2:$A$148,0))="","",INDEX(Articles!$E$2:$E$148,MATCH(C56,Articles!$A$2:$A$148,0)))</f>
        <v>1000</v>
      </c>
      <c r="J56" s="13" t="n">
        <f aca="false">IF(I56="","",F56*I56)</f>
        <v>1000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853</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831</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678</v>
      </c>
      <c r="B59" s="9" t="s">
        <v>749</v>
      </c>
      <c r="C59" s="31" t="s">
        <v>222</v>
      </c>
      <c r="D59" s="9" t="str">
        <f aca="false">INDEX(Articles!$C$2:$C$148,MATCH(C59,Articles!$A$2:$A$148,0))</f>
        <v>Pack de 4 stylos Schneider Tops 505 M (bleu, noir, rouge, vert)</v>
      </c>
      <c r="E59" s="9" t="str">
        <f aca="false">INDEX(Articles!$B$2:$B$148,MATCH(C59,Articles!$A$2:$A$148,0))</f>
        <v>Papex</v>
      </c>
      <c r="F59" s="31" t="n">
        <v>1</v>
      </c>
      <c r="G59" s="13" t="n">
        <f aca="false">IF(INDEX(Articles!$G$2:$G$148,MATCH(C59,Articles!$A$2:$A$148,0))="","",INDEX(Articles!$G$2:$G$148,MATCH(C59,Articles!$A$2:$A$148,0)))</f>
        <v>400</v>
      </c>
      <c r="H59" s="13" t="n">
        <f aca="false">IF(G59="",0,F59*G59)</f>
        <v>400</v>
      </c>
      <c r="I59" s="13" t="str">
        <f aca="false">IF(INDEX(Articles!$E$2:$E$148,MATCH(C59,Articles!$A$2:$A$148,0))="","",INDEX(Articles!$E$2:$E$148,MATCH(C59,Articles!$A$2:$A$148,0)))</f>
        <v/>
      </c>
      <c r="J59" s="13" t="str">
        <f aca="false">IF(I59="","",F59*I59)</f>
        <v/>
      </c>
      <c r="K59" s="9" t="str">
        <f aca="false">INDEX(Articles!$H$2:$H$148,MATCH(C59,Articles!$A$2:$A$148,0))</f>
        <v>Fixé</v>
      </c>
      <c r="L59" s="9" t="str">
        <f aca="false">INDEX(Articles!$F$2:$F$148,MATCH(C59,Articles!$A$2:$A$148,0))</f>
        <v>Inconnu</v>
      </c>
      <c r="M59" s="17" t="s">
        <v>432</v>
      </c>
      <c r="N59" s="9" t="s">
        <v>167</v>
      </c>
    </row>
    <row r="60" customFormat="false" ht="15" hidden="false" customHeight="false" outlineLevel="0" collapsed="false">
      <c r="A60" s="9" t="s">
        <v>678</v>
      </c>
      <c r="B60" s="9" t="s">
        <v>750</v>
      </c>
      <c r="C60" s="31" t="s">
        <v>235</v>
      </c>
      <c r="D60" s="9" t="str">
        <f aca="false">INDEX(Articles!$C$2:$C$148,MATCH(C60,Articles!$A$2:$A$148,0))</f>
        <v>Crayon papier (vendu à l'unité)</v>
      </c>
      <c r="E60" s="9" t="str">
        <f aca="false">INDEX(Articles!$B$2:$B$148,MATCH(C60,Articles!$A$2:$A$148,0))</f>
        <v>LPD</v>
      </c>
      <c r="F60" s="31" t="n">
        <v>1</v>
      </c>
      <c r="G60" s="13" t="n">
        <f aca="false">IF(INDEX(Articles!$G$2:$G$148,MATCH(C60,Articles!$A$2:$A$148,0))="","",INDEX(Articles!$G$2:$G$148,MATCH(C60,Articles!$A$2:$A$148,0)))</f>
        <v>75</v>
      </c>
      <c r="H60" s="13" t="n">
        <f aca="false">IF(G60="",0,F60*G60)</f>
        <v>75</v>
      </c>
      <c r="I60" s="13" t="str">
        <f aca="false">IF(INDEX(Articles!$E$2:$E$148,MATCH(C60,Articles!$A$2:$A$148,0))="","",INDEX(Articles!$E$2:$E$148,MATCH(C60,Articles!$A$2:$A$148,0)))</f>
        <v/>
      </c>
      <c r="J60" s="13" t="str">
        <f aca="false">IF(I60="","",F60*I60)</f>
        <v/>
      </c>
      <c r="K60" s="9" t="str">
        <f aca="false">INDEX(Articles!$H$2:$H$148,MATCH(C60,Articles!$A$2:$A$148,0))</f>
        <v>Fixé</v>
      </c>
      <c r="L60" s="9" t="str">
        <f aca="false">INDEX(Articles!$F$2:$F$148,MATCH(C60,Articles!$A$2:$A$148,0))</f>
        <v>Inconnu</v>
      </c>
      <c r="M60" s="17"/>
      <c r="N60" s="9" t="s">
        <v>167</v>
      </c>
    </row>
    <row r="61" customFormat="false" ht="15" hidden="false" customHeight="false" outlineLevel="0" collapsed="false">
      <c r="A61" s="9" t="s">
        <v>675</v>
      </c>
      <c r="B61" s="9" t="s">
        <v>717</v>
      </c>
      <c r="C61" s="31" t="s">
        <v>180</v>
      </c>
      <c r="D61" s="9" t="str">
        <f aca="false">INDEX(Articles!$C$2:$C$148,MATCH(C61,Articles!$A$2:$A$148,0))</f>
        <v>Gomme Staedtler Mars Plastic</v>
      </c>
      <c r="E61" s="9" t="str">
        <f aca="false">INDEX(Articles!$B$2:$B$148,MATCH(C61,Articles!$A$2:$A$148,0))</f>
        <v>LPD</v>
      </c>
      <c r="F61" s="31" t="n">
        <v>1</v>
      </c>
      <c r="G61" s="13" t="n">
        <f aca="false">IF(INDEX(Articles!$G$2:$G$148,MATCH(C61,Articles!$A$2:$A$148,0))="","",INDEX(Articles!$G$2:$G$148,MATCH(C61,Articles!$A$2:$A$148,0)))</f>
        <v>250</v>
      </c>
      <c r="H61" s="13" t="n">
        <f aca="false">IF(G61="",0,F61*G61)</f>
        <v>250</v>
      </c>
      <c r="I61" s="13" t="n">
        <f aca="false">IF(INDEX(Articles!$E$2:$E$148,MATCH(C61,Articles!$A$2:$A$148,0))="","",INDEX(Articles!$E$2:$E$148,MATCH(C61,Articles!$A$2:$A$148,0)))</f>
        <v>110</v>
      </c>
      <c r="J61" s="13" t="n">
        <f aca="false">IF(I61="","",F61*I61)</f>
        <v>110</v>
      </c>
      <c r="K61" s="9" t="str">
        <f aca="false">INDEX(Articles!$H$2:$H$148,MATCH(C61,Articles!$A$2:$A$148,0))</f>
        <v>Fixé</v>
      </c>
      <c r="L61" s="9" t="str">
        <f aca="false">INDEX(Articles!$F$2:$F$148,MATCH(C61,Articles!$A$2:$A$148,0))</f>
        <v>Estimé</v>
      </c>
      <c r="M61" s="17"/>
      <c r="N61" s="9" t="s">
        <v>167</v>
      </c>
    </row>
    <row r="62" customFormat="false" ht="15" hidden="false" customHeight="false" outlineLevel="0" collapsed="false">
      <c r="A62" s="9" t="s">
        <v>675</v>
      </c>
      <c r="B62" s="9" t="s">
        <v>751</v>
      </c>
      <c r="C62" s="31" t="s">
        <v>183</v>
      </c>
      <c r="D62" s="9" t="str">
        <f aca="false">INDEX(Articles!$C$2:$C$148,MATCH(C62,Articles!$A$2:$A$148,0))</f>
        <v>Taille-crayon avec réservoir Maped</v>
      </c>
      <c r="E62" s="9" t="str">
        <f aca="false">INDEX(Articles!$B$2:$B$148,MATCH(C62,Articles!$A$2:$A$148,0))</f>
        <v>Papex</v>
      </c>
      <c r="F62" s="31" t="n">
        <v>1</v>
      </c>
      <c r="G62" s="13" t="n">
        <f aca="false">IF(INDEX(Articles!$G$2:$G$148,MATCH(C62,Articles!$A$2:$A$148,0))="","",INDEX(Articles!$G$2:$G$148,MATCH(C62,Articles!$A$2:$A$148,0)))</f>
        <v>500</v>
      </c>
      <c r="H62" s="13" t="n">
        <f aca="false">IF(G62="",0,F62*G62)</f>
        <v>500</v>
      </c>
      <c r="I62" s="13" t="n">
        <f aca="false">IF(INDEX(Articles!$E$2:$E$148,MATCH(C62,Articles!$A$2:$A$148,0))="","",INDEX(Articles!$E$2:$E$148,MATCH(C62,Articles!$A$2:$A$148,0)))</f>
        <v>350</v>
      </c>
      <c r="J62" s="13" t="n">
        <f aca="false">IF(I62="","",F62*I62)</f>
        <v>350</v>
      </c>
      <c r="K62" s="9" t="str">
        <f aca="false">INDEX(Articles!$H$2:$H$148,MATCH(C62,Articles!$A$2:$A$148,0))</f>
        <v>Estimé</v>
      </c>
      <c r="L62" s="9" t="str">
        <f aca="false">INDEX(Articles!$F$2:$F$148,MATCH(C62,Articles!$A$2:$A$148,0))</f>
        <v>Estimé</v>
      </c>
      <c r="M62" s="17" t="s">
        <v>765</v>
      </c>
      <c r="N62" s="9" t="s">
        <v>167</v>
      </c>
    </row>
    <row r="63" customFormat="false" ht="15" hidden="false" customHeight="false" outlineLevel="0" collapsed="false">
      <c r="A63" s="9" t="s">
        <v>675</v>
      </c>
      <c r="B63" s="9" t="s">
        <v>753</v>
      </c>
      <c r="C63" s="31" t="s">
        <v>248</v>
      </c>
      <c r="D63" s="9" t="str">
        <f aca="false">INDEX(Articles!$C$2:$C$148,MATCH(C63,Articles!$A$2:$A$148,0))</f>
        <v>Bâton de colle Giotto 20 g</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650</v>
      </c>
      <c r="J63" s="13" t="n">
        <f aca="false">IF(I63="","",F63*I63)</f>
        <v>650</v>
      </c>
      <c r="K63" s="9" t="str">
        <f aca="false">INDEX(Articles!$H$2:$H$148,MATCH(C63,Articles!$A$2:$A$148,0))</f>
        <v>Estimé</v>
      </c>
      <c r="L63" s="9" t="str">
        <f aca="false">INDEX(Articles!$F$2:$F$148,MATCH(C63,Articles!$A$2:$A$148,0))</f>
        <v>Estimé</v>
      </c>
      <c r="M63" s="17"/>
      <c r="N63" s="9" t="s">
        <v>167</v>
      </c>
    </row>
    <row r="64" customFormat="false" ht="15" hidden="false" customHeight="false" outlineLevel="0" collapsed="false">
      <c r="A64" s="9" t="s">
        <v>675</v>
      </c>
      <c r="B64" s="9" t="s">
        <v>754</v>
      </c>
      <c r="C64" s="31" t="s">
        <v>189</v>
      </c>
      <c r="D64" s="9" t="str">
        <f aca="false">INDEX(Articles!$C$2:$C$148,MATCH(C64,Articles!$A$2:$A$148,0))</f>
        <v>Ciseaux Maped 13 cm Security</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676</v>
      </c>
      <c r="B65" s="9" t="s">
        <v>755</v>
      </c>
      <c r="C65" s="31" t="s">
        <v>215</v>
      </c>
      <c r="D65" s="9" t="str">
        <f aca="false">INDEX(Articles!$C$2:$C$148,MATCH(C65,Articles!$A$2:$A$148,0))</f>
        <v>Kit géométrie Maped 30 cm (réf. 1930)</v>
      </c>
      <c r="E65" s="9" t="str">
        <f aca="false">INDEX(Articles!$B$2:$B$148,MATCH(C65,Articles!$A$2:$A$148,0))</f>
        <v>LPD</v>
      </c>
      <c r="F65" s="31" t="n">
        <v>1</v>
      </c>
      <c r="G65" s="13" t="n">
        <f aca="false">IF(INDEX(Articles!$G$2:$G$148,MATCH(C65,Articles!$A$2:$A$148,0))="","",INDEX(Articles!$G$2:$G$148,MATCH(C65,Articles!$A$2:$A$148,0)))</f>
        <v>1800</v>
      </c>
      <c r="H65" s="13" t="n">
        <f aca="false">IF(G65="",0,F65*G65)</f>
        <v>1800</v>
      </c>
      <c r="I65" s="13" t="n">
        <f aca="false">IF(INDEX(Articles!$E$2:$E$148,MATCH(C65,Articles!$A$2:$A$148,0))="","",INDEX(Articles!$E$2:$E$148,MATCH(C65,Articles!$A$2:$A$148,0)))</f>
        <v>1500</v>
      </c>
      <c r="J65" s="13" t="n">
        <f aca="false">IF(I65="","",F65*I65)</f>
        <v>1500</v>
      </c>
      <c r="K65" s="9" t="str">
        <f aca="false">INDEX(Articles!$H$2:$H$148,MATCH(C65,Articles!$A$2:$A$148,0))</f>
        <v>À trancher</v>
      </c>
      <c r="L65" s="9" t="str">
        <f aca="false">INDEX(Articles!$F$2:$F$148,MATCH(C65,Articles!$A$2:$A$148,0))</f>
        <v>Confirmé</v>
      </c>
      <c r="M65" s="17"/>
      <c r="N65" s="9" t="s">
        <v>167</v>
      </c>
    </row>
    <row r="66" customFormat="false" ht="15" hidden="false" customHeight="false" outlineLevel="0" collapsed="false">
      <c r="A66" s="9" t="s">
        <v>676</v>
      </c>
      <c r="B66" s="9" t="s">
        <v>756</v>
      </c>
      <c r="C66" s="31" t="s">
        <v>171</v>
      </c>
      <c r="D66" s="9" t="str">
        <f aca="false">INDEX(Articles!$C$2:$C$148,MATCH(C66,Articles!$A$2:$A$148,0))</f>
        <v>Compas Maped</v>
      </c>
      <c r="E66" s="9" t="str">
        <f aca="false">INDEX(Articles!$B$2:$B$148,MATCH(C66,Articles!$A$2:$A$148,0))</f>
        <v>Papex</v>
      </c>
      <c r="F66" s="31" t="n">
        <v>1</v>
      </c>
      <c r="G66" s="13" t="n">
        <f aca="false">IF(INDEX(Articles!$G$2:$G$148,MATCH(C66,Articles!$A$2:$A$148,0))="","",INDEX(Articles!$G$2:$G$148,MATCH(C66,Articles!$A$2:$A$148,0)))</f>
        <v>2000</v>
      </c>
      <c r="H66" s="13" t="n">
        <f aca="false">IF(G66="",0,F66*G66)</f>
        <v>2000</v>
      </c>
      <c r="I66" s="13" t="n">
        <f aca="false">IF(INDEX(Articles!$E$2:$E$148,MATCH(C66,Articles!$A$2:$A$148,0))="","",INDEX(Articles!$E$2:$E$148,MATCH(C66,Articles!$A$2:$A$148,0)))</f>
        <v>1750</v>
      </c>
      <c r="J66" s="13" t="n">
        <f aca="false">IF(I66="","",F66*I66)</f>
        <v>1750</v>
      </c>
      <c r="K66" s="9" t="str">
        <f aca="false">INDEX(Articles!$H$2:$H$148,MATCH(C66,Articles!$A$2:$A$148,0))</f>
        <v>Fixé</v>
      </c>
      <c r="L66" s="9" t="str">
        <f aca="false">INDEX(Articles!$F$2:$F$148,MATCH(C66,Articles!$A$2:$A$148,0))</f>
        <v>Confirmé</v>
      </c>
      <c r="M66" s="17"/>
      <c r="N66" s="9" t="s">
        <v>167</v>
      </c>
    </row>
    <row r="67" customFormat="false" ht="15" hidden="false" customHeight="false" outlineLevel="0" collapsed="false">
      <c r="A67" s="9" t="s">
        <v>681</v>
      </c>
      <c r="B67" s="9" t="s">
        <v>757</v>
      </c>
      <c r="C67" s="31" t="s">
        <v>198</v>
      </c>
      <c r="D67" s="9" t="str">
        <f aca="false">INDEX(Articles!$C$2:$C$148,MATCH(C67,Articles!$A$2:$A$148,0))</f>
        <v>Crayons de couleur Maped, boîte de 12</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678</v>
      </c>
      <c r="B68" s="9" t="s">
        <v>766</v>
      </c>
      <c r="C68" s="31" t="s">
        <v>200</v>
      </c>
      <c r="D68" s="9" t="str">
        <f aca="false">INDEX(Articles!$C$2:$C$148,MATCH(C68,Articles!$A$2:$A$148,0))</f>
        <v>Surligneurs Maped Fluo Peps, pochette de 4</v>
      </c>
      <c r="E68" s="9" t="str">
        <f aca="false">INDEX(Articles!$B$2:$B$148,MATCH(C68,Articles!$A$2:$A$148,0))</f>
        <v>Papex</v>
      </c>
      <c r="F68" s="31" t="n">
        <v>1</v>
      </c>
      <c r="G68" s="13" t="n">
        <f aca="false">IF(INDEX(Articles!$G$2:$G$148,MATCH(C68,Articles!$A$2:$A$148,0))="","",INDEX(Articles!$G$2:$G$148,MATCH(C68,Articles!$A$2:$A$148,0)))</f>
        <v>2500</v>
      </c>
      <c r="H68" s="13" t="n">
        <f aca="false">IF(G68="",0,F68*G68)</f>
        <v>2500</v>
      </c>
      <c r="I68" s="13" t="n">
        <f aca="false">IF(INDEX(Articles!$E$2:$E$148,MATCH(C68,Articles!$A$2:$A$148,0))="","",INDEX(Articles!$E$2:$E$148,MATCH(C68,Articles!$A$2:$A$148,0)))</f>
        <v>2000</v>
      </c>
      <c r="J68" s="13" t="n">
        <f aca="false">IF(I68="","",F68*I68)</f>
        <v>2000</v>
      </c>
      <c r="K68" s="9" t="str">
        <f aca="false">INDEX(Articles!$H$2:$H$148,MATCH(C68,Articles!$A$2:$A$148,0))</f>
        <v>Estimé</v>
      </c>
      <c r="L68" s="9" t="str">
        <f aca="false">INDEX(Articles!$F$2:$F$148,MATCH(C68,Articles!$A$2:$A$148,0))</f>
        <v>Confirmé</v>
      </c>
      <c r="M68" s="17" t="s">
        <v>767</v>
      </c>
      <c r="N68" s="9" t="s">
        <v>167</v>
      </c>
    </row>
    <row r="69" customFormat="false" ht="15" hidden="false" customHeight="false" outlineLevel="0" collapsed="false">
      <c r="A69" s="9" t="s">
        <v>768</v>
      </c>
      <c r="B69" s="9" t="s">
        <v>769</v>
      </c>
      <c r="C69" s="31" t="s">
        <v>446</v>
      </c>
      <c r="D69" s="9" t="str">
        <f aca="false">INDEX(Articles!$C$2:$C$148,MATCH(C69,Articles!$A$2:$A$148,0))</f>
        <v>Chemise 3 rabats à élastique</v>
      </c>
      <c r="E69" s="9" t="str">
        <f aca="false">INDEX(Articles!$B$2:$B$148,MATCH(C69,Articles!$A$2:$A$148,0))</f>
        <v>Papex</v>
      </c>
      <c r="F69" s="31" t="n">
        <v>1</v>
      </c>
      <c r="G69" s="13" t="n">
        <f aca="false">IF(INDEX(Articles!$G$2:$G$148,MATCH(C69,Articles!$A$2:$A$148,0))="","",INDEX(Articles!$G$2:$G$148,MATCH(C69,Articles!$A$2:$A$148,0)))</f>
        <v>500</v>
      </c>
      <c r="H69" s="13" t="n">
        <f aca="false">IF(G69="",0,F69*G69)</f>
        <v>500</v>
      </c>
      <c r="I69" s="13" t="str">
        <f aca="false">IF(INDEX(Articles!$E$2:$E$148,MATCH(C69,Articles!$A$2:$A$148,0))="","",INDEX(Articles!$E$2:$E$148,MATCH(C69,Articles!$A$2:$A$148,0)))</f>
        <v/>
      </c>
      <c r="J69" s="13" t="str">
        <f aca="false">IF(I69="","",F69*I69)</f>
        <v/>
      </c>
      <c r="K69" s="9" t="str">
        <f aca="false">INDEX(Articles!$H$2:$H$148,MATCH(C69,Articles!$A$2:$A$148,0))</f>
        <v>Estimé</v>
      </c>
      <c r="L69" s="9" t="str">
        <f aca="false">INDEX(Articles!$F$2:$F$148,MATCH(C69,Articles!$A$2:$A$148,0))</f>
        <v>Inconnu</v>
      </c>
      <c r="M69" s="17" t="s">
        <v>770</v>
      </c>
      <c r="N69" s="9" t="s">
        <v>167</v>
      </c>
    </row>
    <row r="70" customFormat="false" ht="26.85" hidden="false" customHeight="false" outlineLevel="0" collapsed="false">
      <c r="A70" s="9" t="s">
        <v>676</v>
      </c>
      <c r="B70" s="9" t="s">
        <v>812</v>
      </c>
      <c r="C70" s="31" t="s">
        <v>242</v>
      </c>
      <c r="D70" s="9" t="str">
        <f aca="false">INDEX(Articles!$C$2:$C$148,MATCH(C70,Articles!$A$2:$A$148,0))</f>
        <v>Calculatrice scientifique Parpn YH-2000</v>
      </c>
      <c r="E70" s="9" t="str">
        <f aca="false">INDEX(Articles!$B$2:$B$148,MATCH(C70,Articles!$A$2:$A$148,0))</f>
        <v>LPD</v>
      </c>
      <c r="F70" s="31" t="n">
        <v>1</v>
      </c>
      <c r="G70" s="13" t="n">
        <f aca="false">IF(INDEX(Articles!$G$2:$G$148,MATCH(C70,Articles!$A$2:$A$148,0))="","",INDEX(Articles!$G$2:$G$148,MATCH(C70,Articles!$A$2:$A$148,0)))</f>
        <v>1400</v>
      </c>
      <c r="H70" s="13" t="n">
        <f aca="false">IF(G70="",0,F70*G70)</f>
        <v>1400</v>
      </c>
      <c r="I70" s="13" t="n">
        <f aca="false">IF(INDEX(Articles!$E$2:$E$148,MATCH(C70,Articles!$A$2:$A$148,0))="","",INDEX(Articles!$E$2:$E$148,MATCH(C70,Articles!$A$2:$A$148,0)))</f>
        <v>1100</v>
      </c>
      <c r="J70" s="13" t="n">
        <f aca="false">IF(I70="","",F70*I70)</f>
        <v>1100</v>
      </c>
      <c r="K70" s="9" t="str">
        <f aca="false">INDEX(Articles!$H$2:$H$148,MATCH(C70,Articles!$A$2:$A$148,0))</f>
        <v>Fixé</v>
      </c>
      <c r="L70" s="9" t="str">
        <f aca="false">INDEX(Articles!$F$2:$F$148,MATCH(C70,Articles!$A$2:$A$148,0))</f>
        <v>Confirmé</v>
      </c>
      <c r="M70" s="17" t="s">
        <v>816</v>
      </c>
      <c r="N70" s="9" t="s">
        <v>167</v>
      </c>
    </row>
    <row r="71" customFormat="false" ht="15" hidden="false" customHeight="false" outlineLevel="0" collapsed="false">
      <c r="A71" s="9" t="s">
        <v>768</v>
      </c>
      <c r="B71" s="9" t="s">
        <v>861</v>
      </c>
      <c r="C71" s="31" t="s">
        <v>246</v>
      </c>
      <c r="D71" s="9" t="str">
        <f aca="false">INDEX(Articles!$C$2:$C$148,MATCH(C71,Articles!$A$2:$A$148,0))</f>
        <v>Protège-documents porte-vues</v>
      </c>
      <c r="E71" s="9" t="str">
        <f aca="false">INDEX(Articles!$B$2:$B$148,MATCH(C71,Articles!$A$2:$A$148,0))</f>
        <v>LPD</v>
      </c>
      <c r="F71" s="31" t="n">
        <v>1</v>
      </c>
      <c r="G71" s="13" t="n">
        <f aca="false">IF(INDEX(Articles!$G$2:$G$148,MATCH(C71,Articles!$A$2:$A$148,0))="","",INDEX(Articles!$G$2:$G$148,MATCH(C71,Articles!$A$2:$A$148,0)))</f>
        <v>1150</v>
      </c>
      <c r="H71" s="13" t="n">
        <f aca="false">IF(G71="",0,F71*G71)</f>
        <v>1150</v>
      </c>
      <c r="I71" s="13" t="n">
        <f aca="false">IF(INDEX(Articles!$E$2:$E$148,MATCH(C71,Articles!$A$2:$A$148,0))="","",INDEX(Articles!$E$2:$E$148,MATCH(C71,Articles!$A$2:$A$148,0)))</f>
        <v>850</v>
      </c>
      <c r="J71" s="13" t="n">
        <f aca="false">IF(I71="","",F71*I71)</f>
        <v>850</v>
      </c>
      <c r="K71" s="9" t="str">
        <f aca="false">INDEX(Articles!$H$2:$H$148,MATCH(C71,Articles!$A$2:$A$148,0))</f>
        <v>Fixé</v>
      </c>
      <c r="L71" s="9" t="str">
        <f aca="false">INDEX(Articles!$F$2:$F$148,MATCH(C71,Articles!$A$2:$A$148,0))</f>
        <v>Estimé</v>
      </c>
      <c r="M71" s="17"/>
      <c r="N71" s="9" t="s">
        <v>167</v>
      </c>
    </row>
    <row r="72" customFormat="false" ht="15" hidden="false" customHeight="false" outlineLevel="0" collapsed="false">
      <c r="A72" s="9" t="s">
        <v>758</v>
      </c>
      <c r="B72" s="9" t="s">
        <v>759</v>
      </c>
      <c r="C72" s="31" t="s">
        <v>376</v>
      </c>
      <c r="D72" s="9" t="str">
        <f aca="false">INDEX(Articles!$C$2:$C$148,MATCH(C72,Articles!$A$2:$A$148,0))</f>
        <v>Paquet de copies doubles grand format</v>
      </c>
      <c r="E72" s="9" t="str">
        <f aca="false">INDEX(Articles!$B$2:$B$148,MATCH(C72,Articles!$A$2:$A$148,0))</f>
        <v>À préciser</v>
      </c>
      <c r="F72" s="31" t="n">
        <v>1</v>
      </c>
      <c r="G72" s="45" t="n">
        <f aca="false">IF(INDEX(Articles!$G$2:$G$148,MATCH(C72,Articles!$A$2:$A$148,0))="","",INDEX(Articles!$G$2:$G$148,MATCH(C72,Articles!$A$2:$A$148,0)))</f>
        <v>1800</v>
      </c>
      <c r="H72" s="13" t="n">
        <f aca="false">IF(G72="",0,F72*G72)</f>
        <v>1800</v>
      </c>
      <c r="I72" s="13" t="n">
        <f aca="false">IF(INDEX(Articles!$E$2:$E$148,MATCH(C72,Articles!$A$2:$A$148,0))="","",INDEX(Articles!$E$2:$E$148,MATCH(C72,Articles!$A$2:$A$148,0)))</f>
        <v>1300</v>
      </c>
      <c r="J72" s="13" t="n">
        <f aca="false">IF(I72="","",F72*I72)</f>
        <v>1300</v>
      </c>
      <c r="K72" s="9" t="str">
        <f aca="false">INDEX(Articles!$H$2:$H$148,MATCH(C72,Articles!$A$2:$A$148,0))</f>
        <v>Fixé</v>
      </c>
      <c r="L72" s="9" t="str">
        <f aca="false">INDEX(Articles!$F$2:$F$148,MATCH(C72,Articles!$A$2:$A$148,0))</f>
        <v>Confirmé</v>
      </c>
      <c r="M72" s="17"/>
      <c r="N72" s="9" t="s">
        <v>167</v>
      </c>
    </row>
    <row r="73" customFormat="false" ht="15" hidden="false" customHeight="false" outlineLevel="0" collapsed="false">
      <c r="A73" s="9" t="s">
        <v>771</v>
      </c>
      <c r="B73" s="9" t="s">
        <v>772</v>
      </c>
      <c r="C73" s="31" t="s">
        <v>160</v>
      </c>
      <c r="D73" s="9" t="str">
        <f aca="false">INDEX(Articles!$C$2:$C$148,MATCH(C73,Articles!$A$2:$A$148,0))</f>
        <v>Protège-cahier couleur petit format (à l'unité)</v>
      </c>
      <c r="E73" s="9" t="str">
        <f aca="false">INDEX(Articles!$B$2:$B$148,MATCH(C73,Articles!$A$2:$A$148,0))</f>
        <v>LPD</v>
      </c>
      <c r="F73" s="31" t="n">
        <v>3</v>
      </c>
      <c r="G73" s="13" t="n">
        <f aca="false">IF(INDEX(Articles!$G$2:$G$148,MATCH(C73,Articles!$A$2:$A$148,0))="","",INDEX(Articles!$G$2:$G$148,MATCH(C73,Articles!$A$2:$A$148,0)))</f>
        <v>150</v>
      </c>
      <c r="H73" s="13" t="n">
        <f aca="false">IF(G73="",0,F73*G73)</f>
        <v>450</v>
      </c>
      <c r="I73" s="13" t="str">
        <f aca="false">IF(INDEX(Articles!$E$2:$E$148,MATCH(C73,Articles!$A$2:$A$148,0))="","",INDEX(Articles!$E$2:$E$148,MATCH(C73,Articles!$A$2:$A$148,0)))</f>
        <v/>
      </c>
      <c r="J73" s="13" t="str">
        <f aca="false">IF(I73="","",F73*I73)</f>
        <v/>
      </c>
      <c r="K73" s="9" t="str">
        <f aca="false">INDEX(Articles!$H$2:$H$148,MATCH(C73,Articles!$A$2:$A$148,0))</f>
        <v>Fixé</v>
      </c>
      <c r="L73" s="9" t="str">
        <f aca="false">INDEX(Articles!$F$2:$F$148,MATCH(C73,Articles!$A$2:$A$148,0))</f>
        <v>Inconnu</v>
      </c>
      <c r="M73" s="17"/>
      <c r="N73" s="9" t="s">
        <v>167</v>
      </c>
    </row>
    <row r="74" customFormat="false" ht="15" hidden="false" customHeight="false" outlineLevel="0" collapsed="false">
      <c r="A74" s="9" t="s">
        <v>771</v>
      </c>
      <c r="B74" s="9" t="s">
        <v>773</v>
      </c>
      <c r="C74" s="31" t="s">
        <v>419</v>
      </c>
      <c r="D74" s="9" t="str">
        <f aca="false">INDEX(Articles!$C$2:$C$148,MATCH(C74,Articles!$A$2:$A$148,0))</f>
        <v>Protège-cahier grand format (à l'unité)</v>
      </c>
      <c r="E74" s="9" t="str">
        <f aca="false">INDEX(Articles!$B$2:$B$148,MATCH(C74,Articles!$A$2:$A$148,0))</f>
        <v>À préciser</v>
      </c>
      <c r="F74" s="31" t="n">
        <v>8</v>
      </c>
      <c r="G74" s="13" t="str">
        <f aca="false">IF(INDEX(Articles!$G$2:$G$148,MATCH(C74,Articles!$A$2:$A$148,0))="","",INDEX(Articles!$G$2:$G$148,MATCH(C74,Articles!$A$2:$A$148,0)))</f>
        <v/>
      </c>
      <c r="H74" s="13" t="n">
        <f aca="false">IF(G74="",0,F74*G74)</f>
        <v>0</v>
      </c>
      <c r="I74" s="13" t="str">
        <f aca="false">IF(INDEX(Articles!$E$2:$E$148,MATCH(C74,Articles!$A$2:$A$148,0))="","",INDEX(Articles!$E$2:$E$148,MATCH(C74,Articles!$A$2:$A$148,0)))</f>
        <v/>
      </c>
      <c r="J74" s="13" t="str">
        <f aca="false">IF(I74="","",F74*I74)</f>
        <v/>
      </c>
      <c r="K74" s="9" t="str">
        <f aca="false">INDEX(Articles!$H$2:$H$148,MATCH(C74,Articles!$A$2:$A$148,0))</f>
        <v>À fournir</v>
      </c>
      <c r="L74" s="9" t="str">
        <f aca="false">INDEX(Articles!$F$2:$F$148,MATCH(C74,Articles!$A$2:$A$148,0))</f>
        <v>Inconnu</v>
      </c>
      <c r="M74" s="17"/>
      <c r="N74" s="9" t="s">
        <v>167</v>
      </c>
    </row>
    <row r="75" customFormat="false" ht="15" hidden="false" customHeight="false" outlineLevel="0" collapsed="false">
      <c r="A75" s="9" t="s">
        <v>760</v>
      </c>
      <c r="B75" s="9" t="s">
        <v>883</v>
      </c>
      <c r="C75" s="31" t="s">
        <v>504</v>
      </c>
      <c r="D75" s="9" t="str">
        <f aca="false">INDEX(Articles!$C$2:$C$148,MATCH(C75,Articles!$A$2:$A$148,0))</f>
        <v>Une vie de boy (Ferdinand Oyono)</v>
      </c>
      <c r="E75" s="9" t="str">
        <f aca="false">INDEX(Articles!$B$2:$B$148,MATCH(C75,Articles!$A$2:$A$148,0))</f>
        <v>LPD</v>
      </c>
      <c r="F75" s="31" t="n">
        <v>1</v>
      </c>
      <c r="G75" s="13" t="n">
        <f aca="false">IF(INDEX(Articles!$G$2:$G$148,MATCH(C75,Articles!$A$2:$A$148,0))="","",INDEX(Articles!$G$2:$G$148,MATCH(C75,Articles!$A$2:$A$148,0)))</f>
        <v>2800</v>
      </c>
      <c r="H75" s="13" t="n">
        <f aca="false">IF(G75="",0,F75*G75)</f>
        <v>2800</v>
      </c>
      <c r="I75" s="13" t="n">
        <f aca="false">IF(INDEX(Articles!$E$2:$E$148,MATCH(C75,Articles!$A$2:$A$148,0))="","",INDEX(Articles!$E$2:$E$148,MATCH(C75,Articles!$A$2:$A$148,0)))</f>
        <v>1800</v>
      </c>
      <c r="J75" s="13" t="n">
        <f aca="false">IF(I75="","",F75*I75)</f>
        <v>1800</v>
      </c>
      <c r="K75" s="9" t="str">
        <f aca="false">INDEX(Articles!$H$2:$H$148,MATCH(C75,Articles!$A$2:$A$148,0))</f>
        <v>Fixé</v>
      </c>
      <c r="L75" s="9" t="str">
        <f aca="false">INDEX(Articles!$F$2:$F$148,MATCH(C75,Articles!$A$2:$A$148,0))</f>
        <v>Estimé</v>
      </c>
      <c r="M75" s="17"/>
      <c r="N75" s="9" t="s">
        <v>167</v>
      </c>
    </row>
    <row r="76" customFormat="false" ht="15" hidden="false" customHeight="false" outlineLevel="0" collapsed="false">
      <c r="A76" s="9" t="s">
        <v>760</v>
      </c>
      <c r="B76" s="9" t="s">
        <v>884</v>
      </c>
      <c r="C76" s="31" t="s">
        <v>506</v>
      </c>
      <c r="D76" s="9" t="str">
        <f aca="false">INDEX(Articles!$C$2:$C$148,MATCH(C76,Articles!$A$2:$A$148,0))</f>
        <v>Le Père Goriot (Balzac)</v>
      </c>
      <c r="E76" s="9" t="str">
        <f aca="false">INDEX(Articles!$B$2:$B$148,MATCH(C76,Articles!$A$2:$A$148,0))</f>
        <v>LPD</v>
      </c>
      <c r="F76" s="31" t="n">
        <v>1</v>
      </c>
      <c r="G76" s="13" t="n">
        <f aca="false">IF(INDEX(Articles!$G$2:$G$148,MATCH(C76,Articles!$A$2:$A$148,0))="","",INDEX(Articles!$G$2:$G$148,MATCH(C76,Articles!$A$2:$A$148,0)))</f>
        <v>2800</v>
      </c>
      <c r="H76" s="13" t="n">
        <f aca="false">IF(G76="",0,F76*G76)</f>
        <v>2800</v>
      </c>
      <c r="I76" s="13" t="n">
        <f aca="false">IF(INDEX(Articles!$E$2:$E$148,MATCH(C76,Articles!$A$2:$A$148,0))="","",INDEX(Articles!$E$2:$E$148,MATCH(C76,Articles!$A$2:$A$148,0)))</f>
        <v>1800</v>
      </c>
      <c r="J76" s="13" t="n">
        <f aca="false">IF(I76="","",F76*I76)</f>
        <v>1800</v>
      </c>
      <c r="K76" s="9" t="str">
        <f aca="false">INDEX(Articles!$H$2:$H$148,MATCH(C76,Articles!$A$2:$A$148,0))</f>
        <v>Fixé</v>
      </c>
      <c r="L76" s="9" t="str">
        <f aca="false">INDEX(Articles!$F$2:$F$148,MATCH(C76,Articles!$A$2:$A$148,0))</f>
        <v>Estimé</v>
      </c>
      <c r="M76" s="17"/>
      <c r="N76" s="9" t="s">
        <v>167</v>
      </c>
    </row>
    <row r="77" customFormat="false" ht="15" hidden="false" customHeight="false" outlineLevel="0" collapsed="false">
      <c r="A77" s="9" t="s">
        <v>760</v>
      </c>
      <c r="B77" s="9" t="s">
        <v>884</v>
      </c>
      <c r="C77" s="31" t="s">
        <v>508</v>
      </c>
      <c r="D77" s="9" t="str">
        <f aca="false">INDEX(Articles!$C$2:$C$148,MATCH(C77,Articles!$A$2:$A$148,0))</f>
        <v>Madame Bovary (Flaubert)</v>
      </c>
      <c r="E77" s="9" t="str">
        <f aca="false">INDEX(Articles!$B$2:$B$148,MATCH(C77,Articles!$A$2:$A$148,0))</f>
        <v>LPD</v>
      </c>
      <c r="F77" s="31" t="n">
        <v>1</v>
      </c>
      <c r="G77" s="13" t="n">
        <f aca="false">IF(INDEX(Articles!$G$2:$G$148,MATCH(C77,Articles!$A$2:$A$148,0))="","",INDEX(Articles!$G$2:$G$148,MATCH(C77,Articles!$A$2:$A$148,0)))</f>
        <v>2800</v>
      </c>
      <c r="H77" s="13" t="n">
        <f aca="false">IF(G77="",0,F77*G77)</f>
        <v>2800</v>
      </c>
      <c r="I77" s="13" t="n">
        <f aca="false">IF(INDEX(Articles!$E$2:$E$148,MATCH(C77,Articles!$A$2:$A$148,0))="","",INDEX(Articles!$E$2:$E$148,MATCH(C77,Articles!$A$2:$A$148,0)))</f>
        <v>1800</v>
      </c>
      <c r="J77" s="13" t="n">
        <f aca="false">IF(I77="","",F77*I77)</f>
        <v>1800</v>
      </c>
      <c r="K77" s="9" t="str">
        <f aca="false">INDEX(Articles!$H$2:$H$148,MATCH(C77,Articles!$A$2:$A$148,0))</f>
        <v>Fixé</v>
      </c>
      <c r="L77" s="9" t="str">
        <f aca="false">INDEX(Articles!$F$2:$F$148,MATCH(C77,Articles!$A$2:$A$148,0))</f>
        <v>Estimé</v>
      </c>
      <c r="M77" s="17"/>
      <c r="N77" s="9" t="s">
        <v>167</v>
      </c>
    </row>
    <row r="78" customFormat="false" ht="15" hidden="false" customHeight="false" outlineLevel="0" collapsed="false">
      <c r="D78" s="32" t="s">
        <v>683</v>
      </c>
      <c r="E78" s="32"/>
      <c r="F78" s="32"/>
      <c r="G78" s="32"/>
      <c r="H78" s="33" t="n">
        <f aca="false">COUNTIF(G48:G77,"")</f>
        <v>1</v>
      </c>
    </row>
    <row r="79" customFormat="false" ht="15" hidden="false" customHeight="false" outlineLevel="0" collapsed="false">
      <c r="D79" s="32" t="s">
        <v>684</v>
      </c>
      <c r="E79" s="32"/>
      <c r="F79" s="32"/>
      <c r="G79" s="32"/>
      <c r="H79" s="33" t="n">
        <f aca="false">SUM(H48:H77)</f>
        <v>38925</v>
      </c>
    </row>
    <row r="80" customFormat="false" ht="15" hidden="false" customHeight="false" outlineLevel="0" collapsed="false">
      <c r="D80" s="32" t="s">
        <v>28</v>
      </c>
      <c r="E80" s="32"/>
      <c r="F80" s="32"/>
      <c r="G80" s="32"/>
      <c r="H80" s="33" t="n">
        <f aca="false">SUM(J48:J77)</f>
        <v>29410</v>
      </c>
    </row>
    <row r="81" customFormat="false" ht="15" hidden="false" customHeight="false" outlineLevel="0" collapsed="false">
      <c r="D81" s="32" t="s">
        <v>685</v>
      </c>
      <c r="E81" s="32"/>
      <c r="F81" s="32"/>
      <c r="G81" s="32"/>
      <c r="H81" s="33" t="n">
        <f aca="false">COUNTIF(I48:I77,"")</f>
        <v>5</v>
      </c>
    </row>
    <row r="82" customFormat="false" ht="15" hidden="false" customHeight="false" outlineLevel="0" collapsed="false">
      <c r="D82" s="32" t="s">
        <v>686</v>
      </c>
      <c r="E82" s="32"/>
      <c r="F82" s="32"/>
      <c r="G82" s="32"/>
      <c r="H82" s="33" t="n">
        <f aca="false">SUMPRODUCT((I48:I77&lt;&gt;"")*H48:H77)-H80</f>
        <v>8090</v>
      </c>
    </row>
    <row r="83" customFormat="false" ht="15" hidden="false" customHeight="false" outlineLevel="0" collapsed="false">
      <c r="D83" s="32" t="s">
        <v>687</v>
      </c>
      <c r="E83" s="32"/>
      <c r="F83" s="32"/>
      <c r="G83" s="32"/>
      <c r="H83" s="33" t="n">
        <f aca="false">SUMIF(A48:A77,"Cahiers",F48:F77)</f>
        <v>11</v>
      </c>
    </row>
    <row r="84" customFormat="false" ht="15" hidden="false" customHeight="false" outlineLevel="0" collapsed="false">
      <c r="D84" s="32" t="s">
        <v>688</v>
      </c>
      <c r="E84" s="32"/>
      <c r="F84" s="32"/>
      <c r="G84" s="32"/>
      <c r="H84" s="34" t="n">
        <f aca="false">IF(H79=0,0,SUMIF(K48:K77,"&lt;&gt;Fixé",H48:H77)/H79)</f>
        <v>0.205523442517662</v>
      </c>
    </row>
    <row r="85" customFormat="false" ht="15" hidden="false" customHeight="false" outlineLevel="0" collapsed="false">
      <c r="D85" s="32" t="s">
        <v>689</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696</v>
      </c>
      <c r="E86" s="21" t="str">
        <f aca="false">INDEX(Articles!$C$2:$C$148,MATCH("S020",Articles!$A$2:$A$148,0))</f>
        <v>Sac à dos bleu marine</v>
      </c>
      <c r="H86" s="41" t="n">
        <f aca="false">INDEX(Articles!$G$2:$G$148,MATCH("S020",Articles!$A$2:$A$148,0))</f>
        <v>7000</v>
      </c>
    </row>
    <row r="87" customFormat="false" ht="15" hidden="false" customHeight="false" outlineLevel="0" collapsed="false">
      <c r="D87" s="42" t="s">
        <v>697</v>
      </c>
      <c r="E87" s="43" t="s">
        <v>886</v>
      </c>
    </row>
    <row r="88" customFormat="false" ht="15" hidden="false" customHeight="false" outlineLevel="0" collapsed="false">
      <c r="E88" s="43" t="s">
        <v>887</v>
      </c>
    </row>
    <row r="89" customFormat="false" ht="15" hidden="false" customHeight="false" outlineLevel="0" collapsed="false">
      <c r="E89" s="43" t="s">
        <v>897</v>
      </c>
    </row>
    <row r="92" customFormat="false" ht="15" hidden="false" customHeight="false" outlineLevel="0" collapsed="false">
      <c r="A92" s="28" t="s">
        <v>905</v>
      </c>
      <c r="B92" s="29"/>
      <c r="C92" s="29"/>
      <c r="D92" s="29"/>
      <c r="E92" s="29"/>
      <c r="F92" s="29"/>
      <c r="G92" s="29"/>
      <c r="H92" s="29"/>
      <c r="I92" s="29"/>
      <c r="J92" s="29"/>
      <c r="K92" s="29"/>
      <c r="L92" s="29"/>
      <c r="M92" s="29"/>
      <c r="N92" s="29"/>
    </row>
    <row r="93" customFormat="false" ht="39.55" hidden="false" customHeight="false" outlineLevel="0" collapsed="false">
      <c r="A93" s="30" t="s">
        <v>663</v>
      </c>
      <c r="B93" s="30" t="s">
        <v>664</v>
      </c>
      <c r="C93" s="30" t="s">
        <v>348</v>
      </c>
      <c r="D93" s="30" t="s">
        <v>350</v>
      </c>
      <c r="E93" s="30" t="s">
        <v>349</v>
      </c>
      <c r="F93" s="30" t="s">
        <v>665</v>
      </c>
      <c r="G93" s="30" t="s">
        <v>666</v>
      </c>
      <c r="H93" s="30" t="s">
        <v>667</v>
      </c>
      <c r="I93" s="30" t="s">
        <v>668</v>
      </c>
      <c r="J93" s="30" t="s">
        <v>669</v>
      </c>
      <c r="K93" s="30" t="s">
        <v>355</v>
      </c>
      <c r="L93" s="30" t="s">
        <v>353</v>
      </c>
      <c r="M93" s="30" t="s">
        <v>356</v>
      </c>
      <c r="N93" s="30" t="s">
        <v>670</v>
      </c>
    </row>
    <row r="94" customFormat="false" ht="15" hidden="false" customHeight="false" outlineLevel="0" collapsed="false">
      <c r="A94" s="9" t="s">
        <v>671</v>
      </c>
      <c r="B94" s="9" t="s">
        <v>745</v>
      </c>
      <c r="C94" s="31" t="s">
        <v>213</v>
      </c>
      <c r="D94" s="9" t="str">
        <f aca="false">INDEX(Articles!$C$2:$C$148,MATCH(C94,Articles!$A$2:$A$148,0))</f>
        <v>Cahier Calligraphe 192 pages 24x32 (grand format)</v>
      </c>
      <c r="E94" s="9" t="str">
        <f aca="false">INDEX(Articles!$B$2:$B$148,MATCH(C94,Articles!$A$2:$A$148,0))</f>
        <v>Papex</v>
      </c>
      <c r="F94" s="31" t="n">
        <v>1</v>
      </c>
      <c r="G94" s="13" t="n">
        <f aca="false">IF(INDEX(Articles!$G$2:$G$148,MATCH(C94,Articles!$A$2:$A$148,0))="","",INDEX(Articles!$G$2:$G$148,MATCH(C94,Articles!$A$2:$A$148,0)))</f>
        <v>1650</v>
      </c>
      <c r="H94" s="13" t="n">
        <f aca="false">IF(G94="",0,F94*G94)</f>
        <v>1650</v>
      </c>
      <c r="I94" s="13" t="n">
        <f aca="false">IF(INDEX(Articles!$E$2:$E$148,MATCH(C94,Articles!$A$2:$A$148,0))="","",INDEX(Articles!$E$2:$E$148,MATCH(C94,Articles!$A$2:$A$148,0)))</f>
        <v>1500</v>
      </c>
      <c r="J94" s="13" t="n">
        <f aca="false">IF(I94="","",F94*I94)</f>
        <v>1500</v>
      </c>
      <c r="K94" s="9" t="str">
        <f aca="false">INDEX(Articles!$H$2:$H$148,MATCH(C94,Articles!$A$2:$A$148,0))</f>
        <v>Fixé</v>
      </c>
      <c r="L94" s="9" t="str">
        <f aca="false">INDEX(Articles!$F$2:$F$148,MATCH(C94,Articles!$A$2:$A$148,0))</f>
        <v>Confirmé</v>
      </c>
      <c r="M94" s="17"/>
      <c r="N94" s="9" t="s">
        <v>167</v>
      </c>
    </row>
    <row r="95" customFormat="false" ht="15" hidden="false" customHeight="false" outlineLevel="0" collapsed="false">
      <c r="A95" s="9" t="s">
        <v>671</v>
      </c>
      <c r="B95" s="9" t="s">
        <v>850</v>
      </c>
      <c r="C95" s="31" t="s">
        <v>208</v>
      </c>
      <c r="D95" s="9" t="str">
        <f aca="false">INDEX(Articles!$C$2:$C$148,MATCH(C95,Articles!$A$2:$A$148,0))</f>
        <v>Cahier Calligraphe 96 pages 24x32 (grand format)</v>
      </c>
      <c r="E95" s="9" t="str">
        <f aca="false">INDEX(Articles!$B$2:$B$148,MATCH(C95,Articles!$A$2:$A$148,0))</f>
        <v>Papex</v>
      </c>
      <c r="F95" s="31" t="n">
        <v>1</v>
      </c>
      <c r="G95" s="13" t="n">
        <f aca="false">IF(INDEX(Articles!$G$2:$G$148,MATCH(C95,Articles!$A$2:$A$148,0))="","",INDEX(Articles!$G$2:$G$148,MATCH(C95,Articles!$A$2:$A$148,0)))</f>
        <v>1350</v>
      </c>
      <c r="H95" s="13" t="n">
        <f aca="false">IF(G95="",0,F95*G95)</f>
        <v>1350</v>
      </c>
      <c r="I95" s="13" t="n">
        <f aca="false">IF(INDEX(Articles!$E$2:$E$148,MATCH(C95,Articles!$A$2:$A$148,0))="","",INDEX(Articles!$E$2:$E$148,MATCH(C95,Articles!$A$2:$A$148,0)))</f>
        <v>1000</v>
      </c>
      <c r="J95" s="13" t="n">
        <f aca="false">IF(I95="","",F95*I95)</f>
        <v>1000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744</v>
      </c>
      <c r="C96" s="31" t="s">
        <v>213</v>
      </c>
      <c r="D96" s="9" t="str">
        <f aca="false">INDEX(Articles!$C$2:$C$148,MATCH(C96,Articles!$A$2:$A$148,0))</f>
        <v>Cahier Calligraphe 192 pages 24x32 (grand format)</v>
      </c>
      <c r="E96" s="9" t="str">
        <f aca="false">INDEX(Articles!$B$2:$B$148,MATCH(C96,Articles!$A$2:$A$148,0))</f>
        <v>Papex</v>
      </c>
      <c r="F96" s="31" t="n">
        <v>1</v>
      </c>
      <c r="G96" s="13" t="n">
        <f aca="false">IF(INDEX(Articles!$G$2:$G$148,MATCH(C96,Articles!$A$2:$A$148,0))="","",INDEX(Articles!$G$2:$G$148,MATCH(C96,Articles!$A$2:$A$148,0)))</f>
        <v>1650</v>
      </c>
      <c r="H96" s="13" t="n">
        <f aca="false">IF(G96="",0,F96*G96)</f>
        <v>1650</v>
      </c>
      <c r="I96" s="13" t="n">
        <f aca="false">IF(INDEX(Articles!$E$2:$E$148,MATCH(C96,Articles!$A$2:$A$148,0))="","",INDEX(Articles!$E$2:$E$148,MATCH(C96,Articles!$A$2:$A$148,0)))</f>
        <v>1500</v>
      </c>
      <c r="J96" s="13" t="n">
        <f aca="false">IF(I96="","",F96*I96)</f>
        <v>1500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854</v>
      </c>
      <c r="C97" s="31" t="s">
        <v>366</v>
      </c>
      <c r="D97" s="9" t="str">
        <f aca="false">INDEX(Articles!$C$2:$C$148,MATCH(C97,Articles!$A$2:$A$148,0))</f>
        <v>Cahier Calligraphe 140 pages 17x22 90 g seyès</v>
      </c>
      <c r="E97" s="9" t="str">
        <f aca="false">INDEX(Articles!$B$2:$B$148,MATCH(C97,Articles!$A$2:$A$148,0))</f>
        <v>Papex</v>
      </c>
      <c r="F97" s="31" t="n">
        <v>1</v>
      </c>
      <c r="G97" s="13" t="n">
        <f aca="false">IF(INDEX(Articles!$G$2:$G$148,MATCH(C97,Articles!$A$2:$A$148,0))="","",INDEX(Articles!$G$2:$G$148,MATCH(C97,Articles!$A$2:$A$148,0)))</f>
        <v>750</v>
      </c>
      <c r="H97" s="13" t="n">
        <f aca="false">IF(G97="",0,F97*G97)</f>
        <v>750</v>
      </c>
      <c r="I97" s="13" t="n">
        <f aca="false">IF(INDEX(Articles!$E$2:$E$148,MATCH(C97,Articles!$A$2:$A$148,0))="","",INDEX(Articles!$E$2:$E$148,MATCH(C97,Articles!$A$2:$A$148,0)))</f>
        <v>650</v>
      </c>
      <c r="J97" s="13" t="n">
        <f aca="false">IF(I97="","",F97*I97)</f>
        <v>650</v>
      </c>
      <c r="K97" s="9" t="str">
        <f aca="false">INDEX(Articles!$H$2:$H$148,MATCH(C97,Articles!$A$2:$A$148,0))</f>
        <v>Fixé</v>
      </c>
      <c r="L97" s="9" t="str">
        <f aca="false">INDEX(Articles!$F$2:$F$148,MATCH(C97,Articles!$A$2:$A$148,0))</f>
        <v>Estimé</v>
      </c>
      <c r="M97" s="17" t="s">
        <v>763</v>
      </c>
      <c r="N97" s="9" t="s">
        <v>167</v>
      </c>
    </row>
    <row r="98" customFormat="false" ht="15" hidden="false" customHeight="false" outlineLevel="0" collapsed="false">
      <c r="A98" s="9" t="s">
        <v>671</v>
      </c>
      <c r="B98" s="9" t="s">
        <v>737</v>
      </c>
      <c r="C98" s="31" t="s">
        <v>213</v>
      </c>
      <c r="D98" s="9" t="str">
        <f aca="false">INDEX(Articles!$C$2:$C$148,MATCH(C98,Articles!$A$2:$A$148,0))</f>
        <v>Cahier Calligraphe 192 pages 24x32 (grand format)</v>
      </c>
      <c r="E98" s="9" t="str">
        <f aca="false">INDEX(Articles!$B$2:$B$148,MATCH(C98,Articles!$A$2:$A$148,0))</f>
        <v>Papex</v>
      </c>
      <c r="F98" s="31" t="n">
        <v>1</v>
      </c>
      <c r="G98" s="13" t="n">
        <f aca="false">IF(INDEX(Articles!$G$2:$G$148,MATCH(C98,Articles!$A$2:$A$148,0))="","",INDEX(Articles!$G$2:$G$148,MATCH(C98,Articles!$A$2:$A$148,0)))</f>
        <v>1650</v>
      </c>
      <c r="H98" s="13" t="n">
        <f aca="false">IF(G98="",0,F98*G98)</f>
        <v>1650</v>
      </c>
      <c r="I98" s="13" t="n">
        <f aca="false">IF(INDEX(Articles!$E$2:$E$148,MATCH(C98,Articles!$A$2:$A$148,0))="","",INDEX(Articles!$E$2:$E$148,MATCH(C98,Articles!$A$2:$A$148,0)))</f>
        <v>1500</v>
      </c>
      <c r="J98" s="13" t="n">
        <f aca="false">IF(I98="","",F98*I98)</f>
        <v>1500</v>
      </c>
      <c r="K98" s="9" t="str">
        <f aca="false">INDEX(Articles!$H$2:$H$148,MATCH(C98,Articles!$A$2:$A$148,0))</f>
        <v>Fixé</v>
      </c>
      <c r="L98" s="9" t="str">
        <f aca="false">INDEX(Articles!$F$2:$F$148,MATCH(C98,Articles!$A$2:$A$148,0))</f>
        <v>Confirmé</v>
      </c>
      <c r="M98" s="17"/>
      <c r="N98" s="9" t="s">
        <v>167</v>
      </c>
    </row>
    <row r="99" customFormat="false" ht="15" hidden="false" customHeight="false" outlineLevel="0" collapsed="false">
      <c r="A99" s="9" t="s">
        <v>671</v>
      </c>
      <c r="B99" s="9" t="s">
        <v>739</v>
      </c>
      <c r="C99" s="31" t="s">
        <v>192</v>
      </c>
      <c r="D99" s="9" t="str">
        <f aca="false">INDEX(Articles!$C$2:$C$148,MATCH(C99,Articles!$A$2:$A$148,0))</f>
        <v>Cahier Calligraphe 192 pages 17x22 90 g seyès</v>
      </c>
      <c r="E99" s="9" t="str">
        <f aca="false">INDEX(Articles!$B$2:$B$148,MATCH(C99,Articles!$A$2:$A$148,0))</f>
        <v>Papex</v>
      </c>
      <c r="F99" s="31" t="n">
        <v>1</v>
      </c>
      <c r="G99" s="13" t="n">
        <f aca="false">IF(INDEX(Articles!$G$2:$G$148,MATCH(C99,Articles!$A$2:$A$148,0))="","",INDEX(Articles!$G$2:$G$148,MATCH(C99,Articles!$A$2:$A$148,0)))</f>
        <v>900</v>
      </c>
      <c r="H99" s="13" t="n">
        <f aca="false">IF(G99="",0,F99*G99)</f>
        <v>900</v>
      </c>
      <c r="I99" s="13" t="n">
        <f aca="false">IF(INDEX(Articles!$E$2:$E$148,MATCH(C99,Articles!$A$2:$A$148,0))="","",INDEX(Articles!$E$2:$E$148,MATCH(C99,Articles!$A$2:$A$148,0)))</f>
        <v>800</v>
      </c>
      <c r="J99" s="13" t="n">
        <f aca="false">IF(I99="","",F99*I99)</f>
        <v>800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742</v>
      </c>
      <c r="C100" s="31" t="s">
        <v>213</v>
      </c>
      <c r="D100" s="9" t="str">
        <f aca="false">INDEX(Articles!$C$2:$C$148,MATCH(C100,Articles!$A$2:$A$148,0))</f>
        <v>Cahier Calligraphe 192 pages 24x32 (grand format)</v>
      </c>
      <c r="E100" s="9" t="str">
        <f aca="false">INDEX(Articles!$B$2:$B$148,MATCH(C100,Articles!$A$2:$A$148,0))</f>
        <v>Papex</v>
      </c>
      <c r="F100" s="31" t="n">
        <v>1</v>
      </c>
      <c r="G100" s="13" t="n">
        <f aca="false">IF(INDEX(Articles!$G$2:$G$148,MATCH(C100,Articles!$A$2:$A$148,0))="","",INDEX(Articles!$G$2:$G$148,MATCH(C100,Articles!$A$2:$A$148,0)))</f>
        <v>1650</v>
      </c>
      <c r="H100" s="13" t="n">
        <f aca="false">IF(G100="",0,F100*G100)</f>
        <v>1650</v>
      </c>
      <c r="I100" s="13" t="n">
        <f aca="false">IF(INDEX(Articles!$E$2:$E$148,MATCH(C100,Articles!$A$2:$A$148,0))="","",INDEX(Articles!$E$2:$E$148,MATCH(C100,Articles!$A$2:$A$148,0)))</f>
        <v>1500</v>
      </c>
      <c r="J100" s="13" t="n">
        <f aca="false">IF(I100="","",F100*I100)</f>
        <v>1500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852</v>
      </c>
      <c r="C101" s="31" t="s">
        <v>366</v>
      </c>
      <c r="D101" s="9" t="str">
        <f aca="false">INDEX(Articles!$C$2:$C$148,MATCH(C101,Articles!$A$2:$A$148,0))</f>
        <v>Cahier Calligraphe 140 pages 17x22 90 g seyès</v>
      </c>
      <c r="E101" s="9" t="str">
        <f aca="false">INDEX(Articles!$B$2:$B$148,MATCH(C101,Articles!$A$2:$A$148,0))</f>
        <v>Papex</v>
      </c>
      <c r="F101" s="31" t="n">
        <v>1</v>
      </c>
      <c r="G101" s="13" t="n">
        <f aca="false">IF(INDEX(Articles!$G$2:$G$148,MATCH(C101,Articles!$A$2:$A$148,0))="","",INDEX(Articles!$G$2:$G$148,MATCH(C101,Articles!$A$2:$A$148,0)))</f>
        <v>750</v>
      </c>
      <c r="H101" s="13" t="n">
        <f aca="false">IF(G101="",0,F101*G101)</f>
        <v>750</v>
      </c>
      <c r="I101" s="13" t="n">
        <f aca="false">IF(INDEX(Articles!$E$2:$E$148,MATCH(C101,Articles!$A$2:$A$148,0))="","",INDEX(Articles!$E$2:$E$148,MATCH(C101,Articles!$A$2:$A$148,0)))</f>
        <v>650</v>
      </c>
      <c r="J101" s="13" t="n">
        <f aca="false">IF(I101="","",F101*I101)</f>
        <v>650</v>
      </c>
      <c r="K101" s="9" t="str">
        <f aca="false">INDEX(Articles!$H$2:$H$148,MATCH(C101,Articles!$A$2:$A$148,0))</f>
        <v>Fixé</v>
      </c>
      <c r="L101" s="9" t="str">
        <f aca="false">INDEX(Articles!$F$2:$F$148,MATCH(C101,Articles!$A$2:$A$148,0))</f>
        <v>Estimé</v>
      </c>
      <c r="M101" s="17" t="s">
        <v>763</v>
      </c>
      <c r="N101" s="9" t="s">
        <v>167</v>
      </c>
    </row>
    <row r="102" customFormat="false" ht="15" hidden="false" customHeight="false" outlineLevel="0" collapsed="false">
      <c r="A102" s="9" t="s">
        <v>671</v>
      </c>
      <c r="B102" s="9" t="s">
        <v>855</v>
      </c>
      <c r="C102" s="31" t="s">
        <v>208</v>
      </c>
      <c r="D102" s="9" t="str">
        <f aca="false">INDEX(Articles!$C$2:$C$148,MATCH(C102,Articles!$A$2:$A$148,0))</f>
        <v>Cahier Calligraphe 96 pages 24x32 (grand format)</v>
      </c>
      <c r="E102" s="9" t="str">
        <f aca="false">INDEX(Articles!$B$2:$B$148,MATCH(C102,Articles!$A$2:$A$148,0))</f>
        <v>Papex</v>
      </c>
      <c r="F102" s="31" t="n">
        <v>1</v>
      </c>
      <c r="G102" s="13" t="n">
        <f aca="false">IF(INDEX(Articles!$G$2:$G$148,MATCH(C102,Articles!$A$2:$A$148,0))="","",INDEX(Articles!$G$2:$G$148,MATCH(C102,Articles!$A$2:$A$148,0)))</f>
        <v>1350</v>
      </c>
      <c r="H102" s="13" t="n">
        <f aca="false">IF(G102="",0,F102*G102)</f>
        <v>1350</v>
      </c>
      <c r="I102" s="13" t="n">
        <f aca="false">IF(INDEX(Articles!$E$2:$E$148,MATCH(C102,Articles!$A$2:$A$148,0))="","",INDEX(Articles!$E$2:$E$148,MATCH(C102,Articles!$A$2:$A$148,0)))</f>
        <v>1000</v>
      </c>
      <c r="J102" s="13" t="n">
        <f aca="false">IF(I102="","",F102*I102)</f>
        <v>1000</v>
      </c>
      <c r="K102" s="9" t="str">
        <f aca="false">INDEX(Articles!$H$2:$H$148,MATCH(C102,Articles!$A$2:$A$148,0))</f>
        <v>Fixé</v>
      </c>
      <c r="L102" s="9" t="str">
        <f aca="false">INDEX(Articles!$F$2:$F$148,MATCH(C102,Articles!$A$2:$A$148,0))</f>
        <v>Confirmé</v>
      </c>
      <c r="M102" s="17"/>
      <c r="N102" s="9" t="s">
        <v>167</v>
      </c>
    </row>
    <row r="103" customFormat="false" ht="15" hidden="false" customHeight="false" outlineLevel="0" collapsed="false">
      <c r="A103" s="9" t="s">
        <v>671</v>
      </c>
      <c r="B103" s="9" t="s">
        <v>853</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831</v>
      </c>
      <c r="C104" s="31" t="s">
        <v>213</v>
      </c>
      <c r="D104" s="9" t="str">
        <f aca="false">INDEX(Articles!$C$2:$C$148,MATCH(C104,Articles!$A$2:$A$148,0))</f>
        <v>Cahier Calligraphe 192 pages 24x32 (grand format)</v>
      </c>
      <c r="E104" s="9" t="str">
        <f aca="false">INDEX(Articles!$B$2:$B$148,MATCH(C104,Articles!$A$2:$A$148,0))</f>
        <v>Papex</v>
      </c>
      <c r="F104" s="31" t="n">
        <v>1</v>
      </c>
      <c r="G104" s="13" t="n">
        <f aca="false">IF(INDEX(Articles!$G$2:$G$148,MATCH(C104,Articles!$A$2:$A$148,0))="","",INDEX(Articles!$G$2:$G$148,MATCH(C104,Articles!$A$2:$A$148,0)))</f>
        <v>1650</v>
      </c>
      <c r="H104" s="13" t="n">
        <f aca="false">IF(G104="",0,F104*G104)</f>
        <v>1650</v>
      </c>
      <c r="I104" s="13" t="n">
        <f aca="false">IF(INDEX(Articles!$E$2:$E$148,MATCH(C104,Articles!$A$2:$A$148,0))="","",INDEX(Articles!$E$2:$E$148,MATCH(C104,Articles!$A$2:$A$148,0)))</f>
        <v>1500</v>
      </c>
      <c r="J104" s="13" t="n">
        <f aca="false">IF(I104="","",F104*I104)</f>
        <v>1500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678</v>
      </c>
      <c r="B105" s="9" t="s">
        <v>749</v>
      </c>
      <c r="C105" s="31" t="s">
        <v>222</v>
      </c>
      <c r="D105" s="9" t="str">
        <f aca="false">INDEX(Articles!$C$2:$C$148,MATCH(C105,Articles!$A$2:$A$148,0))</f>
        <v>Pack de 4 stylos Schneider Tops 505 M (bleu, noir, rouge, vert)</v>
      </c>
      <c r="E105" s="9" t="str">
        <f aca="false">INDEX(Articles!$B$2:$B$148,MATCH(C105,Articles!$A$2:$A$148,0))</f>
        <v>Papex</v>
      </c>
      <c r="F105" s="31" t="n">
        <v>1</v>
      </c>
      <c r="G105" s="13" t="n">
        <f aca="false">IF(INDEX(Articles!$G$2:$G$148,MATCH(C105,Articles!$A$2:$A$148,0))="","",INDEX(Articles!$G$2:$G$148,MATCH(C105,Articles!$A$2:$A$148,0)))</f>
        <v>400</v>
      </c>
      <c r="H105" s="13" t="n">
        <f aca="false">IF(G105="",0,F105*G105)</f>
        <v>400</v>
      </c>
      <c r="I105" s="13" t="str">
        <f aca="false">IF(INDEX(Articles!$E$2:$E$148,MATCH(C105,Articles!$A$2:$A$148,0))="","",INDEX(Articles!$E$2:$E$148,MATCH(C105,Articles!$A$2:$A$148,0)))</f>
        <v/>
      </c>
      <c r="J105" s="13" t="str">
        <f aca="false">IF(I105="","",F105*I105)</f>
        <v/>
      </c>
      <c r="K105" s="9" t="str">
        <f aca="false">INDEX(Articles!$H$2:$H$148,MATCH(C105,Articles!$A$2:$A$148,0))</f>
        <v>Fixé</v>
      </c>
      <c r="L105" s="9" t="str">
        <f aca="false">INDEX(Articles!$F$2:$F$148,MATCH(C105,Articles!$A$2:$A$148,0))</f>
        <v>Inconnu</v>
      </c>
      <c r="M105" s="17" t="s">
        <v>432</v>
      </c>
      <c r="N105" s="9" t="s">
        <v>167</v>
      </c>
    </row>
    <row r="106" customFormat="false" ht="15" hidden="false" customHeight="false" outlineLevel="0" collapsed="false">
      <c r="A106" s="9" t="s">
        <v>678</v>
      </c>
      <c r="B106" s="9" t="s">
        <v>750</v>
      </c>
      <c r="C106" s="31" t="s">
        <v>235</v>
      </c>
      <c r="D106" s="9" t="str">
        <f aca="false">INDEX(Articles!$C$2:$C$148,MATCH(C106,Articles!$A$2:$A$148,0))</f>
        <v>Crayon papier (vendu à l'unité)</v>
      </c>
      <c r="E106" s="9" t="str">
        <f aca="false">INDEX(Articles!$B$2:$B$148,MATCH(C106,Articles!$A$2:$A$148,0))</f>
        <v>LPD</v>
      </c>
      <c r="F106" s="31" t="n">
        <v>1</v>
      </c>
      <c r="G106" s="13" t="n">
        <f aca="false">IF(INDEX(Articles!$G$2:$G$148,MATCH(C106,Articles!$A$2:$A$148,0))="","",INDEX(Articles!$G$2:$G$148,MATCH(C106,Articles!$A$2:$A$148,0)))</f>
        <v>75</v>
      </c>
      <c r="H106" s="13" t="n">
        <f aca="false">IF(G106="",0,F106*G106)</f>
        <v>75</v>
      </c>
      <c r="I106" s="13" t="str">
        <f aca="false">IF(INDEX(Articles!$E$2:$E$148,MATCH(C106,Articles!$A$2:$A$148,0))="","",INDEX(Articles!$E$2:$E$148,MATCH(C106,Articles!$A$2:$A$148,0)))</f>
        <v/>
      </c>
      <c r="J106" s="13" t="str">
        <f aca="false">IF(I106="","",F106*I106)</f>
        <v/>
      </c>
      <c r="K106" s="9" t="str">
        <f aca="false">INDEX(Articles!$H$2:$H$148,MATCH(C106,Articles!$A$2:$A$148,0))</f>
        <v>Fixé</v>
      </c>
      <c r="L106" s="9" t="str">
        <f aca="false">INDEX(Articles!$F$2:$F$148,MATCH(C106,Articles!$A$2:$A$148,0))</f>
        <v>Inconnu</v>
      </c>
      <c r="M106" s="17"/>
      <c r="N106" s="9" t="s">
        <v>167</v>
      </c>
    </row>
    <row r="107" customFormat="false" ht="15" hidden="false" customHeight="false" outlineLevel="0" collapsed="false">
      <c r="A107" s="9" t="s">
        <v>675</v>
      </c>
      <c r="B107" s="9" t="s">
        <v>717</v>
      </c>
      <c r="C107" s="31" t="s">
        <v>180</v>
      </c>
      <c r="D107" s="9" t="str">
        <f aca="false">INDEX(Articles!$C$2:$C$148,MATCH(C107,Articles!$A$2:$A$148,0))</f>
        <v>Gomme Staedtler Mars Plastic</v>
      </c>
      <c r="E107" s="9" t="str">
        <f aca="false">INDEX(Articles!$B$2:$B$148,MATCH(C107,Articles!$A$2:$A$148,0))</f>
        <v>LPD</v>
      </c>
      <c r="F107" s="31" t="n">
        <v>1</v>
      </c>
      <c r="G107" s="13" t="n">
        <f aca="false">IF(INDEX(Articles!$G$2:$G$148,MATCH(C107,Articles!$A$2:$A$148,0))="","",INDEX(Articles!$G$2:$G$148,MATCH(C107,Articles!$A$2:$A$148,0)))</f>
        <v>250</v>
      </c>
      <c r="H107" s="13" t="n">
        <f aca="false">IF(G107="",0,F107*G107)</f>
        <v>250</v>
      </c>
      <c r="I107" s="13" t="n">
        <f aca="false">IF(INDEX(Articles!$E$2:$E$148,MATCH(C107,Articles!$A$2:$A$148,0))="","",INDEX(Articles!$E$2:$E$148,MATCH(C107,Articles!$A$2:$A$148,0)))</f>
        <v>110</v>
      </c>
      <c r="J107" s="13" t="n">
        <f aca="false">IF(I107="","",F107*I107)</f>
        <v>110</v>
      </c>
      <c r="K107" s="9" t="str">
        <f aca="false">INDEX(Articles!$H$2:$H$148,MATCH(C107,Articles!$A$2:$A$148,0))</f>
        <v>Fixé</v>
      </c>
      <c r="L107" s="9" t="str">
        <f aca="false">INDEX(Articles!$F$2:$F$148,MATCH(C107,Articles!$A$2:$A$148,0))</f>
        <v>Estimé</v>
      </c>
      <c r="M107" s="17"/>
      <c r="N107" s="9" t="s">
        <v>167</v>
      </c>
    </row>
    <row r="108" customFormat="false" ht="15" hidden="false" customHeight="false" outlineLevel="0" collapsed="false">
      <c r="A108" s="9" t="s">
        <v>675</v>
      </c>
      <c r="B108" s="9" t="s">
        <v>751</v>
      </c>
      <c r="C108" s="31" t="s">
        <v>183</v>
      </c>
      <c r="D108" s="9" t="str">
        <f aca="false">INDEX(Articles!$C$2:$C$148,MATCH(C108,Articles!$A$2:$A$148,0))</f>
        <v>Taille-crayon avec réservoir Maped</v>
      </c>
      <c r="E108" s="9" t="str">
        <f aca="false">INDEX(Articles!$B$2:$B$148,MATCH(C108,Articles!$A$2:$A$148,0))</f>
        <v>Papex</v>
      </c>
      <c r="F108" s="31" t="n">
        <v>1</v>
      </c>
      <c r="G108" s="13" t="n">
        <f aca="false">IF(INDEX(Articles!$G$2:$G$148,MATCH(C108,Articles!$A$2:$A$148,0))="","",INDEX(Articles!$G$2:$G$148,MATCH(C108,Articles!$A$2:$A$148,0)))</f>
        <v>500</v>
      </c>
      <c r="H108" s="13" t="n">
        <f aca="false">IF(G108="",0,F108*G108)</f>
        <v>500</v>
      </c>
      <c r="I108" s="13" t="n">
        <f aca="false">IF(INDEX(Articles!$E$2:$E$148,MATCH(C108,Articles!$A$2:$A$148,0))="","",INDEX(Articles!$E$2:$E$148,MATCH(C108,Articles!$A$2:$A$148,0)))</f>
        <v>350</v>
      </c>
      <c r="J108" s="13" t="n">
        <f aca="false">IF(I108="","",F108*I108)</f>
        <v>350</v>
      </c>
      <c r="K108" s="9" t="str">
        <f aca="false">INDEX(Articles!$H$2:$H$148,MATCH(C108,Articles!$A$2:$A$148,0))</f>
        <v>Estimé</v>
      </c>
      <c r="L108" s="9" t="str">
        <f aca="false">INDEX(Articles!$F$2:$F$148,MATCH(C108,Articles!$A$2:$A$148,0))</f>
        <v>Estimé</v>
      </c>
      <c r="M108" s="17" t="s">
        <v>765</v>
      </c>
      <c r="N108" s="9" t="s">
        <v>167</v>
      </c>
    </row>
    <row r="109" customFormat="false" ht="15" hidden="false" customHeight="false" outlineLevel="0" collapsed="false">
      <c r="A109" s="9" t="s">
        <v>675</v>
      </c>
      <c r="B109" s="9" t="s">
        <v>753</v>
      </c>
      <c r="C109" s="31" t="s">
        <v>248</v>
      </c>
      <c r="D109" s="9" t="str">
        <f aca="false">INDEX(Articles!$C$2:$C$148,MATCH(C109,Articles!$A$2:$A$148,0))</f>
        <v>Bâton de colle Giotto 20 g</v>
      </c>
      <c r="E109" s="9" t="str">
        <f aca="false">INDEX(Articles!$B$2:$B$148,MATCH(C109,Articles!$A$2:$A$148,0))</f>
        <v>Papex</v>
      </c>
      <c r="F109" s="31" t="n">
        <v>1</v>
      </c>
      <c r="G109" s="13" t="n">
        <f aca="false">IF(INDEX(Articles!$G$2:$G$148,MATCH(C109,Articles!$A$2:$A$148,0))="","",INDEX(Articles!$G$2:$G$148,MATCH(C109,Articles!$A$2:$A$148,0)))</f>
        <v>900</v>
      </c>
      <c r="H109" s="13" t="n">
        <f aca="false">IF(G109="",0,F109*G109)</f>
        <v>900</v>
      </c>
      <c r="I109" s="13" t="n">
        <f aca="false">IF(INDEX(Articles!$E$2:$E$148,MATCH(C109,Articles!$A$2:$A$148,0))="","",INDEX(Articles!$E$2:$E$148,MATCH(C109,Articles!$A$2:$A$148,0)))</f>
        <v>650</v>
      </c>
      <c r="J109" s="13" t="n">
        <f aca="false">IF(I109="","",F109*I109)</f>
        <v>650</v>
      </c>
      <c r="K109" s="9" t="str">
        <f aca="false">INDEX(Articles!$H$2:$H$148,MATCH(C109,Articles!$A$2:$A$148,0))</f>
        <v>Estimé</v>
      </c>
      <c r="L109" s="9" t="str">
        <f aca="false">INDEX(Articles!$F$2:$F$148,MATCH(C109,Articles!$A$2:$A$148,0))</f>
        <v>Estimé</v>
      </c>
      <c r="M109" s="17"/>
      <c r="N109" s="9" t="s">
        <v>167</v>
      </c>
    </row>
    <row r="110" customFormat="false" ht="15" hidden="false" customHeight="false" outlineLevel="0" collapsed="false">
      <c r="A110" s="9" t="s">
        <v>675</v>
      </c>
      <c r="B110" s="9" t="s">
        <v>754</v>
      </c>
      <c r="C110" s="31" t="s">
        <v>189</v>
      </c>
      <c r="D110" s="9" t="str">
        <f aca="false">INDEX(Articles!$C$2:$C$148,MATCH(C110,Articles!$A$2:$A$148,0))</f>
        <v>Ciseaux Maped 13 cm Security</v>
      </c>
      <c r="E110" s="9" t="str">
        <f aca="false">INDEX(Articles!$B$2:$B$148,MATCH(C110,Articles!$A$2:$A$148,0))</f>
        <v>Papex</v>
      </c>
      <c r="F110" s="31" t="n">
        <v>1</v>
      </c>
      <c r="G110" s="13" t="n">
        <f aca="false">IF(INDEX(Articles!$G$2:$G$148,MATCH(C110,Articles!$A$2:$A$148,0))="","",INDEX(Articles!$G$2:$G$148,MATCH(C110,Articles!$A$2:$A$148,0)))</f>
        <v>900</v>
      </c>
      <c r="H110" s="13" t="n">
        <f aca="false">IF(G110="",0,F110*G110)</f>
        <v>900</v>
      </c>
      <c r="I110" s="13" t="n">
        <f aca="false">IF(INDEX(Articles!$E$2:$E$148,MATCH(C110,Articles!$A$2:$A$148,0))="","",INDEX(Articles!$E$2:$E$148,MATCH(C110,Articles!$A$2:$A$148,0)))</f>
        <v>650</v>
      </c>
      <c r="J110" s="13" t="n">
        <f aca="false">IF(I110="","",F110*I110)</f>
        <v>650</v>
      </c>
      <c r="K110" s="9" t="str">
        <f aca="false">INDEX(Articles!$H$2:$H$148,MATCH(C110,Articles!$A$2:$A$148,0))</f>
        <v>Estimé</v>
      </c>
      <c r="L110" s="9" t="str">
        <f aca="false">INDEX(Articles!$F$2:$F$148,MATCH(C110,Articles!$A$2:$A$148,0))</f>
        <v>Estimé</v>
      </c>
      <c r="M110" s="17"/>
      <c r="N110" s="9" t="s">
        <v>167</v>
      </c>
    </row>
    <row r="111" customFormat="false" ht="15" hidden="false" customHeight="false" outlineLevel="0" collapsed="false">
      <c r="A111" s="9" t="s">
        <v>676</v>
      </c>
      <c r="B111" s="9" t="s">
        <v>755</v>
      </c>
      <c r="C111" s="31" t="s">
        <v>215</v>
      </c>
      <c r="D111" s="9" t="str">
        <f aca="false">INDEX(Articles!$C$2:$C$148,MATCH(C111,Articles!$A$2:$A$148,0))</f>
        <v>Kit géométrie Maped 30 cm (réf. 1930)</v>
      </c>
      <c r="E111" s="9" t="str">
        <f aca="false">INDEX(Articles!$B$2:$B$148,MATCH(C111,Articles!$A$2:$A$148,0))</f>
        <v>LPD</v>
      </c>
      <c r="F111" s="31" t="n">
        <v>1</v>
      </c>
      <c r="G111" s="13" t="n">
        <f aca="false">IF(INDEX(Articles!$G$2:$G$148,MATCH(C111,Articles!$A$2:$A$148,0))="","",INDEX(Articles!$G$2:$G$148,MATCH(C111,Articles!$A$2:$A$148,0)))</f>
        <v>1800</v>
      </c>
      <c r="H111" s="13" t="n">
        <f aca="false">IF(G111="",0,F111*G111)</f>
        <v>1800</v>
      </c>
      <c r="I111" s="13" t="n">
        <f aca="false">IF(INDEX(Articles!$E$2:$E$148,MATCH(C111,Articles!$A$2:$A$148,0))="","",INDEX(Articles!$E$2:$E$148,MATCH(C111,Articles!$A$2:$A$148,0)))</f>
        <v>1500</v>
      </c>
      <c r="J111" s="13" t="n">
        <f aca="false">IF(I111="","",F111*I111)</f>
        <v>1500</v>
      </c>
      <c r="K111" s="9" t="str">
        <f aca="false">INDEX(Articles!$H$2:$H$148,MATCH(C111,Articles!$A$2:$A$148,0))</f>
        <v>À trancher</v>
      </c>
      <c r="L111" s="9" t="str">
        <f aca="false">INDEX(Articles!$F$2:$F$148,MATCH(C111,Articles!$A$2:$A$148,0))</f>
        <v>Confirmé</v>
      </c>
      <c r="M111" s="17"/>
      <c r="N111" s="9" t="s">
        <v>167</v>
      </c>
    </row>
    <row r="112" customFormat="false" ht="15" hidden="false" customHeight="false" outlineLevel="0" collapsed="false">
      <c r="A112" s="9" t="s">
        <v>676</v>
      </c>
      <c r="B112" s="9" t="s">
        <v>756</v>
      </c>
      <c r="C112" s="31" t="s">
        <v>171</v>
      </c>
      <c r="D112" s="9" t="str">
        <f aca="false">INDEX(Articles!$C$2:$C$148,MATCH(C112,Articles!$A$2:$A$148,0))</f>
        <v>Compas Maped</v>
      </c>
      <c r="E112" s="9" t="str">
        <f aca="false">INDEX(Articles!$B$2:$B$148,MATCH(C112,Articles!$A$2:$A$148,0))</f>
        <v>Papex</v>
      </c>
      <c r="F112" s="31" t="n">
        <v>1</v>
      </c>
      <c r="G112" s="13" t="n">
        <f aca="false">IF(INDEX(Articles!$G$2:$G$148,MATCH(C112,Articles!$A$2:$A$148,0))="","",INDEX(Articles!$G$2:$G$148,MATCH(C112,Articles!$A$2:$A$148,0)))</f>
        <v>2000</v>
      </c>
      <c r="H112" s="13" t="n">
        <f aca="false">IF(G112="",0,F112*G112)</f>
        <v>2000</v>
      </c>
      <c r="I112" s="13" t="n">
        <f aca="false">IF(INDEX(Articles!$E$2:$E$148,MATCH(C112,Articles!$A$2:$A$148,0))="","",INDEX(Articles!$E$2:$E$148,MATCH(C112,Articles!$A$2:$A$148,0)))</f>
        <v>1750</v>
      </c>
      <c r="J112" s="13" t="n">
        <f aca="false">IF(I112="","",F112*I112)</f>
        <v>1750</v>
      </c>
      <c r="K112" s="9" t="str">
        <f aca="false">INDEX(Articles!$H$2:$H$148,MATCH(C112,Articles!$A$2:$A$148,0))</f>
        <v>Fixé</v>
      </c>
      <c r="L112" s="9" t="str">
        <f aca="false">INDEX(Articles!$F$2:$F$148,MATCH(C112,Articles!$A$2:$A$148,0))</f>
        <v>Confirmé</v>
      </c>
      <c r="M112" s="17"/>
      <c r="N112" s="9" t="s">
        <v>167</v>
      </c>
    </row>
    <row r="113" customFormat="false" ht="15" hidden="false" customHeight="false" outlineLevel="0" collapsed="false">
      <c r="A113" s="9" t="s">
        <v>681</v>
      </c>
      <c r="B113" s="9" t="s">
        <v>757</v>
      </c>
      <c r="C113" s="31" t="s">
        <v>198</v>
      </c>
      <c r="D113" s="9" t="str">
        <f aca="false">INDEX(Articles!$C$2:$C$148,MATCH(C113,Articles!$A$2:$A$148,0))</f>
        <v>Crayons de couleur Maped, boîte de 12</v>
      </c>
      <c r="E113" s="9" t="str">
        <f aca="false">INDEX(Articles!$B$2:$B$148,MATCH(C113,Articles!$A$2:$A$148,0))</f>
        <v>Papex</v>
      </c>
      <c r="F113" s="31" t="n">
        <v>1</v>
      </c>
      <c r="G113" s="13" t="n">
        <f aca="false">IF(INDEX(Articles!$G$2:$G$148,MATCH(C113,Articles!$A$2:$A$148,0))="","",INDEX(Articles!$G$2:$G$148,MATCH(C113,Articles!$A$2:$A$148,0)))</f>
        <v>900</v>
      </c>
      <c r="H113" s="13" t="n">
        <f aca="false">IF(G113="",0,F113*G113)</f>
        <v>900</v>
      </c>
      <c r="I113" s="13" t="n">
        <f aca="false">IF(INDEX(Articles!$E$2:$E$148,MATCH(C113,Articles!$A$2:$A$148,0))="","",INDEX(Articles!$E$2:$E$148,MATCH(C113,Articles!$A$2:$A$148,0)))</f>
        <v>650</v>
      </c>
      <c r="J113" s="13" t="n">
        <f aca="false">IF(I113="","",F113*I113)</f>
        <v>650</v>
      </c>
      <c r="K113" s="9" t="str">
        <f aca="false">INDEX(Articles!$H$2:$H$148,MATCH(C113,Articles!$A$2:$A$148,0))</f>
        <v>Estimé</v>
      </c>
      <c r="L113" s="9" t="str">
        <f aca="false">INDEX(Articles!$F$2:$F$148,MATCH(C113,Articles!$A$2:$A$148,0))</f>
        <v>Estimé</v>
      </c>
      <c r="M113" s="17"/>
      <c r="N113" s="9" t="s">
        <v>167</v>
      </c>
    </row>
    <row r="114" customFormat="false" ht="15" hidden="false" customHeight="false" outlineLevel="0" collapsed="false">
      <c r="A114" s="9" t="s">
        <v>678</v>
      </c>
      <c r="B114" s="9" t="s">
        <v>766</v>
      </c>
      <c r="C114" s="31" t="s">
        <v>200</v>
      </c>
      <c r="D114" s="9" t="str">
        <f aca="false">INDEX(Articles!$C$2:$C$148,MATCH(C114,Articles!$A$2:$A$148,0))</f>
        <v>Surligneurs Maped Fluo Peps, pochette de 4</v>
      </c>
      <c r="E114" s="9" t="str">
        <f aca="false">INDEX(Articles!$B$2:$B$148,MATCH(C114,Articles!$A$2:$A$148,0))</f>
        <v>Papex</v>
      </c>
      <c r="F114" s="31" t="n">
        <v>1</v>
      </c>
      <c r="G114" s="13" t="n">
        <f aca="false">IF(INDEX(Articles!$G$2:$G$148,MATCH(C114,Articles!$A$2:$A$148,0))="","",INDEX(Articles!$G$2:$G$148,MATCH(C114,Articles!$A$2:$A$148,0)))</f>
        <v>2500</v>
      </c>
      <c r="H114" s="13" t="n">
        <f aca="false">IF(G114="",0,F114*G114)</f>
        <v>2500</v>
      </c>
      <c r="I114" s="13" t="n">
        <f aca="false">IF(INDEX(Articles!$E$2:$E$148,MATCH(C114,Articles!$A$2:$A$148,0))="","",INDEX(Articles!$E$2:$E$148,MATCH(C114,Articles!$A$2:$A$148,0)))</f>
        <v>2000</v>
      </c>
      <c r="J114" s="13" t="n">
        <f aca="false">IF(I114="","",F114*I114)</f>
        <v>2000</v>
      </c>
      <c r="K114" s="9" t="str">
        <f aca="false">INDEX(Articles!$H$2:$H$148,MATCH(C114,Articles!$A$2:$A$148,0))</f>
        <v>Estimé</v>
      </c>
      <c r="L114" s="9" t="str">
        <f aca="false">INDEX(Articles!$F$2:$F$148,MATCH(C114,Articles!$A$2:$A$148,0))</f>
        <v>Confirmé</v>
      </c>
      <c r="M114" s="17" t="s">
        <v>767</v>
      </c>
      <c r="N114" s="9" t="s">
        <v>167</v>
      </c>
    </row>
    <row r="115" customFormat="false" ht="15" hidden="false" customHeight="false" outlineLevel="0" collapsed="false">
      <c r="A115" s="9" t="s">
        <v>768</v>
      </c>
      <c r="B115" s="9" t="s">
        <v>769</v>
      </c>
      <c r="C115" s="31" t="s">
        <v>446</v>
      </c>
      <c r="D115" s="9" t="str">
        <f aca="false">INDEX(Articles!$C$2:$C$148,MATCH(C115,Articles!$A$2:$A$148,0))</f>
        <v>Chemise 3 rabats à élastique</v>
      </c>
      <c r="E115" s="9" t="str">
        <f aca="false">INDEX(Articles!$B$2:$B$148,MATCH(C115,Articles!$A$2:$A$148,0))</f>
        <v>Papex</v>
      </c>
      <c r="F115" s="31" t="n">
        <v>1</v>
      </c>
      <c r="G115" s="13" t="n">
        <f aca="false">IF(INDEX(Articles!$G$2:$G$148,MATCH(C115,Articles!$A$2:$A$148,0))="","",INDEX(Articles!$G$2:$G$148,MATCH(C115,Articles!$A$2:$A$148,0)))</f>
        <v>500</v>
      </c>
      <c r="H115" s="13" t="n">
        <f aca="false">IF(G115="",0,F115*G115)</f>
        <v>500</v>
      </c>
      <c r="I115" s="13" t="str">
        <f aca="false">IF(INDEX(Articles!$E$2:$E$148,MATCH(C115,Articles!$A$2:$A$148,0))="","",INDEX(Articles!$E$2:$E$148,MATCH(C115,Articles!$A$2:$A$148,0)))</f>
        <v/>
      </c>
      <c r="J115" s="13" t="str">
        <f aca="false">IF(I115="","",F115*I115)</f>
        <v/>
      </c>
      <c r="K115" s="9" t="str">
        <f aca="false">INDEX(Articles!$H$2:$H$148,MATCH(C115,Articles!$A$2:$A$148,0))</f>
        <v>Estimé</v>
      </c>
      <c r="L115" s="9" t="str">
        <f aca="false">INDEX(Articles!$F$2:$F$148,MATCH(C115,Articles!$A$2:$A$148,0))</f>
        <v>Inconnu</v>
      </c>
      <c r="M115" s="17" t="s">
        <v>770</v>
      </c>
      <c r="N115" s="9" t="s">
        <v>167</v>
      </c>
    </row>
    <row r="116" customFormat="false" ht="15" hidden="false" customHeight="false" outlineLevel="0" collapsed="false">
      <c r="A116" s="9" t="s">
        <v>676</v>
      </c>
      <c r="B116" s="9" t="s">
        <v>812</v>
      </c>
      <c r="C116" s="31" t="s">
        <v>205</v>
      </c>
      <c r="D116" s="9" t="str">
        <f aca="false">INDEX(Articles!$C$2:$C$148,MATCH(C116,Articles!$A$2:$A$148,0))</f>
        <v>Calculatrice Casio fx-92 Collège</v>
      </c>
      <c r="E116" s="9" t="str">
        <f aca="false">INDEX(Articles!$B$2:$B$148,MATCH(C116,Articles!$A$2:$A$148,0))</f>
        <v>Papex</v>
      </c>
      <c r="F116" s="31" t="n">
        <v>1</v>
      </c>
      <c r="G116" s="13" t="n">
        <f aca="false">IF(INDEX(Articles!$G$2:$G$148,MATCH(C116,Articles!$A$2:$A$148,0))="","",INDEX(Articles!$G$2:$G$148,MATCH(C116,Articles!$A$2:$A$148,0)))</f>
        <v>8000</v>
      </c>
      <c r="H116" s="13" t="n">
        <f aca="false">IF(G116="",0,F116*G116)</f>
        <v>8000</v>
      </c>
      <c r="I116" s="13" t="n">
        <f aca="false">IF(INDEX(Articles!$E$2:$E$148,MATCH(C116,Articles!$A$2:$A$148,0))="","",INDEX(Articles!$E$2:$E$148,MATCH(C116,Articles!$A$2:$A$148,0)))</f>
        <v>7000</v>
      </c>
      <c r="J116" s="13" t="n">
        <f aca="false">IF(I116="","",F116*I116)</f>
        <v>7000</v>
      </c>
      <c r="K116" s="9" t="str">
        <f aca="false">INDEX(Articles!$H$2:$H$148,MATCH(C116,Articles!$A$2:$A$148,0))</f>
        <v>Fixé</v>
      </c>
      <c r="L116" s="9" t="str">
        <f aca="false">INDEX(Articles!$F$2:$F$148,MATCH(C116,Articles!$A$2:$A$148,0))</f>
        <v>Confirmé</v>
      </c>
      <c r="M116" s="17" t="s">
        <v>820</v>
      </c>
      <c r="N116" s="9" t="s">
        <v>167</v>
      </c>
    </row>
    <row r="117" customFormat="false" ht="15" hidden="false" customHeight="false" outlineLevel="0" collapsed="false">
      <c r="A117" s="9" t="s">
        <v>768</v>
      </c>
      <c r="B117" s="9" t="s">
        <v>861</v>
      </c>
      <c r="C117" s="31" t="s">
        <v>246</v>
      </c>
      <c r="D117" s="9" t="str">
        <f aca="false">INDEX(Articles!$C$2:$C$148,MATCH(C117,Articles!$A$2:$A$148,0))</f>
        <v>Protège-documents porte-vues</v>
      </c>
      <c r="E117" s="9" t="str">
        <f aca="false">INDEX(Articles!$B$2:$B$148,MATCH(C117,Articles!$A$2:$A$148,0))</f>
        <v>LPD</v>
      </c>
      <c r="F117" s="31" t="n">
        <v>1</v>
      </c>
      <c r="G117" s="13" t="n">
        <f aca="false">IF(INDEX(Articles!$G$2:$G$148,MATCH(C117,Articles!$A$2:$A$148,0))="","",INDEX(Articles!$G$2:$G$148,MATCH(C117,Articles!$A$2:$A$148,0)))</f>
        <v>1150</v>
      </c>
      <c r="H117" s="13" t="n">
        <f aca="false">IF(G117="",0,F117*G117)</f>
        <v>1150</v>
      </c>
      <c r="I117" s="13" t="n">
        <f aca="false">IF(INDEX(Articles!$E$2:$E$148,MATCH(C117,Articles!$A$2:$A$148,0))="","",INDEX(Articles!$E$2:$E$148,MATCH(C117,Articles!$A$2:$A$148,0)))</f>
        <v>850</v>
      </c>
      <c r="J117" s="13" t="n">
        <f aca="false">IF(I117="","",F117*I117)</f>
        <v>850</v>
      </c>
      <c r="K117" s="9" t="str">
        <f aca="false">INDEX(Articles!$H$2:$H$148,MATCH(C117,Articles!$A$2:$A$148,0))</f>
        <v>Fixé</v>
      </c>
      <c r="L117" s="9" t="str">
        <f aca="false">INDEX(Articles!$F$2:$F$148,MATCH(C117,Articles!$A$2:$A$148,0))</f>
        <v>Estimé</v>
      </c>
      <c r="M117" s="17"/>
      <c r="N117" s="9" t="s">
        <v>167</v>
      </c>
    </row>
    <row r="118" customFormat="false" ht="15" hidden="false" customHeight="false" outlineLevel="0" collapsed="false">
      <c r="A118" s="9" t="s">
        <v>758</v>
      </c>
      <c r="B118" s="9" t="s">
        <v>759</v>
      </c>
      <c r="C118" s="31" t="s">
        <v>376</v>
      </c>
      <c r="D118" s="9" t="str">
        <f aca="false">INDEX(Articles!$C$2:$C$148,MATCH(C118,Articles!$A$2:$A$148,0))</f>
        <v>Paquet de copies doubles grand format</v>
      </c>
      <c r="E118" s="9" t="str">
        <f aca="false">INDEX(Articles!$B$2:$B$148,MATCH(C118,Articles!$A$2:$A$148,0))</f>
        <v>À préciser</v>
      </c>
      <c r="F118" s="31" t="n">
        <v>1</v>
      </c>
      <c r="G118" s="45" t="n">
        <f aca="false">IF(INDEX(Articles!$G$2:$G$148,MATCH(C118,Articles!$A$2:$A$148,0))="","",INDEX(Articles!$G$2:$G$148,MATCH(C118,Articles!$A$2:$A$148,0)))</f>
        <v>1800</v>
      </c>
      <c r="H118" s="13" t="n">
        <f aca="false">IF(G118="",0,F118*G118)</f>
        <v>1800</v>
      </c>
      <c r="I118" s="13" t="n">
        <f aca="false">IF(INDEX(Articles!$E$2:$E$148,MATCH(C118,Articles!$A$2:$A$148,0))="","",INDEX(Articles!$E$2:$E$148,MATCH(C118,Articles!$A$2:$A$148,0)))</f>
        <v>1300</v>
      </c>
      <c r="J118" s="13" t="n">
        <f aca="false">IF(I118="","",F118*I118)</f>
        <v>1300</v>
      </c>
      <c r="K118" s="9" t="str">
        <f aca="false">INDEX(Articles!$H$2:$H$148,MATCH(C118,Articles!$A$2:$A$148,0))</f>
        <v>Fixé</v>
      </c>
      <c r="L118" s="9" t="str">
        <f aca="false">INDEX(Articles!$F$2:$F$148,MATCH(C118,Articles!$A$2:$A$148,0))</f>
        <v>Confirmé</v>
      </c>
      <c r="M118" s="17"/>
      <c r="N118" s="9" t="s">
        <v>167</v>
      </c>
    </row>
    <row r="119" customFormat="false" ht="15" hidden="false" customHeight="false" outlineLevel="0" collapsed="false">
      <c r="A119" s="9" t="s">
        <v>771</v>
      </c>
      <c r="B119" s="9" t="s">
        <v>772</v>
      </c>
      <c r="C119" s="31" t="s">
        <v>160</v>
      </c>
      <c r="D119" s="9" t="str">
        <f aca="false">INDEX(Articles!$C$2:$C$148,MATCH(C119,Articles!$A$2:$A$148,0))</f>
        <v>Protège-cahier couleur petit format (à l'unité)</v>
      </c>
      <c r="E119" s="9" t="str">
        <f aca="false">INDEX(Articles!$B$2:$B$148,MATCH(C119,Articles!$A$2:$A$148,0))</f>
        <v>LPD</v>
      </c>
      <c r="F119" s="31" t="n">
        <v>3</v>
      </c>
      <c r="G119" s="13" t="n">
        <f aca="false">IF(INDEX(Articles!$G$2:$G$148,MATCH(C119,Articles!$A$2:$A$148,0))="","",INDEX(Articles!$G$2:$G$148,MATCH(C119,Articles!$A$2:$A$148,0)))</f>
        <v>150</v>
      </c>
      <c r="H119" s="13" t="n">
        <f aca="false">IF(G119="",0,F119*G119)</f>
        <v>450</v>
      </c>
      <c r="I119" s="13" t="str">
        <f aca="false">IF(INDEX(Articles!$E$2:$E$148,MATCH(C119,Articles!$A$2:$A$148,0))="","",INDEX(Articles!$E$2:$E$148,MATCH(C119,Articles!$A$2:$A$148,0)))</f>
        <v/>
      </c>
      <c r="J119" s="13" t="str">
        <f aca="false">IF(I119="","",F119*I119)</f>
        <v/>
      </c>
      <c r="K119" s="9" t="str">
        <f aca="false">INDEX(Articles!$H$2:$H$148,MATCH(C119,Articles!$A$2:$A$148,0))</f>
        <v>Fixé</v>
      </c>
      <c r="L119" s="9" t="str">
        <f aca="false">INDEX(Articles!$F$2:$F$148,MATCH(C119,Articles!$A$2:$A$148,0))</f>
        <v>Inconnu</v>
      </c>
      <c r="M119" s="17"/>
      <c r="N119" s="9" t="s">
        <v>167</v>
      </c>
    </row>
    <row r="120" customFormat="false" ht="15" hidden="false" customHeight="false" outlineLevel="0" collapsed="false">
      <c r="A120" s="9" t="s">
        <v>771</v>
      </c>
      <c r="B120" s="9" t="s">
        <v>773</v>
      </c>
      <c r="C120" s="31" t="s">
        <v>419</v>
      </c>
      <c r="D120" s="9" t="str">
        <f aca="false">INDEX(Articles!$C$2:$C$148,MATCH(C120,Articles!$A$2:$A$148,0))</f>
        <v>Protège-cahier grand format (à l'unité)</v>
      </c>
      <c r="E120" s="9" t="str">
        <f aca="false">INDEX(Articles!$B$2:$B$148,MATCH(C120,Articles!$A$2:$A$148,0))</f>
        <v>À préciser</v>
      </c>
      <c r="F120" s="31" t="n">
        <v>8</v>
      </c>
      <c r="G120" s="13" t="str">
        <f aca="false">IF(INDEX(Articles!$G$2:$G$148,MATCH(C120,Articles!$A$2:$A$148,0))="","",INDEX(Articles!$G$2:$G$148,MATCH(C120,Articles!$A$2:$A$148,0)))</f>
        <v/>
      </c>
      <c r="H120" s="13" t="n">
        <f aca="false">IF(G120="",0,F120*G120)</f>
        <v>0</v>
      </c>
      <c r="I120" s="13" t="str">
        <f aca="false">IF(INDEX(Articles!$E$2:$E$148,MATCH(C120,Articles!$A$2:$A$148,0))="","",INDEX(Articles!$E$2:$E$148,MATCH(C120,Articles!$A$2:$A$148,0)))</f>
        <v/>
      </c>
      <c r="J120" s="13" t="str">
        <f aca="false">IF(I120="","",F120*I120)</f>
        <v/>
      </c>
      <c r="K120" s="9" t="str">
        <f aca="false">INDEX(Articles!$H$2:$H$148,MATCH(C120,Articles!$A$2:$A$148,0))</f>
        <v>À fournir</v>
      </c>
      <c r="L120" s="9" t="str">
        <f aca="false">INDEX(Articles!$F$2:$F$148,MATCH(C120,Articles!$A$2:$A$148,0))</f>
        <v>Inconnu</v>
      </c>
      <c r="M120" s="17"/>
      <c r="N120" s="9" t="s">
        <v>167</v>
      </c>
    </row>
    <row r="121" customFormat="false" ht="15" hidden="false" customHeight="false" outlineLevel="0" collapsed="false">
      <c r="A121" s="9" t="s">
        <v>760</v>
      </c>
      <c r="B121" s="9" t="s">
        <v>883</v>
      </c>
      <c r="C121" s="31" t="s">
        <v>504</v>
      </c>
      <c r="D121" s="9" t="str">
        <f aca="false">INDEX(Articles!$C$2:$C$148,MATCH(C121,Articles!$A$2:$A$148,0))</f>
        <v>Une vie de boy (Ferdinand Oyono)</v>
      </c>
      <c r="E121" s="9" t="str">
        <f aca="false">INDEX(Articles!$B$2:$B$148,MATCH(C121,Articles!$A$2:$A$148,0))</f>
        <v>LPD</v>
      </c>
      <c r="F121" s="31" t="n">
        <v>1</v>
      </c>
      <c r="G121" s="13" t="n">
        <f aca="false">IF(INDEX(Articles!$G$2:$G$148,MATCH(C121,Articles!$A$2:$A$148,0))="","",INDEX(Articles!$G$2:$G$148,MATCH(C121,Articles!$A$2:$A$148,0)))</f>
        <v>2800</v>
      </c>
      <c r="H121" s="13" t="n">
        <f aca="false">IF(G121="",0,F121*G121)</f>
        <v>2800</v>
      </c>
      <c r="I121" s="13" t="n">
        <f aca="false">IF(INDEX(Articles!$E$2:$E$148,MATCH(C121,Articles!$A$2:$A$148,0))="","",INDEX(Articles!$E$2:$E$148,MATCH(C121,Articles!$A$2:$A$148,0)))</f>
        <v>1800</v>
      </c>
      <c r="J121" s="13" t="n">
        <f aca="false">IF(I121="","",F121*I121)</f>
        <v>1800</v>
      </c>
      <c r="K121" s="9" t="str">
        <f aca="false">INDEX(Articles!$H$2:$H$148,MATCH(C121,Articles!$A$2:$A$148,0))</f>
        <v>Fixé</v>
      </c>
      <c r="L121" s="9" t="str">
        <f aca="false">INDEX(Articles!$F$2:$F$148,MATCH(C121,Articles!$A$2:$A$148,0))</f>
        <v>Estimé</v>
      </c>
      <c r="M121" s="17"/>
      <c r="N121" s="9" t="s">
        <v>167</v>
      </c>
    </row>
    <row r="122" customFormat="false" ht="15" hidden="false" customHeight="false" outlineLevel="0" collapsed="false">
      <c r="A122" s="9" t="s">
        <v>760</v>
      </c>
      <c r="B122" s="9" t="s">
        <v>884</v>
      </c>
      <c r="C122" s="31" t="s">
        <v>506</v>
      </c>
      <c r="D122" s="9" t="str">
        <f aca="false">INDEX(Articles!$C$2:$C$148,MATCH(C122,Articles!$A$2:$A$148,0))</f>
        <v>Le Père Goriot (Balzac)</v>
      </c>
      <c r="E122" s="9" t="str">
        <f aca="false">INDEX(Articles!$B$2:$B$148,MATCH(C122,Articles!$A$2:$A$148,0))</f>
        <v>LPD</v>
      </c>
      <c r="F122" s="31" t="n">
        <v>1</v>
      </c>
      <c r="G122" s="13" t="n">
        <f aca="false">IF(INDEX(Articles!$G$2:$G$148,MATCH(C122,Articles!$A$2:$A$148,0))="","",INDEX(Articles!$G$2:$G$148,MATCH(C122,Articles!$A$2:$A$148,0)))</f>
        <v>2800</v>
      </c>
      <c r="H122" s="13" t="n">
        <f aca="false">IF(G122="",0,F122*G122)</f>
        <v>2800</v>
      </c>
      <c r="I122" s="13" t="n">
        <f aca="false">IF(INDEX(Articles!$E$2:$E$148,MATCH(C122,Articles!$A$2:$A$148,0))="","",INDEX(Articles!$E$2:$E$148,MATCH(C122,Articles!$A$2:$A$148,0)))</f>
        <v>1800</v>
      </c>
      <c r="J122" s="13" t="n">
        <f aca="false">IF(I122="","",F122*I122)</f>
        <v>1800</v>
      </c>
      <c r="K122" s="9" t="str">
        <f aca="false">INDEX(Articles!$H$2:$H$148,MATCH(C122,Articles!$A$2:$A$148,0))</f>
        <v>Fixé</v>
      </c>
      <c r="L122" s="9" t="str">
        <f aca="false">INDEX(Articles!$F$2:$F$148,MATCH(C122,Articles!$A$2:$A$148,0))</f>
        <v>Estimé</v>
      </c>
      <c r="M122" s="17"/>
      <c r="N122" s="9" t="s">
        <v>167</v>
      </c>
    </row>
    <row r="123" customFormat="false" ht="15" hidden="false" customHeight="false" outlineLevel="0" collapsed="false">
      <c r="A123" s="9" t="s">
        <v>760</v>
      </c>
      <c r="B123" s="9" t="s">
        <v>884</v>
      </c>
      <c r="C123" s="31" t="s">
        <v>508</v>
      </c>
      <c r="D123" s="9" t="str">
        <f aca="false">INDEX(Articles!$C$2:$C$148,MATCH(C123,Articles!$A$2:$A$148,0))</f>
        <v>Madame Bovary (Flaubert)</v>
      </c>
      <c r="E123" s="9" t="str">
        <f aca="false">INDEX(Articles!$B$2:$B$148,MATCH(C123,Articles!$A$2:$A$148,0))</f>
        <v>LPD</v>
      </c>
      <c r="F123" s="31" t="n">
        <v>1</v>
      </c>
      <c r="G123" s="13" t="n">
        <f aca="false">IF(INDEX(Articles!$G$2:$G$148,MATCH(C123,Articles!$A$2:$A$148,0))="","",INDEX(Articles!$G$2:$G$148,MATCH(C123,Articles!$A$2:$A$148,0)))</f>
        <v>2800</v>
      </c>
      <c r="H123" s="13" t="n">
        <f aca="false">IF(G123="",0,F123*G123)</f>
        <v>2800</v>
      </c>
      <c r="I123" s="13" t="n">
        <f aca="false">IF(INDEX(Articles!$E$2:$E$148,MATCH(C123,Articles!$A$2:$A$148,0))="","",INDEX(Articles!$E$2:$E$148,MATCH(C123,Articles!$A$2:$A$148,0)))</f>
        <v>1800</v>
      </c>
      <c r="J123" s="13" t="n">
        <f aca="false">IF(I123="","",F123*I123)</f>
        <v>1800</v>
      </c>
      <c r="K123" s="9" t="str">
        <f aca="false">INDEX(Articles!$H$2:$H$148,MATCH(C123,Articles!$A$2:$A$148,0))</f>
        <v>Fixé</v>
      </c>
      <c r="L123" s="9" t="str">
        <f aca="false">INDEX(Articles!$F$2:$F$148,MATCH(C123,Articles!$A$2:$A$148,0))</f>
        <v>Estimé</v>
      </c>
      <c r="M123" s="17"/>
      <c r="N123" s="9" t="s">
        <v>167</v>
      </c>
    </row>
    <row r="124" customFormat="false" ht="15" hidden="false" customHeight="false" outlineLevel="0" collapsed="false">
      <c r="A124" s="9" t="s">
        <v>777</v>
      </c>
      <c r="B124" s="9" t="s">
        <v>889</v>
      </c>
      <c r="C124" s="31" t="s">
        <v>643</v>
      </c>
      <c r="D124" s="9" t="str">
        <f aca="false">INDEX(Articles!$C$2:$C$148,MATCH(C124,Articles!$A$2:$A$148,0))</f>
        <v>Science de la vie et de la terre 1ʳᵉ</v>
      </c>
      <c r="E124" s="9" t="str">
        <f aca="false">INDEX(Articles!$B$2:$B$148,MATCH(C124,Articles!$A$2:$A$148,0))</f>
        <v>LPD</v>
      </c>
      <c r="F124" s="31" t="n">
        <v>1</v>
      </c>
      <c r="G124" s="13" t="n">
        <f aca="false">IF(INDEX(Articles!$G$2:$G$148,MATCH(C124,Articles!$A$2:$A$148,0))="","",INDEX(Articles!$G$2:$G$148,MATCH(C124,Articles!$A$2:$A$148,0)))</f>
        <v>4720</v>
      </c>
      <c r="H124" s="13" t="n">
        <f aca="false">IF(G124="",0,F124*G124)</f>
        <v>4720</v>
      </c>
      <c r="I124" s="13" t="n">
        <f aca="false">IF(INDEX(Articles!$E$2:$E$148,MATCH(C124,Articles!$A$2:$A$148,0))="","",INDEX(Articles!$E$2:$E$148,MATCH(C124,Articles!$A$2:$A$148,0)))</f>
        <v>3720</v>
      </c>
      <c r="J124" s="13" t="n">
        <f aca="false">IF(I124="","",F124*I124)</f>
        <v>3720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678</v>
      </c>
      <c r="B125" s="9" t="s">
        <v>781</v>
      </c>
      <c r="C125" s="31" t="s">
        <v>434</v>
      </c>
      <c r="D125" s="9" t="str">
        <f aca="false">INDEX(Articles!$C$2:$C$148,MATCH(C125,Articles!$A$2:$A$148,0))</f>
        <v>Stylo 4 couleurs Schneider</v>
      </c>
      <c r="E125" s="9" t="str">
        <f aca="false">INDEX(Articles!$B$2:$B$148,MATCH(C125,Articles!$A$2:$A$148,0))</f>
        <v>Papex</v>
      </c>
      <c r="F125" s="31" t="n">
        <v>1</v>
      </c>
      <c r="G125" s="13" t="n">
        <f aca="false">IF(INDEX(Articles!$G$2:$G$148,MATCH(C125,Articles!$A$2:$A$148,0))="","",INDEX(Articles!$G$2:$G$148,MATCH(C125,Articles!$A$2:$A$148,0)))</f>
        <v>1750</v>
      </c>
      <c r="H125" s="13" t="n">
        <f aca="false">IF(G125="",0,F125*G125)</f>
        <v>1750</v>
      </c>
      <c r="I125" s="13" t="n">
        <f aca="false">IF(INDEX(Articles!$E$2:$E$148,MATCH(C125,Articles!$A$2:$A$148,0))="","",INDEX(Articles!$E$2:$E$148,MATCH(C125,Articles!$A$2:$A$148,0)))</f>
        <v>1500</v>
      </c>
      <c r="J125" s="13" t="n">
        <f aca="false">IF(I125="","",F125*I125)</f>
        <v>1500</v>
      </c>
      <c r="K125" s="9" t="str">
        <f aca="false">INDEX(Articles!$H$2:$H$148,MATCH(C125,Articles!$A$2:$A$148,0))</f>
        <v>Fixé</v>
      </c>
      <c r="L125" s="9" t="str">
        <f aca="false">INDEX(Articles!$F$2:$F$148,MATCH(C125,Articles!$A$2:$A$148,0))</f>
        <v>Confirmé</v>
      </c>
      <c r="M125" s="17"/>
      <c r="N125" s="9" t="s">
        <v>167</v>
      </c>
    </row>
    <row r="126" customFormat="false" ht="15" hidden="false" customHeight="false" outlineLevel="0" collapsed="false">
      <c r="A126" s="9" t="s">
        <v>678</v>
      </c>
      <c r="B126" s="9" t="s">
        <v>782</v>
      </c>
      <c r="C126" s="31" t="s">
        <v>174</v>
      </c>
      <c r="D126" s="9" t="str">
        <f aca="false">INDEX(Articles!$C$2:$C$148,MATCH(C126,Articles!$A$2:$A$148,0))</f>
        <v>Correcteur souris ARK</v>
      </c>
      <c r="E126" s="9" t="str">
        <f aca="false">INDEX(Articles!$B$2:$B$148,MATCH(C126,Articles!$A$2:$A$148,0))</f>
        <v>Papex</v>
      </c>
      <c r="F126" s="31" t="n">
        <v>1</v>
      </c>
      <c r="G126" s="13" t="n">
        <f aca="false">IF(INDEX(Articles!$G$2:$G$148,MATCH(C126,Articles!$A$2:$A$148,0))="","",INDEX(Articles!$G$2:$G$148,MATCH(C126,Articles!$A$2:$A$148,0)))</f>
        <v>1000</v>
      </c>
      <c r="H126" s="13" t="n">
        <f aca="false">IF(G126="",0,F126*G126)</f>
        <v>1000</v>
      </c>
      <c r="I126" s="13" t="n">
        <f aca="false">IF(INDEX(Articles!$E$2:$E$148,MATCH(C126,Articles!$A$2:$A$148,0))="","",INDEX(Articles!$E$2:$E$148,MATCH(C126,Articles!$A$2:$A$148,0)))</f>
        <v>700</v>
      </c>
      <c r="J126" s="13" t="n">
        <f aca="false">IF(I126="","",F126*I126)</f>
        <v>700</v>
      </c>
      <c r="K126" s="9" t="str">
        <f aca="false">INDEX(Articles!$H$2:$H$148,MATCH(C126,Articles!$A$2:$A$148,0))</f>
        <v>Fixé</v>
      </c>
      <c r="L126" s="9" t="str">
        <f aca="false">INDEX(Articles!$F$2:$F$148,MATCH(C126,Articles!$A$2:$A$148,0))</f>
        <v>Confirmé</v>
      </c>
      <c r="M126" s="17"/>
      <c r="N126" s="9" t="s">
        <v>167</v>
      </c>
    </row>
    <row r="127" customFormat="false" ht="15" hidden="false" customHeight="false" outlineLevel="0" collapsed="false">
      <c r="A127" s="9" t="s">
        <v>840</v>
      </c>
      <c r="B127" s="9" t="s">
        <v>906</v>
      </c>
      <c r="C127" s="31" t="s">
        <v>401</v>
      </c>
      <c r="D127" s="9" t="str">
        <f aca="false">INDEX(Articles!$C$2:$C$148,MATCH(C127,Articles!$A$2:$A$148,0))</f>
        <v>MATHS 1S2 - LA CLE DES CRACKS (Korka Diallo)</v>
      </c>
      <c r="E127" s="9" t="str">
        <f aca="false">INDEX(Articles!$B$2:$B$148,MATCH(C127,Articles!$A$2:$A$148,0))</f>
        <v>Korka Diallo</v>
      </c>
      <c r="F127" s="31" t="n">
        <v>1</v>
      </c>
      <c r="G127" s="45" t="n">
        <f aca="false">IF(INDEX(Articles!$G$2:$G$148,MATCH(C127,Articles!$A$2:$A$148,0))="","",INDEX(Articles!$G$2:$G$148,MATCH(C127,Articles!$A$2:$A$148,0)))</f>
        <v>6000</v>
      </c>
      <c r="H127" s="13" t="n">
        <f aca="false">IF(G127="",0,F127*G127)</f>
        <v>6000</v>
      </c>
      <c r="I127" s="13" t="n">
        <f aca="false">IF(INDEX(Articles!$E$2:$E$148,MATCH(C127,Articles!$A$2:$A$148,0))="","",INDEX(Articles!$E$2:$E$148,MATCH(C127,Articles!$A$2:$A$148,0)))</f>
        <v>4800</v>
      </c>
      <c r="J127" s="13" t="n">
        <f aca="false">IF(I127="","",F127*I127)</f>
        <v>4800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840</v>
      </c>
      <c r="B128" s="9" t="s">
        <v>900</v>
      </c>
      <c r="C128" s="31" t="s">
        <v>404</v>
      </c>
      <c r="D128" s="9" t="str">
        <f aca="false">INDEX(Articles!$C$2:$C$148,MATCH(C128,Articles!$A$2:$A$148,0))</f>
        <v>PHYSIQUE CHIMIE PREMIERE S (Sidy Mohamed Ndiaye, Collection Atomic)</v>
      </c>
      <c r="E128" s="9" t="str">
        <f aca="false">INDEX(Articles!$B$2:$B$148,MATCH(C128,Articles!$A$2:$A$148,0))</f>
        <v>Korka Diallo</v>
      </c>
      <c r="F128" s="31" t="n">
        <v>1</v>
      </c>
      <c r="G128" s="45" t="n">
        <f aca="false">IF(INDEX(Articles!$G$2:$G$148,MATCH(C128,Articles!$A$2:$A$148,0))="","",INDEX(Articles!$G$2:$G$148,MATCH(C128,Articles!$A$2:$A$148,0)))</f>
        <v>8000</v>
      </c>
      <c r="H128" s="13" t="n">
        <f aca="false">IF(G128="",0,F128*G128)</f>
        <v>8000</v>
      </c>
      <c r="I128" s="13" t="n">
        <f aca="false">IF(INDEX(Articles!$E$2:$E$148,MATCH(C128,Articles!$A$2:$A$148,0))="","",INDEX(Articles!$E$2:$E$148,MATCH(C128,Articles!$A$2:$A$148,0)))</f>
        <v>6400</v>
      </c>
      <c r="J128" s="13" t="n">
        <f aca="false">IF(I128="","",F128*I128)</f>
        <v>6400</v>
      </c>
      <c r="K128" s="9" t="str">
        <f aca="false">INDEX(Articles!$H$2:$H$148,MATCH(C128,Articles!$A$2:$A$148,0))</f>
        <v>Fixé</v>
      </c>
      <c r="L128" s="9" t="str">
        <f aca="false">INDEX(Articles!$F$2:$F$148,MATCH(C128,Articles!$A$2:$A$148,0))</f>
        <v>Confirmé</v>
      </c>
      <c r="M128" s="17"/>
      <c r="N128" s="9" t="s">
        <v>167</v>
      </c>
    </row>
    <row r="129" customFormat="false" ht="15" hidden="false" customHeight="false" outlineLevel="0" collapsed="false">
      <c r="A129" s="9" t="s">
        <v>703</v>
      </c>
      <c r="B129" s="9" t="s">
        <v>901</v>
      </c>
      <c r="C129" s="31" t="s">
        <v>645</v>
      </c>
      <c r="D129" s="9" t="str">
        <f aca="false">INDEX(Articles!$C$2:$C$148,MATCH(C129,Articles!$A$2:$A$148,0))</f>
        <v>Livre de Mathématiques 1ʳᵉ</v>
      </c>
      <c r="E129" s="9" t="str">
        <f aca="false">INDEX(Articles!$B$2:$B$148,MATCH(C129,Articles!$A$2:$A$148,0))</f>
        <v>LPD</v>
      </c>
      <c r="F129" s="31" t="n">
        <v>1</v>
      </c>
      <c r="G129" s="13" t="n">
        <f aca="false">IF(INDEX(Articles!$G$2:$G$148,MATCH(C129,Articles!$A$2:$A$148,0))="","",INDEX(Articles!$G$2:$G$148,MATCH(C129,Articles!$A$2:$A$148,0)))</f>
        <v>4720</v>
      </c>
      <c r="H129" s="13" t="n">
        <f aca="false">IF(G129="",0,F129*G129)</f>
        <v>4720</v>
      </c>
      <c r="I129" s="13" t="n">
        <f aca="false">IF(INDEX(Articles!$E$2:$E$148,MATCH(C129,Articles!$A$2:$A$148,0))="","",INDEX(Articles!$E$2:$E$148,MATCH(C129,Articles!$A$2:$A$148,0)))</f>
        <v>3720</v>
      </c>
      <c r="J129" s="13" t="n">
        <f aca="false">IF(I129="","",F129*I129)</f>
        <v>3720</v>
      </c>
      <c r="K129" s="9" t="str">
        <f aca="false">INDEX(Articles!$H$2:$H$148,MATCH(C129,Articles!$A$2:$A$148,0))</f>
        <v>Fixé</v>
      </c>
      <c r="L129" s="9" t="str">
        <f aca="false">INDEX(Articles!$F$2:$F$148,MATCH(C129,Articles!$A$2:$A$148,0))</f>
        <v>Estimé</v>
      </c>
      <c r="M129" s="17"/>
      <c r="N129" s="9" t="s">
        <v>167</v>
      </c>
    </row>
    <row r="130" customFormat="false" ht="15" hidden="false" customHeight="false" outlineLevel="0" collapsed="false">
      <c r="D130" s="32" t="s">
        <v>683</v>
      </c>
      <c r="E130" s="32"/>
      <c r="F130" s="32"/>
      <c r="G130" s="32"/>
      <c r="H130" s="33" t="n">
        <f aca="false">COUNTIF(G94:G129,"")</f>
        <v>1</v>
      </c>
    </row>
    <row r="131" customFormat="false" ht="15" hidden="false" customHeight="false" outlineLevel="0" collapsed="false">
      <c r="D131" s="32" t="s">
        <v>684</v>
      </c>
      <c r="E131" s="32"/>
      <c r="F131" s="32"/>
      <c r="G131" s="32"/>
      <c r="H131" s="33" t="n">
        <f aca="false">SUM(H94:H129)</f>
        <v>71715</v>
      </c>
    </row>
    <row r="132" customFormat="false" ht="15" hidden="false" customHeight="false" outlineLevel="0" collapsed="false">
      <c r="D132" s="32" t="s">
        <v>28</v>
      </c>
      <c r="E132" s="32"/>
      <c r="F132" s="32"/>
      <c r="G132" s="32"/>
      <c r="H132" s="33" t="n">
        <f aca="false">SUM(J94:J129)</f>
        <v>56150</v>
      </c>
    </row>
    <row r="133" customFormat="false" ht="15" hidden="false" customHeight="false" outlineLevel="0" collapsed="false">
      <c r="D133" s="32" t="s">
        <v>685</v>
      </c>
      <c r="E133" s="32"/>
      <c r="F133" s="32"/>
      <c r="G133" s="32"/>
      <c r="H133" s="33" t="n">
        <f aca="false">COUNTIF(I94:I129,"")</f>
        <v>5</v>
      </c>
    </row>
    <row r="134" customFormat="false" ht="15" hidden="false" customHeight="false" outlineLevel="0" collapsed="false">
      <c r="D134" s="32" t="s">
        <v>686</v>
      </c>
      <c r="E134" s="32"/>
      <c r="F134" s="32"/>
      <c r="G134" s="32"/>
      <c r="H134" s="33" t="n">
        <f aca="false">SUMPRODUCT((I94:I129&lt;&gt;"")*H94:H129)-H132</f>
        <v>14140</v>
      </c>
    </row>
    <row r="135" customFormat="false" ht="15" hidden="false" customHeight="false" outlineLevel="0" collapsed="false">
      <c r="D135" s="32" t="s">
        <v>687</v>
      </c>
      <c r="E135" s="32"/>
      <c r="F135" s="32"/>
      <c r="G135" s="32"/>
      <c r="H135" s="33" t="n">
        <f aca="false">SUMIF(A94:A129,"Cahiers",F94:F129)</f>
        <v>11</v>
      </c>
    </row>
    <row r="136" customFormat="false" ht="15" hidden="false" customHeight="false" outlineLevel="0" collapsed="false">
      <c r="D136" s="32" t="s">
        <v>688</v>
      </c>
      <c r="E136" s="32"/>
      <c r="F136" s="32"/>
      <c r="G136" s="32"/>
      <c r="H136" s="34" t="n">
        <f aca="false">IF(H131=0,0,SUMIF(K94:K129,"&lt;&gt;Fixé",H94:H129)/H131)</f>
        <v>0.11155267377815</v>
      </c>
    </row>
    <row r="137" customFormat="false" ht="15" hidden="false" customHeight="false" outlineLevel="0" collapsed="false">
      <c r="D137" s="32" t="s">
        <v>689</v>
      </c>
      <c r="E137" s="32"/>
      <c r="F137" s="32"/>
      <c r="G137" s="32"/>
      <c r="H137" s="33" t="str">
        <f aca="false">IF(H130&gt;0,"Total incomplet : "&amp;H130&amp;" prix de vente à fournir",IF(H133&gt;0,"Coût incomplet : "&amp;H133&amp;" ligne(s) sans prix d'achat","Complet"))</f>
        <v>Total incomplet : 1 prix de vente à fournir</v>
      </c>
    </row>
    <row r="138" customFormat="false" ht="15" hidden="false" customHeight="false" outlineLevel="0" collapsed="false">
      <c r="D138" s="21" t="s">
        <v>696</v>
      </c>
      <c r="E138" s="21" t="str">
        <f aca="false">INDEX(Articles!$C$2:$C$148,MATCH("S020",Articles!$A$2:$A$148,0))</f>
        <v>Sac à dos bleu marine</v>
      </c>
      <c r="H138" s="41" t="n">
        <f aca="false">INDEX(Articles!$G$2:$G$148,MATCH("S020",Articles!$A$2:$A$148,0))</f>
        <v>7000</v>
      </c>
    </row>
    <row r="139" customFormat="false" ht="15" hidden="false" customHeight="false" outlineLevel="0" collapsed="false">
      <c r="D139" s="42" t="s">
        <v>697</v>
      </c>
      <c r="E139" s="43" t="s">
        <v>886</v>
      </c>
    </row>
    <row r="140" customFormat="false" ht="15" hidden="false" customHeight="false" outlineLevel="0" collapsed="false">
      <c r="E140" s="43" t="s">
        <v>887</v>
      </c>
    </row>
    <row r="141" customFormat="false" ht="15" hidden="false" customHeight="false" outlineLevel="0" collapsed="false">
      <c r="E141" s="43" t="s">
        <v>897</v>
      </c>
    </row>
  </sheetData>
  <mergeCells count="24">
    <mergeCell ref="D28:G28"/>
    <mergeCell ref="D29:G29"/>
    <mergeCell ref="D30:G30"/>
    <mergeCell ref="D31:G31"/>
    <mergeCell ref="D32:G32"/>
    <mergeCell ref="D33:G33"/>
    <mergeCell ref="D34:G34"/>
    <mergeCell ref="D35:G35"/>
    <mergeCell ref="D78:G78"/>
    <mergeCell ref="D79:G79"/>
    <mergeCell ref="D80:G80"/>
    <mergeCell ref="D81:G81"/>
    <mergeCell ref="D82:G82"/>
    <mergeCell ref="D83:G83"/>
    <mergeCell ref="D84:G84"/>
    <mergeCell ref="D85:G85"/>
    <mergeCell ref="D130:G130"/>
    <mergeCell ref="D131:G131"/>
    <mergeCell ref="D132:G132"/>
    <mergeCell ref="D133:G133"/>
    <mergeCell ref="D134:G134"/>
    <mergeCell ref="D135:G135"/>
    <mergeCell ref="D136:G136"/>
    <mergeCell ref="D137:G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907</v>
      </c>
    </row>
    <row r="2" customFormat="false" ht="15" hidden="false" customHeight="false" outlineLevel="0" collapsed="false">
      <c r="A2" s="21" t="s">
        <v>848</v>
      </c>
    </row>
    <row r="4" customFormat="false" ht="15" hidden="false" customHeight="false" outlineLevel="0" collapsed="false">
      <c r="A4" s="28" t="s">
        <v>908</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850</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744</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854</v>
      </c>
      <c r="C8" s="31" t="s">
        <v>195</v>
      </c>
      <c r="D8" s="9" t="str">
        <f aca="false">INDEX(Articles!$C$2:$C$148,MATCH(C8,Articles!$A$2:$A$148,0))</f>
        <v>Cahier Calligraphe 96 pages 17x22 56 g seyès</v>
      </c>
      <c r="E8" s="9" t="str">
        <f aca="false">INDEX(Articles!$B$2:$B$148,MATCH(C8,Articles!$A$2:$A$148,0))</f>
        <v>Papex</v>
      </c>
      <c r="F8" s="31" t="n">
        <v>1</v>
      </c>
      <c r="G8" s="13" t="n">
        <f aca="false">IF(INDEX(Articles!$G$2:$G$148,MATCH(C8,Articles!$A$2:$A$148,0))="","",INDEX(Articles!$G$2:$G$148,MATCH(C8,Articles!$A$2:$A$148,0)))</f>
        <v>450</v>
      </c>
      <c r="H8" s="13" t="n">
        <f aca="false">IF(G8="",0,F8*G8)</f>
        <v>450</v>
      </c>
      <c r="I8" s="13" t="n">
        <f aca="false">IF(INDEX(Articles!$E$2:$E$148,MATCH(C8,Articles!$A$2:$A$148,0))="","",INDEX(Articles!$E$2:$E$148,MATCH(C8,Articles!$A$2:$A$148,0)))</f>
        <v>350</v>
      </c>
      <c r="J8" s="13" t="n">
        <f aca="false">IF(I8="","",F8*I8)</f>
        <v>350</v>
      </c>
      <c r="K8" s="9" t="str">
        <f aca="false">INDEX(Articles!$H$2:$H$148,MATCH(C8,Articles!$A$2:$A$148,0))</f>
        <v>Fixé</v>
      </c>
      <c r="L8" s="9" t="str">
        <f aca="false">INDEX(Articles!$F$2:$F$148,MATCH(C8,Articles!$A$2:$A$148,0))</f>
        <v>Confirmé</v>
      </c>
      <c r="M8" s="17"/>
      <c r="N8" s="9" t="s">
        <v>167</v>
      </c>
    </row>
    <row r="9" customFormat="false" ht="15" hidden="false" customHeight="false" outlineLevel="0" collapsed="false">
      <c r="A9" s="9" t="s">
        <v>671</v>
      </c>
      <c r="B9" s="9" t="s">
        <v>737</v>
      </c>
      <c r="C9" s="31" t="s">
        <v>210</v>
      </c>
      <c r="D9" s="9" t="str">
        <f aca="false">INDEX(Articles!$C$2:$C$148,MATCH(C9,Articles!$A$2:$A$148,0))</f>
        <v>Cahier L'écolier 192 pages</v>
      </c>
      <c r="E9" s="9" t="str">
        <f aca="false">INDEX(Articles!$B$2:$B$148,MATCH(C9,Articles!$A$2:$A$148,0))</f>
        <v>Papex</v>
      </c>
      <c r="F9" s="31" t="n">
        <v>1</v>
      </c>
      <c r="G9" s="13" t="n">
        <f aca="false">IF(INDEX(Articles!$G$2:$G$148,MATCH(C9,Articles!$A$2:$A$148,0))="","",INDEX(Articles!$G$2:$G$148,MATCH(C9,Articles!$A$2:$A$148,0)))</f>
        <v>500</v>
      </c>
      <c r="H9" s="13" t="n">
        <f aca="false">IF(G9="",0,F9*G9)</f>
        <v>500</v>
      </c>
      <c r="I9" s="13" t="n">
        <f aca="false">IF(INDEX(Articles!$E$2:$E$148,MATCH(C9,Articles!$A$2:$A$148,0))="","",INDEX(Articles!$E$2:$E$148,MATCH(C9,Articles!$A$2:$A$148,0)))</f>
        <v>400</v>
      </c>
      <c r="J9" s="13" t="n">
        <f aca="false">IF(I9="","",F9*I9)</f>
        <v>400</v>
      </c>
      <c r="K9" s="9" t="str">
        <f aca="false">INDEX(Articles!$H$2:$H$148,MATCH(C9,Articles!$A$2:$A$148,0))</f>
        <v>Estimé</v>
      </c>
      <c r="L9" s="9" t="str">
        <f aca="false">INDEX(Articles!$F$2:$F$148,MATCH(C9,Articles!$A$2:$A$148,0))</f>
        <v>Confirmé</v>
      </c>
      <c r="M9" s="17" t="s">
        <v>738</v>
      </c>
      <c r="N9" s="9" t="s">
        <v>167</v>
      </c>
    </row>
    <row r="10" customFormat="false" ht="15" hidden="false" customHeight="false" outlineLevel="0" collapsed="false">
      <c r="A10" s="9" t="s">
        <v>671</v>
      </c>
      <c r="B10" s="9" t="s">
        <v>739</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742</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852</v>
      </c>
      <c r="C12" s="31" t="s">
        <v>195</v>
      </c>
      <c r="D12" s="9" t="str">
        <f aca="false">INDEX(Articles!$C$2:$C$148,MATCH(C12,Articles!$A$2:$A$148,0))</f>
        <v>Cahier Calligraphe 96 pages 17x22 56 g seyès</v>
      </c>
      <c r="E12" s="9" t="str">
        <f aca="false">INDEX(Articles!$B$2:$B$148,MATCH(C12,Articles!$A$2:$A$148,0))</f>
        <v>Papex</v>
      </c>
      <c r="F12" s="31" t="n">
        <v>1</v>
      </c>
      <c r="G12" s="13" t="n">
        <f aca="false">IF(INDEX(Articles!$G$2:$G$148,MATCH(C12,Articles!$A$2:$A$148,0))="","",INDEX(Articles!$G$2:$G$148,MATCH(C12,Articles!$A$2:$A$148,0)))</f>
        <v>450</v>
      </c>
      <c r="H12" s="13" t="n">
        <f aca="false">IF(G12="",0,F12*G12)</f>
        <v>450</v>
      </c>
      <c r="I12" s="13" t="n">
        <f aca="false">IF(INDEX(Articles!$E$2:$E$148,MATCH(C12,Articles!$A$2:$A$148,0))="","",INDEX(Articles!$E$2:$E$148,MATCH(C12,Articles!$A$2:$A$148,0)))</f>
        <v>350</v>
      </c>
      <c r="J12" s="13" t="n">
        <f aca="false">IF(I12="","",F12*I12)</f>
        <v>350</v>
      </c>
      <c r="K12" s="9" t="str">
        <f aca="false">INDEX(Articles!$H$2:$H$148,MATCH(C12,Articles!$A$2:$A$148,0))</f>
        <v>Fixé</v>
      </c>
      <c r="L12" s="9" t="str">
        <f aca="false">INDEX(Articles!$F$2:$F$148,MATCH(C12,Articles!$A$2:$A$148,0))</f>
        <v>Confirmé</v>
      </c>
      <c r="M12" s="17"/>
      <c r="N12" s="9" t="s">
        <v>167</v>
      </c>
    </row>
    <row r="13" customFormat="false" ht="15" hidden="false" customHeight="false" outlineLevel="0" collapsed="false">
      <c r="A13" s="9" t="s">
        <v>671</v>
      </c>
      <c r="B13" s="9" t="s">
        <v>853</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909</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745</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855</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856</v>
      </c>
      <c r="C17" s="31" t="s">
        <v>210</v>
      </c>
      <c r="D17" s="9" t="str">
        <f aca="false">INDEX(Articles!$C$2:$C$148,MATCH(C17,Articles!$A$2:$A$148,0))</f>
        <v>Cahier L'écolier 192 pages</v>
      </c>
      <c r="E17" s="9" t="str">
        <f aca="false">INDEX(Articles!$B$2:$B$148,MATCH(C17,Articles!$A$2:$A$148,0))</f>
        <v>Papex</v>
      </c>
      <c r="F17" s="31" t="n">
        <v>1</v>
      </c>
      <c r="G17" s="13" t="n">
        <f aca="false">IF(INDEX(Articles!$G$2:$G$148,MATCH(C17,Articles!$A$2:$A$148,0))="","",INDEX(Articles!$G$2:$G$148,MATCH(C17,Articles!$A$2:$A$148,0)))</f>
        <v>500</v>
      </c>
      <c r="H17" s="13" t="n">
        <f aca="false">IF(G17="",0,F17*G17)</f>
        <v>500</v>
      </c>
      <c r="I17" s="13" t="n">
        <f aca="false">IF(INDEX(Articles!$E$2:$E$148,MATCH(C17,Articles!$A$2:$A$148,0))="","",INDEX(Articles!$E$2:$E$148,MATCH(C17,Articles!$A$2:$A$148,0)))</f>
        <v>400</v>
      </c>
      <c r="J17" s="13" t="n">
        <f aca="false">IF(I17="","",F17*I17)</f>
        <v>400</v>
      </c>
      <c r="K17" s="9" t="str">
        <f aca="false">INDEX(Articles!$H$2:$H$148,MATCH(C17,Articles!$A$2:$A$148,0))</f>
        <v>Estimé</v>
      </c>
      <c r="L17" s="9" t="str">
        <f aca="false">INDEX(Articles!$F$2:$F$148,MATCH(C17,Articles!$A$2:$A$148,0))</f>
        <v>Confirmé</v>
      </c>
      <c r="M17" s="17" t="s">
        <v>738</v>
      </c>
      <c r="N17" s="9" t="s">
        <v>167</v>
      </c>
    </row>
    <row r="18" customFormat="false" ht="15" hidden="false" customHeight="false" outlineLevel="0" collapsed="false">
      <c r="A18" s="9" t="s">
        <v>671</v>
      </c>
      <c r="B18" s="9" t="s">
        <v>857</v>
      </c>
      <c r="C18" s="31" t="s">
        <v>195</v>
      </c>
      <c r="D18" s="9" t="str">
        <f aca="false">INDEX(Articles!$C$2:$C$148,MATCH(C18,Articles!$A$2:$A$148,0))</f>
        <v>Cahier Calligraphe 96 pages 17x22 56 g seyès</v>
      </c>
      <c r="E18" s="9" t="str">
        <f aca="false">INDEX(Articles!$B$2:$B$148,MATCH(C18,Articles!$A$2:$A$148,0))</f>
        <v>Papex</v>
      </c>
      <c r="F18" s="31" t="n">
        <v>1</v>
      </c>
      <c r="G18" s="13" t="n">
        <f aca="false">IF(INDEX(Articles!$G$2:$G$148,MATCH(C18,Articles!$A$2:$A$148,0))="","",INDEX(Articles!$G$2:$G$148,MATCH(C18,Articles!$A$2:$A$148,0)))</f>
        <v>450</v>
      </c>
      <c r="H18" s="13" t="n">
        <f aca="false">IF(G18="",0,F18*G18)</f>
        <v>450</v>
      </c>
      <c r="I18" s="13" t="n">
        <f aca="false">IF(INDEX(Articles!$E$2:$E$148,MATCH(C18,Articles!$A$2:$A$148,0))="","",INDEX(Articles!$E$2:$E$148,MATCH(C18,Articles!$A$2:$A$148,0)))</f>
        <v>350</v>
      </c>
      <c r="J18" s="13" t="n">
        <f aca="false">IF(I18="","",F18*I18)</f>
        <v>350</v>
      </c>
      <c r="K18" s="9" t="str">
        <f aca="false">INDEX(Articles!$H$2:$H$148,MATCH(C18,Articles!$A$2:$A$148,0))</f>
        <v>Fixé</v>
      </c>
      <c r="L18" s="9" t="str">
        <f aca="false">INDEX(Articles!$F$2:$F$148,MATCH(C18,Articles!$A$2:$A$148,0))</f>
        <v>Confirmé</v>
      </c>
      <c r="M18" s="17"/>
      <c r="N18" s="9" t="s">
        <v>167</v>
      </c>
    </row>
    <row r="19" customFormat="false" ht="15" hidden="false" customHeight="false" outlineLevel="0" collapsed="false">
      <c r="A19" s="9" t="s">
        <v>678</v>
      </c>
      <c r="B19" s="9" t="s">
        <v>749</v>
      </c>
      <c r="C19" s="31" t="s">
        <v>222</v>
      </c>
      <c r="D19" s="9" t="str">
        <f aca="false">INDEX(Articles!$C$2:$C$148,MATCH(C19,Articles!$A$2:$A$148,0))</f>
        <v>Pack de 4 stylos Schneider Tops 505 M (bleu, noir, rouge, vert)</v>
      </c>
      <c r="E19" s="9" t="str">
        <f aca="false">INDEX(Articles!$B$2:$B$148,MATCH(C19,Articles!$A$2:$A$148,0))</f>
        <v>Papex</v>
      </c>
      <c r="F19" s="31" t="n">
        <v>1</v>
      </c>
      <c r="G19" s="13" t="n">
        <f aca="false">IF(INDEX(Articles!$G$2:$G$148,MATCH(C19,Articles!$A$2:$A$148,0))="","",INDEX(Articles!$G$2:$G$148,MATCH(C19,Articles!$A$2:$A$148,0)))</f>
        <v>400</v>
      </c>
      <c r="H19" s="13" t="n">
        <f aca="false">IF(G19="",0,F19*G19)</f>
        <v>400</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t="s">
        <v>432</v>
      </c>
      <c r="N19" s="9" t="s">
        <v>167</v>
      </c>
    </row>
    <row r="20" customFormat="false" ht="15" hidden="false" customHeight="false" outlineLevel="0" collapsed="false">
      <c r="A20" s="9" t="s">
        <v>678</v>
      </c>
      <c r="B20" s="9" t="s">
        <v>750</v>
      </c>
      <c r="C20" s="31" t="s">
        <v>235</v>
      </c>
      <c r="D20" s="9" t="str">
        <f aca="false">INDEX(Articles!$C$2:$C$148,MATCH(C20,Articles!$A$2:$A$148,0))</f>
        <v>Crayon papier (vendu à l'unité)</v>
      </c>
      <c r="E20" s="9" t="str">
        <f aca="false">INDEX(Articles!$B$2:$B$148,MATCH(C20,Articles!$A$2:$A$148,0))</f>
        <v>LPD</v>
      </c>
      <c r="F20" s="31" t="n">
        <v>1</v>
      </c>
      <c r="G20" s="13" t="n">
        <f aca="false">IF(INDEX(Articles!$G$2:$G$148,MATCH(C20,Articles!$A$2:$A$148,0))="","",INDEX(Articles!$G$2:$G$148,MATCH(C20,Articles!$A$2:$A$148,0)))</f>
        <v>75</v>
      </c>
      <c r="H20" s="13" t="n">
        <f aca="false">IF(G20="",0,F20*G20)</f>
        <v>75</v>
      </c>
      <c r="I20" s="13" t="str">
        <f aca="false">IF(INDEX(Articles!$E$2:$E$148,MATCH(C20,Articles!$A$2:$A$148,0))="","",INDEX(Articles!$E$2:$E$148,MATCH(C20,Articles!$A$2:$A$148,0)))</f>
        <v/>
      </c>
      <c r="J20" s="13" t="str">
        <f aca="false">IF(I20="","",F20*I20)</f>
        <v/>
      </c>
      <c r="K20" s="9" t="str">
        <f aca="false">INDEX(Articles!$H$2:$H$148,MATCH(C20,Articles!$A$2:$A$148,0))</f>
        <v>Fixé</v>
      </c>
      <c r="L20" s="9" t="str">
        <f aca="false">INDEX(Articles!$F$2:$F$148,MATCH(C20,Articles!$A$2:$A$148,0))</f>
        <v>Inconnu</v>
      </c>
      <c r="M20" s="17"/>
      <c r="N20" s="9" t="s">
        <v>167</v>
      </c>
    </row>
    <row r="21" customFormat="false" ht="15" hidden="false" customHeight="false" outlineLevel="0" collapsed="false">
      <c r="A21" s="9" t="s">
        <v>675</v>
      </c>
      <c r="B21" s="9" t="s">
        <v>717</v>
      </c>
      <c r="C21" s="31" t="s">
        <v>180</v>
      </c>
      <c r="D21" s="9" t="str">
        <f aca="false">INDEX(Articles!$C$2:$C$148,MATCH(C21,Articles!$A$2:$A$148,0))</f>
        <v>Gomme Staedtler Mars Plastic</v>
      </c>
      <c r="E21" s="9" t="str">
        <f aca="false">INDEX(Articles!$B$2:$B$148,MATCH(C21,Articles!$A$2:$A$148,0))</f>
        <v>LPD</v>
      </c>
      <c r="F21" s="31" t="n">
        <v>1</v>
      </c>
      <c r="G21" s="13" t="n">
        <f aca="false">IF(INDEX(Articles!$G$2:$G$148,MATCH(C21,Articles!$A$2:$A$148,0))="","",INDEX(Articles!$G$2:$G$148,MATCH(C21,Articles!$A$2:$A$148,0)))</f>
        <v>250</v>
      </c>
      <c r="H21" s="13" t="n">
        <f aca="false">IF(G21="",0,F21*G21)</f>
        <v>250</v>
      </c>
      <c r="I21" s="13" t="n">
        <f aca="false">IF(INDEX(Articles!$E$2:$E$148,MATCH(C21,Articles!$A$2:$A$148,0))="","",INDEX(Articles!$E$2:$E$148,MATCH(C21,Articles!$A$2:$A$148,0)))</f>
        <v>110</v>
      </c>
      <c r="J21" s="13" t="n">
        <f aca="false">IF(I21="","",F21*I21)</f>
        <v>110</v>
      </c>
      <c r="K21" s="9" t="str">
        <f aca="false">INDEX(Articles!$H$2:$H$148,MATCH(C21,Articles!$A$2:$A$148,0))</f>
        <v>Fixé</v>
      </c>
      <c r="L21" s="9" t="str">
        <f aca="false">INDEX(Articles!$F$2:$F$148,MATCH(C21,Articles!$A$2:$A$148,0))</f>
        <v>Estimé</v>
      </c>
      <c r="M21" s="17"/>
      <c r="N21" s="9" t="s">
        <v>167</v>
      </c>
    </row>
    <row r="22" customFormat="false" ht="15" hidden="false" customHeight="false" outlineLevel="0" collapsed="false">
      <c r="A22" s="9" t="s">
        <v>675</v>
      </c>
      <c r="B22" s="9" t="s">
        <v>751</v>
      </c>
      <c r="C22" s="31" t="s">
        <v>183</v>
      </c>
      <c r="D22" s="9" t="str">
        <f aca="false">INDEX(Articles!$C$2:$C$148,MATCH(C22,Articles!$A$2:$A$148,0))</f>
        <v>Taille-crayon avec réservoir Maped</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t="s">
        <v>752</v>
      </c>
      <c r="N22" s="9" t="s">
        <v>167</v>
      </c>
    </row>
    <row r="23" customFormat="false" ht="15" hidden="false" customHeight="false" outlineLevel="0" collapsed="false">
      <c r="A23" s="9" t="s">
        <v>675</v>
      </c>
      <c r="B23" s="9" t="s">
        <v>753</v>
      </c>
      <c r="C23" s="31" t="s">
        <v>250</v>
      </c>
      <c r="D23" s="9" t="str">
        <f aca="false">INDEX(Articles!$C$2:$C$148,MATCH(C23,Articles!$A$2:$A$148,0))</f>
        <v>Bâton de colle Giotto 10 g</v>
      </c>
      <c r="E23" s="9" t="str">
        <f aca="false">INDEX(Articles!$B$2:$B$148,MATCH(C23,Articles!$A$2:$A$148,0))</f>
        <v>Papex</v>
      </c>
      <c r="F23" s="31" t="n">
        <v>1</v>
      </c>
      <c r="G23" s="13" t="n">
        <f aca="false">IF(INDEX(Articles!$G$2:$G$148,MATCH(C23,Articles!$A$2:$A$148,0))="","",INDEX(Articles!$G$2:$G$148,MATCH(C23,Articles!$A$2:$A$148,0)))</f>
        <v>500</v>
      </c>
      <c r="H23" s="13" t="n">
        <f aca="false">IF(G23="",0,F23*G23)</f>
        <v>500</v>
      </c>
      <c r="I23" s="13" t="n">
        <f aca="false">IF(INDEX(Articles!$E$2:$E$148,MATCH(C23,Articles!$A$2:$A$148,0))="","",INDEX(Articles!$E$2:$E$148,MATCH(C23,Articles!$A$2:$A$148,0)))</f>
        <v>350</v>
      </c>
      <c r="J23" s="13" t="n">
        <f aca="false">IF(I23="","",F23*I23)</f>
        <v>350</v>
      </c>
      <c r="K23" s="9" t="str">
        <f aca="false">INDEX(Articles!$H$2:$H$148,MATCH(C23,Articles!$A$2:$A$148,0))</f>
        <v>Estimé</v>
      </c>
      <c r="L23" s="9" t="str">
        <f aca="false">INDEX(Articles!$F$2:$F$148,MATCH(C23,Articles!$A$2:$A$148,0))</f>
        <v>Estimé</v>
      </c>
      <c r="M23" s="17"/>
      <c r="N23" s="9" t="s">
        <v>167</v>
      </c>
    </row>
    <row r="24" customFormat="false" ht="15" hidden="false" customHeight="false" outlineLevel="0" collapsed="false">
      <c r="A24" s="9" t="s">
        <v>675</v>
      </c>
      <c r="B24" s="9" t="s">
        <v>754</v>
      </c>
      <c r="C24" s="31" t="s">
        <v>233</v>
      </c>
      <c r="D24" s="9" t="str">
        <f aca="false">INDEX(Articles!$C$2:$C$148,MATCH(C24,Articles!$A$2:$A$148,0))</f>
        <v>Ciseaux scolaires bouts ronds</v>
      </c>
      <c r="E24" s="9" t="str">
        <f aca="false">INDEX(Articles!$B$2:$B$148,MATCH(C24,Articles!$A$2:$A$148,0))</f>
        <v>LPD</v>
      </c>
      <c r="F24" s="31" t="n">
        <v>1</v>
      </c>
      <c r="G24" s="13" t="n">
        <f aca="false">IF(INDEX(Articles!$G$2:$G$148,MATCH(C24,Articles!$A$2:$A$148,0))="","",INDEX(Articles!$G$2:$G$148,MATCH(C24,Articles!$A$2:$A$148,0)))</f>
        <v>250</v>
      </c>
      <c r="H24" s="13" t="n">
        <f aca="false">IF(G24="",0,F24*G24)</f>
        <v>250</v>
      </c>
      <c r="I24" s="13" t="n">
        <f aca="false">IF(INDEX(Articles!$E$2:$E$148,MATCH(C24,Articles!$A$2:$A$148,0))="","",INDEX(Articles!$E$2:$E$148,MATCH(C24,Articles!$A$2:$A$148,0)))</f>
        <v>100</v>
      </c>
      <c r="J24" s="13" t="n">
        <f aca="false">IF(I24="","",F24*I24)</f>
        <v>100</v>
      </c>
      <c r="K24" s="9" t="str">
        <f aca="false">INDEX(Articles!$H$2:$H$148,MATCH(C24,Articles!$A$2:$A$148,0))</f>
        <v>Fixé</v>
      </c>
      <c r="L24" s="9" t="str">
        <f aca="false">INDEX(Articles!$F$2:$F$148,MATCH(C24,Articles!$A$2:$A$148,0))</f>
        <v>Estimé</v>
      </c>
      <c r="M24" s="17"/>
      <c r="N24" s="9" t="s">
        <v>167</v>
      </c>
    </row>
    <row r="25" customFormat="false" ht="15" hidden="false" customHeight="false" outlineLevel="0" collapsed="false">
      <c r="A25" s="9" t="s">
        <v>676</v>
      </c>
      <c r="B25" s="9" t="s">
        <v>755</v>
      </c>
      <c r="C25" s="31" t="s">
        <v>239</v>
      </c>
      <c r="D25" s="9" t="str">
        <f aca="false">INDEX(Articles!$C$2:$C$148,MATCH(C25,Articles!$A$2:$A$148,0))</f>
        <v>Kit de traçage 30 cm, 4 pièces L'écolier</v>
      </c>
      <c r="E25" s="9" t="str">
        <f aca="false">INDEX(Articles!$B$2:$B$148,MATCH(C25,Articles!$A$2:$A$148,0))</f>
        <v>Papex</v>
      </c>
      <c r="F25" s="31" t="n">
        <v>1</v>
      </c>
      <c r="G25" s="13" t="n">
        <f aca="false">IF(INDEX(Articles!$G$2:$G$148,MATCH(C25,Articles!$A$2:$A$148,0))="","",INDEX(Articles!$G$2:$G$148,MATCH(C25,Articles!$A$2:$A$148,0)))</f>
        <v>900</v>
      </c>
      <c r="H25" s="13" t="n">
        <f aca="false">IF(G25="",0,F25*G25)</f>
        <v>900</v>
      </c>
      <c r="I25" s="13" t="n">
        <f aca="false">IF(INDEX(Articles!$E$2:$E$148,MATCH(C25,Articles!$A$2:$A$148,0))="","",INDEX(Articles!$E$2:$E$148,MATCH(C25,Articles!$A$2:$A$148,0)))</f>
        <v>650</v>
      </c>
      <c r="J25" s="13" t="n">
        <f aca="false">IF(I25="","",F25*I25)</f>
        <v>650</v>
      </c>
      <c r="K25" s="9" t="str">
        <f aca="false">INDEX(Articles!$H$2:$H$148,MATCH(C25,Articles!$A$2:$A$148,0))</f>
        <v>Estimé</v>
      </c>
      <c r="L25" s="9" t="str">
        <f aca="false">INDEX(Articles!$F$2:$F$148,MATCH(C25,Articles!$A$2:$A$148,0))</f>
        <v>Confirmé</v>
      </c>
      <c r="M25" s="17"/>
      <c r="N25" s="9" t="s">
        <v>167</v>
      </c>
    </row>
    <row r="26" customFormat="false" ht="15" hidden="false" customHeight="false" outlineLevel="0" collapsed="false">
      <c r="A26" s="9" t="s">
        <v>676</v>
      </c>
      <c r="B26" s="9" t="s">
        <v>756</v>
      </c>
      <c r="C26" s="31" t="s">
        <v>217</v>
      </c>
      <c r="D26" s="9" t="str">
        <f aca="false">INDEX(Articles!$C$2:$C$148,MATCH(C26,Articles!$A$2:$A$148,0))</f>
        <v>Compas de précision avec étui</v>
      </c>
      <c r="E26" s="9" t="str">
        <f aca="false">INDEX(Articles!$B$2:$B$148,MATCH(C26,Articles!$A$2:$A$148,0))</f>
        <v>LPD</v>
      </c>
      <c r="F26" s="31" t="n">
        <v>1</v>
      </c>
      <c r="G26" s="13" t="n">
        <f aca="false">IF(INDEX(Articles!$G$2:$G$148,MATCH(C26,Articles!$A$2:$A$148,0))="","",INDEX(Articles!$G$2:$G$148,MATCH(C26,Articles!$A$2:$A$148,0)))</f>
        <v>600</v>
      </c>
      <c r="H26" s="13" t="n">
        <f aca="false">IF(G26="",0,F26*G26)</f>
        <v>600</v>
      </c>
      <c r="I26" s="13" t="n">
        <f aca="false">IF(INDEX(Articles!$E$2:$E$148,MATCH(C26,Articles!$A$2:$A$148,0))="","",INDEX(Articles!$E$2:$E$148,MATCH(C26,Articles!$A$2:$A$148,0)))</f>
        <v>450</v>
      </c>
      <c r="J26" s="13" t="n">
        <f aca="false">IF(I26="","",F26*I26)</f>
        <v>450</v>
      </c>
      <c r="K26" s="9" t="str">
        <f aca="false">INDEX(Articles!$H$2:$H$148,MATCH(C26,Articles!$A$2:$A$148,0))</f>
        <v>Fixé</v>
      </c>
      <c r="L26" s="9" t="str">
        <f aca="false">INDEX(Articles!$F$2:$F$148,MATCH(C26,Articles!$A$2:$A$148,0))</f>
        <v>Estimé</v>
      </c>
      <c r="M26" s="17"/>
      <c r="N26" s="9" t="s">
        <v>167</v>
      </c>
    </row>
    <row r="27" customFormat="false" ht="15" hidden="false" customHeight="false" outlineLevel="0" collapsed="false">
      <c r="A27" s="9" t="s">
        <v>681</v>
      </c>
      <c r="B27" s="9" t="s">
        <v>757</v>
      </c>
      <c r="C27" s="31" t="s">
        <v>198</v>
      </c>
      <c r="D27" s="9" t="str">
        <f aca="false">INDEX(Articles!$C$2:$C$148,MATCH(C27,Articles!$A$2:$A$148,0))</f>
        <v>Crayons de couleur Maped, boîte de 12</v>
      </c>
      <c r="E27" s="9" t="str">
        <f aca="false">INDEX(Articles!$B$2:$B$148,MATCH(C27,Articles!$A$2:$A$148,0))</f>
        <v>Papex</v>
      </c>
      <c r="F27" s="31" t="n">
        <v>1</v>
      </c>
      <c r="G27" s="13" t="n">
        <f aca="false">IF(INDEX(Articles!$G$2:$G$148,MATCH(C27,Articles!$A$2:$A$148,0))="","",INDEX(Articles!$G$2:$G$148,MATCH(C27,Articles!$A$2:$A$148,0)))</f>
        <v>900</v>
      </c>
      <c r="H27" s="13" t="n">
        <f aca="false">IF(G27="",0,F27*G27)</f>
        <v>900</v>
      </c>
      <c r="I27" s="13" t="n">
        <f aca="false">IF(INDEX(Articles!$E$2:$E$148,MATCH(C27,Articles!$A$2:$A$148,0))="","",INDEX(Articles!$E$2:$E$148,MATCH(C27,Articles!$A$2:$A$148,0)))</f>
        <v>650</v>
      </c>
      <c r="J27" s="13" t="n">
        <f aca="false">IF(I27="","",F27*I27)</f>
        <v>650</v>
      </c>
      <c r="K27" s="9" t="str">
        <f aca="false">INDEX(Articles!$H$2:$H$148,MATCH(C27,Articles!$A$2:$A$148,0))</f>
        <v>Estimé</v>
      </c>
      <c r="L27" s="9" t="str">
        <f aca="false">INDEX(Articles!$F$2:$F$148,MATCH(C27,Articles!$A$2:$A$148,0))</f>
        <v>Estimé</v>
      </c>
      <c r="M27" s="17"/>
      <c r="N27" s="9" t="s">
        <v>167</v>
      </c>
    </row>
    <row r="28" customFormat="false" ht="15" hidden="false" customHeight="false" outlineLevel="0" collapsed="false">
      <c r="A28" s="9" t="s">
        <v>676</v>
      </c>
      <c r="B28" s="9" t="s">
        <v>812</v>
      </c>
      <c r="C28" s="31" t="s">
        <v>242</v>
      </c>
      <c r="D28" s="9" t="str">
        <f aca="false">INDEX(Articles!$C$2:$C$148,MATCH(C28,Articles!$A$2:$A$148,0))</f>
        <v>Calculatrice scientifique Parpn YH-2000</v>
      </c>
      <c r="E28" s="9" t="str">
        <f aca="false">INDEX(Articles!$B$2:$B$148,MATCH(C28,Articles!$A$2:$A$148,0))</f>
        <v>LPD</v>
      </c>
      <c r="F28" s="31" t="n">
        <v>1</v>
      </c>
      <c r="G28" s="13" t="n">
        <f aca="false">IF(INDEX(Articles!$G$2:$G$148,MATCH(C28,Articles!$A$2:$A$148,0))="","",INDEX(Articles!$G$2:$G$148,MATCH(C28,Articles!$A$2:$A$148,0)))</f>
        <v>1400</v>
      </c>
      <c r="H28" s="13" t="n">
        <f aca="false">IF(G28="",0,F28*G28)</f>
        <v>1400</v>
      </c>
      <c r="I28" s="13" t="n">
        <f aca="false">IF(INDEX(Articles!$E$2:$E$148,MATCH(C28,Articles!$A$2:$A$148,0))="","",INDEX(Articles!$E$2:$E$148,MATCH(C28,Articles!$A$2:$A$148,0)))</f>
        <v>1100</v>
      </c>
      <c r="J28" s="13" t="n">
        <f aca="false">IF(I28="","",F28*I28)</f>
        <v>1100</v>
      </c>
      <c r="K28" s="9" t="str">
        <f aca="false">INDEX(Articles!$H$2:$H$148,MATCH(C28,Articles!$A$2:$A$148,0))</f>
        <v>Fixé</v>
      </c>
      <c r="L28" s="9" t="str">
        <f aca="false">INDEX(Articles!$F$2:$F$148,MATCH(C28,Articles!$A$2:$A$148,0))</f>
        <v>Confirmé</v>
      </c>
      <c r="M28" s="17" t="s">
        <v>813</v>
      </c>
      <c r="N28" s="9" t="s">
        <v>167</v>
      </c>
    </row>
    <row r="29" customFormat="false" ht="15" hidden="false" customHeight="false" outlineLevel="0" collapsed="false">
      <c r="A29" s="9" t="s">
        <v>758</v>
      </c>
      <c r="B29" s="9" t="s">
        <v>759</v>
      </c>
      <c r="C29" s="31" t="s">
        <v>376</v>
      </c>
      <c r="D29" s="9" t="str">
        <f aca="false">INDEX(Articles!$C$2:$C$148,MATCH(C29,Articles!$A$2:$A$148,0))</f>
        <v>Paquet de copies doubles grand format</v>
      </c>
      <c r="E29" s="9" t="str">
        <f aca="false">INDEX(Articles!$B$2:$B$148,MATCH(C29,Articles!$A$2:$A$148,0))</f>
        <v>À préciser</v>
      </c>
      <c r="F29" s="31" t="n">
        <v>1</v>
      </c>
      <c r="G29" s="45" t="n">
        <f aca="false">IF(INDEX(Articles!$G$2:$G$148,MATCH(C29,Articles!$A$2:$A$148,0))="","",INDEX(Articles!$G$2:$G$148,MATCH(C29,Articles!$A$2:$A$148,0)))</f>
        <v>1800</v>
      </c>
      <c r="H29" s="13" t="n">
        <f aca="false">IF(G29="",0,F29*G29)</f>
        <v>1800</v>
      </c>
      <c r="I29" s="13" t="n">
        <f aca="false">IF(INDEX(Articles!$E$2:$E$148,MATCH(C29,Articles!$A$2:$A$148,0))="","",INDEX(Articles!$E$2:$E$148,MATCH(C29,Articles!$A$2:$A$148,0)))</f>
        <v>1300</v>
      </c>
      <c r="J29" s="13" t="n">
        <f aca="false">IF(I29="","",F29*I29)</f>
        <v>1300</v>
      </c>
      <c r="K29" s="9" t="str">
        <f aca="false">INDEX(Articles!$H$2:$H$148,MATCH(C29,Articles!$A$2:$A$148,0))</f>
        <v>Fixé</v>
      </c>
      <c r="L29" s="9" t="str">
        <f aca="false">INDEX(Articles!$F$2:$F$148,MATCH(C29,Articles!$A$2:$A$148,0))</f>
        <v>Confirmé</v>
      </c>
      <c r="M29" s="17"/>
      <c r="N29" s="9" t="s">
        <v>167</v>
      </c>
    </row>
    <row r="30" customFormat="false" ht="15" hidden="false" customHeight="false" outlineLevel="0" collapsed="false">
      <c r="D30" s="32" t="s">
        <v>683</v>
      </c>
      <c r="E30" s="32"/>
      <c r="F30" s="32"/>
      <c r="G30" s="32"/>
      <c r="H30" s="33" t="n">
        <f aca="false">COUNTIF(G6:G29,"")</f>
        <v>0</v>
      </c>
    </row>
    <row r="31" customFormat="false" ht="15" hidden="false" customHeight="false" outlineLevel="0" collapsed="false">
      <c r="D31" s="32" t="s">
        <v>684</v>
      </c>
      <c r="E31" s="32"/>
      <c r="F31" s="32"/>
      <c r="G31" s="32"/>
      <c r="H31" s="33" t="n">
        <f aca="false">SUM(H6:H29)</f>
        <v>13925</v>
      </c>
    </row>
    <row r="32" customFormat="false" ht="15" hidden="false" customHeight="false" outlineLevel="0" collapsed="false">
      <c r="D32" s="32" t="s">
        <v>28</v>
      </c>
      <c r="E32" s="32"/>
      <c r="F32" s="32"/>
      <c r="G32" s="32"/>
      <c r="H32" s="33" t="n">
        <f aca="false">SUM(J6:J29)</f>
        <v>10110</v>
      </c>
    </row>
    <row r="33" customFormat="false" ht="15" hidden="false" customHeight="false" outlineLevel="0" collapsed="false">
      <c r="D33" s="32" t="s">
        <v>685</v>
      </c>
      <c r="E33" s="32"/>
      <c r="F33" s="32"/>
      <c r="G33" s="32"/>
      <c r="H33" s="33" t="n">
        <f aca="false">COUNTIF(I6:I29,"")</f>
        <v>2</v>
      </c>
    </row>
    <row r="34" customFormat="false" ht="15" hidden="false" customHeight="false" outlineLevel="0" collapsed="false">
      <c r="D34" s="32" t="s">
        <v>686</v>
      </c>
      <c r="E34" s="32"/>
      <c r="F34" s="32"/>
      <c r="G34" s="32"/>
      <c r="H34" s="33" t="n">
        <f aca="false">SUMPRODUCT((I6:I29&lt;&gt;"")*H6:H29)-H32</f>
        <v>3340</v>
      </c>
    </row>
    <row r="35" customFormat="false" ht="15" hidden="false" customHeight="false" outlineLevel="0" collapsed="false">
      <c r="D35" s="32" t="s">
        <v>687</v>
      </c>
      <c r="E35" s="32"/>
      <c r="F35" s="32"/>
      <c r="G35" s="32"/>
      <c r="H35" s="33" t="n">
        <f aca="false">SUMIF(A6:A29,"Cahiers",F6:F29)</f>
        <v>13</v>
      </c>
    </row>
    <row r="36" customFormat="false" ht="15" hidden="false" customHeight="false" outlineLevel="0" collapsed="false">
      <c r="D36" s="32" t="s">
        <v>688</v>
      </c>
      <c r="E36" s="32"/>
      <c r="F36" s="32"/>
      <c r="G36" s="32"/>
      <c r="H36" s="34" t="n">
        <f aca="false">IF(H31=0,0,SUMIF(K6:K29,"&lt;&gt;Fixé",H6:H29)/H31)</f>
        <v>0.560143626570916</v>
      </c>
    </row>
    <row r="37" customFormat="false" ht="15" hidden="false" customHeight="false" outlineLevel="0" collapsed="false">
      <c r="D37" s="32" t="s">
        <v>689</v>
      </c>
      <c r="E37" s="32"/>
      <c r="F37" s="32"/>
      <c r="G37" s="32"/>
      <c r="H37" s="33" t="str">
        <f aca="false">IF(H30&gt;0,"Total incomplet : "&amp;H30&amp;" prix de vente à fournir",IF(H33&gt;0,"Coût incomplet : "&amp;H33&amp;" ligne(s) sans prix d'achat","Complet"))</f>
        <v>Coût incomplet : 2 ligne(s) sans prix d'achat</v>
      </c>
    </row>
    <row r="39" customFormat="false" ht="15" hidden="false" customHeight="false" outlineLevel="0" collapsed="false">
      <c r="D39" s="35" t="s">
        <v>690</v>
      </c>
    </row>
    <row r="40" customFormat="false" ht="15" hidden="false" customHeight="false" outlineLevel="0" collapsed="false">
      <c r="A40" s="36" t="s">
        <v>760</v>
      </c>
      <c r="B40" s="36" t="s">
        <v>883</v>
      </c>
      <c r="C40" s="31" t="s">
        <v>514</v>
      </c>
      <c r="D40" s="36" t="str">
        <f aca="false">INDEX(Articles!$C$2:$C$148,MATCH(C40,Articles!$A$2:$A$148,0))</f>
        <v>L'Étranger (Albert Camus)</v>
      </c>
      <c r="E40" s="37"/>
      <c r="F40" s="37"/>
      <c r="G40" s="38" t="n">
        <f aca="false">INDEX(Articles!$G$2:$G$148,MATCH(C40,Articles!$A$2:$A$148,0))</f>
        <v>2800</v>
      </c>
      <c r="H40" s="37"/>
      <c r="I40" s="37"/>
      <c r="J40" s="37"/>
      <c r="K40" s="37"/>
      <c r="L40" s="37"/>
      <c r="M40" s="37"/>
      <c r="N40" s="39" t="s">
        <v>271</v>
      </c>
    </row>
    <row r="41" customFormat="false" ht="15" hidden="false" customHeight="false" outlineLevel="0" collapsed="false">
      <c r="A41" s="36" t="s">
        <v>760</v>
      </c>
      <c r="B41" s="36" t="s">
        <v>883</v>
      </c>
      <c r="C41" s="31" t="s">
        <v>516</v>
      </c>
      <c r="D41" s="36" t="str">
        <f aca="false">INDEX(Articles!$C$2:$C$148,MATCH(C41,Articles!$A$2:$A$148,0))</f>
        <v>Les Contemplations (Victor Hugo)</v>
      </c>
      <c r="E41" s="37"/>
      <c r="F41" s="37"/>
      <c r="G41" s="38" t="n">
        <f aca="false">INDEX(Articles!$G$2:$G$148,MATCH(C41,Articles!$A$2:$A$148,0))</f>
        <v>2800</v>
      </c>
      <c r="H41" s="37"/>
      <c r="I41" s="37"/>
      <c r="J41" s="37"/>
      <c r="K41" s="37"/>
      <c r="L41" s="37"/>
      <c r="M41" s="37"/>
      <c r="N41" s="39" t="s">
        <v>271</v>
      </c>
    </row>
    <row r="42" customFormat="false" ht="15" hidden="false" customHeight="false" outlineLevel="0" collapsed="false">
      <c r="A42" s="36" t="s">
        <v>760</v>
      </c>
      <c r="B42" s="36" t="s">
        <v>910</v>
      </c>
      <c r="C42" s="31" t="s">
        <v>521</v>
      </c>
      <c r="D42" s="36" t="str">
        <f aca="false">INDEX(Articles!$C$2:$C$148,MATCH(C42,Articles!$A$2:$A$148,0))</f>
        <v>Apologie de Socrate (Platon)</v>
      </c>
      <c r="E42" s="37"/>
      <c r="F42" s="37"/>
      <c r="G42" s="38" t="n">
        <f aca="false">INDEX(Articles!$G$2:$G$148,MATCH(C42,Articles!$A$2:$A$148,0))</f>
        <v>2800</v>
      </c>
      <c r="H42" s="37"/>
      <c r="I42" s="37"/>
      <c r="J42" s="37"/>
      <c r="K42" s="37"/>
      <c r="L42" s="37"/>
      <c r="M42" s="37"/>
      <c r="N42" s="39" t="s">
        <v>271</v>
      </c>
    </row>
    <row r="43" customFormat="false" ht="15" hidden="false" customHeight="false" outlineLevel="0" collapsed="false">
      <c r="D43" s="40" t="s">
        <v>695</v>
      </c>
      <c r="H43" s="33" t="n">
        <f aca="false">H31+SUM(G40:G42)</f>
        <v>22325</v>
      </c>
    </row>
    <row r="44" customFormat="false" ht="15" hidden="false" customHeight="false" outlineLevel="0" collapsed="false">
      <c r="D44" s="21" t="s">
        <v>696</v>
      </c>
      <c r="E44" s="21" t="str">
        <f aca="false">INDEX(Articles!$C$2:$C$148,MATCH("S020",Articles!$A$2:$A$148,0))</f>
        <v>Sac à dos bleu marine</v>
      </c>
      <c r="H44" s="41" t="n">
        <f aca="false">INDEX(Articles!$G$2:$G$148,MATCH("S020",Articles!$A$2:$A$148,0))</f>
        <v>7000</v>
      </c>
    </row>
    <row r="45" customFormat="false" ht="15" hidden="false" customHeight="false" outlineLevel="0" collapsed="false">
      <c r="D45" s="42" t="s">
        <v>697</v>
      </c>
      <c r="E45" s="44" t="s">
        <v>711</v>
      </c>
    </row>
    <row r="48" customFormat="false" ht="15" hidden="false" customHeight="false" outlineLevel="0" collapsed="false">
      <c r="A48" s="28" t="s">
        <v>911</v>
      </c>
      <c r="B48" s="29"/>
      <c r="C48" s="29"/>
      <c r="D48" s="29"/>
      <c r="E48" s="29"/>
      <c r="F48" s="29"/>
      <c r="G48" s="29"/>
      <c r="H48" s="29"/>
      <c r="I48" s="29"/>
      <c r="J48" s="29"/>
      <c r="K48" s="29"/>
      <c r="L48" s="29"/>
      <c r="M48" s="29"/>
      <c r="N48" s="29"/>
    </row>
    <row r="49" customFormat="false" ht="39.55" hidden="false" customHeight="false" outlineLevel="0" collapsed="false">
      <c r="A49" s="30" t="s">
        <v>663</v>
      </c>
      <c r="B49" s="30" t="s">
        <v>664</v>
      </c>
      <c r="C49" s="30" t="s">
        <v>348</v>
      </c>
      <c r="D49" s="30" t="s">
        <v>350</v>
      </c>
      <c r="E49" s="30" t="s">
        <v>349</v>
      </c>
      <c r="F49" s="30" t="s">
        <v>665</v>
      </c>
      <c r="G49" s="30" t="s">
        <v>666</v>
      </c>
      <c r="H49" s="30" t="s">
        <v>667</v>
      </c>
      <c r="I49" s="30" t="s">
        <v>668</v>
      </c>
      <c r="J49" s="30" t="s">
        <v>669</v>
      </c>
      <c r="K49" s="30" t="s">
        <v>355</v>
      </c>
      <c r="L49" s="30" t="s">
        <v>353</v>
      </c>
      <c r="M49" s="30" t="s">
        <v>356</v>
      </c>
      <c r="N49" s="30" t="s">
        <v>670</v>
      </c>
    </row>
    <row r="50" customFormat="false" ht="15" hidden="false" customHeight="false" outlineLevel="0" collapsed="false">
      <c r="A50" s="9" t="s">
        <v>671</v>
      </c>
      <c r="B50" s="9" t="s">
        <v>850</v>
      </c>
      <c r="C50" s="31" t="s">
        <v>208</v>
      </c>
      <c r="D50" s="9" t="str">
        <f aca="false">INDEX(Articles!$C$2:$C$148,MATCH(C50,Articles!$A$2:$A$148,0))</f>
        <v>Cahier Calligraphe 96 pages 24x32 (grand format)</v>
      </c>
      <c r="E50" s="9" t="str">
        <f aca="false">INDEX(Articles!$B$2:$B$148,MATCH(C50,Articles!$A$2:$A$148,0))</f>
        <v>Papex</v>
      </c>
      <c r="F50" s="31" t="n">
        <v>1</v>
      </c>
      <c r="G50" s="13" t="n">
        <f aca="false">IF(INDEX(Articles!$G$2:$G$148,MATCH(C50,Articles!$A$2:$A$148,0))="","",INDEX(Articles!$G$2:$G$148,MATCH(C50,Articles!$A$2:$A$148,0)))</f>
        <v>1350</v>
      </c>
      <c r="H50" s="13" t="n">
        <f aca="false">IF(G50="",0,F50*G50)</f>
        <v>1350</v>
      </c>
      <c r="I50" s="13" t="n">
        <f aca="false">IF(INDEX(Articles!$E$2:$E$148,MATCH(C50,Articles!$A$2:$A$148,0))="","",INDEX(Articles!$E$2:$E$148,MATCH(C50,Articles!$A$2:$A$148,0)))</f>
        <v>1000</v>
      </c>
      <c r="J50" s="13" t="n">
        <f aca="false">IF(I50="","",F50*I50)</f>
        <v>1000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744</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854</v>
      </c>
      <c r="C52" s="31" t="s">
        <v>366</v>
      </c>
      <c r="D52" s="9" t="str">
        <f aca="false">INDEX(Articles!$C$2:$C$148,MATCH(C52,Articles!$A$2:$A$148,0))</f>
        <v>Cahier Calligraphe 140 pages 17x22 90 g seyès</v>
      </c>
      <c r="E52" s="9" t="str">
        <f aca="false">INDEX(Articles!$B$2:$B$148,MATCH(C52,Articles!$A$2:$A$148,0))</f>
        <v>Papex</v>
      </c>
      <c r="F52" s="31" t="n">
        <v>1</v>
      </c>
      <c r="G52" s="13" t="n">
        <f aca="false">IF(INDEX(Articles!$G$2:$G$148,MATCH(C52,Articles!$A$2:$A$148,0))="","",INDEX(Articles!$G$2:$G$148,MATCH(C52,Articles!$A$2:$A$148,0)))</f>
        <v>750</v>
      </c>
      <c r="H52" s="13" t="n">
        <f aca="false">IF(G52="",0,F52*G52)</f>
        <v>750</v>
      </c>
      <c r="I52" s="13" t="n">
        <f aca="false">IF(INDEX(Articles!$E$2:$E$148,MATCH(C52,Articles!$A$2:$A$148,0))="","",INDEX(Articles!$E$2:$E$148,MATCH(C52,Articles!$A$2:$A$148,0)))</f>
        <v>650</v>
      </c>
      <c r="J52" s="13" t="n">
        <f aca="false">IF(I52="","",F52*I52)</f>
        <v>650</v>
      </c>
      <c r="K52" s="9" t="str">
        <f aca="false">INDEX(Articles!$H$2:$H$148,MATCH(C52,Articles!$A$2:$A$148,0))</f>
        <v>Fixé</v>
      </c>
      <c r="L52" s="9" t="str">
        <f aca="false">INDEX(Articles!$F$2:$F$148,MATCH(C52,Articles!$A$2:$A$148,0))</f>
        <v>Estimé</v>
      </c>
      <c r="M52" s="17" t="s">
        <v>763</v>
      </c>
      <c r="N52" s="9" t="s">
        <v>167</v>
      </c>
    </row>
    <row r="53" customFormat="false" ht="15" hidden="false" customHeight="false" outlineLevel="0" collapsed="false">
      <c r="A53" s="9" t="s">
        <v>671</v>
      </c>
      <c r="B53" s="9" t="s">
        <v>737</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739</v>
      </c>
      <c r="C54" s="31" t="s">
        <v>192</v>
      </c>
      <c r="D54" s="9" t="str">
        <f aca="false">INDEX(Articles!$C$2:$C$148,MATCH(C54,Articles!$A$2:$A$148,0))</f>
        <v>Cahier Calligraphe 192 pages 17x22 90 g seyès</v>
      </c>
      <c r="E54" s="9" t="str">
        <f aca="false">INDEX(Articles!$B$2:$B$148,MATCH(C54,Articles!$A$2:$A$148,0))</f>
        <v>Papex</v>
      </c>
      <c r="F54" s="31" t="n">
        <v>1</v>
      </c>
      <c r="G54" s="13" t="n">
        <f aca="false">IF(INDEX(Articles!$G$2:$G$148,MATCH(C54,Articles!$A$2:$A$148,0))="","",INDEX(Articles!$G$2:$G$148,MATCH(C54,Articles!$A$2:$A$148,0)))</f>
        <v>900</v>
      </c>
      <c r="H54" s="13" t="n">
        <f aca="false">IF(G54="",0,F54*G54)</f>
        <v>900</v>
      </c>
      <c r="I54" s="13" t="n">
        <f aca="false">IF(INDEX(Articles!$E$2:$E$148,MATCH(C54,Articles!$A$2:$A$148,0))="","",INDEX(Articles!$E$2:$E$148,MATCH(C54,Articles!$A$2:$A$148,0)))</f>
        <v>800</v>
      </c>
      <c r="J54" s="13" t="n">
        <f aca="false">IF(I54="","",F54*I54)</f>
        <v>800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742</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852</v>
      </c>
      <c r="C56" s="31" t="s">
        <v>366</v>
      </c>
      <c r="D56" s="9" t="str">
        <f aca="false">INDEX(Articles!$C$2:$C$148,MATCH(C56,Articles!$A$2:$A$148,0))</f>
        <v>Cahier Calligraphe 140 pages 17x22 90 g seyès</v>
      </c>
      <c r="E56" s="9" t="str">
        <f aca="false">INDEX(Articles!$B$2:$B$148,MATCH(C56,Articles!$A$2:$A$148,0))</f>
        <v>Papex</v>
      </c>
      <c r="F56" s="31" t="n">
        <v>1</v>
      </c>
      <c r="G56" s="13" t="n">
        <f aca="false">IF(INDEX(Articles!$G$2:$G$148,MATCH(C56,Articles!$A$2:$A$148,0))="","",INDEX(Articles!$G$2:$G$148,MATCH(C56,Articles!$A$2:$A$148,0)))</f>
        <v>750</v>
      </c>
      <c r="H56" s="13" t="n">
        <f aca="false">IF(G56="",0,F56*G56)</f>
        <v>750</v>
      </c>
      <c r="I56" s="13" t="n">
        <f aca="false">IF(INDEX(Articles!$E$2:$E$148,MATCH(C56,Articles!$A$2:$A$148,0))="","",INDEX(Articles!$E$2:$E$148,MATCH(C56,Articles!$A$2:$A$148,0)))</f>
        <v>650</v>
      </c>
      <c r="J56" s="13" t="n">
        <f aca="false">IF(I56="","",F56*I56)</f>
        <v>650</v>
      </c>
      <c r="K56" s="9" t="str">
        <f aca="false">INDEX(Articles!$H$2:$H$148,MATCH(C56,Articles!$A$2:$A$148,0))</f>
        <v>Fixé</v>
      </c>
      <c r="L56" s="9" t="str">
        <f aca="false">INDEX(Articles!$F$2:$F$148,MATCH(C56,Articles!$A$2:$A$148,0))</f>
        <v>Estimé</v>
      </c>
      <c r="M56" s="17" t="s">
        <v>763</v>
      </c>
      <c r="N56" s="9" t="s">
        <v>167</v>
      </c>
    </row>
    <row r="57" customFormat="false" ht="15" hidden="false" customHeight="false" outlineLevel="0" collapsed="false">
      <c r="A57" s="9" t="s">
        <v>671</v>
      </c>
      <c r="B57" s="9" t="s">
        <v>853</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909</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745</v>
      </c>
      <c r="C59" s="31" t="s">
        <v>213</v>
      </c>
      <c r="D59" s="9" t="str">
        <f aca="false">INDEX(Articles!$C$2:$C$148,MATCH(C59,Articles!$A$2:$A$148,0))</f>
        <v>Cahier Calligraphe 192 pages 24x32 (grand format)</v>
      </c>
      <c r="E59" s="9" t="str">
        <f aca="false">INDEX(Articles!$B$2:$B$148,MATCH(C59,Articles!$A$2:$A$148,0))</f>
        <v>Papex</v>
      </c>
      <c r="F59" s="31" t="n">
        <v>1</v>
      </c>
      <c r="G59" s="13" t="n">
        <f aca="false">IF(INDEX(Articles!$G$2:$G$148,MATCH(C59,Articles!$A$2:$A$148,0))="","",INDEX(Articles!$G$2:$G$148,MATCH(C59,Articles!$A$2:$A$148,0)))</f>
        <v>1650</v>
      </c>
      <c r="H59" s="13" t="n">
        <f aca="false">IF(G59="",0,F59*G59)</f>
        <v>1650</v>
      </c>
      <c r="I59" s="13" t="n">
        <f aca="false">IF(INDEX(Articles!$E$2:$E$148,MATCH(C59,Articles!$A$2:$A$148,0))="","",INDEX(Articles!$E$2:$E$148,MATCH(C59,Articles!$A$2:$A$148,0)))</f>
        <v>1500</v>
      </c>
      <c r="J59" s="13" t="n">
        <f aca="false">IF(I59="","",F59*I59)</f>
        <v>1500</v>
      </c>
      <c r="K59" s="9" t="str">
        <f aca="false">INDEX(Articles!$H$2:$H$148,MATCH(C59,Articles!$A$2:$A$148,0))</f>
        <v>Fixé</v>
      </c>
      <c r="L59" s="9" t="str">
        <f aca="false">INDEX(Articles!$F$2:$F$148,MATCH(C59,Articles!$A$2:$A$148,0))</f>
        <v>Confirmé</v>
      </c>
      <c r="M59" s="17"/>
      <c r="N59" s="9" t="s">
        <v>167</v>
      </c>
    </row>
    <row r="60" customFormat="false" ht="15" hidden="false" customHeight="false" outlineLevel="0" collapsed="false">
      <c r="A60" s="9" t="s">
        <v>671</v>
      </c>
      <c r="B60" s="9" t="s">
        <v>855</v>
      </c>
      <c r="C60" s="31" t="s">
        <v>208</v>
      </c>
      <c r="D60" s="9" t="str">
        <f aca="false">INDEX(Articles!$C$2:$C$148,MATCH(C60,Articles!$A$2:$A$148,0))</f>
        <v>Cahier Calligraphe 96 pages 24x32 (grand format)</v>
      </c>
      <c r="E60" s="9" t="str">
        <f aca="false">INDEX(Articles!$B$2:$B$148,MATCH(C60,Articles!$A$2:$A$148,0))</f>
        <v>Papex</v>
      </c>
      <c r="F60" s="31" t="n">
        <v>1</v>
      </c>
      <c r="G60" s="13" t="n">
        <f aca="false">IF(INDEX(Articles!$G$2:$G$148,MATCH(C60,Articles!$A$2:$A$148,0))="","",INDEX(Articles!$G$2:$G$148,MATCH(C60,Articles!$A$2:$A$148,0)))</f>
        <v>1350</v>
      </c>
      <c r="H60" s="13" t="n">
        <f aca="false">IF(G60="",0,F60*G60)</f>
        <v>1350</v>
      </c>
      <c r="I60" s="13" t="n">
        <f aca="false">IF(INDEX(Articles!$E$2:$E$148,MATCH(C60,Articles!$A$2:$A$148,0))="","",INDEX(Articles!$E$2:$E$148,MATCH(C60,Articles!$A$2:$A$148,0)))</f>
        <v>1000</v>
      </c>
      <c r="J60" s="13" t="n">
        <f aca="false">IF(I60="","",F60*I60)</f>
        <v>1000</v>
      </c>
      <c r="K60" s="9" t="str">
        <f aca="false">INDEX(Articles!$H$2:$H$148,MATCH(C60,Articles!$A$2:$A$148,0))</f>
        <v>Fixé</v>
      </c>
      <c r="L60" s="9" t="str">
        <f aca="false">INDEX(Articles!$F$2:$F$148,MATCH(C60,Articles!$A$2:$A$148,0))</f>
        <v>Confirmé</v>
      </c>
      <c r="M60" s="17"/>
      <c r="N60" s="9" t="s">
        <v>167</v>
      </c>
    </row>
    <row r="61" customFormat="false" ht="15" hidden="false" customHeight="false" outlineLevel="0" collapsed="false">
      <c r="A61" s="9" t="s">
        <v>671</v>
      </c>
      <c r="B61" s="9" t="s">
        <v>856</v>
      </c>
      <c r="C61" s="31" t="s">
        <v>213</v>
      </c>
      <c r="D61" s="9" t="str">
        <f aca="false">INDEX(Articles!$C$2:$C$148,MATCH(C61,Articles!$A$2:$A$148,0))</f>
        <v>Cahier Calligraphe 192 pages 24x32 (grand format)</v>
      </c>
      <c r="E61" s="9" t="str">
        <f aca="false">INDEX(Articles!$B$2:$B$148,MATCH(C61,Articles!$A$2:$A$148,0))</f>
        <v>Papex</v>
      </c>
      <c r="F61" s="31" t="n">
        <v>1</v>
      </c>
      <c r="G61" s="13" t="n">
        <f aca="false">IF(INDEX(Articles!$G$2:$G$148,MATCH(C61,Articles!$A$2:$A$148,0))="","",INDEX(Articles!$G$2:$G$148,MATCH(C61,Articles!$A$2:$A$148,0)))</f>
        <v>1650</v>
      </c>
      <c r="H61" s="13" t="n">
        <f aca="false">IF(G61="",0,F61*G61)</f>
        <v>1650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671</v>
      </c>
      <c r="B62" s="9" t="s">
        <v>857</v>
      </c>
      <c r="C62" s="31" t="s">
        <v>366</v>
      </c>
      <c r="D62" s="9" t="str">
        <f aca="false">INDEX(Articles!$C$2:$C$148,MATCH(C62,Articles!$A$2:$A$148,0))</f>
        <v>Cahier Calligraphe 140 pages 17x22 90 g seyès</v>
      </c>
      <c r="E62" s="9" t="str">
        <f aca="false">INDEX(Articles!$B$2:$B$148,MATCH(C62,Articles!$A$2:$A$148,0))</f>
        <v>Papex</v>
      </c>
      <c r="F62" s="31" t="n">
        <v>1</v>
      </c>
      <c r="G62" s="13" t="n">
        <f aca="false">IF(INDEX(Articles!$G$2:$G$148,MATCH(C62,Articles!$A$2:$A$148,0))="","",INDEX(Articles!$G$2:$G$148,MATCH(C62,Articles!$A$2:$A$148,0)))</f>
        <v>750</v>
      </c>
      <c r="H62" s="13" t="n">
        <f aca="false">IF(G62="",0,F62*G62)</f>
        <v>750</v>
      </c>
      <c r="I62" s="13" t="n">
        <f aca="false">IF(INDEX(Articles!$E$2:$E$148,MATCH(C62,Articles!$A$2:$A$148,0))="","",INDEX(Articles!$E$2:$E$148,MATCH(C62,Articles!$A$2:$A$148,0)))</f>
        <v>650</v>
      </c>
      <c r="J62" s="13" t="n">
        <f aca="false">IF(I62="","",F62*I62)</f>
        <v>650</v>
      </c>
      <c r="K62" s="9" t="str">
        <f aca="false">INDEX(Articles!$H$2:$H$148,MATCH(C62,Articles!$A$2:$A$148,0))</f>
        <v>Fixé</v>
      </c>
      <c r="L62" s="9" t="str">
        <f aca="false">INDEX(Articles!$F$2:$F$148,MATCH(C62,Articles!$A$2:$A$148,0))</f>
        <v>Estimé</v>
      </c>
      <c r="M62" s="17" t="s">
        <v>763</v>
      </c>
      <c r="N62" s="9" t="s">
        <v>167</v>
      </c>
    </row>
    <row r="63" customFormat="false" ht="15" hidden="false" customHeight="false" outlineLevel="0" collapsed="false">
      <c r="A63" s="9" t="s">
        <v>678</v>
      </c>
      <c r="B63" s="9" t="s">
        <v>749</v>
      </c>
      <c r="C63" s="31" t="s">
        <v>222</v>
      </c>
      <c r="D63" s="9" t="str">
        <f aca="false">INDEX(Articles!$C$2:$C$148,MATCH(C63,Articles!$A$2:$A$148,0))</f>
        <v>Pack de 4 stylos Schneider Tops 505 M (bleu, noir, rouge, vert)</v>
      </c>
      <c r="E63" s="9" t="str">
        <f aca="false">INDEX(Articles!$B$2:$B$148,MATCH(C63,Articles!$A$2:$A$148,0))</f>
        <v>Papex</v>
      </c>
      <c r="F63" s="31" t="n">
        <v>1</v>
      </c>
      <c r="G63" s="13" t="n">
        <f aca="false">IF(INDEX(Articles!$G$2:$G$148,MATCH(C63,Articles!$A$2:$A$148,0))="","",INDEX(Articles!$G$2:$G$148,MATCH(C63,Articles!$A$2:$A$148,0)))</f>
        <v>400</v>
      </c>
      <c r="H63" s="13" t="n">
        <f aca="false">IF(G63="",0,F63*G63)</f>
        <v>400</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t="s">
        <v>432</v>
      </c>
      <c r="N63" s="9" t="s">
        <v>167</v>
      </c>
    </row>
    <row r="64" customFormat="false" ht="15" hidden="false" customHeight="false" outlineLevel="0" collapsed="false">
      <c r="A64" s="9" t="s">
        <v>678</v>
      </c>
      <c r="B64" s="9" t="s">
        <v>750</v>
      </c>
      <c r="C64" s="31" t="s">
        <v>235</v>
      </c>
      <c r="D64" s="9" t="str">
        <f aca="false">INDEX(Articles!$C$2:$C$148,MATCH(C64,Articles!$A$2:$A$148,0))</f>
        <v>Crayon papier (vendu à l'unité)</v>
      </c>
      <c r="E64" s="9" t="str">
        <f aca="false">INDEX(Articles!$B$2:$B$148,MATCH(C64,Articles!$A$2:$A$148,0))</f>
        <v>LPD</v>
      </c>
      <c r="F64" s="31" t="n">
        <v>1</v>
      </c>
      <c r="G64" s="13" t="n">
        <f aca="false">IF(INDEX(Articles!$G$2:$G$148,MATCH(C64,Articles!$A$2:$A$148,0))="","",INDEX(Articles!$G$2:$G$148,MATCH(C64,Articles!$A$2:$A$148,0)))</f>
        <v>75</v>
      </c>
      <c r="H64" s="13" t="n">
        <f aca="false">IF(G64="",0,F64*G64)</f>
        <v>75</v>
      </c>
      <c r="I64" s="13" t="str">
        <f aca="false">IF(INDEX(Articles!$E$2:$E$148,MATCH(C64,Articles!$A$2:$A$148,0))="","",INDEX(Articles!$E$2:$E$148,MATCH(C64,Articles!$A$2:$A$148,0)))</f>
        <v/>
      </c>
      <c r="J64" s="13" t="str">
        <f aca="false">IF(I64="","",F64*I64)</f>
        <v/>
      </c>
      <c r="K64" s="9" t="str">
        <f aca="false">INDEX(Articles!$H$2:$H$148,MATCH(C64,Articles!$A$2:$A$148,0))</f>
        <v>Fixé</v>
      </c>
      <c r="L64" s="9" t="str">
        <f aca="false">INDEX(Articles!$F$2:$F$148,MATCH(C64,Articles!$A$2:$A$148,0))</f>
        <v>Inconnu</v>
      </c>
      <c r="M64" s="17"/>
      <c r="N64" s="9" t="s">
        <v>167</v>
      </c>
    </row>
    <row r="65" customFormat="false" ht="15" hidden="false" customHeight="false" outlineLevel="0" collapsed="false">
      <c r="A65" s="9" t="s">
        <v>675</v>
      </c>
      <c r="B65" s="9" t="s">
        <v>717</v>
      </c>
      <c r="C65" s="31" t="s">
        <v>180</v>
      </c>
      <c r="D65" s="9" t="str">
        <f aca="false">INDEX(Articles!$C$2:$C$148,MATCH(C65,Articles!$A$2:$A$148,0))</f>
        <v>Gomme Staedtler Mars Plastic</v>
      </c>
      <c r="E65" s="9" t="str">
        <f aca="false">INDEX(Articles!$B$2:$B$148,MATCH(C65,Articles!$A$2:$A$148,0))</f>
        <v>LPD</v>
      </c>
      <c r="F65" s="31" t="n">
        <v>1</v>
      </c>
      <c r="G65" s="13" t="n">
        <f aca="false">IF(INDEX(Articles!$G$2:$G$148,MATCH(C65,Articles!$A$2:$A$148,0))="","",INDEX(Articles!$G$2:$G$148,MATCH(C65,Articles!$A$2:$A$148,0)))</f>
        <v>250</v>
      </c>
      <c r="H65" s="13" t="n">
        <f aca="false">IF(G65="",0,F65*G65)</f>
        <v>250</v>
      </c>
      <c r="I65" s="13" t="n">
        <f aca="false">IF(INDEX(Articles!$E$2:$E$148,MATCH(C65,Articles!$A$2:$A$148,0))="","",INDEX(Articles!$E$2:$E$148,MATCH(C65,Articles!$A$2:$A$148,0)))</f>
        <v>110</v>
      </c>
      <c r="J65" s="13" t="n">
        <f aca="false">IF(I65="","",F65*I65)</f>
        <v>110</v>
      </c>
      <c r="K65" s="9" t="str">
        <f aca="false">INDEX(Articles!$H$2:$H$148,MATCH(C65,Articles!$A$2:$A$148,0))</f>
        <v>Fixé</v>
      </c>
      <c r="L65" s="9" t="str">
        <f aca="false">INDEX(Articles!$F$2:$F$148,MATCH(C65,Articles!$A$2:$A$148,0))</f>
        <v>Estimé</v>
      </c>
      <c r="M65" s="17"/>
      <c r="N65" s="9" t="s">
        <v>167</v>
      </c>
    </row>
    <row r="66" customFormat="false" ht="15" hidden="false" customHeight="false" outlineLevel="0" collapsed="false">
      <c r="A66" s="9" t="s">
        <v>675</v>
      </c>
      <c r="B66" s="9" t="s">
        <v>751</v>
      </c>
      <c r="C66" s="31" t="s">
        <v>183</v>
      </c>
      <c r="D66" s="9" t="str">
        <f aca="false">INDEX(Articles!$C$2:$C$148,MATCH(C66,Articles!$A$2:$A$148,0))</f>
        <v>Taille-crayon avec réservoir Maped</v>
      </c>
      <c r="E66" s="9" t="str">
        <f aca="false">INDEX(Articles!$B$2:$B$148,MATCH(C66,Articles!$A$2:$A$148,0))</f>
        <v>Papex</v>
      </c>
      <c r="F66" s="31" t="n">
        <v>1</v>
      </c>
      <c r="G66" s="13" t="n">
        <f aca="false">IF(INDEX(Articles!$G$2:$G$148,MATCH(C66,Articles!$A$2:$A$148,0))="","",INDEX(Articles!$G$2:$G$148,MATCH(C66,Articles!$A$2:$A$148,0)))</f>
        <v>500</v>
      </c>
      <c r="H66" s="13" t="n">
        <f aca="false">IF(G66="",0,F66*G66)</f>
        <v>500</v>
      </c>
      <c r="I66" s="13" t="n">
        <f aca="false">IF(INDEX(Articles!$E$2:$E$148,MATCH(C66,Articles!$A$2:$A$148,0))="","",INDEX(Articles!$E$2:$E$148,MATCH(C66,Articles!$A$2:$A$148,0)))</f>
        <v>350</v>
      </c>
      <c r="J66" s="13" t="n">
        <f aca="false">IF(I66="","",F66*I66)</f>
        <v>350</v>
      </c>
      <c r="K66" s="9" t="str">
        <f aca="false">INDEX(Articles!$H$2:$H$148,MATCH(C66,Articles!$A$2:$A$148,0))</f>
        <v>Estimé</v>
      </c>
      <c r="L66" s="9" t="str">
        <f aca="false">INDEX(Articles!$F$2:$F$148,MATCH(C66,Articles!$A$2:$A$148,0))</f>
        <v>Estimé</v>
      </c>
      <c r="M66" s="17" t="s">
        <v>765</v>
      </c>
      <c r="N66" s="9" t="s">
        <v>167</v>
      </c>
    </row>
    <row r="67" customFormat="false" ht="15" hidden="false" customHeight="false" outlineLevel="0" collapsed="false">
      <c r="A67" s="9" t="s">
        <v>675</v>
      </c>
      <c r="B67" s="9" t="s">
        <v>753</v>
      </c>
      <c r="C67" s="31" t="s">
        <v>248</v>
      </c>
      <c r="D67" s="9" t="str">
        <f aca="false">INDEX(Articles!$C$2:$C$148,MATCH(C67,Articles!$A$2:$A$148,0))</f>
        <v>Bâton de colle Giotto 20 g</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675</v>
      </c>
      <c r="B68" s="9" t="s">
        <v>754</v>
      </c>
      <c r="C68" s="31" t="s">
        <v>189</v>
      </c>
      <c r="D68" s="9" t="str">
        <f aca="false">INDEX(Articles!$C$2:$C$148,MATCH(C68,Articles!$A$2:$A$148,0))</f>
        <v>Ciseaux Maped 13 cm Security</v>
      </c>
      <c r="E68" s="9" t="str">
        <f aca="false">INDEX(Articles!$B$2:$B$148,MATCH(C68,Articles!$A$2:$A$148,0))</f>
        <v>Papex</v>
      </c>
      <c r="F68" s="31" t="n">
        <v>1</v>
      </c>
      <c r="G68" s="13" t="n">
        <f aca="false">IF(INDEX(Articles!$G$2:$G$148,MATCH(C68,Articles!$A$2:$A$148,0))="","",INDEX(Articles!$G$2:$G$148,MATCH(C68,Articles!$A$2:$A$148,0)))</f>
        <v>900</v>
      </c>
      <c r="H68" s="13" t="n">
        <f aca="false">IF(G68="",0,F68*G68)</f>
        <v>900</v>
      </c>
      <c r="I68" s="13" t="n">
        <f aca="false">IF(INDEX(Articles!$E$2:$E$148,MATCH(C68,Articles!$A$2:$A$148,0))="","",INDEX(Articles!$E$2:$E$148,MATCH(C68,Articles!$A$2:$A$148,0)))</f>
        <v>650</v>
      </c>
      <c r="J68" s="13" t="n">
        <f aca="false">IF(I68="","",F68*I68)</f>
        <v>650</v>
      </c>
      <c r="K68" s="9" t="str">
        <f aca="false">INDEX(Articles!$H$2:$H$148,MATCH(C68,Articles!$A$2:$A$148,0))</f>
        <v>Estimé</v>
      </c>
      <c r="L68" s="9" t="str">
        <f aca="false">INDEX(Articles!$F$2:$F$148,MATCH(C68,Articles!$A$2:$A$148,0))</f>
        <v>Estimé</v>
      </c>
      <c r="M68" s="17"/>
      <c r="N68" s="9" t="s">
        <v>167</v>
      </c>
    </row>
    <row r="69" customFormat="false" ht="15" hidden="false" customHeight="false" outlineLevel="0" collapsed="false">
      <c r="A69" s="9" t="s">
        <v>676</v>
      </c>
      <c r="B69" s="9" t="s">
        <v>755</v>
      </c>
      <c r="C69" s="31" t="s">
        <v>215</v>
      </c>
      <c r="D69" s="9" t="str">
        <f aca="false">INDEX(Articles!$C$2:$C$148,MATCH(C69,Articles!$A$2:$A$148,0))</f>
        <v>Kit géométrie Maped 30 cm (réf. 1930)</v>
      </c>
      <c r="E69" s="9" t="str">
        <f aca="false">INDEX(Articles!$B$2:$B$148,MATCH(C69,Articles!$A$2:$A$148,0))</f>
        <v>LPD</v>
      </c>
      <c r="F69" s="31" t="n">
        <v>1</v>
      </c>
      <c r="G69" s="13" t="n">
        <f aca="false">IF(INDEX(Articles!$G$2:$G$148,MATCH(C69,Articles!$A$2:$A$148,0))="","",INDEX(Articles!$G$2:$G$148,MATCH(C69,Articles!$A$2:$A$148,0)))</f>
        <v>1800</v>
      </c>
      <c r="H69" s="13" t="n">
        <f aca="false">IF(G69="",0,F69*G69)</f>
        <v>1800</v>
      </c>
      <c r="I69" s="13" t="n">
        <f aca="false">IF(INDEX(Articles!$E$2:$E$148,MATCH(C69,Articles!$A$2:$A$148,0))="","",INDEX(Articles!$E$2:$E$148,MATCH(C69,Articles!$A$2:$A$148,0)))</f>
        <v>1500</v>
      </c>
      <c r="J69" s="13" t="n">
        <f aca="false">IF(I69="","",F69*I69)</f>
        <v>1500</v>
      </c>
      <c r="K69" s="9" t="str">
        <f aca="false">INDEX(Articles!$H$2:$H$148,MATCH(C69,Articles!$A$2:$A$148,0))</f>
        <v>À trancher</v>
      </c>
      <c r="L69" s="9" t="str">
        <f aca="false">INDEX(Articles!$F$2:$F$148,MATCH(C69,Articles!$A$2:$A$148,0))</f>
        <v>Confirmé</v>
      </c>
      <c r="M69" s="17"/>
      <c r="N69" s="9" t="s">
        <v>167</v>
      </c>
    </row>
    <row r="70" customFormat="false" ht="15" hidden="false" customHeight="false" outlineLevel="0" collapsed="false">
      <c r="A70" s="9" t="s">
        <v>676</v>
      </c>
      <c r="B70" s="9" t="s">
        <v>756</v>
      </c>
      <c r="C70" s="31" t="s">
        <v>171</v>
      </c>
      <c r="D70" s="9" t="str">
        <f aca="false">INDEX(Articles!$C$2:$C$148,MATCH(C70,Articles!$A$2:$A$148,0))</f>
        <v>Compas Maped</v>
      </c>
      <c r="E70" s="9" t="str">
        <f aca="false">INDEX(Articles!$B$2:$B$148,MATCH(C70,Articles!$A$2:$A$148,0))</f>
        <v>Papex</v>
      </c>
      <c r="F70" s="31" t="n">
        <v>1</v>
      </c>
      <c r="G70" s="13" t="n">
        <f aca="false">IF(INDEX(Articles!$G$2:$G$148,MATCH(C70,Articles!$A$2:$A$148,0))="","",INDEX(Articles!$G$2:$G$148,MATCH(C70,Articles!$A$2:$A$148,0)))</f>
        <v>2000</v>
      </c>
      <c r="H70" s="13" t="n">
        <f aca="false">IF(G70="",0,F70*G70)</f>
        <v>2000</v>
      </c>
      <c r="I70" s="13" t="n">
        <f aca="false">IF(INDEX(Articles!$E$2:$E$148,MATCH(C70,Articles!$A$2:$A$148,0))="","",INDEX(Articles!$E$2:$E$148,MATCH(C70,Articles!$A$2:$A$148,0)))</f>
        <v>1750</v>
      </c>
      <c r="J70" s="13" t="n">
        <f aca="false">IF(I70="","",F70*I70)</f>
        <v>1750</v>
      </c>
      <c r="K70" s="9" t="str">
        <f aca="false">INDEX(Articles!$H$2:$H$148,MATCH(C70,Articles!$A$2:$A$148,0))</f>
        <v>Fixé</v>
      </c>
      <c r="L70" s="9" t="str">
        <f aca="false">INDEX(Articles!$F$2:$F$148,MATCH(C70,Articles!$A$2:$A$148,0))</f>
        <v>Confirmé</v>
      </c>
      <c r="M70" s="17"/>
      <c r="N70" s="9" t="s">
        <v>167</v>
      </c>
    </row>
    <row r="71" customFormat="false" ht="15" hidden="false" customHeight="false" outlineLevel="0" collapsed="false">
      <c r="A71" s="9" t="s">
        <v>681</v>
      </c>
      <c r="B71" s="9" t="s">
        <v>757</v>
      </c>
      <c r="C71" s="31" t="s">
        <v>198</v>
      </c>
      <c r="D71" s="9" t="str">
        <f aca="false">INDEX(Articles!$C$2:$C$148,MATCH(C71,Articles!$A$2:$A$148,0))</f>
        <v>Crayons de couleur Maped, boîte de 12</v>
      </c>
      <c r="E71" s="9" t="str">
        <f aca="false">INDEX(Articles!$B$2:$B$148,MATCH(C71,Articles!$A$2:$A$148,0))</f>
        <v>Papex</v>
      </c>
      <c r="F71" s="31" t="n">
        <v>1</v>
      </c>
      <c r="G71" s="13" t="n">
        <f aca="false">IF(INDEX(Articles!$G$2:$G$148,MATCH(C71,Articles!$A$2:$A$148,0))="","",INDEX(Articles!$G$2:$G$148,MATCH(C71,Articles!$A$2:$A$148,0)))</f>
        <v>900</v>
      </c>
      <c r="H71" s="13" t="n">
        <f aca="false">IF(G71="",0,F71*G71)</f>
        <v>900</v>
      </c>
      <c r="I71" s="13" t="n">
        <f aca="false">IF(INDEX(Articles!$E$2:$E$148,MATCH(C71,Articles!$A$2:$A$148,0))="","",INDEX(Articles!$E$2:$E$148,MATCH(C71,Articles!$A$2:$A$148,0)))</f>
        <v>650</v>
      </c>
      <c r="J71" s="13" t="n">
        <f aca="false">IF(I71="","",F71*I71)</f>
        <v>650</v>
      </c>
      <c r="K71" s="9" t="str">
        <f aca="false">INDEX(Articles!$H$2:$H$148,MATCH(C71,Articles!$A$2:$A$148,0))</f>
        <v>Estimé</v>
      </c>
      <c r="L71" s="9" t="str">
        <f aca="false">INDEX(Articles!$F$2:$F$148,MATCH(C71,Articles!$A$2:$A$148,0))</f>
        <v>Estimé</v>
      </c>
      <c r="M71" s="17"/>
      <c r="N71" s="9" t="s">
        <v>167</v>
      </c>
    </row>
    <row r="72" customFormat="false" ht="15" hidden="false" customHeight="false" outlineLevel="0" collapsed="false">
      <c r="A72" s="9" t="s">
        <v>678</v>
      </c>
      <c r="B72" s="9" t="s">
        <v>766</v>
      </c>
      <c r="C72" s="31" t="s">
        <v>200</v>
      </c>
      <c r="D72" s="9" t="str">
        <f aca="false">INDEX(Articles!$C$2:$C$148,MATCH(C72,Articles!$A$2:$A$148,0))</f>
        <v>Surligneurs Maped Fluo Peps, pochette de 4</v>
      </c>
      <c r="E72" s="9" t="str">
        <f aca="false">INDEX(Articles!$B$2:$B$148,MATCH(C72,Articles!$A$2:$A$148,0))</f>
        <v>Papex</v>
      </c>
      <c r="F72" s="31" t="n">
        <v>1</v>
      </c>
      <c r="G72" s="13" t="n">
        <f aca="false">IF(INDEX(Articles!$G$2:$G$148,MATCH(C72,Articles!$A$2:$A$148,0))="","",INDEX(Articles!$G$2:$G$148,MATCH(C72,Articles!$A$2:$A$148,0)))</f>
        <v>2500</v>
      </c>
      <c r="H72" s="13" t="n">
        <f aca="false">IF(G72="",0,F72*G72)</f>
        <v>2500</v>
      </c>
      <c r="I72" s="13" t="n">
        <f aca="false">IF(INDEX(Articles!$E$2:$E$148,MATCH(C72,Articles!$A$2:$A$148,0))="","",INDEX(Articles!$E$2:$E$148,MATCH(C72,Articles!$A$2:$A$148,0)))</f>
        <v>2000</v>
      </c>
      <c r="J72" s="13" t="n">
        <f aca="false">IF(I72="","",F72*I72)</f>
        <v>2000</v>
      </c>
      <c r="K72" s="9" t="str">
        <f aca="false">INDEX(Articles!$H$2:$H$148,MATCH(C72,Articles!$A$2:$A$148,0))</f>
        <v>Estimé</v>
      </c>
      <c r="L72" s="9" t="str">
        <f aca="false">INDEX(Articles!$F$2:$F$148,MATCH(C72,Articles!$A$2:$A$148,0))</f>
        <v>Confirmé</v>
      </c>
      <c r="M72" s="17" t="s">
        <v>767</v>
      </c>
      <c r="N72" s="9" t="s">
        <v>167</v>
      </c>
    </row>
    <row r="73" customFormat="false" ht="15" hidden="false" customHeight="false" outlineLevel="0" collapsed="false">
      <c r="A73" s="9" t="s">
        <v>768</v>
      </c>
      <c r="B73" s="9" t="s">
        <v>769</v>
      </c>
      <c r="C73" s="31" t="s">
        <v>446</v>
      </c>
      <c r="D73" s="9" t="str">
        <f aca="false">INDEX(Articles!$C$2:$C$148,MATCH(C73,Articles!$A$2:$A$148,0))</f>
        <v>Chemise 3 rabats à élastique</v>
      </c>
      <c r="E73" s="9" t="str">
        <f aca="false">INDEX(Articles!$B$2:$B$148,MATCH(C73,Articles!$A$2:$A$148,0))</f>
        <v>Papex</v>
      </c>
      <c r="F73" s="31" t="n">
        <v>1</v>
      </c>
      <c r="G73" s="13" t="n">
        <f aca="false">IF(INDEX(Articles!$G$2:$G$148,MATCH(C73,Articles!$A$2:$A$148,0))="","",INDEX(Articles!$G$2:$G$148,MATCH(C73,Articles!$A$2:$A$148,0)))</f>
        <v>500</v>
      </c>
      <c r="H73" s="13" t="n">
        <f aca="false">IF(G73="",0,F73*G73)</f>
        <v>500</v>
      </c>
      <c r="I73" s="13" t="str">
        <f aca="false">IF(INDEX(Articles!$E$2:$E$148,MATCH(C73,Articles!$A$2:$A$148,0))="","",INDEX(Articles!$E$2:$E$148,MATCH(C73,Articles!$A$2:$A$148,0)))</f>
        <v/>
      </c>
      <c r="J73" s="13" t="str">
        <f aca="false">IF(I73="","",F73*I73)</f>
        <v/>
      </c>
      <c r="K73" s="9" t="str">
        <f aca="false">INDEX(Articles!$H$2:$H$148,MATCH(C73,Articles!$A$2:$A$148,0))</f>
        <v>Estimé</v>
      </c>
      <c r="L73" s="9" t="str">
        <f aca="false">INDEX(Articles!$F$2:$F$148,MATCH(C73,Articles!$A$2:$A$148,0))</f>
        <v>Inconnu</v>
      </c>
      <c r="M73" s="17" t="s">
        <v>770</v>
      </c>
      <c r="N73" s="9" t="s">
        <v>167</v>
      </c>
    </row>
    <row r="74" customFormat="false" ht="26.85" hidden="false" customHeight="false" outlineLevel="0" collapsed="false">
      <c r="A74" s="9" t="s">
        <v>676</v>
      </c>
      <c r="B74" s="9" t="s">
        <v>812</v>
      </c>
      <c r="C74" s="31" t="s">
        <v>242</v>
      </c>
      <c r="D74" s="9" t="str">
        <f aca="false">INDEX(Articles!$C$2:$C$148,MATCH(C74,Articles!$A$2:$A$148,0))</f>
        <v>Calculatrice scientifique Parpn YH-2000</v>
      </c>
      <c r="E74" s="9" t="str">
        <f aca="false">INDEX(Articles!$B$2:$B$148,MATCH(C74,Articles!$A$2:$A$148,0))</f>
        <v>LPD</v>
      </c>
      <c r="F74" s="31" t="n">
        <v>1</v>
      </c>
      <c r="G74" s="13" t="n">
        <f aca="false">IF(INDEX(Articles!$G$2:$G$148,MATCH(C74,Articles!$A$2:$A$148,0))="","",INDEX(Articles!$G$2:$G$148,MATCH(C74,Articles!$A$2:$A$148,0)))</f>
        <v>1400</v>
      </c>
      <c r="H74" s="13" t="n">
        <f aca="false">IF(G74="",0,F74*G74)</f>
        <v>1400</v>
      </c>
      <c r="I74" s="13" t="n">
        <f aca="false">IF(INDEX(Articles!$E$2:$E$148,MATCH(C74,Articles!$A$2:$A$148,0))="","",INDEX(Articles!$E$2:$E$148,MATCH(C74,Articles!$A$2:$A$148,0)))</f>
        <v>1100</v>
      </c>
      <c r="J74" s="13" t="n">
        <f aca="false">IF(I74="","",F74*I74)</f>
        <v>1100</v>
      </c>
      <c r="K74" s="9" t="str">
        <f aca="false">INDEX(Articles!$H$2:$H$148,MATCH(C74,Articles!$A$2:$A$148,0))</f>
        <v>Fixé</v>
      </c>
      <c r="L74" s="9" t="str">
        <f aca="false">INDEX(Articles!$F$2:$F$148,MATCH(C74,Articles!$A$2:$A$148,0))</f>
        <v>Confirmé</v>
      </c>
      <c r="M74" s="17" t="s">
        <v>816</v>
      </c>
      <c r="N74" s="9" t="s">
        <v>167</v>
      </c>
    </row>
    <row r="75" customFormat="false" ht="15" hidden="false" customHeight="false" outlineLevel="0" collapsed="false">
      <c r="A75" s="9" t="s">
        <v>768</v>
      </c>
      <c r="B75" s="9" t="s">
        <v>861</v>
      </c>
      <c r="C75" s="31" t="s">
        <v>246</v>
      </c>
      <c r="D75" s="9" t="str">
        <f aca="false">INDEX(Articles!$C$2:$C$148,MATCH(C75,Articles!$A$2:$A$148,0))</f>
        <v>Protège-documents porte-vues</v>
      </c>
      <c r="E75" s="9" t="str">
        <f aca="false">INDEX(Articles!$B$2:$B$148,MATCH(C75,Articles!$A$2:$A$148,0))</f>
        <v>LPD</v>
      </c>
      <c r="F75" s="31" t="n">
        <v>1</v>
      </c>
      <c r="G75" s="13" t="n">
        <f aca="false">IF(INDEX(Articles!$G$2:$G$148,MATCH(C75,Articles!$A$2:$A$148,0))="","",INDEX(Articles!$G$2:$G$148,MATCH(C75,Articles!$A$2:$A$148,0)))</f>
        <v>1150</v>
      </c>
      <c r="H75" s="13" t="n">
        <f aca="false">IF(G75="",0,F75*G75)</f>
        <v>1150</v>
      </c>
      <c r="I75" s="13" t="n">
        <f aca="false">IF(INDEX(Articles!$E$2:$E$148,MATCH(C75,Articles!$A$2:$A$148,0))="","",INDEX(Articles!$E$2:$E$148,MATCH(C75,Articles!$A$2:$A$148,0)))</f>
        <v>850</v>
      </c>
      <c r="J75" s="13" t="n">
        <f aca="false">IF(I75="","",F75*I75)</f>
        <v>850</v>
      </c>
      <c r="K75" s="9" t="str">
        <f aca="false">INDEX(Articles!$H$2:$H$148,MATCH(C75,Articles!$A$2:$A$148,0))</f>
        <v>Fixé</v>
      </c>
      <c r="L75" s="9" t="str">
        <f aca="false">INDEX(Articles!$F$2:$F$148,MATCH(C75,Articles!$A$2:$A$148,0))</f>
        <v>Estimé</v>
      </c>
      <c r="M75" s="17"/>
      <c r="N75" s="9" t="s">
        <v>167</v>
      </c>
    </row>
    <row r="76" customFormat="false" ht="15" hidden="false" customHeight="false" outlineLevel="0" collapsed="false">
      <c r="A76" s="9" t="s">
        <v>758</v>
      </c>
      <c r="B76" s="9" t="s">
        <v>759</v>
      </c>
      <c r="C76" s="31" t="s">
        <v>376</v>
      </c>
      <c r="D76" s="9" t="str">
        <f aca="false">INDEX(Articles!$C$2:$C$148,MATCH(C76,Articles!$A$2:$A$148,0))</f>
        <v>Paquet de copies doubles grand format</v>
      </c>
      <c r="E76" s="9" t="str">
        <f aca="false">INDEX(Articles!$B$2:$B$148,MATCH(C76,Articles!$A$2:$A$148,0))</f>
        <v>À préciser</v>
      </c>
      <c r="F76" s="31" t="n">
        <v>1</v>
      </c>
      <c r="G76" s="45" t="n">
        <f aca="false">IF(INDEX(Articles!$G$2:$G$148,MATCH(C76,Articles!$A$2:$A$148,0))="","",INDEX(Articles!$G$2:$G$148,MATCH(C76,Articles!$A$2:$A$148,0)))</f>
        <v>1800</v>
      </c>
      <c r="H76" s="13" t="n">
        <f aca="false">IF(G76="",0,F76*G76)</f>
        <v>1800</v>
      </c>
      <c r="I76" s="13" t="n">
        <f aca="false">IF(INDEX(Articles!$E$2:$E$148,MATCH(C76,Articles!$A$2:$A$148,0))="","",INDEX(Articles!$E$2:$E$148,MATCH(C76,Articles!$A$2:$A$148,0)))</f>
        <v>1300</v>
      </c>
      <c r="J76" s="13" t="n">
        <f aca="false">IF(I76="","",F76*I76)</f>
        <v>1300</v>
      </c>
      <c r="K76" s="9" t="str">
        <f aca="false">INDEX(Articles!$H$2:$H$148,MATCH(C76,Articles!$A$2:$A$148,0))</f>
        <v>Fixé</v>
      </c>
      <c r="L76" s="9" t="str">
        <f aca="false">INDEX(Articles!$F$2:$F$148,MATCH(C76,Articles!$A$2:$A$148,0))</f>
        <v>Confirmé</v>
      </c>
      <c r="M76" s="17"/>
      <c r="N76" s="9" t="s">
        <v>167</v>
      </c>
    </row>
    <row r="77" customFormat="false" ht="15" hidden="false" customHeight="false" outlineLevel="0" collapsed="false">
      <c r="A77" s="9" t="s">
        <v>771</v>
      </c>
      <c r="B77" s="9" t="s">
        <v>772</v>
      </c>
      <c r="C77" s="31" t="s">
        <v>160</v>
      </c>
      <c r="D77" s="9" t="str">
        <f aca="false">INDEX(Articles!$C$2:$C$148,MATCH(C77,Articles!$A$2:$A$148,0))</f>
        <v>Protège-cahier couleur petit format (à l'unité)</v>
      </c>
      <c r="E77" s="9" t="str">
        <f aca="false">INDEX(Articles!$B$2:$B$148,MATCH(C77,Articles!$A$2:$A$148,0))</f>
        <v>LPD</v>
      </c>
      <c r="F77" s="31" t="n">
        <v>4</v>
      </c>
      <c r="G77" s="13" t="n">
        <f aca="false">IF(INDEX(Articles!$G$2:$G$148,MATCH(C77,Articles!$A$2:$A$148,0))="","",INDEX(Articles!$G$2:$G$148,MATCH(C77,Articles!$A$2:$A$148,0)))</f>
        <v>150</v>
      </c>
      <c r="H77" s="13" t="n">
        <f aca="false">IF(G77="",0,F77*G77)</f>
        <v>600</v>
      </c>
      <c r="I77" s="13" t="str">
        <f aca="false">IF(INDEX(Articles!$E$2:$E$148,MATCH(C77,Articles!$A$2:$A$148,0))="","",INDEX(Articles!$E$2:$E$148,MATCH(C77,Articles!$A$2:$A$148,0)))</f>
        <v/>
      </c>
      <c r="J77" s="13" t="str">
        <f aca="false">IF(I77="","",F77*I77)</f>
        <v/>
      </c>
      <c r="K77" s="9" t="str">
        <f aca="false">INDEX(Articles!$H$2:$H$148,MATCH(C77,Articles!$A$2:$A$148,0))</f>
        <v>Fixé</v>
      </c>
      <c r="L77" s="9" t="str">
        <f aca="false">INDEX(Articles!$F$2:$F$148,MATCH(C77,Articles!$A$2:$A$148,0))</f>
        <v>Inconnu</v>
      </c>
      <c r="M77" s="17"/>
      <c r="N77" s="9" t="s">
        <v>167</v>
      </c>
    </row>
    <row r="78" customFormat="false" ht="15" hidden="false" customHeight="false" outlineLevel="0" collapsed="false">
      <c r="A78" s="9" t="s">
        <v>771</v>
      </c>
      <c r="B78" s="9" t="s">
        <v>773</v>
      </c>
      <c r="C78" s="31" t="s">
        <v>419</v>
      </c>
      <c r="D78" s="9" t="str">
        <f aca="false">INDEX(Articles!$C$2:$C$148,MATCH(C78,Articles!$A$2:$A$148,0))</f>
        <v>Protège-cahier grand format (à l'unité)</v>
      </c>
      <c r="E78" s="9" t="str">
        <f aca="false">INDEX(Articles!$B$2:$B$148,MATCH(C78,Articles!$A$2:$A$148,0))</f>
        <v>À préciser</v>
      </c>
      <c r="F78" s="31" t="n">
        <v>9</v>
      </c>
      <c r="G78" s="13" t="str">
        <f aca="false">IF(INDEX(Articles!$G$2:$G$148,MATCH(C78,Articles!$A$2:$A$148,0))="","",INDEX(Articles!$G$2:$G$148,MATCH(C78,Articles!$A$2:$A$148,0)))</f>
        <v/>
      </c>
      <c r="H78" s="13" t="n">
        <f aca="false">IF(G78="",0,F78*G78)</f>
        <v>0</v>
      </c>
      <c r="I78" s="13" t="str">
        <f aca="false">IF(INDEX(Articles!$E$2:$E$148,MATCH(C78,Articles!$A$2:$A$148,0))="","",INDEX(Articles!$E$2:$E$148,MATCH(C78,Articles!$A$2:$A$148,0)))</f>
        <v/>
      </c>
      <c r="J78" s="13" t="str">
        <f aca="false">IF(I78="","",F78*I78)</f>
        <v/>
      </c>
      <c r="K78" s="9" t="str">
        <f aca="false">INDEX(Articles!$H$2:$H$148,MATCH(C78,Articles!$A$2:$A$148,0))</f>
        <v>À fournir</v>
      </c>
      <c r="L78" s="9" t="str">
        <f aca="false">INDEX(Articles!$F$2:$F$148,MATCH(C78,Articles!$A$2:$A$148,0))</f>
        <v>Inconnu</v>
      </c>
      <c r="M78" s="17"/>
      <c r="N78" s="9" t="s">
        <v>167</v>
      </c>
    </row>
    <row r="79" customFormat="false" ht="15" hidden="false" customHeight="false" outlineLevel="0" collapsed="false">
      <c r="A79" s="9" t="s">
        <v>760</v>
      </c>
      <c r="B79" s="9" t="s">
        <v>883</v>
      </c>
      <c r="C79" s="31" t="s">
        <v>514</v>
      </c>
      <c r="D79" s="9" t="str">
        <f aca="false">INDEX(Articles!$C$2:$C$148,MATCH(C79,Articles!$A$2:$A$148,0))</f>
        <v>L'Étranger (Albert Camus)</v>
      </c>
      <c r="E79" s="9" t="str">
        <f aca="false">INDEX(Articles!$B$2:$B$148,MATCH(C79,Articles!$A$2:$A$148,0))</f>
        <v>LPD</v>
      </c>
      <c r="F79" s="31" t="n">
        <v>1</v>
      </c>
      <c r="G79" s="13" t="n">
        <f aca="false">IF(INDEX(Articles!$G$2:$G$148,MATCH(C79,Articles!$A$2:$A$148,0))="","",INDEX(Articles!$G$2:$G$148,MATCH(C79,Articles!$A$2:$A$148,0)))</f>
        <v>2800</v>
      </c>
      <c r="H79" s="13" t="n">
        <f aca="false">IF(G79="",0,F79*G79)</f>
        <v>2800</v>
      </c>
      <c r="I79" s="13" t="n">
        <f aca="false">IF(INDEX(Articles!$E$2:$E$148,MATCH(C79,Articles!$A$2:$A$148,0))="","",INDEX(Articles!$E$2:$E$148,MATCH(C79,Articles!$A$2:$A$148,0)))</f>
        <v>1800</v>
      </c>
      <c r="J79" s="13" t="n">
        <f aca="false">IF(I79="","",F79*I79)</f>
        <v>1800</v>
      </c>
      <c r="K79" s="9" t="str">
        <f aca="false">INDEX(Articles!$H$2:$H$148,MATCH(C79,Articles!$A$2:$A$148,0))</f>
        <v>Fixé</v>
      </c>
      <c r="L79" s="9" t="str">
        <f aca="false">INDEX(Articles!$F$2:$F$148,MATCH(C79,Articles!$A$2:$A$148,0))</f>
        <v>Estimé</v>
      </c>
      <c r="M79" s="17"/>
      <c r="N79" s="9" t="s">
        <v>167</v>
      </c>
    </row>
    <row r="80" customFormat="false" ht="15" hidden="false" customHeight="false" outlineLevel="0" collapsed="false">
      <c r="A80" s="9" t="s">
        <v>760</v>
      </c>
      <c r="B80" s="9" t="s">
        <v>883</v>
      </c>
      <c r="C80" s="31" t="s">
        <v>516</v>
      </c>
      <c r="D80" s="9" t="str">
        <f aca="false">INDEX(Articles!$C$2:$C$148,MATCH(C80,Articles!$A$2:$A$148,0))</f>
        <v>Les Contemplations (Victor Hugo)</v>
      </c>
      <c r="E80" s="9" t="str">
        <f aca="false">INDEX(Articles!$B$2:$B$148,MATCH(C80,Articles!$A$2:$A$148,0))</f>
        <v>LPD</v>
      </c>
      <c r="F80" s="31" t="n">
        <v>1</v>
      </c>
      <c r="G80" s="13" t="n">
        <f aca="false">IF(INDEX(Articles!$G$2:$G$148,MATCH(C80,Articles!$A$2:$A$148,0))="","",INDEX(Articles!$G$2:$G$148,MATCH(C80,Articles!$A$2:$A$148,0)))</f>
        <v>2800</v>
      </c>
      <c r="H80" s="13" t="n">
        <f aca="false">IF(G80="",0,F80*G80)</f>
        <v>2800</v>
      </c>
      <c r="I80" s="13" t="n">
        <f aca="false">IF(INDEX(Articles!$E$2:$E$148,MATCH(C80,Articles!$A$2:$A$148,0))="","",INDEX(Articles!$E$2:$E$148,MATCH(C80,Articles!$A$2:$A$148,0)))</f>
        <v>1800</v>
      </c>
      <c r="J80" s="13" t="n">
        <f aca="false">IF(I80="","",F80*I80)</f>
        <v>1800</v>
      </c>
      <c r="K80" s="9" t="str">
        <f aca="false">INDEX(Articles!$H$2:$H$148,MATCH(C80,Articles!$A$2:$A$148,0))</f>
        <v>Fixé</v>
      </c>
      <c r="L80" s="9" t="str">
        <f aca="false">INDEX(Articles!$F$2:$F$148,MATCH(C80,Articles!$A$2:$A$148,0))</f>
        <v>Confirmé</v>
      </c>
      <c r="M80" s="17"/>
      <c r="N80" s="9" t="s">
        <v>167</v>
      </c>
    </row>
    <row r="81" customFormat="false" ht="15" hidden="false" customHeight="false" outlineLevel="0" collapsed="false">
      <c r="A81" s="9" t="s">
        <v>760</v>
      </c>
      <c r="B81" s="9" t="s">
        <v>910</v>
      </c>
      <c r="C81" s="31" t="s">
        <v>521</v>
      </c>
      <c r="D81" s="9" t="str">
        <f aca="false">INDEX(Articles!$C$2:$C$148,MATCH(C81,Articles!$A$2:$A$148,0))</f>
        <v>Apologie de Socrate (Platon)</v>
      </c>
      <c r="E81" s="9" t="str">
        <f aca="false">INDEX(Articles!$B$2:$B$148,MATCH(C81,Articles!$A$2:$A$148,0))</f>
        <v>LPD</v>
      </c>
      <c r="F81" s="31" t="n">
        <v>1</v>
      </c>
      <c r="G81" s="13" t="n">
        <f aca="false">IF(INDEX(Articles!$G$2:$G$148,MATCH(C81,Articles!$A$2:$A$148,0))="","",INDEX(Articles!$G$2:$G$148,MATCH(C81,Articles!$A$2:$A$148,0)))</f>
        <v>2800</v>
      </c>
      <c r="H81" s="13" t="n">
        <f aca="false">IF(G81="",0,F81*G81)</f>
        <v>2800</v>
      </c>
      <c r="I81" s="13" t="n">
        <f aca="false">IF(INDEX(Articles!$E$2:$E$148,MATCH(C81,Articles!$A$2:$A$148,0))="","",INDEX(Articles!$E$2:$E$148,MATCH(C81,Articles!$A$2:$A$148,0)))</f>
        <v>1800</v>
      </c>
      <c r="J81" s="13" t="n">
        <f aca="false">IF(I81="","",F81*I81)</f>
        <v>1800</v>
      </c>
      <c r="K81" s="9" t="str">
        <f aca="false">INDEX(Articles!$H$2:$H$148,MATCH(C81,Articles!$A$2:$A$148,0))</f>
        <v>Fixé</v>
      </c>
      <c r="L81" s="9" t="str">
        <f aca="false">INDEX(Articles!$F$2:$F$148,MATCH(C81,Articles!$A$2:$A$148,0))</f>
        <v>Estimé</v>
      </c>
      <c r="M81" s="17"/>
      <c r="N81" s="9" t="s">
        <v>167</v>
      </c>
    </row>
    <row r="82" customFormat="false" ht="15" hidden="false" customHeight="false" outlineLevel="0" collapsed="false">
      <c r="D82" s="32" t="s">
        <v>683</v>
      </c>
      <c r="E82" s="32"/>
      <c r="F82" s="32"/>
      <c r="G82" s="32"/>
      <c r="H82" s="33" t="n">
        <f aca="false">COUNTIF(G50:G81,"")</f>
        <v>1</v>
      </c>
    </row>
    <row r="83" customFormat="false" ht="15" hidden="false" customHeight="false" outlineLevel="0" collapsed="false">
      <c r="D83" s="32" t="s">
        <v>684</v>
      </c>
      <c r="E83" s="32"/>
      <c r="F83" s="32"/>
      <c r="G83" s="32"/>
      <c r="H83" s="33" t="n">
        <f aca="false">SUM(H50:H81)</f>
        <v>41475</v>
      </c>
    </row>
    <row r="84" customFormat="false" ht="15" hidden="false" customHeight="false" outlineLevel="0" collapsed="false">
      <c r="D84" s="32" t="s">
        <v>28</v>
      </c>
      <c r="E84" s="32"/>
      <c r="F84" s="32"/>
      <c r="G84" s="32"/>
      <c r="H84" s="33" t="n">
        <f aca="false">SUM(J50:J81)</f>
        <v>31560</v>
      </c>
    </row>
    <row r="85" customFormat="false" ht="15" hidden="false" customHeight="false" outlineLevel="0" collapsed="false">
      <c r="D85" s="32" t="s">
        <v>685</v>
      </c>
      <c r="E85" s="32"/>
      <c r="F85" s="32"/>
      <c r="G85" s="32"/>
      <c r="H85" s="33" t="n">
        <f aca="false">COUNTIF(I50:I81,"")</f>
        <v>5</v>
      </c>
    </row>
    <row r="86" customFormat="false" ht="15" hidden="false" customHeight="false" outlineLevel="0" collapsed="false">
      <c r="D86" s="32" t="s">
        <v>686</v>
      </c>
      <c r="E86" s="32"/>
      <c r="F86" s="32"/>
      <c r="G86" s="32"/>
      <c r="H86" s="33" t="n">
        <f aca="false">SUMPRODUCT((I50:I81&lt;&gt;"")*H50:H81)-H84</f>
        <v>8340</v>
      </c>
    </row>
    <row r="87" customFormat="false" ht="15" hidden="false" customHeight="false" outlineLevel="0" collapsed="false">
      <c r="D87" s="32" t="s">
        <v>687</v>
      </c>
      <c r="E87" s="32"/>
      <c r="F87" s="32"/>
      <c r="G87" s="32"/>
      <c r="H87" s="33" t="n">
        <f aca="false">SUMIF(A50:A81,"Cahiers",F50:F81)</f>
        <v>13</v>
      </c>
    </row>
    <row r="88" customFormat="false" ht="15" hidden="false" customHeight="false" outlineLevel="0" collapsed="false">
      <c r="D88" s="32" t="s">
        <v>688</v>
      </c>
      <c r="E88" s="32"/>
      <c r="F88" s="32"/>
      <c r="G88" s="32"/>
      <c r="H88" s="34" t="n">
        <f aca="false">IF(H83=0,0,SUMIF(K50:K81,"&lt;&gt;Fixé",H50:H81)/H83)</f>
        <v>0.192887281494876</v>
      </c>
    </row>
    <row r="89" customFormat="false" ht="15" hidden="false" customHeight="false" outlineLevel="0" collapsed="false">
      <c r="D89" s="32" t="s">
        <v>689</v>
      </c>
      <c r="E89" s="32"/>
      <c r="F89" s="32"/>
      <c r="G89" s="32"/>
      <c r="H89" s="33" t="str">
        <f aca="false">IF(H82&gt;0,"Total incomplet : "&amp;H82&amp;" prix de vente à fournir",IF(H85&gt;0,"Coût incomplet : "&amp;H85&amp;" ligne(s) sans prix d'achat","Complet"))</f>
        <v>Total incomplet : 1 prix de vente à fournir</v>
      </c>
    </row>
    <row r="90" customFormat="false" ht="15" hidden="false" customHeight="false" outlineLevel="0" collapsed="false">
      <c r="D90" s="21" t="s">
        <v>696</v>
      </c>
      <c r="E90" s="21" t="str">
        <f aca="false">INDEX(Articles!$C$2:$C$148,MATCH("S020",Articles!$A$2:$A$148,0))</f>
        <v>Sac à dos bleu marine</v>
      </c>
      <c r="H90" s="41" t="n">
        <f aca="false">INDEX(Articles!$G$2:$G$148,MATCH("S020",Articles!$A$2:$A$148,0))</f>
        <v>7000</v>
      </c>
    </row>
    <row r="91" customFormat="false" ht="15" hidden="false" customHeight="false" outlineLevel="0" collapsed="false">
      <c r="D91" s="42" t="s">
        <v>697</v>
      </c>
      <c r="E91" s="43" t="s">
        <v>912</v>
      </c>
    </row>
    <row r="92" customFormat="false" ht="15" hidden="false" customHeight="false" outlineLevel="0" collapsed="false">
      <c r="E92" s="43" t="s">
        <v>913</v>
      </c>
    </row>
    <row r="93" customFormat="false" ht="15" hidden="false" customHeight="false" outlineLevel="0" collapsed="false">
      <c r="E93" s="43" t="s">
        <v>914</v>
      </c>
    </row>
    <row r="94" customFormat="false" ht="15" hidden="false" customHeight="false" outlineLevel="0" collapsed="false">
      <c r="E94" s="43" t="s">
        <v>887</v>
      </c>
    </row>
    <row r="95" customFormat="false" ht="15" hidden="false" customHeight="false" outlineLevel="0" collapsed="false">
      <c r="E95" s="43" t="s">
        <v>915</v>
      </c>
    </row>
    <row r="98" customFormat="false" ht="15" hidden="false" customHeight="false" outlineLevel="0" collapsed="false">
      <c r="A98" s="28" t="s">
        <v>916</v>
      </c>
      <c r="B98" s="29"/>
      <c r="C98" s="29"/>
      <c r="D98" s="29"/>
      <c r="E98" s="29"/>
      <c r="F98" s="29"/>
      <c r="G98" s="29"/>
      <c r="H98" s="29"/>
      <c r="I98" s="29"/>
      <c r="J98" s="29"/>
      <c r="K98" s="29"/>
      <c r="L98" s="29"/>
      <c r="M98" s="29"/>
      <c r="N98" s="29"/>
    </row>
    <row r="99" customFormat="false" ht="39.55" hidden="false" customHeight="false" outlineLevel="0" collapsed="false">
      <c r="A99" s="30" t="s">
        <v>663</v>
      </c>
      <c r="B99" s="30" t="s">
        <v>664</v>
      </c>
      <c r="C99" s="30" t="s">
        <v>348</v>
      </c>
      <c r="D99" s="30" t="s">
        <v>350</v>
      </c>
      <c r="E99" s="30" t="s">
        <v>349</v>
      </c>
      <c r="F99" s="30" t="s">
        <v>665</v>
      </c>
      <c r="G99" s="30" t="s">
        <v>666</v>
      </c>
      <c r="H99" s="30" t="s">
        <v>667</v>
      </c>
      <c r="I99" s="30" t="s">
        <v>668</v>
      </c>
      <c r="J99" s="30" t="s">
        <v>669</v>
      </c>
      <c r="K99" s="30" t="s">
        <v>355</v>
      </c>
      <c r="L99" s="30" t="s">
        <v>353</v>
      </c>
      <c r="M99" s="30" t="s">
        <v>356</v>
      </c>
      <c r="N99" s="30" t="s">
        <v>670</v>
      </c>
    </row>
    <row r="100" customFormat="false" ht="15" hidden="false" customHeight="false" outlineLevel="0" collapsed="false">
      <c r="A100" s="9" t="s">
        <v>671</v>
      </c>
      <c r="B100" s="9" t="s">
        <v>850</v>
      </c>
      <c r="C100" s="31" t="s">
        <v>208</v>
      </c>
      <c r="D100" s="9" t="str">
        <f aca="false">INDEX(Articles!$C$2:$C$148,MATCH(C100,Articles!$A$2:$A$148,0))</f>
        <v>Cahier Calligraphe 96 pages 24x32 (grand format)</v>
      </c>
      <c r="E100" s="9" t="str">
        <f aca="false">INDEX(Articles!$B$2:$B$148,MATCH(C100,Articles!$A$2:$A$148,0))</f>
        <v>Papex</v>
      </c>
      <c r="F100" s="31" t="n">
        <v>1</v>
      </c>
      <c r="G100" s="13" t="n">
        <f aca="false">IF(INDEX(Articles!$G$2:$G$148,MATCH(C100,Articles!$A$2:$A$148,0))="","",INDEX(Articles!$G$2:$G$148,MATCH(C100,Articles!$A$2:$A$148,0)))</f>
        <v>1350</v>
      </c>
      <c r="H100" s="13" t="n">
        <f aca="false">IF(G100="",0,F100*G100)</f>
        <v>1350</v>
      </c>
      <c r="I100" s="13" t="n">
        <f aca="false">IF(INDEX(Articles!$E$2:$E$148,MATCH(C100,Articles!$A$2:$A$148,0))="","",INDEX(Articles!$E$2:$E$148,MATCH(C100,Articles!$A$2:$A$148,0)))</f>
        <v>1000</v>
      </c>
      <c r="J100" s="13" t="n">
        <f aca="false">IF(I100="","",F100*I100)</f>
        <v>1000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744</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854</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671</v>
      </c>
      <c r="B103" s="9" t="s">
        <v>737</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739</v>
      </c>
      <c r="C104" s="31" t="s">
        <v>192</v>
      </c>
      <c r="D104" s="9" t="str">
        <f aca="false">INDEX(Articles!$C$2:$C$148,MATCH(C104,Articles!$A$2:$A$148,0))</f>
        <v>Cahier Calligraphe 192 pages 17x22 90 g seyès</v>
      </c>
      <c r="E104" s="9" t="str">
        <f aca="false">INDEX(Articles!$B$2:$B$148,MATCH(C104,Articles!$A$2:$A$148,0))</f>
        <v>Papex</v>
      </c>
      <c r="F104" s="31" t="n">
        <v>1</v>
      </c>
      <c r="G104" s="13" t="n">
        <f aca="false">IF(INDEX(Articles!$G$2:$G$148,MATCH(C104,Articles!$A$2:$A$148,0))="","",INDEX(Articles!$G$2:$G$148,MATCH(C104,Articles!$A$2:$A$148,0)))</f>
        <v>900</v>
      </c>
      <c r="H104" s="13" t="n">
        <f aca="false">IF(G104="",0,F104*G104)</f>
        <v>900</v>
      </c>
      <c r="I104" s="13" t="n">
        <f aca="false">IF(INDEX(Articles!$E$2:$E$148,MATCH(C104,Articles!$A$2:$A$148,0))="","",INDEX(Articles!$E$2:$E$148,MATCH(C104,Articles!$A$2:$A$148,0)))</f>
        <v>800</v>
      </c>
      <c r="J104" s="13" t="n">
        <f aca="false">IF(I104="","",F104*I104)</f>
        <v>800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742</v>
      </c>
      <c r="C105" s="31" t="s">
        <v>213</v>
      </c>
      <c r="D105" s="9" t="str">
        <f aca="false">INDEX(Articles!$C$2:$C$148,MATCH(C105,Articles!$A$2:$A$148,0))</f>
        <v>Cahier Calligraphe 192 pages 24x32 (grand format)</v>
      </c>
      <c r="E105" s="9" t="str">
        <f aca="false">INDEX(Articles!$B$2:$B$148,MATCH(C105,Articles!$A$2:$A$148,0))</f>
        <v>Papex</v>
      </c>
      <c r="F105" s="31" t="n">
        <v>1</v>
      </c>
      <c r="G105" s="13" t="n">
        <f aca="false">IF(INDEX(Articles!$G$2:$G$148,MATCH(C105,Articles!$A$2:$A$148,0))="","",INDEX(Articles!$G$2:$G$148,MATCH(C105,Articles!$A$2:$A$148,0)))</f>
        <v>1650</v>
      </c>
      <c r="H105" s="13" t="n">
        <f aca="false">IF(G105="",0,F105*G105)</f>
        <v>1650</v>
      </c>
      <c r="I105" s="13" t="n">
        <f aca="false">IF(INDEX(Articles!$E$2:$E$148,MATCH(C105,Articles!$A$2:$A$148,0))="","",INDEX(Articles!$E$2:$E$148,MATCH(C105,Articles!$A$2:$A$148,0)))</f>
        <v>1500</v>
      </c>
      <c r="J105" s="13" t="n">
        <f aca="false">IF(I105="","",F105*I105)</f>
        <v>1500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852</v>
      </c>
      <c r="C106" s="31" t="s">
        <v>366</v>
      </c>
      <c r="D106" s="9" t="str">
        <f aca="false">INDEX(Articles!$C$2:$C$148,MATCH(C106,Articles!$A$2:$A$148,0))</f>
        <v>Cahier Calligraphe 140 pages 17x22 90 g seyès</v>
      </c>
      <c r="E106" s="9" t="str">
        <f aca="false">INDEX(Articles!$B$2:$B$148,MATCH(C106,Articles!$A$2:$A$148,0))</f>
        <v>Papex</v>
      </c>
      <c r="F106" s="31" t="n">
        <v>1</v>
      </c>
      <c r="G106" s="13" t="n">
        <f aca="false">IF(INDEX(Articles!$G$2:$G$148,MATCH(C106,Articles!$A$2:$A$148,0))="","",INDEX(Articles!$G$2:$G$148,MATCH(C106,Articles!$A$2:$A$148,0)))</f>
        <v>750</v>
      </c>
      <c r="H106" s="13" t="n">
        <f aca="false">IF(G106="",0,F106*G106)</f>
        <v>750</v>
      </c>
      <c r="I106" s="13" t="n">
        <f aca="false">IF(INDEX(Articles!$E$2:$E$148,MATCH(C106,Articles!$A$2:$A$148,0))="","",INDEX(Articles!$E$2:$E$148,MATCH(C106,Articles!$A$2:$A$148,0)))</f>
        <v>650</v>
      </c>
      <c r="J106" s="13" t="n">
        <f aca="false">IF(I106="","",F106*I106)</f>
        <v>650</v>
      </c>
      <c r="K106" s="9" t="str">
        <f aca="false">INDEX(Articles!$H$2:$H$148,MATCH(C106,Articles!$A$2:$A$148,0))</f>
        <v>Fixé</v>
      </c>
      <c r="L106" s="9" t="str">
        <f aca="false">INDEX(Articles!$F$2:$F$148,MATCH(C106,Articles!$A$2:$A$148,0))</f>
        <v>Estimé</v>
      </c>
      <c r="M106" s="17" t="s">
        <v>763</v>
      </c>
      <c r="N106" s="9" t="s">
        <v>167</v>
      </c>
    </row>
    <row r="107" customFormat="false" ht="15" hidden="false" customHeight="false" outlineLevel="0" collapsed="false">
      <c r="A107" s="9" t="s">
        <v>671</v>
      </c>
      <c r="B107" s="9" t="s">
        <v>853</v>
      </c>
      <c r="C107" s="31" t="s">
        <v>213</v>
      </c>
      <c r="D107" s="9" t="str">
        <f aca="false">INDEX(Articles!$C$2:$C$148,MATCH(C107,Articles!$A$2:$A$148,0))</f>
        <v>Cahier Calligraphe 192 pages 24x32 (grand format)</v>
      </c>
      <c r="E107" s="9" t="str">
        <f aca="false">INDEX(Articles!$B$2:$B$148,MATCH(C107,Articles!$A$2:$A$148,0))</f>
        <v>Papex</v>
      </c>
      <c r="F107" s="31" t="n">
        <v>1</v>
      </c>
      <c r="G107" s="13" t="n">
        <f aca="false">IF(INDEX(Articles!$G$2:$G$148,MATCH(C107,Articles!$A$2:$A$148,0))="","",INDEX(Articles!$G$2:$G$148,MATCH(C107,Articles!$A$2:$A$148,0)))</f>
        <v>1650</v>
      </c>
      <c r="H107" s="13" t="n">
        <f aca="false">IF(G107="",0,F107*G107)</f>
        <v>1650</v>
      </c>
      <c r="I107" s="13" t="n">
        <f aca="false">IF(INDEX(Articles!$E$2:$E$148,MATCH(C107,Articles!$A$2:$A$148,0))="","",INDEX(Articles!$E$2:$E$148,MATCH(C107,Articles!$A$2:$A$148,0)))</f>
        <v>1500</v>
      </c>
      <c r="J107" s="13" t="n">
        <f aca="false">IF(I107="","",F107*I107)</f>
        <v>1500</v>
      </c>
      <c r="K107" s="9" t="str">
        <f aca="false">INDEX(Articles!$H$2:$H$148,MATCH(C107,Articles!$A$2:$A$148,0))</f>
        <v>Fixé</v>
      </c>
      <c r="L107" s="9" t="str">
        <f aca="false">INDEX(Articles!$F$2:$F$148,MATCH(C107,Articles!$A$2:$A$148,0))</f>
        <v>Confirmé</v>
      </c>
      <c r="M107" s="17"/>
      <c r="N107" s="9" t="s">
        <v>167</v>
      </c>
    </row>
    <row r="108" customFormat="false" ht="15" hidden="false" customHeight="false" outlineLevel="0" collapsed="false">
      <c r="A108" s="9" t="s">
        <v>671</v>
      </c>
      <c r="B108" s="9" t="s">
        <v>909</v>
      </c>
      <c r="C108" s="31" t="s">
        <v>213</v>
      </c>
      <c r="D108" s="9" t="str">
        <f aca="false">INDEX(Articles!$C$2:$C$148,MATCH(C108,Articles!$A$2:$A$148,0))</f>
        <v>Cahier Calligraphe 192 pages 24x32 (grand format)</v>
      </c>
      <c r="E108" s="9" t="str">
        <f aca="false">INDEX(Articles!$B$2:$B$148,MATCH(C108,Articles!$A$2:$A$148,0))</f>
        <v>Papex</v>
      </c>
      <c r="F108" s="31" t="n">
        <v>1</v>
      </c>
      <c r="G108" s="13" t="n">
        <f aca="false">IF(INDEX(Articles!$G$2:$G$148,MATCH(C108,Articles!$A$2:$A$148,0))="","",INDEX(Articles!$G$2:$G$148,MATCH(C108,Articles!$A$2:$A$148,0)))</f>
        <v>1650</v>
      </c>
      <c r="H108" s="13" t="n">
        <f aca="false">IF(G108="",0,F108*G108)</f>
        <v>1650</v>
      </c>
      <c r="I108" s="13" t="n">
        <f aca="false">IF(INDEX(Articles!$E$2:$E$148,MATCH(C108,Articles!$A$2:$A$148,0))="","",INDEX(Articles!$E$2:$E$148,MATCH(C108,Articles!$A$2:$A$148,0)))</f>
        <v>1500</v>
      </c>
      <c r="J108" s="13" t="n">
        <f aca="false">IF(I108="","",F108*I108)</f>
        <v>1500</v>
      </c>
      <c r="K108" s="9" t="str">
        <f aca="false">INDEX(Articles!$H$2:$H$148,MATCH(C108,Articles!$A$2:$A$148,0))</f>
        <v>Fixé</v>
      </c>
      <c r="L108" s="9" t="str">
        <f aca="false">INDEX(Articles!$F$2:$F$148,MATCH(C108,Articles!$A$2:$A$148,0))</f>
        <v>Confirmé</v>
      </c>
      <c r="M108" s="17"/>
      <c r="N108" s="9" t="s">
        <v>167</v>
      </c>
    </row>
    <row r="109" customFormat="false" ht="15" hidden="false" customHeight="false" outlineLevel="0" collapsed="false">
      <c r="A109" s="9" t="s">
        <v>671</v>
      </c>
      <c r="B109" s="9" t="s">
        <v>745</v>
      </c>
      <c r="C109" s="31" t="s">
        <v>213</v>
      </c>
      <c r="D109" s="9" t="str">
        <f aca="false">INDEX(Articles!$C$2:$C$148,MATCH(C109,Articles!$A$2:$A$148,0))</f>
        <v>Cahier Calligraphe 192 pages 24x32 (grand format)</v>
      </c>
      <c r="E109" s="9" t="str">
        <f aca="false">INDEX(Articles!$B$2:$B$148,MATCH(C109,Articles!$A$2:$A$148,0))</f>
        <v>Papex</v>
      </c>
      <c r="F109" s="31" t="n">
        <v>1</v>
      </c>
      <c r="G109" s="13" t="n">
        <f aca="false">IF(INDEX(Articles!$G$2:$G$148,MATCH(C109,Articles!$A$2:$A$148,0))="","",INDEX(Articles!$G$2:$G$148,MATCH(C109,Articles!$A$2:$A$148,0)))</f>
        <v>1650</v>
      </c>
      <c r="H109" s="13" t="n">
        <f aca="false">IF(G109="",0,F109*G109)</f>
        <v>1650</v>
      </c>
      <c r="I109" s="13" t="n">
        <f aca="false">IF(INDEX(Articles!$E$2:$E$148,MATCH(C109,Articles!$A$2:$A$148,0))="","",INDEX(Articles!$E$2:$E$148,MATCH(C109,Articles!$A$2:$A$148,0)))</f>
        <v>1500</v>
      </c>
      <c r="J109" s="13" t="n">
        <f aca="false">IF(I109="","",F109*I109)</f>
        <v>1500</v>
      </c>
      <c r="K109" s="9" t="str">
        <f aca="false">INDEX(Articles!$H$2:$H$148,MATCH(C109,Articles!$A$2:$A$148,0))</f>
        <v>Fixé</v>
      </c>
      <c r="L109" s="9" t="str">
        <f aca="false">INDEX(Articles!$F$2:$F$148,MATCH(C109,Articles!$A$2:$A$148,0))</f>
        <v>Confirmé</v>
      </c>
      <c r="M109" s="17"/>
      <c r="N109" s="9" t="s">
        <v>167</v>
      </c>
    </row>
    <row r="110" customFormat="false" ht="15" hidden="false" customHeight="false" outlineLevel="0" collapsed="false">
      <c r="A110" s="9" t="s">
        <v>671</v>
      </c>
      <c r="B110" s="9" t="s">
        <v>855</v>
      </c>
      <c r="C110" s="31" t="s">
        <v>208</v>
      </c>
      <c r="D110" s="9" t="str">
        <f aca="false">INDEX(Articles!$C$2:$C$148,MATCH(C110,Articles!$A$2:$A$148,0))</f>
        <v>Cahier Calligraphe 96 pages 24x32 (grand format)</v>
      </c>
      <c r="E110" s="9" t="str">
        <f aca="false">INDEX(Articles!$B$2:$B$148,MATCH(C110,Articles!$A$2:$A$148,0))</f>
        <v>Papex</v>
      </c>
      <c r="F110" s="31" t="n">
        <v>1</v>
      </c>
      <c r="G110" s="13" t="n">
        <f aca="false">IF(INDEX(Articles!$G$2:$G$148,MATCH(C110,Articles!$A$2:$A$148,0))="","",INDEX(Articles!$G$2:$G$148,MATCH(C110,Articles!$A$2:$A$148,0)))</f>
        <v>1350</v>
      </c>
      <c r="H110" s="13" t="n">
        <f aca="false">IF(G110="",0,F110*G110)</f>
        <v>1350</v>
      </c>
      <c r="I110" s="13" t="n">
        <f aca="false">IF(INDEX(Articles!$E$2:$E$148,MATCH(C110,Articles!$A$2:$A$148,0))="","",INDEX(Articles!$E$2:$E$148,MATCH(C110,Articles!$A$2:$A$148,0)))</f>
        <v>1000</v>
      </c>
      <c r="J110" s="13" t="n">
        <f aca="false">IF(I110="","",F110*I110)</f>
        <v>1000</v>
      </c>
      <c r="K110" s="9" t="str">
        <f aca="false">INDEX(Articles!$H$2:$H$148,MATCH(C110,Articles!$A$2:$A$148,0))</f>
        <v>Fixé</v>
      </c>
      <c r="L110" s="9" t="str">
        <f aca="false">INDEX(Articles!$F$2:$F$148,MATCH(C110,Articles!$A$2:$A$148,0))</f>
        <v>Confirmé</v>
      </c>
      <c r="M110" s="17"/>
      <c r="N110" s="9" t="s">
        <v>167</v>
      </c>
    </row>
    <row r="111" customFormat="false" ht="15" hidden="false" customHeight="false" outlineLevel="0" collapsed="false">
      <c r="A111" s="9" t="s">
        <v>671</v>
      </c>
      <c r="B111" s="9" t="s">
        <v>856</v>
      </c>
      <c r="C111" s="31" t="s">
        <v>213</v>
      </c>
      <c r="D111" s="9" t="str">
        <f aca="false">INDEX(Articles!$C$2:$C$148,MATCH(C111,Articles!$A$2:$A$148,0))</f>
        <v>Cahier Calligraphe 192 pages 24x32 (grand format)</v>
      </c>
      <c r="E111" s="9" t="str">
        <f aca="false">INDEX(Articles!$B$2:$B$148,MATCH(C111,Articles!$A$2:$A$148,0))</f>
        <v>Papex</v>
      </c>
      <c r="F111" s="31" t="n">
        <v>1</v>
      </c>
      <c r="G111" s="13" t="n">
        <f aca="false">IF(INDEX(Articles!$G$2:$G$148,MATCH(C111,Articles!$A$2:$A$148,0))="","",INDEX(Articles!$G$2:$G$148,MATCH(C111,Articles!$A$2:$A$148,0)))</f>
        <v>1650</v>
      </c>
      <c r="H111" s="13" t="n">
        <f aca="false">IF(G111="",0,F111*G111)</f>
        <v>1650</v>
      </c>
      <c r="I111" s="13" t="n">
        <f aca="false">IF(INDEX(Articles!$E$2:$E$148,MATCH(C111,Articles!$A$2:$A$148,0))="","",INDEX(Articles!$E$2:$E$148,MATCH(C111,Articles!$A$2:$A$148,0)))</f>
        <v>1500</v>
      </c>
      <c r="J111" s="13" t="n">
        <f aca="false">IF(I111="","",F111*I111)</f>
        <v>1500</v>
      </c>
      <c r="K111" s="9" t="str">
        <f aca="false">INDEX(Articles!$H$2:$H$148,MATCH(C111,Articles!$A$2:$A$148,0))</f>
        <v>Fixé</v>
      </c>
      <c r="L111" s="9" t="str">
        <f aca="false">INDEX(Articles!$F$2:$F$148,MATCH(C111,Articles!$A$2:$A$148,0))</f>
        <v>Confirmé</v>
      </c>
      <c r="M111" s="17"/>
      <c r="N111" s="9" t="s">
        <v>167</v>
      </c>
    </row>
    <row r="112" customFormat="false" ht="15" hidden="false" customHeight="false" outlineLevel="0" collapsed="false">
      <c r="A112" s="9" t="s">
        <v>671</v>
      </c>
      <c r="B112" s="9" t="s">
        <v>857</v>
      </c>
      <c r="C112" s="31" t="s">
        <v>366</v>
      </c>
      <c r="D112" s="9" t="str">
        <f aca="false">INDEX(Articles!$C$2:$C$148,MATCH(C112,Articles!$A$2:$A$148,0))</f>
        <v>Cahier Calligraphe 140 pages 17x22 90 g seyès</v>
      </c>
      <c r="E112" s="9" t="str">
        <f aca="false">INDEX(Articles!$B$2:$B$148,MATCH(C112,Articles!$A$2:$A$148,0))</f>
        <v>Papex</v>
      </c>
      <c r="F112" s="31" t="n">
        <v>1</v>
      </c>
      <c r="G112" s="13" t="n">
        <f aca="false">IF(INDEX(Articles!$G$2:$G$148,MATCH(C112,Articles!$A$2:$A$148,0))="","",INDEX(Articles!$G$2:$G$148,MATCH(C112,Articles!$A$2:$A$148,0)))</f>
        <v>750</v>
      </c>
      <c r="H112" s="13" t="n">
        <f aca="false">IF(G112="",0,F112*G112)</f>
        <v>750</v>
      </c>
      <c r="I112" s="13" t="n">
        <f aca="false">IF(INDEX(Articles!$E$2:$E$148,MATCH(C112,Articles!$A$2:$A$148,0))="","",INDEX(Articles!$E$2:$E$148,MATCH(C112,Articles!$A$2:$A$148,0)))</f>
        <v>650</v>
      </c>
      <c r="J112" s="13" t="n">
        <f aca="false">IF(I112="","",F112*I112)</f>
        <v>650</v>
      </c>
      <c r="K112" s="9" t="str">
        <f aca="false">INDEX(Articles!$H$2:$H$148,MATCH(C112,Articles!$A$2:$A$148,0))</f>
        <v>Fixé</v>
      </c>
      <c r="L112" s="9" t="str">
        <f aca="false">INDEX(Articles!$F$2:$F$148,MATCH(C112,Articles!$A$2:$A$148,0))</f>
        <v>Estimé</v>
      </c>
      <c r="M112" s="17" t="s">
        <v>763</v>
      </c>
      <c r="N112" s="9" t="s">
        <v>167</v>
      </c>
    </row>
    <row r="113" customFormat="false" ht="15" hidden="false" customHeight="false" outlineLevel="0" collapsed="false">
      <c r="A113" s="9" t="s">
        <v>678</v>
      </c>
      <c r="B113" s="9" t="s">
        <v>749</v>
      </c>
      <c r="C113" s="31" t="s">
        <v>222</v>
      </c>
      <c r="D113" s="9" t="str">
        <f aca="false">INDEX(Articles!$C$2:$C$148,MATCH(C113,Articles!$A$2:$A$148,0))</f>
        <v>Pack de 4 stylos Schneider Tops 505 M (bleu, noir, rouge, vert)</v>
      </c>
      <c r="E113" s="9" t="str">
        <f aca="false">INDEX(Articles!$B$2:$B$148,MATCH(C113,Articles!$A$2:$A$148,0))</f>
        <v>Papex</v>
      </c>
      <c r="F113" s="31" t="n">
        <v>1</v>
      </c>
      <c r="G113" s="13" t="n">
        <f aca="false">IF(INDEX(Articles!$G$2:$G$148,MATCH(C113,Articles!$A$2:$A$148,0))="","",INDEX(Articles!$G$2:$G$148,MATCH(C113,Articles!$A$2:$A$148,0)))</f>
        <v>400</v>
      </c>
      <c r="H113" s="13" t="n">
        <f aca="false">IF(G113="",0,F113*G113)</f>
        <v>400</v>
      </c>
      <c r="I113" s="13" t="str">
        <f aca="false">IF(INDEX(Articles!$E$2:$E$148,MATCH(C113,Articles!$A$2:$A$148,0))="","",INDEX(Articles!$E$2:$E$148,MATCH(C113,Articles!$A$2:$A$148,0)))</f>
        <v/>
      </c>
      <c r="J113" s="13" t="str">
        <f aca="false">IF(I113="","",F113*I113)</f>
        <v/>
      </c>
      <c r="K113" s="9" t="str">
        <f aca="false">INDEX(Articles!$H$2:$H$148,MATCH(C113,Articles!$A$2:$A$148,0))</f>
        <v>Fixé</v>
      </c>
      <c r="L113" s="9" t="str">
        <f aca="false">INDEX(Articles!$F$2:$F$148,MATCH(C113,Articles!$A$2:$A$148,0))</f>
        <v>Inconnu</v>
      </c>
      <c r="M113" s="17" t="s">
        <v>432</v>
      </c>
      <c r="N113" s="9" t="s">
        <v>167</v>
      </c>
    </row>
    <row r="114" customFormat="false" ht="15" hidden="false" customHeight="false" outlineLevel="0" collapsed="false">
      <c r="A114" s="9" t="s">
        <v>678</v>
      </c>
      <c r="B114" s="9" t="s">
        <v>750</v>
      </c>
      <c r="C114" s="31" t="s">
        <v>235</v>
      </c>
      <c r="D114" s="9" t="str">
        <f aca="false">INDEX(Articles!$C$2:$C$148,MATCH(C114,Articles!$A$2:$A$148,0))</f>
        <v>Crayon papier (vendu à l'unité)</v>
      </c>
      <c r="E114" s="9" t="str">
        <f aca="false">INDEX(Articles!$B$2:$B$148,MATCH(C114,Articles!$A$2:$A$148,0))</f>
        <v>LPD</v>
      </c>
      <c r="F114" s="31" t="n">
        <v>1</v>
      </c>
      <c r="G114" s="13" t="n">
        <f aca="false">IF(INDEX(Articles!$G$2:$G$148,MATCH(C114,Articles!$A$2:$A$148,0))="","",INDEX(Articles!$G$2:$G$148,MATCH(C114,Articles!$A$2:$A$148,0)))</f>
        <v>75</v>
      </c>
      <c r="H114" s="13" t="n">
        <f aca="false">IF(G114="",0,F114*G114)</f>
        <v>75</v>
      </c>
      <c r="I114" s="13" t="str">
        <f aca="false">IF(INDEX(Articles!$E$2:$E$148,MATCH(C114,Articles!$A$2:$A$148,0))="","",INDEX(Articles!$E$2:$E$148,MATCH(C114,Articles!$A$2:$A$148,0)))</f>
        <v/>
      </c>
      <c r="J114" s="13" t="str">
        <f aca="false">IF(I114="","",F114*I114)</f>
        <v/>
      </c>
      <c r="K114" s="9" t="str">
        <f aca="false">INDEX(Articles!$H$2:$H$148,MATCH(C114,Articles!$A$2:$A$148,0))</f>
        <v>Fixé</v>
      </c>
      <c r="L114" s="9" t="str">
        <f aca="false">INDEX(Articles!$F$2:$F$148,MATCH(C114,Articles!$A$2:$A$148,0))</f>
        <v>Inconnu</v>
      </c>
      <c r="M114" s="17"/>
      <c r="N114" s="9" t="s">
        <v>167</v>
      </c>
    </row>
    <row r="115" customFormat="false" ht="15" hidden="false" customHeight="false" outlineLevel="0" collapsed="false">
      <c r="A115" s="9" t="s">
        <v>675</v>
      </c>
      <c r="B115" s="9" t="s">
        <v>717</v>
      </c>
      <c r="C115" s="31" t="s">
        <v>180</v>
      </c>
      <c r="D115" s="9" t="str">
        <f aca="false">INDEX(Articles!$C$2:$C$148,MATCH(C115,Articles!$A$2:$A$148,0))</f>
        <v>Gomme Staedtler Mars Plastic</v>
      </c>
      <c r="E115" s="9" t="str">
        <f aca="false">INDEX(Articles!$B$2:$B$148,MATCH(C115,Articles!$A$2:$A$148,0))</f>
        <v>LPD</v>
      </c>
      <c r="F115" s="31" t="n">
        <v>1</v>
      </c>
      <c r="G115" s="13" t="n">
        <f aca="false">IF(INDEX(Articles!$G$2:$G$148,MATCH(C115,Articles!$A$2:$A$148,0))="","",INDEX(Articles!$G$2:$G$148,MATCH(C115,Articles!$A$2:$A$148,0)))</f>
        <v>250</v>
      </c>
      <c r="H115" s="13" t="n">
        <f aca="false">IF(G115="",0,F115*G115)</f>
        <v>250</v>
      </c>
      <c r="I115" s="13" t="n">
        <f aca="false">IF(INDEX(Articles!$E$2:$E$148,MATCH(C115,Articles!$A$2:$A$148,0))="","",INDEX(Articles!$E$2:$E$148,MATCH(C115,Articles!$A$2:$A$148,0)))</f>
        <v>110</v>
      </c>
      <c r="J115" s="13" t="n">
        <f aca="false">IF(I115="","",F115*I115)</f>
        <v>110</v>
      </c>
      <c r="K115" s="9" t="str">
        <f aca="false">INDEX(Articles!$H$2:$H$148,MATCH(C115,Articles!$A$2:$A$148,0))</f>
        <v>Fixé</v>
      </c>
      <c r="L115" s="9" t="str">
        <f aca="false">INDEX(Articles!$F$2:$F$148,MATCH(C115,Articles!$A$2:$A$148,0))</f>
        <v>Estimé</v>
      </c>
      <c r="M115" s="17"/>
      <c r="N115" s="9" t="s">
        <v>167</v>
      </c>
    </row>
    <row r="116" customFormat="false" ht="15" hidden="false" customHeight="false" outlineLevel="0" collapsed="false">
      <c r="A116" s="9" t="s">
        <v>675</v>
      </c>
      <c r="B116" s="9" t="s">
        <v>751</v>
      </c>
      <c r="C116" s="31" t="s">
        <v>183</v>
      </c>
      <c r="D116" s="9" t="str">
        <f aca="false">INDEX(Articles!$C$2:$C$148,MATCH(C116,Articles!$A$2:$A$148,0))</f>
        <v>Taille-crayon avec réservoir Maped</v>
      </c>
      <c r="E116" s="9" t="str">
        <f aca="false">INDEX(Articles!$B$2:$B$148,MATCH(C116,Articles!$A$2:$A$148,0))</f>
        <v>Papex</v>
      </c>
      <c r="F116" s="31" t="n">
        <v>1</v>
      </c>
      <c r="G116" s="13" t="n">
        <f aca="false">IF(INDEX(Articles!$G$2:$G$148,MATCH(C116,Articles!$A$2:$A$148,0))="","",INDEX(Articles!$G$2:$G$148,MATCH(C116,Articles!$A$2:$A$148,0)))</f>
        <v>500</v>
      </c>
      <c r="H116" s="13" t="n">
        <f aca="false">IF(G116="",0,F116*G116)</f>
        <v>500</v>
      </c>
      <c r="I116" s="13" t="n">
        <f aca="false">IF(INDEX(Articles!$E$2:$E$148,MATCH(C116,Articles!$A$2:$A$148,0))="","",INDEX(Articles!$E$2:$E$148,MATCH(C116,Articles!$A$2:$A$148,0)))</f>
        <v>350</v>
      </c>
      <c r="J116" s="13" t="n">
        <f aca="false">IF(I116="","",F116*I116)</f>
        <v>350</v>
      </c>
      <c r="K116" s="9" t="str">
        <f aca="false">INDEX(Articles!$H$2:$H$148,MATCH(C116,Articles!$A$2:$A$148,0))</f>
        <v>Estimé</v>
      </c>
      <c r="L116" s="9" t="str">
        <f aca="false">INDEX(Articles!$F$2:$F$148,MATCH(C116,Articles!$A$2:$A$148,0))</f>
        <v>Estimé</v>
      </c>
      <c r="M116" s="17" t="s">
        <v>765</v>
      </c>
      <c r="N116" s="9" t="s">
        <v>167</v>
      </c>
    </row>
    <row r="117" customFormat="false" ht="15" hidden="false" customHeight="false" outlineLevel="0" collapsed="false">
      <c r="A117" s="9" t="s">
        <v>675</v>
      </c>
      <c r="B117" s="9" t="s">
        <v>753</v>
      </c>
      <c r="C117" s="31" t="s">
        <v>248</v>
      </c>
      <c r="D117" s="9" t="str">
        <f aca="false">INDEX(Articles!$C$2:$C$148,MATCH(C117,Articles!$A$2:$A$148,0))</f>
        <v>Bâton de colle Giotto 20 g</v>
      </c>
      <c r="E117" s="9" t="str">
        <f aca="false">INDEX(Articles!$B$2:$B$148,MATCH(C117,Articles!$A$2:$A$148,0))</f>
        <v>Papex</v>
      </c>
      <c r="F117" s="31" t="n">
        <v>1</v>
      </c>
      <c r="G117" s="13" t="n">
        <f aca="false">IF(INDEX(Articles!$G$2:$G$148,MATCH(C117,Articles!$A$2:$A$148,0))="","",INDEX(Articles!$G$2:$G$148,MATCH(C117,Articles!$A$2:$A$148,0)))</f>
        <v>900</v>
      </c>
      <c r="H117" s="13" t="n">
        <f aca="false">IF(G117="",0,F117*G117)</f>
        <v>900</v>
      </c>
      <c r="I117" s="13" t="n">
        <f aca="false">IF(INDEX(Articles!$E$2:$E$148,MATCH(C117,Articles!$A$2:$A$148,0))="","",INDEX(Articles!$E$2:$E$148,MATCH(C117,Articles!$A$2:$A$148,0)))</f>
        <v>650</v>
      </c>
      <c r="J117" s="13" t="n">
        <f aca="false">IF(I117="","",F117*I117)</f>
        <v>650</v>
      </c>
      <c r="K117" s="9" t="str">
        <f aca="false">INDEX(Articles!$H$2:$H$148,MATCH(C117,Articles!$A$2:$A$148,0))</f>
        <v>Estimé</v>
      </c>
      <c r="L117" s="9" t="str">
        <f aca="false">INDEX(Articles!$F$2:$F$148,MATCH(C117,Articles!$A$2:$A$148,0))</f>
        <v>Estimé</v>
      </c>
      <c r="M117" s="17"/>
      <c r="N117" s="9" t="s">
        <v>167</v>
      </c>
    </row>
    <row r="118" customFormat="false" ht="15" hidden="false" customHeight="false" outlineLevel="0" collapsed="false">
      <c r="A118" s="9" t="s">
        <v>675</v>
      </c>
      <c r="B118" s="9" t="s">
        <v>754</v>
      </c>
      <c r="C118" s="31" t="s">
        <v>189</v>
      </c>
      <c r="D118" s="9" t="str">
        <f aca="false">INDEX(Articles!$C$2:$C$148,MATCH(C118,Articles!$A$2:$A$148,0))</f>
        <v>Ciseaux Maped 13 cm Security</v>
      </c>
      <c r="E118" s="9" t="str">
        <f aca="false">INDEX(Articles!$B$2:$B$148,MATCH(C118,Articles!$A$2:$A$148,0))</f>
        <v>Papex</v>
      </c>
      <c r="F118" s="31" t="n">
        <v>1</v>
      </c>
      <c r="G118" s="13" t="n">
        <f aca="false">IF(INDEX(Articles!$G$2:$G$148,MATCH(C118,Articles!$A$2:$A$148,0))="","",INDEX(Articles!$G$2:$G$148,MATCH(C118,Articles!$A$2:$A$148,0)))</f>
        <v>900</v>
      </c>
      <c r="H118" s="13" t="n">
        <f aca="false">IF(G118="",0,F118*G118)</f>
        <v>900</v>
      </c>
      <c r="I118" s="13" t="n">
        <f aca="false">IF(INDEX(Articles!$E$2:$E$148,MATCH(C118,Articles!$A$2:$A$148,0))="","",INDEX(Articles!$E$2:$E$148,MATCH(C118,Articles!$A$2:$A$148,0)))</f>
        <v>650</v>
      </c>
      <c r="J118" s="13" t="n">
        <f aca="false">IF(I118="","",F118*I118)</f>
        <v>650</v>
      </c>
      <c r="K118" s="9" t="str">
        <f aca="false">INDEX(Articles!$H$2:$H$148,MATCH(C118,Articles!$A$2:$A$148,0))</f>
        <v>Estimé</v>
      </c>
      <c r="L118" s="9" t="str">
        <f aca="false">INDEX(Articles!$F$2:$F$148,MATCH(C118,Articles!$A$2:$A$148,0))</f>
        <v>Estimé</v>
      </c>
      <c r="M118" s="17"/>
      <c r="N118" s="9" t="s">
        <v>167</v>
      </c>
    </row>
    <row r="119" customFormat="false" ht="15" hidden="false" customHeight="false" outlineLevel="0" collapsed="false">
      <c r="A119" s="9" t="s">
        <v>676</v>
      </c>
      <c r="B119" s="9" t="s">
        <v>755</v>
      </c>
      <c r="C119" s="31" t="s">
        <v>215</v>
      </c>
      <c r="D119" s="9" t="str">
        <f aca="false">INDEX(Articles!$C$2:$C$148,MATCH(C119,Articles!$A$2:$A$148,0))</f>
        <v>Kit géométrie Maped 30 cm (réf. 1930)</v>
      </c>
      <c r="E119" s="9" t="str">
        <f aca="false">INDEX(Articles!$B$2:$B$148,MATCH(C119,Articles!$A$2:$A$148,0))</f>
        <v>LPD</v>
      </c>
      <c r="F119" s="31" t="n">
        <v>1</v>
      </c>
      <c r="G119" s="13" t="n">
        <f aca="false">IF(INDEX(Articles!$G$2:$G$148,MATCH(C119,Articles!$A$2:$A$148,0))="","",INDEX(Articles!$G$2:$G$148,MATCH(C119,Articles!$A$2:$A$148,0)))</f>
        <v>1800</v>
      </c>
      <c r="H119" s="13" t="n">
        <f aca="false">IF(G119="",0,F119*G119)</f>
        <v>1800</v>
      </c>
      <c r="I119" s="13" t="n">
        <f aca="false">IF(INDEX(Articles!$E$2:$E$148,MATCH(C119,Articles!$A$2:$A$148,0))="","",INDEX(Articles!$E$2:$E$148,MATCH(C119,Articles!$A$2:$A$148,0)))</f>
        <v>1500</v>
      </c>
      <c r="J119" s="13" t="n">
        <f aca="false">IF(I119="","",F119*I119)</f>
        <v>1500</v>
      </c>
      <c r="K119" s="9" t="str">
        <f aca="false">INDEX(Articles!$H$2:$H$148,MATCH(C119,Articles!$A$2:$A$148,0))</f>
        <v>À trancher</v>
      </c>
      <c r="L119" s="9" t="str">
        <f aca="false">INDEX(Articles!$F$2:$F$148,MATCH(C119,Articles!$A$2:$A$148,0))</f>
        <v>Confirmé</v>
      </c>
      <c r="M119" s="17"/>
      <c r="N119" s="9" t="s">
        <v>167</v>
      </c>
    </row>
    <row r="120" customFormat="false" ht="15" hidden="false" customHeight="false" outlineLevel="0" collapsed="false">
      <c r="A120" s="9" t="s">
        <v>676</v>
      </c>
      <c r="B120" s="9" t="s">
        <v>756</v>
      </c>
      <c r="C120" s="31" t="s">
        <v>171</v>
      </c>
      <c r="D120" s="9" t="str">
        <f aca="false">INDEX(Articles!$C$2:$C$148,MATCH(C120,Articles!$A$2:$A$148,0))</f>
        <v>Compas Maped</v>
      </c>
      <c r="E120" s="9" t="str">
        <f aca="false">INDEX(Articles!$B$2:$B$148,MATCH(C120,Articles!$A$2:$A$148,0))</f>
        <v>Papex</v>
      </c>
      <c r="F120" s="31" t="n">
        <v>1</v>
      </c>
      <c r="G120" s="13" t="n">
        <f aca="false">IF(INDEX(Articles!$G$2:$G$148,MATCH(C120,Articles!$A$2:$A$148,0))="","",INDEX(Articles!$G$2:$G$148,MATCH(C120,Articles!$A$2:$A$148,0)))</f>
        <v>2000</v>
      </c>
      <c r="H120" s="13" t="n">
        <f aca="false">IF(G120="",0,F120*G120)</f>
        <v>2000</v>
      </c>
      <c r="I120" s="13" t="n">
        <f aca="false">IF(INDEX(Articles!$E$2:$E$148,MATCH(C120,Articles!$A$2:$A$148,0))="","",INDEX(Articles!$E$2:$E$148,MATCH(C120,Articles!$A$2:$A$148,0)))</f>
        <v>1750</v>
      </c>
      <c r="J120" s="13" t="n">
        <f aca="false">IF(I120="","",F120*I120)</f>
        <v>1750</v>
      </c>
      <c r="K120" s="9" t="str">
        <f aca="false">INDEX(Articles!$H$2:$H$148,MATCH(C120,Articles!$A$2:$A$148,0))</f>
        <v>Fixé</v>
      </c>
      <c r="L120" s="9" t="str">
        <f aca="false">INDEX(Articles!$F$2:$F$148,MATCH(C120,Articles!$A$2:$A$148,0))</f>
        <v>Confirmé</v>
      </c>
      <c r="M120" s="17"/>
      <c r="N120" s="9" t="s">
        <v>167</v>
      </c>
    </row>
    <row r="121" customFormat="false" ht="15" hidden="false" customHeight="false" outlineLevel="0" collapsed="false">
      <c r="A121" s="9" t="s">
        <v>681</v>
      </c>
      <c r="B121" s="9" t="s">
        <v>757</v>
      </c>
      <c r="C121" s="31" t="s">
        <v>198</v>
      </c>
      <c r="D121" s="9" t="str">
        <f aca="false">INDEX(Articles!$C$2:$C$148,MATCH(C121,Articles!$A$2:$A$148,0))</f>
        <v>Crayons de couleur Maped, boîte de 12</v>
      </c>
      <c r="E121" s="9" t="str">
        <f aca="false">INDEX(Articles!$B$2:$B$148,MATCH(C121,Articles!$A$2:$A$148,0))</f>
        <v>Papex</v>
      </c>
      <c r="F121" s="31" t="n">
        <v>1</v>
      </c>
      <c r="G121" s="13" t="n">
        <f aca="false">IF(INDEX(Articles!$G$2:$G$148,MATCH(C121,Articles!$A$2:$A$148,0))="","",INDEX(Articles!$G$2:$G$148,MATCH(C121,Articles!$A$2:$A$148,0)))</f>
        <v>900</v>
      </c>
      <c r="H121" s="13" t="n">
        <f aca="false">IF(G121="",0,F121*G121)</f>
        <v>900</v>
      </c>
      <c r="I121" s="13" t="n">
        <f aca="false">IF(INDEX(Articles!$E$2:$E$148,MATCH(C121,Articles!$A$2:$A$148,0))="","",INDEX(Articles!$E$2:$E$148,MATCH(C121,Articles!$A$2:$A$148,0)))</f>
        <v>650</v>
      </c>
      <c r="J121" s="13" t="n">
        <f aca="false">IF(I121="","",F121*I121)</f>
        <v>650</v>
      </c>
      <c r="K121" s="9" t="str">
        <f aca="false">INDEX(Articles!$H$2:$H$148,MATCH(C121,Articles!$A$2:$A$148,0))</f>
        <v>Estimé</v>
      </c>
      <c r="L121" s="9" t="str">
        <f aca="false">INDEX(Articles!$F$2:$F$148,MATCH(C121,Articles!$A$2:$A$148,0))</f>
        <v>Estimé</v>
      </c>
      <c r="M121" s="17"/>
      <c r="N121" s="9" t="s">
        <v>167</v>
      </c>
    </row>
    <row r="122" customFormat="false" ht="15" hidden="false" customHeight="false" outlineLevel="0" collapsed="false">
      <c r="A122" s="9" t="s">
        <v>678</v>
      </c>
      <c r="B122" s="9" t="s">
        <v>766</v>
      </c>
      <c r="C122" s="31" t="s">
        <v>200</v>
      </c>
      <c r="D122" s="9" t="str">
        <f aca="false">INDEX(Articles!$C$2:$C$148,MATCH(C122,Articles!$A$2:$A$148,0))</f>
        <v>Surligneurs Maped Fluo Peps, pochette de 4</v>
      </c>
      <c r="E122" s="9" t="str">
        <f aca="false">INDEX(Articles!$B$2:$B$148,MATCH(C122,Articles!$A$2:$A$148,0))</f>
        <v>Papex</v>
      </c>
      <c r="F122" s="31" t="n">
        <v>1</v>
      </c>
      <c r="G122" s="13" t="n">
        <f aca="false">IF(INDEX(Articles!$G$2:$G$148,MATCH(C122,Articles!$A$2:$A$148,0))="","",INDEX(Articles!$G$2:$G$148,MATCH(C122,Articles!$A$2:$A$148,0)))</f>
        <v>2500</v>
      </c>
      <c r="H122" s="13" t="n">
        <f aca="false">IF(G122="",0,F122*G122)</f>
        <v>2500</v>
      </c>
      <c r="I122" s="13" t="n">
        <f aca="false">IF(INDEX(Articles!$E$2:$E$148,MATCH(C122,Articles!$A$2:$A$148,0))="","",INDEX(Articles!$E$2:$E$148,MATCH(C122,Articles!$A$2:$A$148,0)))</f>
        <v>2000</v>
      </c>
      <c r="J122" s="13" t="n">
        <f aca="false">IF(I122="","",F122*I122)</f>
        <v>2000</v>
      </c>
      <c r="K122" s="9" t="str">
        <f aca="false">INDEX(Articles!$H$2:$H$148,MATCH(C122,Articles!$A$2:$A$148,0))</f>
        <v>Estimé</v>
      </c>
      <c r="L122" s="9" t="str">
        <f aca="false">INDEX(Articles!$F$2:$F$148,MATCH(C122,Articles!$A$2:$A$148,0))</f>
        <v>Confirmé</v>
      </c>
      <c r="M122" s="17" t="s">
        <v>767</v>
      </c>
      <c r="N122" s="9" t="s">
        <v>167</v>
      </c>
    </row>
    <row r="123" customFormat="false" ht="15" hidden="false" customHeight="false" outlineLevel="0" collapsed="false">
      <c r="A123" s="9" t="s">
        <v>768</v>
      </c>
      <c r="B123" s="9" t="s">
        <v>769</v>
      </c>
      <c r="C123" s="31" t="s">
        <v>446</v>
      </c>
      <c r="D123" s="9" t="str">
        <f aca="false">INDEX(Articles!$C$2:$C$148,MATCH(C123,Articles!$A$2:$A$148,0))</f>
        <v>Chemise 3 rabats à élastique</v>
      </c>
      <c r="E123" s="9" t="str">
        <f aca="false">INDEX(Articles!$B$2:$B$148,MATCH(C123,Articles!$A$2:$A$148,0))</f>
        <v>Papex</v>
      </c>
      <c r="F123" s="31" t="n">
        <v>1</v>
      </c>
      <c r="G123" s="13" t="n">
        <f aca="false">IF(INDEX(Articles!$G$2:$G$148,MATCH(C123,Articles!$A$2:$A$148,0))="","",INDEX(Articles!$G$2:$G$148,MATCH(C123,Articles!$A$2:$A$148,0)))</f>
        <v>500</v>
      </c>
      <c r="H123" s="13" t="n">
        <f aca="false">IF(G123="",0,F123*G123)</f>
        <v>500</v>
      </c>
      <c r="I123" s="13" t="str">
        <f aca="false">IF(INDEX(Articles!$E$2:$E$148,MATCH(C123,Articles!$A$2:$A$148,0))="","",INDEX(Articles!$E$2:$E$148,MATCH(C123,Articles!$A$2:$A$148,0)))</f>
        <v/>
      </c>
      <c r="J123" s="13" t="str">
        <f aca="false">IF(I123="","",F123*I123)</f>
        <v/>
      </c>
      <c r="K123" s="9" t="str">
        <f aca="false">INDEX(Articles!$H$2:$H$148,MATCH(C123,Articles!$A$2:$A$148,0))</f>
        <v>Estimé</v>
      </c>
      <c r="L123" s="9" t="str">
        <f aca="false">INDEX(Articles!$F$2:$F$148,MATCH(C123,Articles!$A$2:$A$148,0))</f>
        <v>Inconnu</v>
      </c>
      <c r="M123" s="17" t="s">
        <v>770</v>
      </c>
      <c r="N123" s="9" t="s">
        <v>167</v>
      </c>
    </row>
    <row r="124" customFormat="false" ht="15" hidden="false" customHeight="false" outlineLevel="0" collapsed="false">
      <c r="A124" s="9" t="s">
        <v>676</v>
      </c>
      <c r="B124" s="9" t="s">
        <v>812</v>
      </c>
      <c r="C124" s="31" t="s">
        <v>205</v>
      </c>
      <c r="D124" s="9" t="str">
        <f aca="false">INDEX(Articles!$C$2:$C$148,MATCH(C124,Articles!$A$2:$A$148,0))</f>
        <v>Calculatrice Casio fx-92 Collège</v>
      </c>
      <c r="E124" s="9" t="str">
        <f aca="false">INDEX(Articles!$B$2:$B$148,MATCH(C124,Articles!$A$2:$A$148,0))</f>
        <v>Papex</v>
      </c>
      <c r="F124" s="31" t="n">
        <v>1</v>
      </c>
      <c r="G124" s="13" t="n">
        <f aca="false">IF(INDEX(Articles!$G$2:$G$148,MATCH(C124,Articles!$A$2:$A$148,0))="","",INDEX(Articles!$G$2:$G$148,MATCH(C124,Articles!$A$2:$A$148,0)))</f>
        <v>8000</v>
      </c>
      <c r="H124" s="13" t="n">
        <f aca="false">IF(G124="",0,F124*G124)</f>
        <v>8000</v>
      </c>
      <c r="I124" s="13" t="n">
        <f aca="false">IF(INDEX(Articles!$E$2:$E$148,MATCH(C124,Articles!$A$2:$A$148,0))="","",INDEX(Articles!$E$2:$E$148,MATCH(C124,Articles!$A$2:$A$148,0)))</f>
        <v>7000</v>
      </c>
      <c r="J124" s="13" t="n">
        <f aca="false">IF(I124="","",F124*I124)</f>
        <v>7000</v>
      </c>
      <c r="K124" s="9" t="str">
        <f aca="false">INDEX(Articles!$H$2:$H$148,MATCH(C124,Articles!$A$2:$A$148,0))</f>
        <v>Fixé</v>
      </c>
      <c r="L124" s="9" t="str">
        <f aca="false">INDEX(Articles!$F$2:$F$148,MATCH(C124,Articles!$A$2:$A$148,0))</f>
        <v>Confirmé</v>
      </c>
      <c r="M124" s="17" t="s">
        <v>820</v>
      </c>
      <c r="N124" s="9" t="s">
        <v>167</v>
      </c>
    </row>
    <row r="125" customFormat="false" ht="15" hidden="false" customHeight="false" outlineLevel="0" collapsed="false">
      <c r="A125" s="9" t="s">
        <v>768</v>
      </c>
      <c r="B125" s="9" t="s">
        <v>861</v>
      </c>
      <c r="C125" s="31" t="s">
        <v>246</v>
      </c>
      <c r="D125" s="9" t="str">
        <f aca="false">INDEX(Articles!$C$2:$C$148,MATCH(C125,Articles!$A$2:$A$148,0))</f>
        <v>Protège-documents porte-vues</v>
      </c>
      <c r="E125" s="9" t="str">
        <f aca="false">INDEX(Articles!$B$2:$B$148,MATCH(C125,Articles!$A$2:$A$148,0))</f>
        <v>LPD</v>
      </c>
      <c r="F125" s="31" t="n">
        <v>1</v>
      </c>
      <c r="G125" s="13" t="n">
        <f aca="false">IF(INDEX(Articles!$G$2:$G$148,MATCH(C125,Articles!$A$2:$A$148,0))="","",INDEX(Articles!$G$2:$G$148,MATCH(C125,Articles!$A$2:$A$148,0)))</f>
        <v>1150</v>
      </c>
      <c r="H125" s="13" t="n">
        <f aca="false">IF(G125="",0,F125*G125)</f>
        <v>1150</v>
      </c>
      <c r="I125" s="13" t="n">
        <f aca="false">IF(INDEX(Articles!$E$2:$E$148,MATCH(C125,Articles!$A$2:$A$148,0))="","",INDEX(Articles!$E$2:$E$148,MATCH(C125,Articles!$A$2:$A$148,0)))</f>
        <v>850</v>
      </c>
      <c r="J125" s="13" t="n">
        <f aca="false">IF(I125="","",F125*I125)</f>
        <v>850</v>
      </c>
      <c r="K125" s="9" t="str">
        <f aca="false">INDEX(Articles!$H$2:$H$148,MATCH(C125,Articles!$A$2:$A$148,0))</f>
        <v>Fixé</v>
      </c>
      <c r="L125" s="9" t="str">
        <f aca="false">INDEX(Articles!$F$2:$F$148,MATCH(C125,Articles!$A$2:$A$148,0))</f>
        <v>Estimé</v>
      </c>
      <c r="M125" s="17"/>
      <c r="N125" s="9" t="s">
        <v>167</v>
      </c>
    </row>
    <row r="126" customFormat="false" ht="15" hidden="false" customHeight="false" outlineLevel="0" collapsed="false">
      <c r="A126" s="9" t="s">
        <v>758</v>
      </c>
      <c r="B126" s="9" t="s">
        <v>759</v>
      </c>
      <c r="C126" s="31" t="s">
        <v>376</v>
      </c>
      <c r="D126" s="9" t="str">
        <f aca="false">INDEX(Articles!$C$2:$C$148,MATCH(C126,Articles!$A$2:$A$148,0))</f>
        <v>Paquet de copies doubles grand format</v>
      </c>
      <c r="E126" s="9" t="str">
        <f aca="false">INDEX(Articles!$B$2:$B$148,MATCH(C126,Articles!$A$2:$A$148,0))</f>
        <v>À préciser</v>
      </c>
      <c r="F126" s="31" t="n">
        <v>1</v>
      </c>
      <c r="G126" s="45" t="n">
        <f aca="false">IF(INDEX(Articles!$G$2:$G$148,MATCH(C126,Articles!$A$2:$A$148,0))="","",INDEX(Articles!$G$2:$G$148,MATCH(C126,Articles!$A$2:$A$148,0)))</f>
        <v>1800</v>
      </c>
      <c r="H126" s="13" t="n">
        <f aca="false">IF(G126="",0,F126*G126)</f>
        <v>1800</v>
      </c>
      <c r="I126" s="13" t="n">
        <f aca="false">IF(INDEX(Articles!$E$2:$E$148,MATCH(C126,Articles!$A$2:$A$148,0))="","",INDEX(Articles!$E$2:$E$148,MATCH(C126,Articles!$A$2:$A$148,0)))</f>
        <v>1300</v>
      </c>
      <c r="J126" s="13" t="n">
        <f aca="false">IF(I126="","",F126*I126)</f>
        <v>1300</v>
      </c>
      <c r="K126" s="9" t="str">
        <f aca="false">INDEX(Articles!$H$2:$H$148,MATCH(C126,Articles!$A$2:$A$148,0))</f>
        <v>Fixé</v>
      </c>
      <c r="L126" s="9" t="str">
        <f aca="false">INDEX(Articles!$F$2:$F$148,MATCH(C126,Articles!$A$2:$A$148,0))</f>
        <v>Confirmé</v>
      </c>
      <c r="M126" s="17"/>
      <c r="N126" s="9" t="s">
        <v>167</v>
      </c>
    </row>
    <row r="127" customFormat="false" ht="15" hidden="false" customHeight="false" outlineLevel="0" collapsed="false">
      <c r="A127" s="9" t="s">
        <v>771</v>
      </c>
      <c r="B127" s="9" t="s">
        <v>772</v>
      </c>
      <c r="C127" s="31" t="s">
        <v>160</v>
      </c>
      <c r="D127" s="9" t="str">
        <f aca="false">INDEX(Articles!$C$2:$C$148,MATCH(C127,Articles!$A$2:$A$148,0))</f>
        <v>Protège-cahier couleur petit format (à l'unité)</v>
      </c>
      <c r="E127" s="9" t="str">
        <f aca="false">INDEX(Articles!$B$2:$B$148,MATCH(C127,Articles!$A$2:$A$148,0))</f>
        <v>LPD</v>
      </c>
      <c r="F127" s="31" t="n">
        <v>4</v>
      </c>
      <c r="G127" s="13" t="n">
        <f aca="false">IF(INDEX(Articles!$G$2:$G$148,MATCH(C127,Articles!$A$2:$A$148,0))="","",INDEX(Articles!$G$2:$G$148,MATCH(C127,Articles!$A$2:$A$148,0)))</f>
        <v>150</v>
      </c>
      <c r="H127" s="13" t="n">
        <f aca="false">IF(G127="",0,F127*G127)</f>
        <v>600</v>
      </c>
      <c r="I127" s="13" t="str">
        <f aca="false">IF(INDEX(Articles!$E$2:$E$148,MATCH(C127,Articles!$A$2:$A$148,0))="","",INDEX(Articles!$E$2:$E$148,MATCH(C127,Articles!$A$2:$A$148,0)))</f>
        <v/>
      </c>
      <c r="J127" s="13" t="str">
        <f aca="false">IF(I127="","",F127*I127)</f>
        <v/>
      </c>
      <c r="K127" s="9" t="str">
        <f aca="false">INDEX(Articles!$H$2:$H$148,MATCH(C127,Articles!$A$2:$A$148,0))</f>
        <v>Fixé</v>
      </c>
      <c r="L127" s="9" t="str">
        <f aca="false">INDEX(Articles!$F$2:$F$148,MATCH(C127,Articles!$A$2:$A$148,0))</f>
        <v>Inconnu</v>
      </c>
      <c r="M127" s="17"/>
      <c r="N127" s="9" t="s">
        <v>167</v>
      </c>
    </row>
    <row r="128" customFormat="false" ht="15" hidden="false" customHeight="false" outlineLevel="0" collapsed="false">
      <c r="A128" s="9" t="s">
        <v>771</v>
      </c>
      <c r="B128" s="9" t="s">
        <v>773</v>
      </c>
      <c r="C128" s="31" t="s">
        <v>419</v>
      </c>
      <c r="D128" s="9" t="str">
        <f aca="false">INDEX(Articles!$C$2:$C$148,MATCH(C128,Articles!$A$2:$A$148,0))</f>
        <v>Protège-cahier grand format (à l'unité)</v>
      </c>
      <c r="E128" s="9" t="str">
        <f aca="false">INDEX(Articles!$B$2:$B$148,MATCH(C128,Articles!$A$2:$A$148,0))</f>
        <v>À préciser</v>
      </c>
      <c r="F128" s="31" t="n">
        <v>9</v>
      </c>
      <c r="G128" s="13" t="str">
        <f aca="false">IF(INDEX(Articles!$G$2:$G$148,MATCH(C128,Articles!$A$2:$A$148,0))="","",INDEX(Articles!$G$2:$G$148,MATCH(C128,Articles!$A$2:$A$148,0)))</f>
        <v/>
      </c>
      <c r="H128" s="13" t="n">
        <f aca="false">IF(G128="",0,F128*G128)</f>
        <v>0</v>
      </c>
      <c r="I128" s="13" t="str">
        <f aca="false">IF(INDEX(Articles!$E$2:$E$148,MATCH(C128,Articles!$A$2:$A$148,0))="","",INDEX(Articles!$E$2:$E$148,MATCH(C128,Articles!$A$2:$A$148,0)))</f>
        <v/>
      </c>
      <c r="J128" s="13" t="str">
        <f aca="false">IF(I128="","",F128*I128)</f>
        <v/>
      </c>
      <c r="K128" s="9" t="str">
        <f aca="false">INDEX(Articles!$H$2:$H$148,MATCH(C128,Articles!$A$2:$A$148,0))</f>
        <v>À fournir</v>
      </c>
      <c r="L128" s="9" t="str">
        <f aca="false">INDEX(Articles!$F$2:$F$148,MATCH(C128,Articles!$A$2:$A$148,0))</f>
        <v>Inconnu</v>
      </c>
      <c r="M128" s="17"/>
      <c r="N128" s="9" t="s">
        <v>167</v>
      </c>
    </row>
    <row r="129" customFormat="false" ht="15" hidden="false" customHeight="false" outlineLevel="0" collapsed="false">
      <c r="A129" s="9" t="s">
        <v>760</v>
      </c>
      <c r="B129" s="9" t="s">
        <v>883</v>
      </c>
      <c r="C129" s="31" t="s">
        <v>514</v>
      </c>
      <c r="D129" s="9" t="str">
        <f aca="false">INDEX(Articles!$C$2:$C$148,MATCH(C129,Articles!$A$2:$A$148,0))</f>
        <v>L'Étranger (Albert Camus)</v>
      </c>
      <c r="E129" s="9" t="str">
        <f aca="false">INDEX(Articles!$B$2:$B$148,MATCH(C129,Articles!$A$2:$A$148,0))</f>
        <v>LPD</v>
      </c>
      <c r="F129" s="31" t="n">
        <v>1</v>
      </c>
      <c r="G129" s="13" t="n">
        <f aca="false">IF(INDEX(Articles!$G$2:$G$148,MATCH(C129,Articles!$A$2:$A$148,0))="","",INDEX(Articles!$G$2:$G$148,MATCH(C129,Articles!$A$2:$A$148,0)))</f>
        <v>2800</v>
      </c>
      <c r="H129" s="13" t="n">
        <f aca="false">IF(G129="",0,F129*G129)</f>
        <v>2800</v>
      </c>
      <c r="I129" s="13" t="n">
        <f aca="false">IF(INDEX(Articles!$E$2:$E$148,MATCH(C129,Articles!$A$2:$A$148,0))="","",INDEX(Articles!$E$2:$E$148,MATCH(C129,Articles!$A$2:$A$148,0)))</f>
        <v>1800</v>
      </c>
      <c r="J129" s="13" t="n">
        <f aca="false">IF(I129="","",F129*I129)</f>
        <v>1800</v>
      </c>
      <c r="K129" s="9" t="str">
        <f aca="false">INDEX(Articles!$H$2:$H$148,MATCH(C129,Articles!$A$2:$A$148,0))</f>
        <v>Fixé</v>
      </c>
      <c r="L129" s="9" t="str">
        <f aca="false">INDEX(Articles!$F$2:$F$148,MATCH(C129,Articles!$A$2:$A$148,0))</f>
        <v>Estimé</v>
      </c>
      <c r="M129" s="17"/>
      <c r="N129" s="9" t="s">
        <v>167</v>
      </c>
    </row>
    <row r="130" customFormat="false" ht="15" hidden="false" customHeight="false" outlineLevel="0" collapsed="false">
      <c r="A130" s="9" t="s">
        <v>760</v>
      </c>
      <c r="B130" s="9" t="s">
        <v>883</v>
      </c>
      <c r="C130" s="31" t="s">
        <v>516</v>
      </c>
      <c r="D130" s="9" t="str">
        <f aca="false">INDEX(Articles!$C$2:$C$148,MATCH(C130,Articles!$A$2:$A$148,0))</f>
        <v>Les Contemplations (Victor Hugo)</v>
      </c>
      <c r="E130" s="9" t="str">
        <f aca="false">INDEX(Articles!$B$2:$B$148,MATCH(C130,Articles!$A$2:$A$148,0))</f>
        <v>LPD</v>
      </c>
      <c r="F130" s="31" t="n">
        <v>1</v>
      </c>
      <c r="G130" s="13" t="n">
        <f aca="false">IF(INDEX(Articles!$G$2:$G$148,MATCH(C130,Articles!$A$2:$A$148,0))="","",INDEX(Articles!$G$2:$G$148,MATCH(C130,Articles!$A$2:$A$148,0)))</f>
        <v>2800</v>
      </c>
      <c r="H130" s="13" t="n">
        <f aca="false">IF(G130="",0,F130*G130)</f>
        <v>2800</v>
      </c>
      <c r="I130" s="13" t="n">
        <f aca="false">IF(INDEX(Articles!$E$2:$E$148,MATCH(C130,Articles!$A$2:$A$148,0))="","",INDEX(Articles!$E$2:$E$148,MATCH(C130,Articles!$A$2:$A$148,0)))</f>
        <v>1800</v>
      </c>
      <c r="J130" s="13" t="n">
        <f aca="false">IF(I130="","",F130*I130)</f>
        <v>1800</v>
      </c>
      <c r="K130" s="9" t="str">
        <f aca="false">INDEX(Articles!$H$2:$H$148,MATCH(C130,Articles!$A$2:$A$148,0))</f>
        <v>Fixé</v>
      </c>
      <c r="L130" s="9" t="str">
        <f aca="false">INDEX(Articles!$F$2:$F$148,MATCH(C130,Articles!$A$2:$A$148,0))</f>
        <v>Confirmé</v>
      </c>
      <c r="M130" s="17"/>
      <c r="N130" s="9" t="s">
        <v>167</v>
      </c>
    </row>
    <row r="131" customFormat="false" ht="15" hidden="false" customHeight="false" outlineLevel="0" collapsed="false">
      <c r="A131" s="9" t="s">
        <v>760</v>
      </c>
      <c r="B131" s="9" t="s">
        <v>910</v>
      </c>
      <c r="C131" s="31" t="s">
        <v>521</v>
      </c>
      <c r="D131" s="9" t="str">
        <f aca="false">INDEX(Articles!$C$2:$C$148,MATCH(C131,Articles!$A$2:$A$148,0))</f>
        <v>Apologie de Socrate (Platon)</v>
      </c>
      <c r="E131" s="9" t="str">
        <f aca="false">INDEX(Articles!$B$2:$B$148,MATCH(C131,Articles!$A$2:$A$148,0))</f>
        <v>LPD</v>
      </c>
      <c r="F131" s="31" t="n">
        <v>1</v>
      </c>
      <c r="G131" s="13" t="n">
        <f aca="false">IF(INDEX(Articles!$G$2:$G$148,MATCH(C131,Articles!$A$2:$A$148,0))="","",INDEX(Articles!$G$2:$G$148,MATCH(C131,Articles!$A$2:$A$148,0)))</f>
        <v>2800</v>
      </c>
      <c r="H131" s="13" t="n">
        <f aca="false">IF(G131="",0,F131*G131)</f>
        <v>2800</v>
      </c>
      <c r="I131" s="13" t="n">
        <f aca="false">IF(INDEX(Articles!$E$2:$E$148,MATCH(C131,Articles!$A$2:$A$148,0))="","",INDEX(Articles!$E$2:$E$148,MATCH(C131,Articles!$A$2:$A$148,0)))</f>
        <v>1800</v>
      </c>
      <c r="J131" s="13" t="n">
        <f aca="false">IF(I131="","",F131*I131)</f>
        <v>1800</v>
      </c>
      <c r="K131" s="9" t="str">
        <f aca="false">INDEX(Articles!$H$2:$H$148,MATCH(C131,Articles!$A$2:$A$148,0))</f>
        <v>Fixé</v>
      </c>
      <c r="L131" s="9" t="str">
        <f aca="false">INDEX(Articles!$F$2:$F$148,MATCH(C131,Articles!$A$2:$A$148,0))</f>
        <v>Estimé</v>
      </c>
      <c r="M131" s="17"/>
      <c r="N131" s="9" t="s">
        <v>167</v>
      </c>
    </row>
    <row r="132" customFormat="false" ht="15" hidden="false" customHeight="false" outlineLevel="0" collapsed="false">
      <c r="A132" s="9" t="s">
        <v>777</v>
      </c>
      <c r="B132" s="9" t="s">
        <v>917</v>
      </c>
      <c r="C132" s="31" t="s">
        <v>649</v>
      </c>
      <c r="D132" s="9" t="str">
        <f aca="false">INDEX(Articles!$C$2:$C$148,MATCH(C132,Articles!$A$2:$A$148,0))</f>
        <v>Science de la Vie et de la Terre Tlᵉ</v>
      </c>
      <c r="E132" s="9" t="str">
        <f aca="false">INDEX(Articles!$B$2:$B$148,MATCH(C132,Articles!$A$2:$A$148,0))</f>
        <v>LPD</v>
      </c>
      <c r="F132" s="31" t="n">
        <v>1</v>
      </c>
      <c r="G132" s="13" t="n">
        <f aca="false">IF(INDEX(Articles!$G$2:$G$148,MATCH(C132,Articles!$A$2:$A$148,0))="","",INDEX(Articles!$G$2:$G$148,MATCH(C132,Articles!$A$2:$A$148,0)))</f>
        <v>4720</v>
      </c>
      <c r="H132" s="13" t="n">
        <f aca="false">IF(G132="",0,F132*G132)</f>
        <v>4720</v>
      </c>
      <c r="I132" s="13" t="n">
        <f aca="false">IF(INDEX(Articles!$E$2:$E$148,MATCH(C132,Articles!$A$2:$A$148,0))="","",INDEX(Articles!$E$2:$E$148,MATCH(C132,Articles!$A$2:$A$148,0)))</f>
        <v>3720</v>
      </c>
      <c r="J132" s="13" t="n">
        <f aca="false">IF(I132="","",F132*I132)</f>
        <v>3720</v>
      </c>
      <c r="K132" s="9" t="str">
        <f aca="false">INDEX(Articles!$H$2:$H$148,MATCH(C132,Articles!$A$2:$A$148,0))</f>
        <v>Fixé</v>
      </c>
      <c r="L132" s="9" t="str">
        <f aca="false">INDEX(Articles!$F$2:$F$148,MATCH(C132,Articles!$A$2:$A$148,0))</f>
        <v>Estimé</v>
      </c>
      <c r="M132" s="17"/>
      <c r="N132" s="9" t="s">
        <v>167</v>
      </c>
    </row>
    <row r="133" customFormat="false" ht="15" hidden="false" customHeight="false" outlineLevel="0" collapsed="false">
      <c r="A133" s="9" t="s">
        <v>678</v>
      </c>
      <c r="B133" s="9" t="s">
        <v>781</v>
      </c>
      <c r="C133" s="31" t="s">
        <v>434</v>
      </c>
      <c r="D133" s="9" t="str">
        <f aca="false">INDEX(Articles!$C$2:$C$148,MATCH(C133,Articles!$A$2:$A$148,0))</f>
        <v>Stylo 4 couleurs Schneider</v>
      </c>
      <c r="E133" s="9" t="str">
        <f aca="false">INDEX(Articles!$B$2:$B$148,MATCH(C133,Articles!$A$2:$A$148,0))</f>
        <v>Papex</v>
      </c>
      <c r="F133" s="31" t="n">
        <v>1</v>
      </c>
      <c r="G133" s="13" t="n">
        <f aca="false">IF(INDEX(Articles!$G$2:$G$148,MATCH(C133,Articles!$A$2:$A$148,0))="","",INDEX(Articles!$G$2:$G$148,MATCH(C133,Articles!$A$2:$A$148,0)))</f>
        <v>1750</v>
      </c>
      <c r="H133" s="13" t="n">
        <f aca="false">IF(G133="",0,F133*G133)</f>
        <v>1750</v>
      </c>
      <c r="I133" s="13" t="n">
        <f aca="false">IF(INDEX(Articles!$E$2:$E$148,MATCH(C133,Articles!$A$2:$A$148,0))="","",INDEX(Articles!$E$2:$E$148,MATCH(C133,Articles!$A$2:$A$148,0)))</f>
        <v>1500</v>
      </c>
      <c r="J133" s="13" t="n">
        <f aca="false">IF(I133="","",F133*I133)</f>
        <v>1500</v>
      </c>
      <c r="K133" s="9" t="str">
        <f aca="false">INDEX(Articles!$H$2:$H$148,MATCH(C133,Articles!$A$2:$A$148,0))</f>
        <v>Fixé</v>
      </c>
      <c r="L133" s="9" t="str">
        <f aca="false">INDEX(Articles!$F$2:$F$148,MATCH(C133,Articles!$A$2:$A$148,0))</f>
        <v>Confirmé</v>
      </c>
      <c r="M133" s="17"/>
      <c r="N133" s="9" t="s">
        <v>167</v>
      </c>
    </row>
    <row r="134" customFormat="false" ht="15" hidden="false" customHeight="false" outlineLevel="0" collapsed="false">
      <c r="A134" s="9" t="s">
        <v>678</v>
      </c>
      <c r="B134" s="9" t="s">
        <v>782</v>
      </c>
      <c r="C134" s="31" t="s">
        <v>174</v>
      </c>
      <c r="D134" s="9" t="str">
        <f aca="false">INDEX(Articles!$C$2:$C$148,MATCH(C134,Articles!$A$2:$A$148,0))</f>
        <v>Correcteur souris ARK</v>
      </c>
      <c r="E134" s="9" t="str">
        <f aca="false">INDEX(Articles!$B$2:$B$148,MATCH(C134,Articles!$A$2:$A$148,0))</f>
        <v>Papex</v>
      </c>
      <c r="F134" s="31" t="n">
        <v>1</v>
      </c>
      <c r="G134" s="13" t="n">
        <f aca="false">IF(INDEX(Articles!$G$2:$G$148,MATCH(C134,Articles!$A$2:$A$148,0))="","",INDEX(Articles!$G$2:$G$148,MATCH(C134,Articles!$A$2:$A$148,0)))</f>
        <v>1000</v>
      </c>
      <c r="H134" s="13" t="n">
        <f aca="false">IF(G134="",0,F134*G134)</f>
        <v>1000</v>
      </c>
      <c r="I134" s="13" t="n">
        <f aca="false">IF(INDEX(Articles!$E$2:$E$148,MATCH(C134,Articles!$A$2:$A$148,0))="","",INDEX(Articles!$E$2:$E$148,MATCH(C134,Articles!$A$2:$A$148,0)))</f>
        <v>700</v>
      </c>
      <c r="J134" s="13" t="n">
        <f aca="false">IF(I134="","",F134*I134)</f>
        <v>700</v>
      </c>
      <c r="K134" s="9" t="str">
        <f aca="false">INDEX(Articles!$H$2:$H$148,MATCH(C134,Articles!$A$2:$A$148,0))</f>
        <v>Fixé</v>
      </c>
      <c r="L134" s="9" t="str">
        <f aca="false">INDEX(Articles!$F$2:$F$148,MATCH(C134,Articles!$A$2:$A$148,0))</f>
        <v>Confirmé</v>
      </c>
      <c r="M134" s="17"/>
      <c r="N134" s="9" t="s">
        <v>167</v>
      </c>
    </row>
    <row r="135" customFormat="false" ht="15" hidden="false" customHeight="false" outlineLevel="0" collapsed="false">
      <c r="A135" s="9" t="s">
        <v>783</v>
      </c>
      <c r="B135" s="9" t="s">
        <v>784</v>
      </c>
      <c r="C135" s="31" t="s">
        <v>519</v>
      </c>
      <c r="D135" s="9" t="str">
        <f aca="false">INDEX(Articles!$C$2:$C$148,MATCH(C135,Articles!$A$2:$A$148,0))</f>
        <v>L'Aventure ambiguë (Cheikh Hamidou Kane)</v>
      </c>
      <c r="E135" s="9" t="str">
        <f aca="false">INDEX(Articles!$B$2:$B$148,MATCH(C135,Articles!$A$2:$A$148,0))</f>
        <v>LPD</v>
      </c>
      <c r="F135" s="31" t="n">
        <v>1</v>
      </c>
      <c r="G135" s="13" t="n">
        <f aca="false">IF(INDEX(Articles!$G$2:$G$148,MATCH(C135,Articles!$A$2:$A$148,0))="","",INDEX(Articles!$G$2:$G$148,MATCH(C135,Articles!$A$2:$A$148,0)))</f>
        <v>3500</v>
      </c>
      <c r="H135" s="13" t="n">
        <f aca="false">IF(G135="",0,F135*G135)</f>
        <v>3500</v>
      </c>
      <c r="I135" s="13" t="n">
        <f aca="false">IF(INDEX(Articles!$E$2:$E$148,MATCH(C135,Articles!$A$2:$A$148,0))="","",INDEX(Articles!$E$2:$E$148,MATCH(C135,Articles!$A$2:$A$148,0)))</f>
        <v>2500</v>
      </c>
      <c r="J135" s="13" t="n">
        <f aca="false">IF(I135="","",F135*I135)</f>
        <v>2500</v>
      </c>
      <c r="K135" s="9" t="str">
        <f aca="false">INDEX(Articles!$H$2:$H$148,MATCH(C135,Articles!$A$2:$A$148,0))</f>
        <v>Fixé</v>
      </c>
      <c r="L135" s="9" t="str">
        <f aca="false">INDEX(Articles!$F$2:$F$148,MATCH(C135,Articles!$A$2:$A$148,0))</f>
        <v>Estimé</v>
      </c>
      <c r="M135" s="17"/>
      <c r="N135" s="9" t="s">
        <v>167</v>
      </c>
    </row>
    <row r="136" customFormat="false" ht="15" hidden="false" customHeight="false" outlineLevel="0" collapsed="false">
      <c r="A136" s="9" t="s">
        <v>703</v>
      </c>
      <c r="B136" s="9" t="s">
        <v>918</v>
      </c>
      <c r="C136" s="31" t="s">
        <v>653</v>
      </c>
      <c r="D136" s="9" t="str">
        <f aca="false">INDEX(Articles!$C$2:$C$148,MATCH(C136,Articles!$A$2:$A$148,0))</f>
        <v>Livre de Français Tlᵉ</v>
      </c>
      <c r="E136" s="9" t="str">
        <f aca="false">INDEX(Articles!$B$2:$B$148,MATCH(C136,Articles!$A$2:$A$148,0))</f>
        <v>LPD</v>
      </c>
      <c r="F136" s="31" t="n">
        <v>1</v>
      </c>
      <c r="G136" s="13" t="n">
        <f aca="false">IF(INDEX(Articles!$G$2:$G$148,MATCH(C136,Articles!$A$2:$A$148,0))="","",INDEX(Articles!$G$2:$G$148,MATCH(C136,Articles!$A$2:$A$148,0)))</f>
        <v>4720</v>
      </c>
      <c r="H136" s="13" t="n">
        <f aca="false">IF(G136="",0,F136*G136)</f>
        <v>4720</v>
      </c>
      <c r="I136" s="13" t="n">
        <f aca="false">IF(INDEX(Articles!$E$2:$E$148,MATCH(C136,Articles!$A$2:$A$148,0))="","",INDEX(Articles!$E$2:$E$148,MATCH(C136,Articles!$A$2:$A$148,0)))</f>
        <v>3720</v>
      </c>
      <c r="J136" s="13" t="n">
        <f aca="false">IF(I136="","",F136*I136)</f>
        <v>3720</v>
      </c>
      <c r="K136" s="9" t="str">
        <f aca="false">INDEX(Articles!$H$2:$H$148,MATCH(C136,Articles!$A$2:$A$148,0))</f>
        <v>Fixé</v>
      </c>
      <c r="L136" s="9" t="str">
        <f aca="false">INDEX(Articles!$F$2:$F$148,MATCH(C136,Articles!$A$2:$A$148,0))</f>
        <v>Estimé</v>
      </c>
      <c r="M136" s="17"/>
      <c r="N136" s="9" t="s">
        <v>167</v>
      </c>
    </row>
    <row r="137" customFormat="false" ht="15" hidden="false" customHeight="false" outlineLevel="0" collapsed="false">
      <c r="A137" s="9" t="s">
        <v>703</v>
      </c>
      <c r="B137" s="9" t="s">
        <v>919</v>
      </c>
      <c r="C137" s="31" t="s">
        <v>414</v>
      </c>
      <c r="D137" s="9" t="str">
        <f aca="false">INDEX(Articles!$C$2:$C$148,MATCH(C137,Articles!$A$2:$A$148,0))</f>
        <v>PHILOSOPHIE TERMINALES L ET S - L'ESSENTIEL (Korka Diallo, Club de l'Excellence)</v>
      </c>
      <c r="E137" s="9" t="str">
        <f aca="false">INDEX(Articles!$B$2:$B$148,MATCH(C137,Articles!$A$2:$A$148,0))</f>
        <v>Korka Diallo</v>
      </c>
      <c r="F137" s="31" t="n">
        <v>1</v>
      </c>
      <c r="G137" s="45" t="n">
        <f aca="false">IF(INDEX(Articles!$G$2:$G$148,MATCH(C137,Articles!$A$2:$A$148,0))="","",INDEX(Articles!$G$2:$G$148,MATCH(C137,Articles!$A$2:$A$148,0)))</f>
        <v>3000</v>
      </c>
      <c r="H137" s="13" t="n">
        <f aca="false">IF(G137="",0,F137*G137)</f>
        <v>3000</v>
      </c>
      <c r="I137" s="13" t="n">
        <f aca="false">IF(INDEX(Articles!$E$2:$E$148,MATCH(C137,Articles!$A$2:$A$148,0))="","",INDEX(Articles!$E$2:$E$148,MATCH(C137,Articles!$A$2:$A$148,0)))</f>
        <v>2400</v>
      </c>
      <c r="J137" s="13" t="n">
        <f aca="false">IF(I137="","",F137*I137)</f>
        <v>2400</v>
      </c>
      <c r="K137" s="9" t="str">
        <f aca="false">INDEX(Articles!$H$2:$H$148,MATCH(C137,Articles!$A$2:$A$148,0))</f>
        <v>Fixé</v>
      </c>
      <c r="L137" s="9" t="str">
        <f aca="false">INDEX(Articles!$F$2:$F$148,MATCH(C137,Articles!$A$2:$A$148,0))</f>
        <v>Confirmé</v>
      </c>
      <c r="M137" s="17"/>
      <c r="N137" s="9" t="s">
        <v>167</v>
      </c>
    </row>
    <row r="138" customFormat="false" ht="15" hidden="false" customHeight="false" outlineLevel="0" collapsed="false">
      <c r="D138" s="32" t="s">
        <v>683</v>
      </c>
      <c r="E138" s="32"/>
      <c r="F138" s="32"/>
      <c r="G138" s="32"/>
      <c r="H138" s="33" t="n">
        <f aca="false">COUNTIF(G100:G137,"")</f>
        <v>1</v>
      </c>
    </row>
    <row r="139" customFormat="false" ht="15" hidden="false" customHeight="false" outlineLevel="0" collapsed="false">
      <c r="D139" s="32" t="s">
        <v>684</v>
      </c>
      <c r="E139" s="32"/>
      <c r="F139" s="32"/>
      <c r="G139" s="32"/>
      <c r="H139" s="33" t="n">
        <f aca="false">SUM(H100:H137)</f>
        <v>66765</v>
      </c>
    </row>
    <row r="140" customFormat="false" ht="15" hidden="false" customHeight="false" outlineLevel="0" collapsed="false">
      <c r="D140" s="32" t="s">
        <v>28</v>
      </c>
      <c r="E140" s="32"/>
      <c r="F140" s="32"/>
      <c r="G140" s="32"/>
      <c r="H140" s="33" t="n">
        <f aca="false">SUM(J100:J137)</f>
        <v>52000</v>
      </c>
    </row>
    <row r="141" customFormat="false" ht="15" hidden="false" customHeight="false" outlineLevel="0" collapsed="false">
      <c r="D141" s="32" t="s">
        <v>685</v>
      </c>
      <c r="E141" s="32"/>
      <c r="F141" s="32"/>
      <c r="G141" s="32"/>
      <c r="H141" s="33" t="n">
        <f aca="false">COUNTIF(I100:I137,"")</f>
        <v>5</v>
      </c>
    </row>
    <row r="142" customFormat="false" ht="15" hidden="false" customHeight="false" outlineLevel="0" collapsed="false">
      <c r="D142" s="32" t="s">
        <v>686</v>
      </c>
      <c r="E142" s="32"/>
      <c r="F142" s="32"/>
      <c r="G142" s="32"/>
      <c r="H142" s="33" t="n">
        <f aca="false">SUMPRODUCT((I100:I137&lt;&gt;"")*H100:H137)-H140</f>
        <v>13190</v>
      </c>
    </row>
    <row r="143" customFormat="false" ht="15" hidden="false" customHeight="false" outlineLevel="0" collapsed="false">
      <c r="D143" s="32" t="s">
        <v>687</v>
      </c>
      <c r="E143" s="32"/>
      <c r="F143" s="32"/>
      <c r="G143" s="32"/>
      <c r="H143" s="33" t="n">
        <f aca="false">SUMIF(A100:A137,"Cahiers",F100:F137)</f>
        <v>13</v>
      </c>
    </row>
    <row r="144" customFormat="false" ht="15" hidden="false" customHeight="false" outlineLevel="0" collapsed="false">
      <c r="D144" s="32" t="s">
        <v>688</v>
      </c>
      <c r="E144" s="32"/>
      <c r="F144" s="32"/>
      <c r="G144" s="32"/>
      <c r="H144" s="34" t="n">
        <f aca="false">IF(H139=0,0,SUMIF(K100:K137,"&lt;&gt;Fixé",H100:H137)/H139)</f>
        <v>0.119823260690482</v>
      </c>
    </row>
    <row r="145" customFormat="false" ht="15" hidden="false" customHeight="false" outlineLevel="0" collapsed="false">
      <c r="D145" s="32" t="s">
        <v>689</v>
      </c>
      <c r="E145" s="32"/>
      <c r="F145" s="32"/>
      <c r="G145" s="32"/>
      <c r="H145" s="33" t="str">
        <f aca="false">IF(H138&gt;0,"Total incomplet : "&amp;H138&amp;" prix de vente à fournir",IF(H141&gt;0,"Coût incomplet : "&amp;H141&amp;" ligne(s) sans prix d'achat","Complet"))</f>
        <v>Total incomplet : 1 prix de vente à fournir</v>
      </c>
    </row>
    <row r="146" customFormat="false" ht="15" hidden="false" customHeight="false" outlineLevel="0" collapsed="false">
      <c r="D146" s="21" t="s">
        <v>696</v>
      </c>
      <c r="E146" s="21" t="str">
        <f aca="false">INDEX(Articles!$C$2:$C$148,MATCH("S020",Articles!$A$2:$A$148,0))</f>
        <v>Sac à dos bleu marine</v>
      </c>
      <c r="H146" s="41" t="n">
        <f aca="false">INDEX(Articles!$G$2:$G$148,MATCH("S020",Articles!$A$2:$A$148,0))</f>
        <v>7000</v>
      </c>
    </row>
    <row r="147" customFormat="false" ht="15" hidden="false" customHeight="false" outlineLevel="0" collapsed="false">
      <c r="D147" s="42" t="s">
        <v>697</v>
      </c>
      <c r="E147" s="43" t="s">
        <v>912</v>
      </c>
    </row>
    <row r="148" customFormat="false" ht="15" hidden="false" customHeight="false" outlineLevel="0" collapsed="false">
      <c r="E148" s="43" t="s">
        <v>913</v>
      </c>
    </row>
    <row r="149" customFormat="false" ht="15" hidden="false" customHeight="false" outlineLevel="0" collapsed="false">
      <c r="E149" s="43" t="s">
        <v>914</v>
      </c>
    </row>
    <row r="150" customFormat="false" ht="15" hidden="false" customHeight="false" outlineLevel="0" collapsed="false">
      <c r="E150" s="43" t="s">
        <v>887</v>
      </c>
    </row>
    <row r="151" customFormat="false" ht="15" hidden="false" customHeight="false" outlineLevel="0" collapsed="false">
      <c r="E151" s="43" t="s">
        <v>915</v>
      </c>
    </row>
    <row r="152" customFormat="false" ht="15" hidden="false" customHeight="false" outlineLevel="0" collapsed="false">
      <c r="E152" s="43" t="s">
        <v>920</v>
      </c>
    </row>
    <row r="153" customFormat="false" ht="15" hidden="false" customHeight="false" outlineLevel="0" collapsed="false">
      <c r="E153" s="43" t="s">
        <v>921</v>
      </c>
    </row>
    <row r="154" customFormat="false" ht="15" hidden="false" customHeight="false" outlineLevel="0" collapsed="false">
      <c r="E154" s="43" t="s">
        <v>922</v>
      </c>
    </row>
  </sheetData>
  <mergeCells count="24">
    <mergeCell ref="D30:G30"/>
    <mergeCell ref="D31:G31"/>
    <mergeCell ref="D32:G32"/>
    <mergeCell ref="D33:G33"/>
    <mergeCell ref="D34:G34"/>
    <mergeCell ref="D35:G35"/>
    <mergeCell ref="D36:G36"/>
    <mergeCell ref="D37:G37"/>
    <mergeCell ref="D82:G82"/>
    <mergeCell ref="D83:G83"/>
    <mergeCell ref="D84:G84"/>
    <mergeCell ref="D85:G85"/>
    <mergeCell ref="D86:G86"/>
    <mergeCell ref="D87:G87"/>
    <mergeCell ref="D88:G88"/>
    <mergeCell ref="D89:G89"/>
    <mergeCell ref="D138:G138"/>
    <mergeCell ref="D139:G139"/>
    <mergeCell ref="D140:G140"/>
    <mergeCell ref="D141:G141"/>
    <mergeCell ref="D142:G142"/>
    <mergeCell ref="D143:G143"/>
    <mergeCell ref="D144:G144"/>
    <mergeCell ref="D145:G1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923</v>
      </c>
    </row>
    <row r="2" customFormat="false" ht="15" hidden="false" customHeight="false" outlineLevel="0" collapsed="false">
      <c r="A2" s="21" t="s">
        <v>894</v>
      </c>
    </row>
    <row r="4" customFormat="false" ht="15" hidden="false" customHeight="false" outlineLevel="0" collapsed="false">
      <c r="A4" s="28" t="s">
        <v>924</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850</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744</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854</v>
      </c>
      <c r="C8" s="31" t="s">
        <v>195</v>
      </c>
      <c r="D8" s="9" t="str">
        <f aca="false">INDEX(Articles!$C$2:$C$148,MATCH(C8,Articles!$A$2:$A$148,0))</f>
        <v>Cahier Calligraphe 96 pages 17x22 56 g seyès</v>
      </c>
      <c r="E8" s="9" t="str">
        <f aca="false">INDEX(Articles!$B$2:$B$148,MATCH(C8,Articles!$A$2:$A$148,0))</f>
        <v>Papex</v>
      </c>
      <c r="F8" s="31" t="n">
        <v>1</v>
      </c>
      <c r="G8" s="13" t="n">
        <f aca="false">IF(INDEX(Articles!$G$2:$G$148,MATCH(C8,Articles!$A$2:$A$148,0))="","",INDEX(Articles!$G$2:$G$148,MATCH(C8,Articles!$A$2:$A$148,0)))</f>
        <v>450</v>
      </c>
      <c r="H8" s="13" t="n">
        <f aca="false">IF(G8="",0,F8*G8)</f>
        <v>450</v>
      </c>
      <c r="I8" s="13" t="n">
        <f aca="false">IF(INDEX(Articles!$E$2:$E$148,MATCH(C8,Articles!$A$2:$A$148,0))="","",INDEX(Articles!$E$2:$E$148,MATCH(C8,Articles!$A$2:$A$148,0)))</f>
        <v>350</v>
      </c>
      <c r="J8" s="13" t="n">
        <f aca="false">IF(I8="","",F8*I8)</f>
        <v>350</v>
      </c>
      <c r="K8" s="9" t="str">
        <f aca="false">INDEX(Articles!$H$2:$H$148,MATCH(C8,Articles!$A$2:$A$148,0))</f>
        <v>Fixé</v>
      </c>
      <c r="L8" s="9" t="str">
        <f aca="false">INDEX(Articles!$F$2:$F$148,MATCH(C8,Articles!$A$2:$A$148,0))</f>
        <v>Confirmé</v>
      </c>
      <c r="M8" s="17"/>
      <c r="N8" s="9" t="s">
        <v>167</v>
      </c>
    </row>
    <row r="9" customFormat="false" ht="15" hidden="false" customHeight="false" outlineLevel="0" collapsed="false">
      <c r="A9" s="9" t="s">
        <v>671</v>
      </c>
      <c r="B9" s="9" t="s">
        <v>737</v>
      </c>
      <c r="C9" s="31" t="s">
        <v>210</v>
      </c>
      <c r="D9" s="9" t="str">
        <f aca="false">INDEX(Articles!$C$2:$C$148,MATCH(C9,Articles!$A$2:$A$148,0))</f>
        <v>Cahier L'écolier 192 pages</v>
      </c>
      <c r="E9" s="9" t="str">
        <f aca="false">INDEX(Articles!$B$2:$B$148,MATCH(C9,Articles!$A$2:$A$148,0))</f>
        <v>Papex</v>
      </c>
      <c r="F9" s="31" t="n">
        <v>1</v>
      </c>
      <c r="G9" s="13" t="n">
        <f aca="false">IF(INDEX(Articles!$G$2:$G$148,MATCH(C9,Articles!$A$2:$A$148,0))="","",INDEX(Articles!$G$2:$G$148,MATCH(C9,Articles!$A$2:$A$148,0)))</f>
        <v>500</v>
      </c>
      <c r="H9" s="13" t="n">
        <f aca="false">IF(G9="",0,F9*G9)</f>
        <v>500</v>
      </c>
      <c r="I9" s="13" t="n">
        <f aca="false">IF(INDEX(Articles!$E$2:$E$148,MATCH(C9,Articles!$A$2:$A$148,0))="","",INDEX(Articles!$E$2:$E$148,MATCH(C9,Articles!$A$2:$A$148,0)))</f>
        <v>400</v>
      </c>
      <c r="J9" s="13" t="n">
        <f aca="false">IF(I9="","",F9*I9)</f>
        <v>400</v>
      </c>
      <c r="K9" s="9" t="str">
        <f aca="false">INDEX(Articles!$H$2:$H$148,MATCH(C9,Articles!$A$2:$A$148,0))</f>
        <v>Estimé</v>
      </c>
      <c r="L9" s="9" t="str">
        <f aca="false">INDEX(Articles!$F$2:$F$148,MATCH(C9,Articles!$A$2:$A$148,0))</f>
        <v>Confirmé</v>
      </c>
      <c r="M9" s="17" t="s">
        <v>738</v>
      </c>
      <c r="N9" s="9" t="s">
        <v>167</v>
      </c>
    </row>
    <row r="10" customFormat="false" ht="15" hidden="false" customHeight="false" outlineLevel="0" collapsed="false">
      <c r="A10" s="9" t="s">
        <v>671</v>
      </c>
      <c r="B10" s="9" t="s">
        <v>739</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742</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852</v>
      </c>
      <c r="C12" s="31" t="s">
        <v>195</v>
      </c>
      <c r="D12" s="9" t="str">
        <f aca="false">INDEX(Articles!$C$2:$C$148,MATCH(C12,Articles!$A$2:$A$148,0))</f>
        <v>Cahier Calligraphe 96 pages 17x22 56 g seyès</v>
      </c>
      <c r="E12" s="9" t="str">
        <f aca="false">INDEX(Articles!$B$2:$B$148,MATCH(C12,Articles!$A$2:$A$148,0))</f>
        <v>Papex</v>
      </c>
      <c r="F12" s="31" t="n">
        <v>1</v>
      </c>
      <c r="G12" s="13" t="n">
        <f aca="false">IF(INDEX(Articles!$G$2:$G$148,MATCH(C12,Articles!$A$2:$A$148,0))="","",INDEX(Articles!$G$2:$G$148,MATCH(C12,Articles!$A$2:$A$148,0)))</f>
        <v>450</v>
      </c>
      <c r="H12" s="13" t="n">
        <f aca="false">IF(G12="",0,F12*G12)</f>
        <v>450</v>
      </c>
      <c r="I12" s="13" t="n">
        <f aca="false">IF(INDEX(Articles!$E$2:$E$148,MATCH(C12,Articles!$A$2:$A$148,0))="","",INDEX(Articles!$E$2:$E$148,MATCH(C12,Articles!$A$2:$A$148,0)))</f>
        <v>350</v>
      </c>
      <c r="J12" s="13" t="n">
        <f aca="false">IF(I12="","",F12*I12)</f>
        <v>350</v>
      </c>
      <c r="K12" s="9" t="str">
        <f aca="false">INDEX(Articles!$H$2:$H$148,MATCH(C12,Articles!$A$2:$A$148,0))</f>
        <v>Fixé</v>
      </c>
      <c r="L12" s="9" t="str">
        <f aca="false">INDEX(Articles!$F$2:$F$148,MATCH(C12,Articles!$A$2:$A$148,0))</f>
        <v>Confirmé</v>
      </c>
      <c r="M12" s="17"/>
      <c r="N12" s="9" t="s">
        <v>167</v>
      </c>
    </row>
    <row r="13" customFormat="false" ht="15" hidden="false" customHeight="false" outlineLevel="0" collapsed="false">
      <c r="A13" s="9" t="s">
        <v>671</v>
      </c>
      <c r="B13" s="9" t="s">
        <v>853</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909</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745</v>
      </c>
      <c r="C15" s="31" t="s">
        <v>210</v>
      </c>
      <c r="D15" s="9" t="str">
        <f aca="false">INDEX(Articles!$C$2:$C$148,MATCH(C15,Articles!$A$2:$A$148,0))</f>
        <v>Cahier L'écolier 192 pages</v>
      </c>
      <c r="E15" s="9" t="str">
        <f aca="false">INDEX(Articles!$B$2:$B$148,MATCH(C15,Articles!$A$2:$A$148,0))</f>
        <v>Papex</v>
      </c>
      <c r="F15" s="31" t="n">
        <v>2</v>
      </c>
      <c r="G15" s="13" t="n">
        <f aca="false">IF(INDEX(Articles!$G$2:$G$148,MATCH(C15,Articles!$A$2:$A$148,0))="","",INDEX(Articles!$G$2:$G$148,MATCH(C15,Articles!$A$2:$A$148,0)))</f>
        <v>500</v>
      </c>
      <c r="H15" s="13" t="n">
        <f aca="false">IF(G15="",0,F15*G15)</f>
        <v>1000</v>
      </c>
      <c r="I15" s="13" t="n">
        <f aca="false">IF(INDEX(Articles!$E$2:$E$148,MATCH(C15,Articles!$A$2:$A$148,0))="","",INDEX(Articles!$E$2:$E$148,MATCH(C15,Articles!$A$2:$A$148,0)))</f>
        <v>400</v>
      </c>
      <c r="J15" s="13" t="n">
        <f aca="false">IF(I15="","",F15*I15)</f>
        <v>800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831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855</v>
      </c>
      <c r="C17" s="31" t="s">
        <v>210</v>
      </c>
      <c r="D17" s="9" t="str">
        <f aca="false">INDEX(Articles!$C$2:$C$148,MATCH(C17,Articles!$A$2:$A$148,0))</f>
        <v>Cahier L'écolier 192 pages</v>
      </c>
      <c r="E17" s="9" t="str">
        <f aca="false">INDEX(Articles!$B$2:$B$148,MATCH(C17,Articles!$A$2:$A$148,0))</f>
        <v>Papex</v>
      </c>
      <c r="F17" s="31" t="n">
        <v>1</v>
      </c>
      <c r="G17" s="13" t="n">
        <f aca="false">IF(INDEX(Articles!$G$2:$G$148,MATCH(C17,Articles!$A$2:$A$148,0))="","",INDEX(Articles!$G$2:$G$148,MATCH(C17,Articles!$A$2:$A$148,0)))</f>
        <v>500</v>
      </c>
      <c r="H17" s="13" t="n">
        <f aca="false">IF(G17="",0,F17*G17)</f>
        <v>500</v>
      </c>
      <c r="I17" s="13" t="n">
        <f aca="false">IF(INDEX(Articles!$E$2:$E$148,MATCH(C17,Articles!$A$2:$A$148,0))="","",INDEX(Articles!$E$2:$E$148,MATCH(C17,Articles!$A$2:$A$148,0)))</f>
        <v>400</v>
      </c>
      <c r="J17" s="13" t="n">
        <f aca="false">IF(I17="","",F17*I17)</f>
        <v>400</v>
      </c>
      <c r="K17" s="9" t="str">
        <f aca="false">INDEX(Articles!$H$2:$H$148,MATCH(C17,Articles!$A$2:$A$148,0))</f>
        <v>Estimé</v>
      </c>
      <c r="L17" s="9" t="str">
        <f aca="false">INDEX(Articles!$F$2:$F$148,MATCH(C17,Articles!$A$2:$A$148,0))</f>
        <v>Confirmé</v>
      </c>
      <c r="M17" s="17" t="s">
        <v>738</v>
      </c>
      <c r="N17" s="9" t="s">
        <v>167</v>
      </c>
    </row>
    <row r="18" customFormat="false" ht="15" hidden="false" customHeight="false" outlineLevel="0" collapsed="false">
      <c r="A18" s="9" t="s">
        <v>678</v>
      </c>
      <c r="B18" s="9" t="s">
        <v>749</v>
      </c>
      <c r="C18" s="31" t="s">
        <v>222</v>
      </c>
      <c r="D18" s="9" t="str">
        <f aca="false">INDEX(Articles!$C$2:$C$148,MATCH(C18,Articles!$A$2:$A$148,0))</f>
        <v>Pack de 4 stylos Schneider Tops 505 M (bleu, noir, rouge, vert)</v>
      </c>
      <c r="E18" s="9" t="str">
        <f aca="false">INDEX(Articles!$B$2:$B$148,MATCH(C18,Articles!$A$2:$A$148,0))</f>
        <v>Papex</v>
      </c>
      <c r="F18" s="31" t="n">
        <v>1</v>
      </c>
      <c r="G18" s="13" t="n">
        <f aca="false">IF(INDEX(Articles!$G$2:$G$148,MATCH(C18,Articles!$A$2:$A$148,0))="","",INDEX(Articles!$G$2:$G$148,MATCH(C18,Articles!$A$2:$A$148,0)))</f>
        <v>400</v>
      </c>
      <c r="H18" s="13" t="n">
        <f aca="false">IF(G18="",0,F18*G18)</f>
        <v>400</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t="s">
        <v>432</v>
      </c>
      <c r="N18" s="9" t="s">
        <v>167</v>
      </c>
    </row>
    <row r="19" customFormat="false" ht="15" hidden="false" customHeight="false" outlineLevel="0" collapsed="false">
      <c r="A19" s="9" t="s">
        <v>678</v>
      </c>
      <c r="B19" s="9" t="s">
        <v>750</v>
      </c>
      <c r="C19" s="31" t="s">
        <v>235</v>
      </c>
      <c r="D19" s="9" t="str">
        <f aca="false">INDEX(Articles!$C$2:$C$148,MATCH(C19,Articles!$A$2:$A$148,0))</f>
        <v>Crayon papier (vendu à l'unité)</v>
      </c>
      <c r="E19" s="9" t="str">
        <f aca="false">INDEX(Articles!$B$2:$B$148,MATCH(C19,Articles!$A$2:$A$148,0))</f>
        <v>LPD</v>
      </c>
      <c r="F19" s="31" t="n">
        <v>1</v>
      </c>
      <c r="G19" s="13" t="n">
        <f aca="false">IF(INDEX(Articles!$G$2:$G$148,MATCH(C19,Articles!$A$2:$A$148,0))="","",INDEX(Articles!$G$2:$G$148,MATCH(C19,Articles!$A$2:$A$148,0)))</f>
        <v>75</v>
      </c>
      <c r="H19" s="13" t="n">
        <f aca="false">IF(G19="",0,F19*G19)</f>
        <v>75</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c r="N19" s="9" t="s">
        <v>167</v>
      </c>
    </row>
    <row r="20" customFormat="false" ht="15" hidden="false" customHeight="false" outlineLevel="0" collapsed="false">
      <c r="A20" s="9" t="s">
        <v>675</v>
      </c>
      <c r="B20" s="9" t="s">
        <v>717</v>
      </c>
      <c r="C20" s="31" t="s">
        <v>180</v>
      </c>
      <c r="D20" s="9" t="str">
        <f aca="false">INDEX(Articles!$C$2:$C$148,MATCH(C20,Articles!$A$2:$A$148,0))</f>
        <v>Gomme Staedtler Mars Plastic</v>
      </c>
      <c r="E20" s="9" t="str">
        <f aca="false">INDEX(Articles!$B$2:$B$148,MATCH(C20,Articles!$A$2:$A$148,0))</f>
        <v>LPD</v>
      </c>
      <c r="F20" s="31" t="n">
        <v>1</v>
      </c>
      <c r="G20" s="13" t="n">
        <f aca="false">IF(INDEX(Articles!$G$2:$G$148,MATCH(C20,Articles!$A$2:$A$148,0))="","",INDEX(Articles!$G$2:$G$148,MATCH(C20,Articles!$A$2:$A$148,0)))</f>
        <v>250</v>
      </c>
      <c r="H20" s="13" t="n">
        <f aca="false">IF(G20="",0,F20*G20)</f>
        <v>250</v>
      </c>
      <c r="I20" s="13" t="n">
        <f aca="false">IF(INDEX(Articles!$E$2:$E$148,MATCH(C20,Articles!$A$2:$A$148,0))="","",INDEX(Articles!$E$2:$E$148,MATCH(C20,Articles!$A$2:$A$148,0)))</f>
        <v>110</v>
      </c>
      <c r="J20" s="13" t="n">
        <f aca="false">IF(I20="","",F20*I20)</f>
        <v>110</v>
      </c>
      <c r="K20" s="9" t="str">
        <f aca="false">INDEX(Articles!$H$2:$H$148,MATCH(C20,Articles!$A$2:$A$148,0))</f>
        <v>Fixé</v>
      </c>
      <c r="L20" s="9" t="str">
        <f aca="false">INDEX(Articles!$F$2:$F$148,MATCH(C20,Articles!$A$2:$A$148,0))</f>
        <v>Estimé</v>
      </c>
      <c r="M20" s="17"/>
      <c r="N20" s="9" t="s">
        <v>167</v>
      </c>
    </row>
    <row r="21" customFormat="false" ht="15" hidden="false" customHeight="false" outlineLevel="0" collapsed="false">
      <c r="A21" s="9" t="s">
        <v>675</v>
      </c>
      <c r="B21" s="9" t="s">
        <v>751</v>
      </c>
      <c r="C21" s="31" t="s">
        <v>183</v>
      </c>
      <c r="D21" s="9" t="str">
        <f aca="false">INDEX(Articles!$C$2:$C$148,MATCH(C21,Articles!$A$2:$A$148,0))</f>
        <v>Taille-crayon avec réservoir Maped</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t="s">
        <v>752</v>
      </c>
      <c r="N21" s="9" t="s">
        <v>167</v>
      </c>
    </row>
    <row r="22" customFormat="false" ht="15" hidden="false" customHeight="false" outlineLevel="0" collapsed="false">
      <c r="A22" s="9" t="s">
        <v>675</v>
      </c>
      <c r="B22" s="9" t="s">
        <v>753</v>
      </c>
      <c r="C22" s="31" t="s">
        <v>250</v>
      </c>
      <c r="D22" s="9" t="str">
        <f aca="false">INDEX(Articles!$C$2:$C$148,MATCH(C22,Articles!$A$2:$A$148,0))</f>
        <v>Bâton de colle Giotto 10 g</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c r="N22" s="9" t="s">
        <v>167</v>
      </c>
    </row>
    <row r="23" customFormat="false" ht="15" hidden="false" customHeight="false" outlineLevel="0" collapsed="false">
      <c r="A23" s="9" t="s">
        <v>675</v>
      </c>
      <c r="B23" s="9" t="s">
        <v>754</v>
      </c>
      <c r="C23" s="31" t="s">
        <v>233</v>
      </c>
      <c r="D23" s="9" t="str">
        <f aca="false">INDEX(Articles!$C$2:$C$148,MATCH(C23,Articles!$A$2:$A$148,0))</f>
        <v>Ciseaux scolaires bouts ronds</v>
      </c>
      <c r="E23" s="9" t="str">
        <f aca="false">INDEX(Articles!$B$2:$B$148,MATCH(C23,Articles!$A$2:$A$148,0))</f>
        <v>LPD</v>
      </c>
      <c r="F23" s="31" t="n">
        <v>1</v>
      </c>
      <c r="G23" s="13" t="n">
        <f aca="false">IF(INDEX(Articles!$G$2:$G$148,MATCH(C23,Articles!$A$2:$A$148,0))="","",INDEX(Articles!$G$2:$G$148,MATCH(C23,Articles!$A$2:$A$148,0)))</f>
        <v>250</v>
      </c>
      <c r="H23" s="13" t="n">
        <f aca="false">IF(G23="",0,F23*G23)</f>
        <v>250</v>
      </c>
      <c r="I23" s="13" t="n">
        <f aca="false">IF(INDEX(Articles!$E$2:$E$148,MATCH(C23,Articles!$A$2:$A$148,0))="","",INDEX(Articles!$E$2:$E$148,MATCH(C23,Articles!$A$2:$A$148,0)))</f>
        <v>100</v>
      </c>
      <c r="J23" s="13" t="n">
        <f aca="false">IF(I23="","",F23*I23)</f>
        <v>100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676</v>
      </c>
      <c r="B24" s="9" t="s">
        <v>755</v>
      </c>
      <c r="C24" s="31" t="s">
        <v>239</v>
      </c>
      <c r="D24" s="9" t="str">
        <f aca="false">INDEX(Articles!$C$2:$C$148,MATCH(C24,Articles!$A$2:$A$148,0))</f>
        <v>Kit de traçage 30 cm, 4 pièces L'écolier</v>
      </c>
      <c r="E24" s="9" t="str">
        <f aca="false">INDEX(Articles!$B$2:$B$148,MATCH(C24,Articles!$A$2:$A$148,0))</f>
        <v>Papex</v>
      </c>
      <c r="F24" s="31" t="n">
        <v>1</v>
      </c>
      <c r="G24" s="13" t="n">
        <f aca="false">IF(INDEX(Articles!$G$2:$G$148,MATCH(C24,Articles!$A$2:$A$148,0))="","",INDEX(Articles!$G$2:$G$148,MATCH(C24,Articles!$A$2:$A$148,0)))</f>
        <v>900</v>
      </c>
      <c r="H24" s="13" t="n">
        <f aca="false">IF(G24="",0,F24*G24)</f>
        <v>900</v>
      </c>
      <c r="I24" s="13" t="n">
        <f aca="false">IF(INDEX(Articles!$E$2:$E$148,MATCH(C24,Articles!$A$2:$A$148,0))="","",INDEX(Articles!$E$2:$E$148,MATCH(C24,Articles!$A$2:$A$148,0)))</f>
        <v>650</v>
      </c>
      <c r="J24" s="13" t="n">
        <f aca="false">IF(I24="","",F24*I24)</f>
        <v>650</v>
      </c>
      <c r="K24" s="9" t="str">
        <f aca="false">INDEX(Articles!$H$2:$H$148,MATCH(C24,Articles!$A$2:$A$148,0))</f>
        <v>Estimé</v>
      </c>
      <c r="L24" s="9" t="str">
        <f aca="false">INDEX(Articles!$F$2:$F$148,MATCH(C24,Articles!$A$2:$A$148,0))</f>
        <v>Confirmé</v>
      </c>
      <c r="M24" s="17"/>
      <c r="N24" s="9" t="s">
        <v>167</v>
      </c>
    </row>
    <row r="25" customFormat="false" ht="15" hidden="false" customHeight="false" outlineLevel="0" collapsed="false">
      <c r="A25" s="9" t="s">
        <v>676</v>
      </c>
      <c r="B25" s="9" t="s">
        <v>756</v>
      </c>
      <c r="C25" s="31" t="s">
        <v>217</v>
      </c>
      <c r="D25" s="9" t="str">
        <f aca="false">INDEX(Articles!$C$2:$C$148,MATCH(C25,Articles!$A$2:$A$148,0))</f>
        <v>Compas de précision avec étui</v>
      </c>
      <c r="E25" s="9" t="str">
        <f aca="false">INDEX(Articles!$B$2:$B$148,MATCH(C25,Articles!$A$2:$A$148,0))</f>
        <v>LPD</v>
      </c>
      <c r="F25" s="31" t="n">
        <v>1</v>
      </c>
      <c r="G25" s="13" t="n">
        <f aca="false">IF(INDEX(Articles!$G$2:$G$148,MATCH(C25,Articles!$A$2:$A$148,0))="","",INDEX(Articles!$G$2:$G$148,MATCH(C25,Articles!$A$2:$A$148,0)))</f>
        <v>600</v>
      </c>
      <c r="H25" s="13" t="n">
        <f aca="false">IF(G25="",0,F25*G25)</f>
        <v>600</v>
      </c>
      <c r="I25" s="13" t="n">
        <f aca="false">IF(INDEX(Articles!$E$2:$E$148,MATCH(C25,Articles!$A$2:$A$148,0))="","",INDEX(Articles!$E$2:$E$148,MATCH(C25,Articles!$A$2:$A$148,0)))</f>
        <v>450</v>
      </c>
      <c r="J25" s="13" t="n">
        <f aca="false">IF(I25="","",F25*I25)</f>
        <v>450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681</v>
      </c>
      <c r="B26" s="9" t="s">
        <v>757</v>
      </c>
      <c r="C26" s="31" t="s">
        <v>198</v>
      </c>
      <c r="D26" s="9" t="str">
        <f aca="false">INDEX(Articles!$C$2:$C$148,MATCH(C26,Articles!$A$2:$A$148,0))</f>
        <v>Crayons de couleur Maped, boîte de 12</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Estimé</v>
      </c>
      <c r="M26" s="17"/>
      <c r="N26" s="9" t="s">
        <v>167</v>
      </c>
    </row>
    <row r="27" customFormat="false" ht="15" hidden="false" customHeight="false" outlineLevel="0" collapsed="false">
      <c r="A27" s="9" t="s">
        <v>676</v>
      </c>
      <c r="B27" s="9" t="s">
        <v>812</v>
      </c>
      <c r="C27" s="31" t="s">
        <v>242</v>
      </c>
      <c r="D27" s="9" t="str">
        <f aca="false">INDEX(Articles!$C$2:$C$148,MATCH(C27,Articles!$A$2:$A$148,0))</f>
        <v>Calculatrice scientifique Parpn YH-2000</v>
      </c>
      <c r="E27" s="9" t="str">
        <f aca="false">INDEX(Articles!$B$2:$B$148,MATCH(C27,Articles!$A$2:$A$148,0))</f>
        <v>LPD</v>
      </c>
      <c r="F27" s="31" t="n">
        <v>1</v>
      </c>
      <c r="G27" s="13" t="n">
        <f aca="false">IF(INDEX(Articles!$G$2:$G$148,MATCH(C27,Articles!$A$2:$A$148,0))="","",INDEX(Articles!$G$2:$G$148,MATCH(C27,Articles!$A$2:$A$148,0)))</f>
        <v>1400</v>
      </c>
      <c r="H27" s="13" t="n">
        <f aca="false">IF(G27="",0,F27*G27)</f>
        <v>1400</v>
      </c>
      <c r="I27" s="13" t="n">
        <f aca="false">IF(INDEX(Articles!$E$2:$E$148,MATCH(C27,Articles!$A$2:$A$148,0))="","",INDEX(Articles!$E$2:$E$148,MATCH(C27,Articles!$A$2:$A$148,0)))</f>
        <v>1100</v>
      </c>
      <c r="J27" s="13" t="n">
        <f aca="false">IF(I27="","",F27*I27)</f>
        <v>1100</v>
      </c>
      <c r="K27" s="9" t="str">
        <f aca="false">INDEX(Articles!$H$2:$H$148,MATCH(C27,Articles!$A$2:$A$148,0))</f>
        <v>Fixé</v>
      </c>
      <c r="L27" s="9" t="str">
        <f aca="false">INDEX(Articles!$F$2:$F$148,MATCH(C27,Articles!$A$2:$A$148,0))</f>
        <v>Confirmé</v>
      </c>
      <c r="M27" s="17" t="s">
        <v>813</v>
      </c>
      <c r="N27" s="9" t="s">
        <v>167</v>
      </c>
    </row>
    <row r="28" customFormat="false" ht="15" hidden="false" customHeight="false" outlineLevel="0" collapsed="false">
      <c r="A28" s="9" t="s">
        <v>758</v>
      </c>
      <c r="B28" s="9" t="s">
        <v>759</v>
      </c>
      <c r="C28" s="31" t="s">
        <v>376</v>
      </c>
      <c r="D28" s="9" t="str">
        <f aca="false">INDEX(Articles!$C$2:$C$148,MATCH(C28,Articles!$A$2:$A$148,0))</f>
        <v>Paquet de copies doubles grand format</v>
      </c>
      <c r="E28" s="9" t="str">
        <f aca="false">INDEX(Articles!$B$2:$B$148,MATCH(C28,Articles!$A$2:$A$148,0))</f>
        <v>À préciser</v>
      </c>
      <c r="F28" s="31" t="n">
        <v>1</v>
      </c>
      <c r="G28" s="45" t="n">
        <f aca="false">IF(INDEX(Articles!$G$2:$G$148,MATCH(C28,Articles!$A$2:$A$148,0))="","",INDEX(Articles!$G$2:$G$148,MATCH(C28,Articles!$A$2:$A$148,0)))</f>
        <v>1800</v>
      </c>
      <c r="H28" s="13" t="n">
        <f aca="false">IF(G28="",0,F28*G28)</f>
        <v>1800</v>
      </c>
      <c r="I28" s="13" t="n">
        <f aca="false">IF(INDEX(Articles!$E$2:$E$148,MATCH(C28,Articles!$A$2:$A$148,0))="","",INDEX(Articles!$E$2:$E$148,MATCH(C28,Articles!$A$2:$A$148,0)))</f>
        <v>1300</v>
      </c>
      <c r="J28" s="13" t="n">
        <f aca="false">IF(I28="","",F28*I28)</f>
        <v>1300</v>
      </c>
      <c r="K28" s="9" t="str">
        <f aca="false">INDEX(Articles!$H$2:$H$148,MATCH(C28,Articles!$A$2:$A$148,0))</f>
        <v>Fixé</v>
      </c>
      <c r="L28" s="9" t="str">
        <f aca="false">INDEX(Articles!$F$2:$F$148,MATCH(C28,Articles!$A$2:$A$148,0))</f>
        <v>Confirmé</v>
      </c>
      <c r="M28" s="17"/>
      <c r="N28" s="9" t="s">
        <v>167</v>
      </c>
    </row>
    <row r="29" customFormat="false" ht="15" hidden="false" customHeight="false" outlineLevel="0" collapsed="false">
      <c r="D29" s="32" t="s">
        <v>683</v>
      </c>
      <c r="E29" s="32"/>
      <c r="F29" s="32"/>
      <c r="G29" s="32"/>
      <c r="H29" s="33" t="n">
        <f aca="false">COUNTIF(G6:G28,"")</f>
        <v>0</v>
      </c>
    </row>
    <row r="30" customFormat="false" ht="15" hidden="false" customHeight="false" outlineLevel="0" collapsed="false">
      <c r="D30" s="32" t="s">
        <v>684</v>
      </c>
      <c r="E30" s="32"/>
      <c r="F30" s="32"/>
      <c r="G30" s="32"/>
      <c r="H30" s="33" t="n">
        <f aca="false">SUM(H6:H28)</f>
        <v>13975</v>
      </c>
    </row>
    <row r="31" customFormat="false" ht="15" hidden="false" customHeight="false" outlineLevel="0" collapsed="false">
      <c r="D31" s="32" t="s">
        <v>28</v>
      </c>
      <c r="E31" s="32"/>
      <c r="F31" s="32"/>
      <c r="G31" s="32"/>
      <c r="H31" s="33" t="n">
        <f aca="false">SUM(J6:J28)</f>
        <v>10160</v>
      </c>
    </row>
    <row r="32" customFormat="false" ht="15" hidden="false" customHeight="false" outlineLevel="0" collapsed="false">
      <c r="D32" s="32" t="s">
        <v>685</v>
      </c>
      <c r="E32" s="32"/>
      <c r="F32" s="32"/>
      <c r="G32" s="32"/>
      <c r="H32" s="33" t="n">
        <f aca="false">COUNTIF(I6:I28,"")</f>
        <v>2</v>
      </c>
    </row>
    <row r="33" customFormat="false" ht="15" hidden="false" customHeight="false" outlineLevel="0" collapsed="false">
      <c r="D33" s="32" t="s">
        <v>686</v>
      </c>
      <c r="E33" s="32"/>
      <c r="F33" s="32"/>
      <c r="G33" s="32"/>
      <c r="H33" s="33" t="n">
        <f aca="false">SUMPRODUCT((I6:I28&lt;&gt;"")*H6:H28)-H31</f>
        <v>3340</v>
      </c>
    </row>
    <row r="34" customFormat="false" ht="15" hidden="false" customHeight="false" outlineLevel="0" collapsed="false">
      <c r="D34" s="32" t="s">
        <v>687</v>
      </c>
      <c r="E34" s="32"/>
      <c r="F34" s="32"/>
      <c r="G34" s="32"/>
      <c r="H34" s="33" t="n">
        <f aca="false">SUMIF(A6:A28,"Cahiers",F6:F28)</f>
        <v>13</v>
      </c>
    </row>
    <row r="35" customFormat="false" ht="15" hidden="false" customHeight="false" outlineLevel="0" collapsed="false">
      <c r="D35" s="32" t="s">
        <v>688</v>
      </c>
      <c r="E35" s="32"/>
      <c r="F35" s="32"/>
      <c r="G35" s="32"/>
      <c r="H35" s="34" t="n">
        <f aca="false">IF(H30=0,0,SUMIF(K6:K28,"&lt;&gt;Fixé",H6:H28)/H30)</f>
        <v>0.59391771019678</v>
      </c>
    </row>
    <row r="36" customFormat="false" ht="15" hidden="false" customHeight="false" outlineLevel="0" collapsed="false">
      <c r="D36" s="32" t="s">
        <v>689</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690</v>
      </c>
    </row>
    <row r="39" customFormat="false" ht="15" hidden="false" customHeight="false" outlineLevel="0" collapsed="false">
      <c r="A39" s="36" t="s">
        <v>760</v>
      </c>
      <c r="B39" s="36" t="s">
        <v>883</v>
      </c>
      <c r="C39" s="31" t="s">
        <v>514</v>
      </c>
      <c r="D39" s="36" t="str">
        <f aca="false">INDEX(Articles!$C$2:$C$148,MATCH(C39,Articles!$A$2:$A$148,0))</f>
        <v>L'Étranger (Albert Camus)</v>
      </c>
      <c r="E39" s="37"/>
      <c r="F39" s="37"/>
      <c r="G39" s="38" t="n">
        <f aca="false">INDEX(Articles!$G$2:$G$148,MATCH(C39,Articles!$A$2:$A$148,0))</f>
        <v>2800</v>
      </c>
      <c r="H39" s="37"/>
      <c r="I39" s="37"/>
      <c r="J39" s="37"/>
      <c r="K39" s="37"/>
      <c r="L39" s="37"/>
      <c r="M39" s="37"/>
      <c r="N39" s="39" t="s">
        <v>271</v>
      </c>
    </row>
    <row r="40" customFormat="false" ht="15" hidden="false" customHeight="false" outlineLevel="0" collapsed="false">
      <c r="A40" s="36" t="s">
        <v>760</v>
      </c>
      <c r="B40" s="36" t="s">
        <v>883</v>
      </c>
      <c r="C40" s="31" t="s">
        <v>516</v>
      </c>
      <c r="D40" s="36" t="str">
        <f aca="false">INDEX(Articles!$C$2:$C$148,MATCH(C40,Articles!$A$2:$A$148,0))</f>
        <v>Les Contemplations (Victor Hugo)</v>
      </c>
      <c r="E40" s="37"/>
      <c r="F40" s="37"/>
      <c r="G40" s="38" t="n">
        <f aca="false">INDEX(Articles!$G$2:$G$148,MATCH(C40,Articles!$A$2:$A$148,0))</f>
        <v>2800</v>
      </c>
      <c r="H40" s="37"/>
      <c r="I40" s="37"/>
      <c r="J40" s="37"/>
      <c r="K40" s="37"/>
      <c r="L40" s="37"/>
      <c r="M40" s="37"/>
      <c r="N40" s="39" t="s">
        <v>271</v>
      </c>
    </row>
    <row r="41" customFormat="false" ht="15" hidden="false" customHeight="false" outlineLevel="0" collapsed="false">
      <c r="D41" s="40" t="s">
        <v>695</v>
      </c>
      <c r="H41" s="33" t="n">
        <f aca="false">H30+SUM(G39:G40)</f>
        <v>19575</v>
      </c>
    </row>
    <row r="42" customFormat="false" ht="15" hidden="false" customHeight="false" outlineLevel="0" collapsed="false">
      <c r="D42" s="21" t="s">
        <v>696</v>
      </c>
      <c r="E42" s="21" t="str">
        <f aca="false">INDEX(Articles!$C$2:$C$148,MATCH("S020",Articles!$A$2:$A$148,0))</f>
        <v>Sac à dos bleu marine</v>
      </c>
      <c r="H42" s="41" t="n">
        <f aca="false">INDEX(Articles!$G$2:$G$148,MATCH("S020",Articles!$A$2:$A$148,0))</f>
        <v>7000</v>
      </c>
    </row>
    <row r="43" customFormat="false" ht="15" hidden="false" customHeight="false" outlineLevel="0" collapsed="false">
      <c r="D43" s="42" t="s">
        <v>697</v>
      </c>
      <c r="E43" s="44" t="s">
        <v>711</v>
      </c>
    </row>
    <row r="46" customFormat="false" ht="15" hidden="false" customHeight="false" outlineLevel="0" collapsed="false">
      <c r="A46" s="28" t="s">
        <v>925</v>
      </c>
      <c r="B46" s="29"/>
      <c r="C46" s="29"/>
      <c r="D46" s="29"/>
      <c r="E46" s="29"/>
      <c r="F46" s="29"/>
      <c r="G46" s="29"/>
      <c r="H46" s="29"/>
      <c r="I46" s="29"/>
      <c r="J46" s="29"/>
      <c r="K46" s="29"/>
      <c r="L46" s="29"/>
      <c r="M46" s="29"/>
      <c r="N46" s="29"/>
    </row>
    <row r="47" customFormat="false" ht="39.55" hidden="false" customHeight="false" outlineLevel="0" collapsed="false">
      <c r="A47" s="30" t="s">
        <v>663</v>
      </c>
      <c r="B47" s="30" t="s">
        <v>664</v>
      </c>
      <c r="C47" s="30" t="s">
        <v>348</v>
      </c>
      <c r="D47" s="30" t="s">
        <v>350</v>
      </c>
      <c r="E47" s="30" t="s">
        <v>349</v>
      </c>
      <c r="F47" s="30" t="s">
        <v>665</v>
      </c>
      <c r="G47" s="30" t="s">
        <v>666</v>
      </c>
      <c r="H47" s="30" t="s">
        <v>667</v>
      </c>
      <c r="I47" s="30" t="s">
        <v>668</v>
      </c>
      <c r="J47" s="30" t="s">
        <v>669</v>
      </c>
      <c r="K47" s="30" t="s">
        <v>355</v>
      </c>
      <c r="L47" s="30" t="s">
        <v>353</v>
      </c>
      <c r="M47" s="30" t="s">
        <v>356</v>
      </c>
      <c r="N47" s="30" t="s">
        <v>670</v>
      </c>
    </row>
    <row r="48" customFormat="false" ht="15" hidden="false" customHeight="false" outlineLevel="0" collapsed="false">
      <c r="A48" s="9" t="s">
        <v>671</v>
      </c>
      <c r="B48" s="9" t="s">
        <v>850</v>
      </c>
      <c r="C48" s="31" t="s">
        <v>208</v>
      </c>
      <c r="D48" s="9" t="str">
        <f aca="false">INDEX(Articles!$C$2:$C$148,MATCH(C48,Articles!$A$2:$A$148,0))</f>
        <v>Cahier Calligraphe 96 pages 24x32 (grand format)</v>
      </c>
      <c r="E48" s="9" t="str">
        <f aca="false">INDEX(Articles!$B$2:$B$148,MATCH(C48,Articles!$A$2:$A$148,0))</f>
        <v>Papex</v>
      </c>
      <c r="F48" s="31" t="n">
        <v>1</v>
      </c>
      <c r="G48" s="13" t="n">
        <f aca="false">IF(INDEX(Articles!$G$2:$G$148,MATCH(C48,Articles!$A$2:$A$148,0))="","",INDEX(Articles!$G$2:$G$148,MATCH(C48,Articles!$A$2:$A$148,0)))</f>
        <v>1350</v>
      </c>
      <c r="H48" s="13" t="n">
        <f aca="false">IF(G48="",0,F48*G48)</f>
        <v>1350</v>
      </c>
      <c r="I48" s="13" t="n">
        <f aca="false">IF(INDEX(Articles!$E$2:$E$148,MATCH(C48,Articles!$A$2:$A$148,0))="","",INDEX(Articles!$E$2:$E$148,MATCH(C48,Articles!$A$2:$A$148,0)))</f>
        <v>1000</v>
      </c>
      <c r="J48" s="13" t="n">
        <f aca="false">IF(I48="","",F48*I48)</f>
        <v>1000</v>
      </c>
      <c r="K48" s="9" t="str">
        <f aca="false">INDEX(Articles!$H$2:$H$148,MATCH(C48,Articles!$A$2:$A$148,0))</f>
        <v>Fixé</v>
      </c>
      <c r="L48" s="9" t="str">
        <f aca="false">INDEX(Articles!$F$2:$F$148,MATCH(C48,Articles!$A$2:$A$148,0))</f>
        <v>Confirmé</v>
      </c>
      <c r="M48" s="17"/>
      <c r="N48" s="9" t="s">
        <v>167</v>
      </c>
    </row>
    <row r="49" customFormat="false" ht="15" hidden="false" customHeight="false" outlineLevel="0" collapsed="false">
      <c r="A49" s="9" t="s">
        <v>671</v>
      </c>
      <c r="B49" s="9" t="s">
        <v>744</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854</v>
      </c>
      <c r="C50" s="31" t="s">
        <v>366</v>
      </c>
      <c r="D50" s="9" t="str">
        <f aca="false">INDEX(Articles!$C$2:$C$148,MATCH(C50,Articles!$A$2:$A$148,0))</f>
        <v>Cahier Calligraphe 140 pages 17x22 90 g seyès</v>
      </c>
      <c r="E50" s="9" t="str">
        <f aca="false">INDEX(Articles!$B$2:$B$148,MATCH(C50,Articles!$A$2:$A$148,0))</f>
        <v>Papex</v>
      </c>
      <c r="F50" s="31" t="n">
        <v>1</v>
      </c>
      <c r="G50" s="13" t="n">
        <f aca="false">IF(INDEX(Articles!$G$2:$G$148,MATCH(C50,Articles!$A$2:$A$148,0))="","",INDEX(Articles!$G$2:$G$148,MATCH(C50,Articles!$A$2:$A$148,0)))</f>
        <v>750</v>
      </c>
      <c r="H50" s="13" t="n">
        <f aca="false">IF(G50="",0,F50*G50)</f>
        <v>750</v>
      </c>
      <c r="I50" s="13" t="n">
        <f aca="false">IF(INDEX(Articles!$E$2:$E$148,MATCH(C50,Articles!$A$2:$A$148,0))="","",INDEX(Articles!$E$2:$E$148,MATCH(C50,Articles!$A$2:$A$148,0)))</f>
        <v>650</v>
      </c>
      <c r="J50" s="13" t="n">
        <f aca="false">IF(I50="","",F50*I50)</f>
        <v>650</v>
      </c>
      <c r="K50" s="9" t="str">
        <f aca="false">INDEX(Articles!$H$2:$H$148,MATCH(C50,Articles!$A$2:$A$148,0))</f>
        <v>Fixé</v>
      </c>
      <c r="L50" s="9" t="str">
        <f aca="false">INDEX(Articles!$F$2:$F$148,MATCH(C50,Articles!$A$2:$A$148,0))</f>
        <v>Estimé</v>
      </c>
      <c r="M50" s="17" t="s">
        <v>763</v>
      </c>
      <c r="N50" s="9" t="s">
        <v>167</v>
      </c>
    </row>
    <row r="51" customFormat="false" ht="15" hidden="false" customHeight="false" outlineLevel="0" collapsed="false">
      <c r="A51" s="9" t="s">
        <v>671</v>
      </c>
      <c r="B51" s="9" t="s">
        <v>737</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739</v>
      </c>
      <c r="C52" s="31" t="s">
        <v>192</v>
      </c>
      <c r="D52" s="9" t="str">
        <f aca="false">INDEX(Articles!$C$2:$C$148,MATCH(C52,Articles!$A$2:$A$148,0))</f>
        <v>Cahier Calligraphe 192 pages 17x22 90 g seyès</v>
      </c>
      <c r="E52" s="9" t="str">
        <f aca="false">INDEX(Articles!$B$2:$B$148,MATCH(C52,Articles!$A$2:$A$148,0))</f>
        <v>Papex</v>
      </c>
      <c r="F52" s="31" t="n">
        <v>1</v>
      </c>
      <c r="G52" s="13" t="n">
        <f aca="false">IF(INDEX(Articles!$G$2:$G$148,MATCH(C52,Articles!$A$2:$A$148,0))="","",INDEX(Articles!$G$2:$G$148,MATCH(C52,Articles!$A$2:$A$148,0)))</f>
        <v>900</v>
      </c>
      <c r="H52" s="13" t="n">
        <f aca="false">IF(G52="",0,F52*G52)</f>
        <v>900</v>
      </c>
      <c r="I52" s="13" t="n">
        <f aca="false">IF(INDEX(Articles!$E$2:$E$148,MATCH(C52,Articles!$A$2:$A$148,0))="","",INDEX(Articles!$E$2:$E$148,MATCH(C52,Articles!$A$2:$A$148,0)))</f>
        <v>800</v>
      </c>
      <c r="J52" s="13" t="n">
        <f aca="false">IF(I52="","",F52*I52)</f>
        <v>800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742</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852</v>
      </c>
      <c r="C54" s="31" t="s">
        <v>366</v>
      </c>
      <c r="D54" s="9" t="str">
        <f aca="false">INDEX(Articles!$C$2:$C$148,MATCH(C54,Articles!$A$2:$A$148,0))</f>
        <v>Cahier Calligraphe 140 pages 17x22 90 g seyès</v>
      </c>
      <c r="E54" s="9" t="str">
        <f aca="false">INDEX(Articles!$B$2:$B$148,MATCH(C54,Articles!$A$2:$A$148,0))</f>
        <v>Papex</v>
      </c>
      <c r="F54" s="31" t="n">
        <v>1</v>
      </c>
      <c r="G54" s="13" t="n">
        <f aca="false">IF(INDEX(Articles!$G$2:$G$148,MATCH(C54,Articles!$A$2:$A$148,0))="","",INDEX(Articles!$G$2:$G$148,MATCH(C54,Articles!$A$2:$A$148,0)))</f>
        <v>750</v>
      </c>
      <c r="H54" s="13" t="n">
        <f aca="false">IF(G54="",0,F54*G54)</f>
        <v>750</v>
      </c>
      <c r="I54" s="13" t="n">
        <f aca="false">IF(INDEX(Articles!$E$2:$E$148,MATCH(C54,Articles!$A$2:$A$148,0))="","",INDEX(Articles!$E$2:$E$148,MATCH(C54,Articles!$A$2:$A$148,0)))</f>
        <v>650</v>
      </c>
      <c r="J54" s="13" t="n">
        <f aca="false">IF(I54="","",F54*I54)</f>
        <v>650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671</v>
      </c>
      <c r="B55" s="9" t="s">
        <v>853</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909</v>
      </c>
      <c r="C56" s="31" t="s">
        <v>213</v>
      </c>
      <c r="D56" s="9" t="str">
        <f aca="false">INDEX(Articles!$C$2:$C$148,MATCH(C56,Articles!$A$2:$A$148,0))</f>
        <v>Cahier Calligraphe 192 pages 24x32 (grand format)</v>
      </c>
      <c r="E56" s="9" t="str">
        <f aca="false">INDEX(Articles!$B$2:$B$148,MATCH(C56,Articles!$A$2:$A$148,0))</f>
        <v>Papex</v>
      </c>
      <c r="F56" s="31" t="n">
        <v>1</v>
      </c>
      <c r="G56" s="13" t="n">
        <f aca="false">IF(INDEX(Articles!$G$2:$G$148,MATCH(C56,Articles!$A$2:$A$148,0))="","",INDEX(Articles!$G$2:$G$148,MATCH(C56,Articles!$A$2:$A$148,0)))</f>
        <v>1650</v>
      </c>
      <c r="H56" s="13" t="n">
        <f aca="false">IF(G56="",0,F56*G56)</f>
        <v>1650</v>
      </c>
      <c r="I56" s="13" t="n">
        <f aca="false">IF(INDEX(Articles!$E$2:$E$148,MATCH(C56,Articles!$A$2:$A$148,0))="","",INDEX(Articles!$E$2:$E$148,MATCH(C56,Articles!$A$2:$A$148,0)))</f>
        <v>1500</v>
      </c>
      <c r="J56" s="13" t="n">
        <f aca="false">IF(I56="","",F56*I56)</f>
        <v>1500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745</v>
      </c>
      <c r="C57" s="31" t="s">
        <v>213</v>
      </c>
      <c r="D57" s="9" t="str">
        <f aca="false">INDEX(Articles!$C$2:$C$148,MATCH(C57,Articles!$A$2:$A$148,0))</f>
        <v>Cahier Calligraphe 192 pages 24x32 (grand format)</v>
      </c>
      <c r="E57" s="9" t="str">
        <f aca="false">INDEX(Articles!$B$2:$B$148,MATCH(C57,Articles!$A$2:$A$148,0))</f>
        <v>Papex</v>
      </c>
      <c r="F57" s="31" t="n">
        <v>2</v>
      </c>
      <c r="G57" s="13" t="n">
        <f aca="false">IF(INDEX(Articles!$G$2:$G$148,MATCH(C57,Articles!$A$2:$A$148,0))="","",INDEX(Articles!$G$2:$G$148,MATCH(C57,Articles!$A$2:$A$148,0)))</f>
        <v>1650</v>
      </c>
      <c r="H57" s="13" t="n">
        <f aca="false">IF(G57="",0,F57*G57)</f>
        <v>3300</v>
      </c>
      <c r="I57" s="13" t="n">
        <f aca="false">IF(INDEX(Articles!$E$2:$E$148,MATCH(C57,Articles!$A$2:$A$148,0))="","",INDEX(Articles!$E$2:$E$148,MATCH(C57,Articles!$A$2:$A$148,0)))</f>
        <v>1500</v>
      </c>
      <c r="J57" s="13" t="n">
        <f aca="false">IF(I57="","",F57*I57)</f>
        <v>3000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831</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855</v>
      </c>
      <c r="C59" s="31" t="s">
        <v>208</v>
      </c>
      <c r="D59" s="9" t="str">
        <f aca="false">INDEX(Articles!$C$2:$C$148,MATCH(C59,Articles!$A$2:$A$148,0))</f>
        <v>Cahier Calligraphe 96 pages 24x32 (grand format)</v>
      </c>
      <c r="E59" s="9" t="str">
        <f aca="false">INDEX(Articles!$B$2:$B$148,MATCH(C59,Articles!$A$2:$A$148,0))</f>
        <v>Papex</v>
      </c>
      <c r="F59" s="31" t="n">
        <v>1</v>
      </c>
      <c r="G59" s="13" t="n">
        <f aca="false">IF(INDEX(Articles!$G$2:$G$148,MATCH(C59,Articles!$A$2:$A$148,0))="","",INDEX(Articles!$G$2:$G$148,MATCH(C59,Articles!$A$2:$A$148,0)))</f>
        <v>1350</v>
      </c>
      <c r="H59" s="13" t="n">
        <f aca="false">IF(G59="",0,F59*G59)</f>
        <v>1350</v>
      </c>
      <c r="I59" s="13" t="n">
        <f aca="false">IF(INDEX(Articles!$E$2:$E$148,MATCH(C59,Articles!$A$2:$A$148,0))="","",INDEX(Articles!$E$2:$E$148,MATCH(C59,Articles!$A$2:$A$148,0)))</f>
        <v>1000</v>
      </c>
      <c r="J59" s="13" t="n">
        <f aca="false">IF(I59="","",F59*I59)</f>
        <v>1000</v>
      </c>
      <c r="K59" s="9" t="str">
        <f aca="false">INDEX(Articles!$H$2:$H$148,MATCH(C59,Articles!$A$2:$A$148,0))</f>
        <v>Fixé</v>
      </c>
      <c r="L59" s="9" t="str">
        <f aca="false">INDEX(Articles!$F$2:$F$148,MATCH(C59,Articles!$A$2:$A$148,0))</f>
        <v>Confirmé</v>
      </c>
      <c r="M59" s="17"/>
      <c r="N59" s="9" t="s">
        <v>167</v>
      </c>
    </row>
    <row r="60" customFormat="false" ht="15" hidden="false" customHeight="false" outlineLevel="0" collapsed="false">
      <c r="A60" s="9" t="s">
        <v>678</v>
      </c>
      <c r="B60" s="9" t="s">
        <v>749</v>
      </c>
      <c r="C60" s="31" t="s">
        <v>222</v>
      </c>
      <c r="D60" s="9" t="str">
        <f aca="false">INDEX(Articles!$C$2:$C$148,MATCH(C60,Articles!$A$2:$A$148,0))</f>
        <v>Pack de 4 stylos Schneider Tops 505 M (bleu, noir, rouge, vert)</v>
      </c>
      <c r="E60" s="9" t="str">
        <f aca="false">INDEX(Articles!$B$2:$B$148,MATCH(C60,Articles!$A$2:$A$148,0))</f>
        <v>Papex</v>
      </c>
      <c r="F60" s="31" t="n">
        <v>1</v>
      </c>
      <c r="G60" s="13" t="n">
        <f aca="false">IF(INDEX(Articles!$G$2:$G$148,MATCH(C60,Articles!$A$2:$A$148,0))="","",INDEX(Articles!$G$2:$G$148,MATCH(C60,Articles!$A$2:$A$148,0)))</f>
        <v>400</v>
      </c>
      <c r="H60" s="13" t="n">
        <f aca="false">IF(G60="",0,F60*G60)</f>
        <v>400</v>
      </c>
      <c r="I60" s="13" t="str">
        <f aca="false">IF(INDEX(Articles!$E$2:$E$148,MATCH(C60,Articles!$A$2:$A$148,0))="","",INDEX(Articles!$E$2:$E$148,MATCH(C60,Articles!$A$2:$A$148,0)))</f>
        <v/>
      </c>
      <c r="J60" s="13" t="str">
        <f aca="false">IF(I60="","",F60*I60)</f>
        <v/>
      </c>
      <c r="K60" s="9" t="str">
        <f aca="false">INDEX(Articles!$H$2:$H$148,MATCH(C60,Articles!$A$2:$A$148,0))</f>
        <v>Fixé</v>
      </c>
      <c r="L60" s="9" t="str">
        <f aca="false">INDEX(Articles!$F$2:$F$148,MATCH(C60,Articles!$A$2:$A$148,0))</f>
        <v>Inconnu</v>
      </c>
      <c r="M60" s="17" t="s">
        <v>432</v>
      </c>
      <c r="N60" s="9" t="s">
        <v>167</v>
      </c>
    </row>
    <row r="61" customFormat="false" ht="15" hidden="false" customHeight="false" outlineLevel="0" collapsed="false">
      <c r="A61" s="9" t="s">
        <v>678</v>
      </c>
      <c r="B61" s="9" t="s">
        <v>750</v>
      </c>
      <c r="C61" s="31" t="s">
        <v>235</v>
      </c>
      <c r="D61" s="9" t="str">
        <f aca="false">INDEX(Articles!$C$2:$C$148,MATCH(C61,Articles!$A$2:$A$148,0))</f>
        <v>Crayon papier (vendu à l'unité)</v>
      </c>
      <c r="E61" s="9" t="str">
        <f aca="false">INDEX(Articles!$B$2:$B$148,MATCH(C61,Articles!$A$2:$A$148,0))</f>
        <v>LPD</v>
      </c>
      <c r="F61" s="31" t="n">
        <v>1</v>
      </c>
      <c r="G61" s="13" t="n">
        <f aca="false">IF(INDEX(Articles!$G$2:$G$148,MATCH(C61,Articles!$A$2:$A$148,0))="","",INDEX(Articles!$G$2:$G$148,MATCH(C61,Articles!$A$2:$A$148,0)))</f>
        <v>75</v>
      </c>
      <c r="H61" s="13" t="n">
        <f aca="false">IF(G61="",0,F61*G61)</f>
        <v>75</v>
      </c>
      <c r="I61" s="13" t="str">
        <f aca="false">IF(INDEX(Articles!$E$2:$E$148,MATCH(C61,Articles!$A$2:$A$148,0))="","",INDEX(Articles!$E$2:$E$148,MATCH(C61,Articles!$A$2:$A$148,0)))</f>
        <v/>
      </c>
      <c r="J61" s="13" t="str">
        <f aca="false">IF(I61="","",F61*I61)</f>
        <v/>
      </c>
      <c r="K61" s="9" t="str">
        <f aca="false">INDEX(Articles!$H$2:$H$148,MATCH(C61,Articles!$A$2:$A$148,0))</f>
        <v>Fixé</v>
      </c>
      <c r="L61" s="9" t="str">
        <f aca="false">INDEX(Articles!$F$2:$F$148,MATCH(C61,Articles!$A$2:$A$148,0))</f>
        <v>Inconnu</v>
      </c>
      <c r="M61" s="17"/>
      <c r="N61" s="9" t="s">
        <v>167</v>
      </c>
    </row>
    <row r="62" customFormat="false" ht="15" hidden="false" customHeight="false" outlineLevel="0" collapsed="false">
      <c r="A62" s="9" t="s">
        <v>675</v>
      </c>
      <c r="B62" s="9" t="s">
        <v>717</v>
      </c>
      <c r="C62" s="31" t="s">
        <v>180</v>
      </c>
      <c r="D62" s="9" t="str">
        <f aca="false">INDEX(Articles!$C$2:$C$148,MATCH(C62,Articles!$A$2:$A$148,0))</f>
        <v>Gomme Staedtler Mars Plastic</v>
      </c>
      <c r="E62" s="9" t="str">
        <f aca="false">INDEX(Articles!$B$2:$B$148,MATCH(C62,Articles!$A$2:$A$148,0))</f>
        <v>LPD</v>
      </c>
      <c r="F62" s="31" t="n">
        <v>1</v>
      </c>
      <c r="G62" s="13" t="n">
        <f aca="false">IF(INDEX(Articles!$G$2:$G$148,MATCH(C62,Articles!$A$2:$A$148,0))="","",INDEX(Articles!$G$2:$G$148,MATCH(C62,Articles!$A$2:$A$148,0)))</f>
        <v>250</v>
      </c>
      <c r="H62" s="13" t="n">
        <f aca="false">IF(G62="",0,F62*G62)</f>
        <v>250</v>
      </c>
      <c r="I62" s="13" t="n">
        <f aca="false">IF(INDEX(Articles!$E$2:$E$148,MATCH(C62,Articles!$A$2:$A$148,0))="","",INDEX(Articles!$E$2:$E$148,MATCH(C62,Articles!$A$2:$A$148,0)))</f>
        <v>110</v>
      </c>
      <c r="J62" s="13" t="n">
        <f aca="false">IF(I62="","",F62*I62)</f>
        <v>110</v>
      </c>
      <c r="K62" s="9" t="str">
        <f aca="false">INDEX(Articles!$H$2:$H$148,MATCH(C62,Articles!$A$2:$A$148,0))</f>
        <v>Fixé</v>
      </c>
      <c r="L62" s="9" t="str">
        <f aca="false">INDEX(Articles!$F$2:$F$148,MATCH(C62,Articles!$A$2:$A$148,0))</f>
        <v>Estimé</v>
      </c>
      <c r="M62" s="17"/>
      <c r="N62" s="9" t="s">
        <v>167</v>
      </c>
    </row>
    <row r="63" customFormat="false" ht="15" hidden="false" customHeight="false" outlineLevel="0" collapsed="false">
      <c r="A63" s="9" t="s">
        <v>675</v>
      </c>
      <c r="B63" s="9" t="s">
        <v>751</v>
      </c>
      <c r="C63" s="31" t="s">
        <v>183</v>
      </c>
      <c r="D63" s="9" t="str">
        <f aca="false">INDEX(Articles!$C$2:$C$148,MATCH(C63,Articles!$A$2:$A$148,0))</f>
        <v>Taille-crayon avec réservoir Maped</v>
      </c>
      <c r="E63" s="9" t="str">
        <f aca="false">INDEX(Articles!$B$2:$B$148,MATCH(C63,Articles!$A$2:$A$148,0))</f>
        <v>Papex</v>
      </c>
      <c r="F63" s="31" t="n">
        <v>1</v>
      </c>
      <c r="G63" s="13" t="n">
        <f aca="false">IF(INDEX(Articles!$G$2:$G$148,MATCH(C63,Articles!$A$2:$A$148,0))="","",INDEX(Articles!$G$2:$G$148,MATCH(C63,Articles!$A$2:$A$148,0)))</f>
        <v>500</v>
      </c>
      <c r="H63" s="13" t="n">
        <f aca="false">IF(G63="",0,F63*G63)</f>
        <v>500</v>
      </c>
      <c r="I63" s="13" t="n">
        <f aca="false">IF(INDEX(Articles!$E$2:$E$148,MATCH(C63,Articles!$A$2:$A$148,0))="","",INDEX(Articles!$E$2:$E$148,MATCH(C63,Articles!$A$2:$A$148,0)))</f>
        <v>350</v>
      </c>
      <c r="J63" s="13" t="n">
        <f aca="false">IF(I63="","",F63*I63)</f>
        <v>350</v>
      </c>
      <c r="K63" s="9" t="str">
        <f aca="false">INDEX(Articles!$H$2:$H$148,MATCH(C63,Articles!$A$2:$A$148,0))</f>
        <v>Estimé</v>
      </c>
      <c r="L63" s="9" t="str">
        <f aca="false">INDEX(Articles!$F$2:$F$148,MATCH(C63,Articles!$A$2:$A$148,0))</f>
        <v>Estimé</v>
      </c>
      <c r="M63" s="17" t="s">
        <v>765</v>
      </c>
      <c r="N63" s="9" t="s">
        <v>167</v>
      </c>
    </row>
    <row r="64" customFormat="false" ht="15" hidden="false" customHeight="false" outlineLevel="0" collapsed="false">
      <c r="A64" s="9" t="s">
        <v>675</v>
      </c>
      <c r="B64" s="9" t="s">
        <v>753</v>
      </c>
      <c r="C64" s="31" t="s">
        <v>248</v>
      </c>
      <c r="D64" s="9" t="str">
        <f aca="false">INDEX(Articles!$C$2:$C$148,MATCH(C64,Articles!$A$2:$A$148,0))</f>
        <v>Bâton de colle Giotto 20 g</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675</v>
      </c>
      <c r="B65" s="9" t="s">
        <v>754</v>
      </c>
      <c r="C65" s="31" t="s">
        <v>189</v>
      </c>
      <c r="D65" s="9" t="str">
        <f aca="false">INDEX(Articles!$C$2:$C$148,MATCH(C65,Articles!$A$2:$A$148,0))</f>
        <v>Ciseaux Maped 13 cm Security</v>
      </c>
      <c r="E65" s="9" t="str">
        <f aca="false">INDEX(Articles!$B$2:$B$148,MATCH(C65,Articles!$A$2:$A$148,0))</f>
        <v>Papex</v>
      </c>
      <c r="F65" s="31" t="n">
        <v>1</v>
      </c>
      <c r="G65" s="13" t="n">
        <f aca="false">IF(INDEX(Articles!$G$2:$G$148,MATCH(C65,Articles!$A$2:$A$148,0))="","",INDEX(Articles!$G$2:$G$148,MATCH(C65,Articles!$A$2:$A$148,0)))</f>
        <v>900</v>
      </c>
      <c r="H65" s="13" t="n">
        <f aca="false">IF(G65="",0,F65*G65)</f>
        <v>900</v>
      </c>
      <c r="I65" s="13" t="n">
        <f aca="false">IF(INDEX(Articles!$E$2:$E$148,MATCH(C65,Articles!$A$2:$A$148,0))="","",INDEX(Articles!$E$2:$E$148,MATCH(C65,Articles!$A$2:$A$148,0)))</f>
        <v>650</v>
      </c>
      <c r="J65" s="13" t="n">
        <f aca="false">IF(I65="","",F65*I65)</f>
        <v>650</v>
      </c>
      <c r="K65" s="9" t="str">
        <f aca="false">INDEX(Articles!$H$2:$H$148,MATCH(C65,Articles!$A$2:$A$148,0))</f>
        <v>Estimé</v>
      </c>
      <c r="L65" s="9" t="str">
        <f aca="false">INDEX(Articles!$F$2:$F$148,MATCH(C65,Articles!$A$2:$A$148,0))</f>
        <v>Estimé</v>
      </c>
      <c r="M65" s="17"/>
      <c r="N65" s="9" t="s">
        <v>167</v>
      </c>
    </row>
    <row r="66" customFormat="false" ht="15" hidden="false" customHeight="false" outlineLevel="0" collapsed="false">
      <c r="A66" s="9" t="s">
        <v>676</v>
      </c>
      <c r="B66" s="9" t="s">
        <v>755</v>
      </c>
      <c r="C66" s="31" t="s">
        <v>215</v>
      </c>
      <c r="D66" s="9" t="str">
        <f aca="false">INDEX(Articles!$C$2:$C$148,MATCH(C66,Articles!$A$2:$A$148,0))</f>
        <v>Kit géométrie Maped 30 cm (réf. 1930)</v>
      </c>
      <c r="E66" s="9" t="str">
        <f aca="false">INDEX(Articles!$B$2:$B$148,MATCH(C66,Articles!$A$2:$A$148,0))</f>
        <v>LPD</v>
      </c>
      <c r="F66" s="31" t="n">
        <v>1</v>
      </c>
      <c r="G66" s="13" t="n">
        <f aca="false">IF(INDEX(Articles!$G$2:$G$148,MATCH(C66,Articles!$A$2:$A$148,0))="","",INDEX(Articles!$G$2:$G$148,MATCH(C66,Articles!$A$2:$A$148,0)))</f>
        <v>1800</v>
      </c>
      <c r="H66" s="13" t="n">
        <f aca="false">IF(G66="",0,F66*G66)</f>
        <v>1800</v>
      </c>
      <c r="I66" s="13" t="n">
        <f aca="false">IF(INDEX(Articles!$E$2:$E$148,MATCH(C66,Articles!$A$2:$A$148,0))="","",INDEX(Articles!$E$2:$E$148,MATCH(C66,Articles!$A$2:$A$148,0)))</f>
        <v>1500</v>
      </c>
      <c r="J66" s="13" t="n">
        <f aca="false">IF(I66="","",F66*I66)</f>
        <v>1500</v>
      </c>
      <c r="K66" s="9" t="str">
        <f aca="false">INDEX(Articles!$H$2:$H$148,MATCH(C66,Articles!$A$2:$A$148,0))</f>
        <v>À trancher</v>
      </c>
      <c r="L66" s="9" t="str">
        <f aca="false">INDEX(Articles!$F$2:$F$148,MATCH(C66,Articles!$A$2:$A$148,0))</f>
        <v>Confirmé</v>
      </c>
      <c r="M66" s="17"/>
      <c r="N66" s="9" t="s">
        <v>167</v>
      </c>
    </row>
    <row r="67" customFormat="false" ht="15" hidden="false" customHeight="false" outlineLevel="0" collapsed="false">
      <c r="A67" s="9" t="s">
        <v>676</v>
      </c>
      <c r="B67" s="9" t="s">
        <v>756</v>
      </c>
      <c r="C67" s="31" t="s">
        <v>171</v>
      </c>
      <c r="D67" s="9" t="str">
        <f aca="false">INDEX(Articles!$C$2:$C$148,MATCH(C67,Articles!$A$2:$A$148,0))</f>
        <v>Compas Maped</v>
      </c>
      <c r="E67" s="9" t="str">
        <f aca="false">INDEX(Articles!$B$2:$B$148,MATCH(C67,Articles!$A$2:$A$148,0))</f>
        <v>Papex</v>
      </c>
      <c r="F67" s="31" t="n">
        <v>1</v>
      </c>
      <c r="G67" s="13" t="n">
        <f aca="false">IF(INDEX(Articles!$G$2:$G$148,MATCH(C67,Articles!$A$2:$A$148,0))="","",INDEX(Articles!$G$2:$G$148,MATCH(C67,Articles!$A$2:$A$148,0)))</f>
        <v>2000</v>
      </c>
      <c r="H67" s="13" t="n">
        <f aca="false">IF(G67="",0,F67*G67)</f>
        <v>2000</v>
      </c>
      <c r="I67" s="13" t="n">
        <f aca="false">IF(INDEX(Articles!$E$2:$E$148,MATCH(C67,Articles!$A$2:$A$148,0))="","",INDEX(Articles!$E$2:$E$148,MATCH(C67,Articles!$A$2:$A$148,0)))</f>
        <v>1750</v>
      </c>
      <c r="J67" s="13" t="n">
        <f aca="false">IF(I67="","",F67*I67)</f>
        <v>1750</v>
      </c>
      <c r="K67" s="9" t="str">
        <f aca="false">INDEX(Articles!$H$2:$H$148,MATCH(C67,Articles!$A$2:$A$148,0))</f>
        <v>Fixé</v>
      </c>
      <c r="L67" s="9" t="str">
        <f aca="false">INDEX(Articles!$F$2:$F$148,MATCH(C67,Articles!$A$2:$A$148,0))</f>
        <v>Confirmé</v>
      </c>
      <c r="M67" s="17"/>
      <c r="N67" s="9" t="s">
        <v>167</v>
      </c>
    </row>
    <row r="68" customFormat="false" ht="15" hidden="false" customHeight="false" outlineLevel="0" collapsed="false">
      <c r="A68" s="9" t="s">
        <v>681</v>
      </c>
      <c r="B68" s="9" t="s">
        <v>757</v>
      </c>
      <c r="C68" s="31" t="s">
        <v>198</v>
      </c>
      <c r="D68" s="9" t="str">
        <f aca="false">INDEX(Articles!$C$2:$C$148,MATCH(C68,Articles!$A$2:$A$148,0))</f>
        <v>Crayons de couleur Maped, boîte de 12</v>
      </c>
      <c r="E68" s="9" t="str">
        <f aca="false">INDEX(Articles!$B$2:$B$148,MATCH(C68,Articles!$A$2:$A$148,0))</f>
        <v>Papex</v>
      </c>
      <c r="F68" s="31" t="n">
        <v>1</v>
      </c>
      <c r="G68" s="13" t="n">
        <f aca="false">IF(INDEX(Articles!$G$2:$G$148,MATCH(C68,Articles!$A$2:$A$148,0))="","",INDEX(Articles!$G$2:$G$148,MATCH(C68,Articles!$A$2:$A$148,0)))</f>
        <v>900</v>
      </c>
      <c r="H68" s="13" t="n">
        <f aca="false">IF(G68="",0,F68*G68)</f>
        <v>900</v>
      </c>
      <c r="I68" s="13" t="n">
        <f aca="false">IF(INDEX(Articles!$E$2:$E$148,MATCH(C68,Articles!$A$2:$A$148,0))="","",INDEX(Articles!$E$2:$E$148,MATCH(C68,Articles!$A$2:$A$148,0)))</f>
        <v>650</v>
      </c>
      <c r="J68" s="13" t="n">
        <f aca="false">IF(I68="","",F68*I68)</f>
        <v>650</v>
      </c>
      <c r="K68" s="9" t="str">
        <f aca="false">INDEX(Articles!$H$2:$H$148,MATCH(C68,Articles!$A$2:$A$148,0))</f>
        <v>Estimé</v>
      </c>
      <c r="L68" s="9" t="str">
        <f aca="false">INDEX(Articles!$F$2:$F$148,MATCH(C68,Articles!$A$2:$A$148,0))</f>
        <v>Estimé</v>
      </c>
      <c r="M68" s="17"/>
      <c r="N68" s="9" t="s">
        <v>167</v>
      </c>
    </row>
    <row r="69" customFormat="false" ht="15" hidden="false" customHeight="false" outlineLevel="0" collapsed="false">
      <c r="A69" s="9" t="s">
        <v>678</v>
      </c>
      <c r="B69" s="9" t="s">
        <v>766</v>
      </c>
      <c r="C69" s="31" t="s">
        <v>200</v>
      </c>
      <c r="D69" s="9" t="str">
        <f aca="false">INDEX(Articles!$C$2:$C$148,MATCH(C69,Articles!$A$2:$A$148,0))</f>
        <v>Surligneurs Maped Fluo Peps, pochette de 4</v>
      </c>
      <c r="E69" s="9" t="str">
        <f aca="false">INDEX(Articles!$B$2:$B$148,MATCH(C69,Articles!$A$2:$A$148,0))</f>
        <v>Papex</v>
      </c>
      <c r="F69" s="31" t="n">
        <v>1</v>
      </c>
      <c r="G69" s="13" t="n">
        <f aca="false">IF(INDEX(Articles!$G$2:$G$148,MATCH(C69,Articles!$A$2:$A$148,0))="","",INDEX(Articles!$G$2:$G$148,MATCH(C69,Articles!$A$2:$A$148,0)))</f>
        <v>2500</v>
      </c>
      <c r="H69" s="13" t="n">
        <f aca="false">IF(G69="",0,F69*G69)</f>
        <v>2500</v>
      </c>
      <c r="I69" s="13" t="n">
        <f aca="false">IF(INDEX(Articles!$E$2:$E$148,MATCH(C69,Articles!$A$2:$A$148,0))="","",INDEX(Articles!$E$2:$E$148,MATCH(C69,Articles!$A$2:$A$148,0)))</f>
        <v>2000</v>
      </c>
      <c r="J69" s="13" t="n">
        <f aca="false">IF(I69="","",F69*I69)</f>
        <v>2000</v>
      </c>
      <c r="K69" s="9" t="str">
        <f aca="false">INDEX(Articles!$H$2:$H$148,MATCH(C69,Articles!$A$2:$A$148,0))</f>
        <v>Estimé</v>
      </c>
      <c r="L69" s="9" t="str">
        <f aca="false">INDEX(Articles!$F$2:$F$148,MATCH(C69,Articles!$A$2:$A$148,0))</f>
        <v>Confirmé</v>
      </c>
      <c r="M69" s="17" t="s">
        <v>767</v>
      </c>
      <c r="N69" s="9" t="s">
        <v>167</v>
      </c>
    </row>
    <row r="70" customFormat="false" ht="15" hidden="false" customHeight="false" outlineLevel="0" collapsed="false">
      <c r="A70" s="9" t="s">
        <v>768</v>
      </c>
      <c r="B70" s="9" t="s">
        <v>769</v>
      </c>
      <c r="C70" s="31" t="s">
        <v>446</v>
      </c>
      <c r="D70" s="9" t="str">
        <f aca="false">INDEX(Articles!$C$2:$C$148,MATCH(C70,Articles!$A$2:$A$148,0))</f>
        <v>Chemise 3 rabats à élastique</v>
      </c>
      <c r="E70" s="9" t="str">
        <f aca="false">INDEX(Articles!$B$2:$B$148,MATCH(C70,Articles!$A$2:$A$148,0))</f>
        <v>Papex</v>
      </c>
      <c r="F70" s="31" t="n">
        <v>1</v>
      </c>
      <c r="G70" s="13" t="n">
        <f aca="false">IF(INDEX(Articles!$G$2:$G$148,MATCH(C70,Articles!$A$2:$A$148,0))="","",INDEX(Articles!$G$2:$G$148,MATCH(C70,Articles!$A$2:$A$148,0)))</f>
        <v>500</v>
      </c>
      <c r="H70" s="13" t="n">
        <f aca="false">IF(G70="",0,F70*G70)</f>
        <v>500</v>
      </c>
      <c r="I70" s="13" t="str">
        <f aca="false">IF(INDEX(Articles!$E$2:$E$148,MATCH(C70,Articles!$A$2:$A$148,0))="","",INDEX(Articles!$E$2:$E$148,MATCH(C70,Articles!$A$2:$A$148,0)))</f>
        <v/>
      </c>
      <c r="J70" s="13" t="str">
        <f aca="false">IF(I70="","",F70*I70)</f>
        <v/>
      </c>
      <c r="K70" s="9" t="str">
        <f aca="false">INDEX(Articles!$H$2:$H$148,MATCH(C70,Articles!$A$2:$A$148,0))</f>
        <v>Estimé</v>
      </c>
      <c r="L70" s="9" t="str">
        <f aca="false">INDEX(Articles!$F$2:$F$148,MATCH(C70,Articles!$A$2:$A$148,0))</f>
        <v>Inconnu</v>
      </c>
      <c r="M70" s="17" t="s">
        <v>770</v>
      </c>
      <c r="N70" s="9" t="s">
        <v>167</v>
      </c>
    </row>
    <row r="71" customFormat="false" ht="26.85" hidden="false" customHeight="false" outlineLevel="0" collapsed="false">
      <c r="A71" s="9" t="s">
        <v>676</v>
      </c>
      <c r="B71" s="9" t="s">
        <v>812</v>
      </c>
      <c r="C71" s="31" t="s">
        <v>242</v>
      </c>
      <c r="D71" s="9" t="str">
        <f aca="false">INDEX(Articles!$C$2:$C$148,MATCH(C71,Articles!$A$2:$A$148,0))</f>
        <v>Calculatrice scientifique Parpn YH-2000</v>
      </c>
      <c r="E71" s="9" t="str">
        <f aca="false">INDEX(Articles!$B$2:$B$148,MATCH(C71,Articles!$A$2:$A$148,0))</f>
        <v>LPD</v>
      </c>
      <c r="F71" s="31" t="n">
        <v>1</v>
      </c>
      <c r="G71" s="13" t="n">
        <f aca="false">IF(INDEX(Articles!$G$2:$G$148,MATCH(C71,Articles!$A$2:$A$148,0))="","",INDEX(Articles!$G$2:$G$148,MATCH(C71,Articles!$A$2:$A$148,0)))</f>
        <v>1400</v>
      </c>
      <c r="H71" s="13" t="n">
        <f aca="false">IF(G71="",0,F71*G71)</f>
        <v>1400</v>
      </c>
      <c r="I71" s="13" t="n">
        <f aca="false">IF(INDEX(Articles!$E$2:$E$148,MATCH(C71,Articles!$A$2:$A$148,0))="","",INDEX(Articles!$E$2:$E$148,MATCH(C71,Articles!$A$2:$A$148,0)))</f>
        <v>1100</v>
      </c>
      <c r="J71" s="13" t="n">
        <f aca="false">IF(I71="","",F71*I71)</f>
        <v>1100</v>
      </c>
      <c r="K71" s="9" t="str">
        <f aca="false">INDEX(Articles!$H$2:$H$148,MATCH(C71,Articles!$A$2:$A$148,0))</f>
        <v>Fixé</v>
      </c>
      <c r="L71" s="9" t="str">
        <f aca="false">INDEX(Articles!$F$2:$F$148,MATCH(C71,Articles!$A$2:$A$148,0))</f>
        <v>Confirmé</v>
      </c>
      <c r="M71" s="17" t="s">
        <v>816</v>
      </c>
      <c r="N71" s="9" t="s">
        <v>167</v>
      </c>
    </row>
    <row r="72" customFormat="false" ht="15" hidden="false" customHeight="false" outlineLevel="0" collapsed="false">
      <c r="A72" s="9" t="s">
        <v>768</v>
      </c>
      <c r="B72" s="9" t="s">
        <v>861</v>
      </c>
      <c r="C72" s="31" t="s">
        <v>246</v>
      </c>
      <c r="D72" s="9" t="str">
        <f aca="false">INDEX(Articles!$C$2:$C$148,MATCH(C72,Articles!$A$2:$A$148,0))</f>
        <v>Protège-documents porte-vues</v>
      </c>
      <c r="E72" s="9" t="str">
        <f aca="false">INDEX(Articles!$B$2:$B$148,MATCH(C72,Articles!$A$2:$A$148,0))</f>
        <v>LPD</v>
      </c>
      <c r="F72" s="31" t="n">
        <v>1</v>
      </c>
      <c r="G72" s="13" t="n">
        <f aca="false">IF(INDEX(Articles!$G$2:$G$148,MATCH(C72,Articles!$A$2:$A$148,0))="","",INDEX(Articles!$G$2:$G$148,MATCH(C72,Articles!$A$2:$A$148,0)))</f>
        <v>1150</v>
      </c>
      <c r="H72" s="13" t="n">
        <f aca="false">IF(G72="",0,F72*G72)</f>
        <v>1150</v>
      </c>
      <c r="I72" s="13" t="n">
        <f aca="false">IF(INDEX(Articles!$E$2:$E$148,MATCH(C72,Articles!$A$2:$A$148,0))="","",INDEX(Articles!$E$2:$E$148,MATCH(C72,Articles!$A$2:$A$148,0)))</f>
        <v>850</v>
      </c>
      <c r="J72" s="13" t="n">
        <f aca="false">IF(I72="","",F72*I72)</f>
        <v>850</v>
      </c>
      <c r="K72" s="9" t="str">
        <f aca="false">INDEX(Articles!$H$2:$H$148,MATCH(C72,Articles!$A$2:$A$148,0))</f>
        <v>Fixé</v>
      </c>
      <c r="L72" s="9" t="str">
        <f aca="false">INDEX(Articles!$F$2:$F$148,MATCH(C72,Articles!$A$2:$A$148,0))</f>
        <v>Estimé</v>
      </c>
      <c r="M72" s="17"/>
      <c r="N72" s="9" t="s">
        <v>167</v>
      </c>
    </row>
    <row r="73" customFormat="false" ht="15" hidden="false" customHeight="false" outlineLevel="0" collapsed="false">
      <c r="A73" s="9" t="s">
        <v>758</v>
      </c>
      <c r="B73" s="9" t="s">
        <v>759</v>
      </c>
      <c r="C73" s="31" t="s">
        <v>376</v>
      </c>
      <c r="D73" s="9" t="str">
        <f aca="false">INDEX(Articles!$C$2:$C$148,MATCH(C73,Articles!$A$2:$A$148,0))</f>
        <v>Paquet de copies doubles grand format</v>
      </c>
      <c r="E73" s="9" t="str">
        <f aca="false">INDEX(Articles!$B$2:$B$148,MATCH(C73,Articles!$A$2:$A$148,0))</f>
        <v>À préciser</v>
      </c>
      <c r="F73" s="31" t="n">
        <v>1</v>
      </c>
      <c r="G73" s="45" t="n">
        <f aca="false">IF(INDEX(Articles!$G$2:$G$148,MATCH(C73,Articles!$A$2:$A$148,0))="","",INDEX(Articles!$G$2:$G$148,MATCH(C73,Articles!$A$2:$A$148,0)))</f>
        <v>1800</v>
      </c>
      <c r="H73" s="13" t="n">
        <f aca="false">IF(G73="",0,F73*G73)</f>
        <v>1800</v>
      </c>
      <c r="I73" s="13" t="n">
        <f aca="false">IF(INDEX(Articles!$E$2:$E$148,MATCH(C73,Articles!$A$2:$A$148,0))="","",INDEX(Articles!$E$2:$E$148,MATCH(C73,Articles!$A$2:$A$148,0)))</f>
        <v>1300</v>
      </c>
      <c r="J73" s="13" t="n">
        <f aca="false">IF(I73="","",F73*I73)</f>
        <v>1300</v>
      </c>
      <c r="K73" s="9" t="str">
        <f aca="false">INDEX(Articles!$H$2:$H$148,MATCH(C73,Articles!$A$2:$A$148,0))</f>
        <v>Fixé</v>
      </c>
      <c r="L73" s="9" t="str">
        <f aca="false">INDEX(Articles!$F$2:$F$148,MATCH(C73,Articles!$A$2:$A$148,0))</f>
        <v>Confirmé</v>
      </c>
      <c r="M73" s="17"/>
      <c r="N73" s="9" t="s">
        <v>167</v>
      </c>
    </row>
    <row r="74" customFormat="false" ht="15" hidden="false" customHeight="false" outlineLevel="0" collapsed="false">
      <c r="A74" s="9" t="s">
        <v>771</v>
      </c>
      <c r="B74" s="9" t="s">
        <v>772</v>
      </c>
      <c r="C74" s="31" t="s">
        <v>160</v>
      </c>
      <c r="D74" s="9" t="str">
        <f aca="false">INDEX(Articles!$C$2:$C$148,MATCH(C74,Articles!$A$2:$A$148,0))</f>
        <v>Protège-cahier couleur petit format (à l'unité)</v>
      </c>
      <c r="E74" s="9" t="str">
        <f aca="false">INDEX(Articles!$B$2:$B$148,MATCH(C74,Articles!$A$2:$A$148,0))</f>
        <v>LPD</v>
      </c>
      <c r="F74" s="31" t="n">
        <v>3</v>
      </c>
      <c r="G74" s="13" t="n">
        <f aca="false">IF(INDEX(Articles!$G$2:$G$148,MATCH(C74,Articles!$A$2:$A$148,0))="","",INDEX(Articles!$G$2:$G$148,MATCH(C74,Articles!$A$2:$A$148,0)))</f>
        <v>150</v>
      </c>
      <c r="H74" s="13" t="n">
        <f aca="false">IF(G74="",0,F74*G74)</f>
        <v>450</v>
      </c>
      <c r="I74" s="13" t="str">
        <f aca="false">IF(INDEX(Articles!$E$2:$E$148,MATCH(C74,Articles!$A$2:$A$148,0))="","",INDEX(Articles!$E$2:$E$148,MATCH(C74,Articles!$A$2:$A$148,0)))</f>
        <v/>
      </c>
      <c r="J74" s="13" t="str">
        <f aca="false">IF(I74="","",F74*I74)</f>
        <v/>
      </c>
      <c r="K74" s="9" t="str">
        <f aca="false">INDEX(Articles!$H$2:$H$148,MATCH(C74,Articles!$A$2:$A$148,0))</f>
        <v>Fixé</v>
      </c>
      <c r="L74" s="9" t="str">
        <f aca="false">INDEX(Articles!$F$2:$F$148,MATCH(C74,Articles!$A$2:$A$148,0))</f>
        <v>Inconnu</v>
      </c>
      <c r="M74" s="17"/>
      <c r="N74" s="9" t="s">
        <v>167</v>
      </c>
    </row>
    <row r="75" customFormat="false" ht="15" hidden="false" customHeight="false" outlineLevel="0" collapsed="false">
      <c r="A75" s="9" t="s">
        <v>771</v>
      </c>
      <c r="B75" s="9" t="s">
        <v>773</v>
      </c>
      <c r="C75" s="31" t="s">
        <v>419</v>
      </c>
      <c r="D75" s="9" t="str">
        <f aca="false">INDEX(Articles!$C$2:$C$148,MATCH(C75,Articles!$A$2:$A$148,0))</f>
        <v>Protège-cahier grand format (à l'unité)</v>
      </c>
      <c r="E75" s="9" t="str">
        <f aca="false">INDEX(Articles!$B$2:$B$148,MATCH(C75,Articles!$A$2:$A$148,0))</f>
        <v>À préciser</v>
      </c>
      <c r="F75" s="31" t="n">
        <v>10</v>
      </c>
      <c r="G75" s="13" t="str">
        <f aca="false">IF(INDEX(Articles!$G$2:$G$148,MATCH(C75,Articles!$A$2:$A$148,0))="","",INDEX(Articles!$G$2:$G$148,MATCH(C75,Articles!$A$2:$A$148,0)))</f>
        <v/>
      </c>
      <c r="H75" s="13" t="n">
        <f aca="false">IF(G75="",0,F75*G75)</f>
        <v>0</v>
      </c>
      <c r="I75" s="13" t="str">
        <f aca="false">IF(INDEX(Articles!$E$2:$E$148,MATCH(C75,Articles!$A$2:$A$148,0))="","",INDEX(Articles!$E$2:$E$148,MATCH(C75,Articles!$A$2:$A$148,0)))</f>
        <v/>
      </c>
      <c r="J75" s="13" t="str">
        <f aca="false">IF(I75="","",F75*I75)</f>
        <v/>
      </c>
      <c r="K75" s="9" t="str">
        <f aca="false">INDEX(Articles!$H$2:$H$148,MATCH(C75,Articles!$A$2:$A$148,0))</f>
        <v>À fournir</v>
      </c>
      <c r="L75" s="9" t="str">
        <f aca="false">INDEX(Articles!$F$2:$F$148,MATCH(C75,Articles!$A$2:$A$148,0))</f>
        <v>Inconnu</v>
      </c>
      <c r="M75" s="17"/>
      <c r="N75" s="9" t="s">
        <v>167</v>
      </c>
    </row>
    <row r="76" customFormat="false" ht="15" hidden="false" customHeight="false" outlineLevel="0" collapsed="false">
      <c r="A76" s="9" t="s">
        <v>760</v>
      </c>
      <c r="B76" s="9" t="s">
        <v>883</v>
      </c>
      <c r="C76" s="31" t="s">
        <v>514</v>
      </c>
      <c r="D76" s="9" t="str">
        <f aca="false">INDEX(Articles!$C$2:$C$148,MATCH(C76,Articles!$A$2:$A$148,0))</f>
        <v>L'Étranger (Albert Camus)</v>
      </c>
      <c r="E76" s="9" t="str">
        <f aca="false">INDEX(Articles!$B$2:$B$148,MATCH(C76,Articles!$A$2:$A$148,0))</f>
        <v>LPD</v>
      </c>
      <c r="F76" s="31" t="n">
        <v>1</v>
      </c>
      <c r="G76" s="13" t="n">
        <f aca="false">IF(INDEX(Articles!$G$2:$G$148,MATCH(C76,Articles!$A$2:$A$148,0))="","",INDEX(Articles!$G$2:$G$148,MATCH(C76,Articles!$A$2:$A$148,0)))</f>
        <v>2800</v>
      </c>
      <c r="H76" s="13" t="n">
        <f aca="false">IF(G76="",0,F76*G76)</f>
        <v>2800</v>
      </c>
      <c r="I76" s="13" t="n">
        <f aca="false">IF(INDEX(Articles!$E$2:$E$148,MATCH(C76,Articles!$A$2:$A$148,0))="","",INDEX(Articles!$E$2:$E$148,MATCH(C76,Articles!$A$2:$A$148,0)))</f>
        <v>1800</v>
      </c>
      <c r="J76" s="13" t="n">
        <f aca="false">IF(I76="","",F76*I76)</f>
        <v>1800</v>
      </c>
      <c r="K76" s="9" t="str">
        <f aca="false">INDEX(Articles!$H$2:$H$148,MATCH(C76,Articles!$A$2:$A$148,0))</f>
        <v>Fixé</v>
      </c>
      <c r="L76" s="9" t="str">
        <f aca="false">INDEX(Articles!$F$2:$F$148,MATCH(C76,Articles!$A$2:$A$148,0))</f>
        <v>Estimé</v>
      </c>
      <c r="M76" s="17"/>
      <c r="N76" s="9" t="s">
        <v>167</v>
      </c>
    </row>
    <row r="77" customFormat="false" ht="15" hidden="false" customHeight="false" outlineLevel="0" collapsed="false">
      <c r="A77" s="9" t="s">
        <v>760</v>
      </c>
      <c r="B77" s="9" t="s">
        <v>883</v>
      </c>
      <c r="C77" s="31" t="s">
        <v>516</v>
      </c>
      <c r="D77" s="9" t="str">
        <f aca="false">INDEX(Articles!$C$2:$C$148,MATCH(C77,Articles!$A$2:$A$148,0))</f>
        <v>Les Contemplations (Victor Hugo)</v>
      </c>
      <c r="E77" s="9" t="str">
        <f aca="false">INDEX(Articles!$B$2:$B$148,MATCH(C77,Articles!$A$2:$A$148,0))</f>
        <v>LPD</v>
      </c>
      <c r="F77" s="31" t="n">
        <v>1</v>
      </c>
      <c r="G77" s="13" t="n">
        <f aca="false">IF(INDEX(Articles!$G$2:$G$148,MATCH(C77,Articles!$A$2:$A$148,0))="","",INDEX(Articles!$G$2:$G$148,MATCH(C77,Articles!$A$2:$A$148,0)))</f>
        <v>2800</v>
      </c>
      <c r="H77" s="13" t="n">
        <f aca="false">IF(G77="",0,F77*G77)</f>
        <v>2800</v>
      </c>
      <c r="I77" s="13" t="n">
        <f aca="false">IF(INDEX(Articles!$E$2:$E$148,MATCH(C77,Articles!$A$2:$A$148,0))="","",INDEX(Articles!$E$2:$E$148,MATCH(C77,Articles!$A$2:$A$148,0)))</f>
        <v>1800</v>
      </c>
      <c r="J77" s="13" t="n">
        <f aca="false">IF(I77="","",F77*I77)</f>
        <v>1800</v>
      </c>
      <c r="K77" s="9" t="str">
        <f aca="false">INDEX(Articles!$H$2:$H$148,MATCH(C77,Articles!$A$2:$A$148,0))</f>
        <v>Fixé</v>
      </c>
      <c r="L77" s="9" t="str">
        <f aca="false">INDEX(Articles!$F$2:$F$148,MATCH(C77,Articles!$A$2:$A$148,0))</f>
        <v>Confirmé</v>
      </c>
      <c r="M77" s="17"/>
      <c r="N77" s="9" t="s">
        <v>167</v>
      </c>
    </row>
    <row r="78" customFormat="false" ht="15" hidden="false" customHeight="false" outlineLevel="0" collapsed="false">
      <c r="D78" s="32" t="s">
        <v>683</v>
      </c>
      <c r="E78" s="32"/>
      <c r="F78" s="32"/>
      <c r="G78" s="32"/>
      <c r="H78" s="33" t="n">
        <f aca="false">COUNTIF(G48:G77,"")</f>
        <v>1</v>
      </c>
    </row>
    <row r="79" customFormat="false" ht="15" hidden="false" customHeight="false" outlineLevel="0" collapsed="false">
      <c r="D79" s="32" t="s">
        <v>684</v>
      </c>
      <c r="E79" s="32"/>
      <c r="F79" s="32"/>
      <c r="G79" s="32"/>
      <c r="H79" s="33" t="n">
        <f aca="false">SUM(H48:H77)</f>
        <v>39425</v>
      </c>
    </row>
    <row r="80" customFormat="false" ht="15" hidden="false" customHeight="false" outlineLevel="0" collapsed="false">
      <c r="D80" s="32" t="s">
        <v>28</v>
      </c>
      <c r="E80" s="32"/>
      <c r="F80" s="32"/>
      <c r="G80" s="32"/>
      <c r="H80" s="33" t="n">
        <f aca="false">SUM(J48:J77)</f>
        <v>30610</v>
      </c>
    </row>
    <row r="81" customFormat="false" ht="15" hidden="false" customHeight="false" outlineLevel="0" collapsed="false">
      <c r="D81" s="32" t="s">
        <v>685</v>
      </c>
      <c r="E81" s="32"/>
      <c r="F81" s="32"/>
      <c r="G81" s="32"/>
      <c r="H81" s="33" t="n">
        <f aca="false">COUNTIF(I48:I77,"")</f>
        <v>5</v>
      </c>
    </row>
    <row r="82" customFormat="false" ht="15" hidden="false" customHeight="false" outlineLevel="0" collapsed="false">
      <c r="D82" s="32" t="s">
        <v>686</v>
      </c>
      <c r="E82" s="32"/>
      <c r="F82" s="32"/>
      <c r="G82" s="32"/>
      <c r="H82" s="33" t="n">
        <f aca="false">SUMPRODUCT((I48:I77&lt;&gt;"")*H48:H77)-H80</f>
        <v>7390</v>
      </c>
    </row>
    <row r="83" customFormat="false" ht="15" hidden="false" customHeight="false" outlineLevel="0" collapsed="false">
      <c r="D83" s="32" t="s">
        <v>687</v>
      </c>
      <c r="E83" s="32"/>
      <c r="F83" s="32"/>
      <c r="G83" s="32"/>
      <c r="H83" s="33" t="n">
        <f aca="false">SUMIF(A48:A77,"Cahiers",F48:F77)</f>
        <v>13</v>
      </c>
    </row>
    <row r="84" customFormat="false" ht="15" hidden="false" customHeight="false" outlineLevel="0" collapsed="false">
      <c r="D84" s="32" t="s">
        <v>688</v>
      </c>
      <c r="E84" s="32"/>
      <c r="F84" s="32"/>
      <c r="G84" s="32"/>
      <c r="H84" s="34" t="n">
        <f aca="false">IF(H79=0,0,SUMIF(K48:K77,"&lt;&gt;Fixé",H48:H77)/H79)</f>
        <v>0.20291693088142</v>
      </c>
    </row>
    <row r="85" customFormat="false" ht="15" hidden="false" customHeight="false" outlineLevel="0" collapsed="false">
      <c r="D85" s="32" t="s">
        <v>689</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696</v>
      </c>
      <c r="E86" s="21" t="str">
        <f aca="false">INDEX(Articles!$C$2:$C$148,MATCH("S020",Articles!$A$2:$A$148,0))</f>
        <v>Sac à dos bleu marine</v>
      </c>
      <c r="H86" s="41" t="n">
        <f aca="false">INDEX(Articles!$G$2:$G$148,MATCH("S020",Articles!$A$2:$A$148,0))</f>
        <v>7000</v>
      </c>
    </row>
    <row r="87" customFormat="false" ht="15" hidden="false" customHeight="false" outlineLevel="0" collapsed="false">
      <c r="D87" s="42" t="s">
        <v>697</v>
      </c>
      <c r="E87" s="43" t="s">
        <v>912</v>
      </c>
    </row>
    <row r="88" customFormat="false" ht="15" hidden="false" customHeight="false" outlineLevel="0" collapsed="false">
      <c r="E88" s="43" t="s">
        <v>913</v>
      </c>
    </row>
    <row r="89" customFormat="false" ht="15" hidden="false" customHeight="false" outlineLevel="0" collapsed="false">
      <c r="E89" s="43" t="s">
        <v>914</v>
      </c>
    </row>
    <row r="90" customFormat="false" ht="15" hidden="false" customHeight="false" outlineLevel="0" collapsed="false">
      <c r="E90" s="43" t="s">
        <v>887</v>
      </c>
    </row>
    <row r="91" customFormat="false" ht="15" hidden="false" customHeight="false" outlineLevel="0" collapsed="false">
      <c r="E91" s="43" t="s">
        <v>926</v>
      </c>
    </row>
    <row r="94" customFormat="false" ht="15" hidden="false" customHeight="false" outlineLevel="0" collapsed="false">
      <c r="A94" s="28" t="s">
        <v>927</v>
      </c>
      <c r="B94" s="29"/>
      <c r="C94" s="29"/>
      <c r="D94" s="29"/>
      <c r="E94" s="29"/>
      <c r="F94" s="29"/>
      <c r="G94" s="29"/>
      <c r="H94" s="29"/>
      <c r="I94" s="29"/>
      <c r="J94" s="29"/>
      <c r="K94" s="29"/>
      <c r="L94" s="29"/>
      <c r="M94" s="29"/>
      <c r="N94" s="29"/>
    </row>
    <row r="95" customFormat="false" ht="39.55" hidden="false" customHeight="false" outlineLevel="0" collapsed="false">
      <c r="A95" s="30" t="s">
        <v>663</v>
      </c>
      <c r="B95" s="30" t="s">
        <v>664</v>
      </c>
      <c r="C95" s="30" t="s">
        <v>348</v>
      </c>
      <c r="D95" s="30" t="s">
        <v>350</v>
      </c>
      <c r="E95" s="30" t="s">
        <v>349</v>
      </c>
      <c r="F95" s="30" t="s">
        <v>665</v>
      </c>
      <c r="G95" s="30" t="s">
        <v>666</v>
      </c>
      <c r="H95" s="30" t="s">
        <v>667</v>
      </c>
      <c r="I95" s="30" t="s">
        <v>668</v>
      </c>
      <c r="J95" s="30" t="s">
        <v>669</v>
      </c>
      <c r="K95" s="30" t="s">
        <v>355</v>
      </c>
      <c r="L95" s="30" t="s">
        <v>353</v>
      </c>
      <c r="M95" s="30" t="s">
        <v>356</v>
      </c>
      <c r="N95" s="30" t="s">
        <v>670</v>
      </c>
    </row>
    <row r="96" customFormat="false" ht="15" hidden="false" customHeight="false" outlineLevel="0" collapsed="false">
      <c r="A96" s="9" t="s">
        <v>671</v>
      </c>
      <c r="B96" s="9" t="s">
        <v>850</v>
      </c>
      <c r="C96" s="31" t="s">
        <v>208</v>
      </c>
      <c r="D96" s="9" t="str">
        <f aca="false">INDEX(Articles!$C$2:$C$148,MATCH(C96,Articles!$A$2:$A$148,0))</f>
        <v>Cahier Calligraphe 96 pages 24x32 (grand format)</v>
      </c>
      <c r="E96" s="9" t="str">
        <f aca="false">INDEX(Articles!$B$2:$B$148,MATCH(C96,Articles!$A$2:$A$148,0))</f>
        <v>Papex</v>
      </c>
      <c r="F96" s="31" t="n">
        <v>1</v>
      </c>
      <c r="G96" s="13" t="n">
        <f aca="false">IF(INDEX(Articles!$G$2:$G$148,MATCH(C96,Articles!$A$2:$A$148,0))="","",INDEX(Articles!$G$2:$G$148,MATCH(C96,Articles!$A$2:$A$148,0)))</f>
        <v>1350</v>
      </c>
      <c r="H96" s="13" t="n">
        <f aca="false">IF(G96="",0,F96*G96)</f>
        <v>1350</v>
      </c>
      <c r="I96" s="13" t="n">
        <f aca="false">IF(INDEX(Articles!$E$2:$E$148,MATCH(C96,Articles!$A$2:$A$148,0))="","",INDEX(Articles!$E$2:$E$148,MATCH(C96,Articles!$A$2:$A$148,0)))</f>
        <v>1000</v>
      </c>
      <c r="J96" s="13" t="n">
        <f aca="false">IF(I96="","",F96*I96)</f>
        <v>1000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744</v>
      </c>
      <c r="C97" s="31" t="s">
        <v>213</v>
      </c>
      <c r="D97" s="9" t="str">
        <f aca="false">INDEX(Articles!$C$2:$C$148,MATCH(C97,Articles!$A$2:$A$148,0))</f>
        <v>Cahier Calligraphe 192 pages 24x32 (grand format)</v>
      </c>
      <c r="E97" s="9" t="str">
        <f aca="false">INDEX(Articles!$B$2:$B$148,MATCH(C97,Articles!$A$2:$A$148,0))</f>
        <v>Papex</v>
      </c>
      <c r="F97" s="31" t="n">
        <v>1</v>
      </c>
      <c r="G97" s="13" t="n">
        <f aca="false">IF(INDEX(Articles!$G$2:$G$148,MATCH(C97,Articles!$A$2:$A$148,0))="","",INDEX(Articles!$G$2:$G$148,MATCH(C97,Articles!$A$2:$A$148,0)))</f>
        <v>1650</v>
      </c>
      <c r="H97" s="13" t="n">
        <f aca="false">IF(G97="",0,F97*G97)</f>
        <v>1650</v>
      </c>
      <c r="I97" s="13" t="n">
        <f aca="false">IF(INDEX(Articles!$E$2:$E$148,MATCH(C97,Articles!$A$2:$A$148,0))="","",INDEX(Articles!$E$2:$E$148,MATCH(C97,Articles!$A$2:$A$148,0)))</f>
        <v>1500</v>
      </c>
      <c r="J97" s="13" t="n">
        <f aca="false">IF(I97="","",F97*I97)</f>
        <v>1500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671</v>
      </c>
      <c r="B98" s="9" t="s">
        <v>854</v>
      </c>
      <c r="C98" s="31" t="s">
        <v>366</v>
      </c>
      <c r="D98" s="9" t="str">
        <f aca="false">INDEX(Articles!$C$2:$C$148,MATCH(C98,Articles!$A$2:$A$148,0))</f>
        <v>Cahier Calligraphe 140 pages 17x22 90 g seyès</v>
      </c>
      <c r="E98" s="9" t="str">
        <f aca="false">INDEX(Articles!$B$2:$B$148,MATCH(C98,Articles!$A$2:$A$148,0))</f>
        <v>Papex</v>
      </c>
      <c r="F98" s="31" t="n">
        <v>1</v>
      </c>
      <c r="G98" s="13" t="n">
        <f aca="false">IF(INDEX(Articles!$G$2:$G$148,MATCH(C98,Articles!$A$2:$A$148,0))="","",INDEX(Articles!$G$2:$G$148,MATCH(C98,Articles!$A$2:$A$148,0)))</f>
        <v>750</v>
      </c>
      <c r="H98" s="13" t="n">
        <f aca="false">IF(G98="",0,F98*G98)</f>
        <v>750</v>
      </c>
      <c r="I98" s="13" t="n">
        <f aca="false">IF(INDEX(Articles!$E$2:$E$148,MATCH(C98,Articles!$A$2:$A$148,0))="","",INDEX(Articles!$E$2:$E$148,MATCH(C98,Articles!$A$2:$A$148,0)))</f>
        <v>650</v>
      </c>
      <c r="J98" s="13" t="n">
        <f aca="false">IF(I98="","",F98*I98)</f>
        <v>650</v>
      </c>
      <c r="K98" s="9" t="str">
        <f aca="false">INDEX(Articles!$H$2:$H$148,MATCH(C98,Articles!$A$2:$A$148,0))</f>
        <v>Fixé</v>
      </c>
      <c r="L98" s="9" t="str">
        <f aca="false">INDEX(Articles!$F$2:$F$148,MATCH(C98,Articles!$A$2:$A$148,0))</f>
        <v>Estimé</v>
      </c>
      <c r="M98" s="17" t="s">
        <v>763</v>
      </c>
      <c r="N98" s="9" t="s">
        <v>167</v>
      </c>
    </row>
    <row r="99" customFormat="false" ht="15" hidden="false" customHeight="false" outlineLevel="0" collapsed="false">
      <c r="A99" s="9" t="s">
        <v>671</v>
      </c>
      <c r="B99" s="9" t="s">
        <v>737</v>
      </c>
      <c r="C99" s="31" t="s">
        <v>213</v>
      </c>
      <c r="D99" s="9" t="str">
        <f aca="false">INDEX(Articles!$C$2:$C$148,MATCH(C99,Articles!$A$2:$A$148,0))</f>
        <v>Cahier Calligraphe 192 pages 24x32 (grand format)</v>
      </c>
      <c r="E99" s="9" t="str">
        <f aca="false">INDEX(Articles!$B$2:$B$148,MATCH(C99,Articles!$A$2:$A$148,0))</f>
        <v>Papex</v>
      </c>
      <c r="F99" s="31" t="n">
        <v>1</v>
      </c>
      <c r="G99" s="13" t="n">
        <f aca="false">IF(INDEX(Articles!$G$2:$G$148,MATCH(C99,Articles!$A$2:$A$148,0))="","",INDEX(Articles!$G$2:$G$148,MATCH(C99,Articles!$A$2:$A$148,0)))</f>
        <v>1650</v>
      </c>
      <c r="H99" s="13" t="n">
        <f aca="false">IF(G99="",0,F99*G99)</f>
        <v>1650</v>
      </c>
      <c r="I99" s="13" t="n">
        <f aca="false">IF(INDEX(Articles!$E$2:$E$148,MATCH(C99,Articles!$A$2:$A$148,0))="","",INDEX(Articles!$E$2:$E$148,MATCH(C99,Articles!$A$2:$A$148,0)))</f>
        <v>1500</v>
      </c>
      <c r="J99" s="13" t="n">
        <f aca="false">IF(I99="","",F99*I99)</f>
        <v>1500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739</v>
      </c>
      <c r="C100" s="31" t="s">
        <v>192</v>
      </c>
      <c r="D100" s="9" t="str">
        <f aca="false">INDEX(Articles!$C$2:$C$148,MATCH(C100,Articles!$A$2:$A$148,0))</f>
        <v>Cahier Calligraphe 192 pages 17x22 90 g seyès</v>
      </c>
      <c r="E100" s="9" t="str">
        <f aca="false">INDEX(Articles!$B$2:$B$148,MATCH(C100,Articles!$A$2:$A$148,0))</f>
        <v>Papex</v>
      </c>
      <c r="F100" s="31" t="n">
        <v>1</v>
      </c>
      <c r="G100" s="13" t="n">
        <f aca="false">IF(INDEX(Articles!$G$2:$G$148,MATCH(C100,Articles!$A$2:$A$148,0))="","",INDEX(Articles!$G$2:$G$148,MATCH(C100,Articles!$A$2:$A$148,0)))</f>
        <v>900</v>
      </c>
      <c r="H100" s="13" t="n">
        <f aca="false">IF(G100="",0,F100*G100)</f>
        <v>900</v>
      </c>
      <c r="I100" s="13" t="n">
        <f aca="false">IF(INDEX(Articles!$E$2:$E$148,MATCH(C100,Articles!$A$2:$A$148,0))="","",INDEX(Articles!$E$2:$E$148,MATCH(C100,Articles!$A$2:$A$148,0)))</f>
        <v>800</v>
      </c>
      <c r="J100" s="13" t="n">
        <f aca="false">IF(I100="","",F100*I100)</f>
        <v>800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742</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852</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671</v>
      </c>
      <c r="B103" s="9" t="s">
        <v>853</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909</v>
      </c>
      <c r="C104" s="31" t="s">
        <v>213</v>
      </c>
      <c r="D104" s="9" t="str">
        <f aca="false">INDEX(Articles!$C$2:$C$148,MATCH(C104,Articles!$A$2:$A$148,0))</f>
        <v>Cahier Calligraphe 192 pages 24x32 (grand format)</v>
      </c>
      <c r="E104" s="9" t="str">
        <f aca="false">INDEX(Articles!$B$2:$B$148,MATCH(C104,Articles!$A$2:$A$148,0))</f>
        <v>Papex</v>
      </c>
      <c r="F104" s="31" t="n">
        <v>1</v>
      </c>
      <c r="G104" s="13" t="n">
        <f aca="false">IF(INDEX(Articles!$G$2:$G$148,MATCH(C104,Articles!$A$2:$A$148,0))="","",INDEX(Articles!$G$2:$G$148,MATCH(C104,Articles!$A$2:$A$148,0)))</f>
        <v>1650</v>
      </c>
      <c r="H104" s="13" t="n">
        <f aca="false">IF(G104="",0,F104*G104)</f>
        <v>1650</v>
      </c>
      <c r="I104" s="13" t="n">
        <f aca="false">IF(INDEX(Articles!$E$2:$E$148,MATCH(C104,Articles!$A$2:$A$148,0))="","",INDEX(Articles!$E$2:$E$148,MATCH(C104,Articles!$A$2:$A$148,0)))</f>
        <v>1500</v>
      </c>
      <c r="J104" s="13" t="n">
        <f aca="false">IF(I104="","",F104*I104)</f>
        <v>1500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745</v>
      </c>
      <c r="C105" s="31" t="s">
        <v>213</v>
      </c>
      <c r="D105" s="9" t="str">
        <f aca="false">INDEX(Articles!$C$2:$C$148,MATCH(C105,Articles!$A$2:$A$148,0))</f>
        <v>Cahier Calligraphe 192 pages 24x32 (grand format)</v>
      </c>
      <c r="E105" s="9" t="str">
        <f aca="false">INDEX(Articles!$B$2:$B$148,MATCH(C105,Articles!$A$2:$A$148,0))</f>
        <v>Papex</v>
      </c>
      <c r="F105" s="31" t="n">
        <v>2</v>
      </c>
      <c r="G105" s="13" t="n">
        <f aca="false">IF(INDEX(Articles!$G$2:$G$148,MATCH(C105,Articles!$A$2:$A$148,0))="","",INDEX(Articles!$G$2:$G$148,MATCH(C105,Articles!$A$2:$A$148,0)))</f>
        <v>1650</v>
      </c>
      <c r="H105" s="13" t="n">
        <f aca="false">IF(G105="",0,F105*G105)</f>
        <v>3300</v>
      </c>
      <c r="I105" s="13" t="n">
        <f aca="false">IF(INDEX(Articles!$E$2:$E$148,MATCH(C105,Articles!$A$2:$A$148,0))="","",INDEX(Articles!$E$2:$E$148,MATCH(C105,Articles!$A$2:$A$148,0)))</f>
        <v>1500</v>
      </c>
      <c r="J105" s="13" t="n">
        <f aca="false">IF(I105="","",F105*I105)</f>
        <v>3000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831</v>
      </c>
      <c r="C106" s="31" t="s">
        <v>213</v>
      </c>
      <c r="D106" s="9" t="str">
        <f aca="false">INDEX(Articles!$C$2:$C$148,MATCH(C106,Articles!$A$2:$A$148,0))</f>
        <v>Cahier Calligraphe 192 pages 24x32 (grand format)</v>
      </c>
      <c r="E106" s="9" t="str">
        <f aca="false">INDEX(Articles!$B$2:$B$148,MATCH(C106,Articles!$A$2:$A$148,0))</f>
        <v>Papex</v>
      </c>
      <c r="F106" s="31" t="n">
        <v>1</v>
      </c>
      <c r="G106" s="13" t="n">
        <f aca="false">IF(INDEX(Articles!$G$2:$G$148,MATCH(C106,Articles!$A$2:$A$148,0))="","",INDEX(Articles!$G$2:$G$148,MATCH(C106,Articles!$A$2:$A$148,0)))</f>
        <v>1650</v>
      </c>
      <c r="H106" s="13" t="n">
        <f aca="false">IF(G106="",0,F106*G106)</f>
        <v>1650</v>
      </c>
      <c r="I106" s="13" t="n">
        <f aca="false">IF(INDEX(Articles!$E$2:$E$148,MATCH(C106,Articles!$A$2:$A$148,0))="","",INDEX(Articles!$E$2:$E$148,MATCH(C106,Articles!$A$2:$A$148,0)))</f>
        <v>1500</v>
      </c>
      <c r="J106" s="13" t="n">
        <f aca="false">IF(I106="","",F106*I106)</f>
        <v>1500</v>
      </c>
      <c r="K106" s="9" t="str">
        <f aca="false">INDEX(Articles!$H$2:$H$148,MATCH(C106,Articles!$A$2:$A$148,0))</f>
        <v>Fixé</v>
      </c>
      <c r="L106" s="9" t="str">
        <f aca="false">INDEX(Articles!$F$2:$F$148,MATCH(C106,Articles!$A$2:$A$148,0))</f>
        <v>Confirmé</v>
      </c>
      <c r="M106" s="17"/>
      <c r="N106" s="9" t="s">
        <v>167</v>
      </c>
    </row>
    <row r="107" customFormat="false" ht="15" hidden="false" customHeight="false" outlineLevel="0" collapsed="false">
      <c r="A107" s="9" t="s">
        <v>671</v>
      </c>
      <c r="B107" s="9" t="s">
        <v>855</v>
      </c>
      <c r="C107" s="31" t="s">
        <v>208</v>
      </c>
      <c r="D107" s="9" t="str">
        <f aca="false">INDEX(Articles!$C$2:$C$148,MATCH(C107,Articles!$A$2:$A$148,0))</f>
        <v>Cahier Calligraphe 96 pages 24x32 (grand format)</v>
      </c>
      <c r="E107" s="9" t="str">
        <f aca="false">INDEX(Articles!$B$2:$B$148,MATCH(C107,Articles!$A$2:$A$148,0))</f>
        <v>Papex</v>
      </c>
      <c r="F107" s="31" t="n">
        <v>1</v>
      </c>
      <c r="G107" s="13" t="n">
        <f aca="false">IF(INDEX(Articles!$G$2:$G$148,MATCH(C107,Articles!$A$2:$A$148,0))="","",INDEX(Articles!$G$2:$G$148,MATCH(C107,Articles!$A$2:$A$148,0)))</f>
        <v>1350</v>
      </c>
      <c r="H107" s="13" t="n">
        <f aca="false">IF(G107="",0,F107*G107)</f>
        <v>1350</v>
      </c>
      <c r="I107" s="13" t="n">
        <f aca="false">IF(INDEX(Articles!$E$2:$E$148,MATCH(C107,Articles!$A$2:$A$148,0))="","",INDEX(Articles!$E$2:$E$148,MATCH(C107,Articles!$A$2:$A$148,0)))</f>
        <v>1000</v>
      </c>
      <c r="J107" s="13" t="n">
        <f aca="false">IF(I107="","",F107*I107)</f>
        <v>1000</v>
      </c>
      <c r="K107" s="9" t="str">
        <f aca="false">INDEX(Articles!$H$2:$H$148,MATCH(C107,Articles!$A$2:$A$148,0))</f>
        <v>Fixé</v>
      </c>
      <c r="L107" s="9" t="str">
        <f aca="false">INDEX(Articles!$F$2:$F$148,MATCH(C107,Articles!$A$2:$A$148,0))</f>
        <v>Confirmé</v>
      </c>
      <c r="M107" s="17"/>
      <c r="N107" s="9" t="s">
        <v>167</v>
      </c>
    </row>
    <row r="108" customFormat="false" ht="15" hidden="false" customHeight="false" outlineLevel="0" collapsed="false">
      <c r="A108" s="9" t="s">
        <v>678</v>
      </c>
      <c r="B108" s="9" t="s">
        <v>749</v>
      </c>
      <c r="C108" s="31" t="s">
        <v>222</v>
      </c>
      <c r="D108" s="9" t="str">
        <f aca="false">INDEX(Articles!$C$2:$C$148,MATCH(C108,Articles!$A$2:$A$148,0))</f>
        <v>Pack de 4 stylos Schneider Tops 505 M (bleu, noir, rouge, vert)</v>
      </c>
      <c r="E108" s="9" t="str">
        <f aca="false">INDEX(Articles!$B$2:$B$148,MATCH(C108,Articles!$A$2:$A$148,0))</f>
        <v>Papex</v>
      </c>
      <c r="F108" s="31" t="n">
        <v>1</v>
      </c>
      <c r="G108" s="13" t="n">
        <f aca="false">IF(INDEX(Articles!$G$2:$G$148,MATCH(C108,Articles!$A$2:$A$148,0))="","",INDEX(Articles!$G$2:$G$148,MATCH(C108,Articles!$A$2:$A$148,0)))</f>
        <v>400</v>
      </c>
      <c r="H108" s="13" t="n">
        <f aca="false">IF(G108="",0,F108*G108)</f>
        <v>400</v>
      </c>
      <c r="I108" s="13" t="str">
        <f aca="false">IF(INDEX(Articles!$E$2:$E$148,MATCH(C108,Articles!$A$2:$A$148,0))="","",INDEX(Articles!$E$2:$E$148,MATCH(C108,Articles!$A$2:$A$148,0)))</f>
        <v/>
      </c>
      <c r="J108" s="13" t="str">
        <f aca="false">IF(I108="","",F108*I108)</f>
        <v/>
      </c>
      <c r="K108" s="9" t="str">
        <f aca="false">INDEX(Articles!$H$2:$H$148,MATCH(C108,Articles!$A$2:$A$148,0))</f>
        <v>Fixé</v>
      </c>
      <c r="L108" s="9" t="str">
        <f aca="false">INDEX(Articles!$F$2:$F$148,MATCH(C108,Articles!$A$2:$A$148,0))</f>
        <v>Inconnu</v>
      </c>
      <c r="M108" s="17" t="s">
        <v>432</v>
      </c>
      <c r="N108" s="9" t="s">
        <v>167</v>
      </c>
    </row>
    <row r="109" customFormat="false" ht="15" hidden="false" customHeight="false" outlineLevel="0" collapsed="false">
      <c r="A109" s="9" t="s">
        <v>678</v>
      </c>
      <c r="B109" s="9" t="s">
        <v>750</v>
      </c>
      <c r="C109" s="31" t="s">
        <v>235</v>
      </c>
      <c r="D109" s="9" t="str">
        <f aca="false">INDEX(Articles!$C$2:$C$148,MATCH(C109,Articles!$A$2:$A$148,0))</f>
        <v>Crayon papier (vendu à l'unité)</v>
      </c>
      <c r="E109" s="9" t="str">
        <f aca="false">INDEX(Articles!$B$2:$B$148,MATCH(C109,Articles!$A$2:$A$148,0))</f>
        <v>LPD</v>
      </c>
      <c r="F109" s="31" t="n">
        <v>1</v>
      </c>
      <c r="G109" s="13" t="n">
        <f aca="false">IF(INDEX(Articles!$G$2:$G$148,MATCH(C109,Articles!$A$2:$A$148,0))="","",INDEX(Articles!$G$2:$G$148,MATCH(C109,Articles!$A$2:$A$148,0)))</f>
        <v>75</v>
      </c>
      <c r="H109" s="13" t="n">
        <f aca="false">IF(G109="",0,F109*G109)</f>
        <v>75</v>
      </c>
      <c r="I109" s="13" t="str">
        <f aca="false">IF(INDEX(Articles!$E$2:$E$148,MATCH(C109,Articles!$A$2:$A$148,0))="","",INDEX(Articles!$E$2:$E$148,MATCH(C109,Articles!$A$2:$A$148,0)))</f>
        <v/>
      </c>
      <c r="J109" s="13" t="str">
        <f aca="false">IF(I109="","",F109*I109)</f>
        <v/>
      </c>
      <c r="K109" s="9" t="str">
        <f aca="false">INDEX(Articles!$H$2:$H$148,MATCH(C109,Articles!$A$2:$A$148,0))</f>
        <v>Fixé</v>
      </c>
      <c r="L109" s="9" t="str">
        <f aca="false">INDEX(Articles!$F$2:$F$148,MATCH(C109,Articles!$A$2:$A$148,0))</f>
        <v>Inconnu</v>
      </c>
      <c r="M109" s="17"/>
      <c r="N109" s="9" t="s">
        <v>167</v>
      </c>
    </row>
    <row r="110" customFormat="false" ht="15" hidden="false" customHeight="false" outlineLevel="0" collapsed="false">
      <c r="A110" s="9" t="s">
        <v>675</v>
      </c>
      <c r="B110" s="9" t="s">
        <v>717</v>
      </c>
      <c r="C110" s="31" t="s">
        <v>180</v>
      </c>
      <c r="D110" s="9" t="str">
        <f aca="false">INDEX(Articles!$C$2:$C$148,MATCH(C110,Articles!$A$2:$A$148,0))</f>
        <v>Gomme Staedtler Mars Plastic</v>
      </c>
      <c r="E110" s="9" t="str">
        <f aca="false">INDEX(Articles!$B$2:$B$148,MATCH(C110,Articles!$A$2:$A$148,0))</f>
        <v>LPD</v>
      </c>
      <c r="F110" s="31" t="n">
        <v>1</v>
      </c>
      <c r="G110" s="13" t="n">
        <f aca="false">IF(INDEX(Articles!$G$2:$G$148,MATCH(C110,Articles!$A$2:$A$148,0))="","",INDEX(Articles!$G$2:$G$148,MATCH(C110,Articles!$A$2:$A$148,0)))</f>
        <v>250</v>
      </c>
      <c r="H110" s="13" t="n">
        <f aca="false">IF(G110="",0,F110*G110)</f>
        <v>250</v>
      </c>
      <c r="I110" s="13" t="n">
        <f aca="false">IF(INDEX(Articles!$E$2:$E$148,MATCH(C110,Articles!$A$2:$A$148,0))="","",INDEX(Articles!$E$2:$E$148,MATCH(C110,Articles!$A$2:$A$148,0)))</f>
        <v>110</v>
      </c>
      <c r="J110" s="13" t="n">
        <f aca="false">IF(I110="","",F110*I110)</f>
        <v>110</v>
      </c>
      <c r="K110" s="9" t="str">
        <f aca="false">INDEX(Articles!$H$2:$H$148,MATCH(C110,Articles!$A$2:$A$148,0))</f>
        <v>Fixé</v>
      </c>
      <c r="L110" s="9" t="str">
        <f aca="false">INDEX(Articles!$F$2:$F$148,MATCH(C110,Articles!$A$2:$A$148,0))</f>
        <v>Estimé</v>
      </c>
      <c r="M110" s="17"/>
      <c r="N110" s="9" t="s">
        <v>167</v>
      </c>
    </row>
    <row r="111" customFormat="false" ht="15" hidden="false" customHeight="false" outlineLevel="0" collapsed="false">
      <c r="A111" s="9" t="s">
        <v>675</v>
      </c>
      <c r="B111" s="9" t="s">
        <v>751</v>
      </c>
      <c r="C111" s="31" t="s">
        <v>183</v>
      </c>
      <c r="D111" s="9" t="str">
        <f aca="false">INDEX(Articles!$C$2:$C$148,MATCH(C111,Articles!$A$2:$A$148,0))</f>
        <v>Taille-crayon avec réservoir Maped</v>
      </c>
      <c r="E111" s="9" t="str">
        <f aca="false">INDEX(Articles!$B$2:$B$148,MATCH(C111,Articles!$A$2:$A$148,0))</f>
        <v>Papex</v>
      </c>
      <c r="F111" s="31" t="n">
        <v>1</v>
      </c>
      <c r="G111" s="13" t="n">
        <f aca="false">IF(INDEX(Articles!$G$2:$G$148,MATCH(C111,Articles!$A$2:$A$148,0))="","",INDEX(Articles!$G$2:$G$148,MATCH(C111,Articles!$A$2:$A$148,0)))</f>
        <v>500</v>
      </c>
      <c r="H111" s="13" t="n">
        <f aca="false">IF(G111="",0,F111*G111)</f>
        <v>500</v>
      </c>
      <c r="I111" s="13" t="n">
        <f aca="false">IF(INDEX(Articles!$E$2:$E$148,MATCH(C111,Articles!$A$2:$A$148,0))="","",INDEX(Articles!$E$2:$E$148,MATCH(C111,Articles!$A$2:$A$148,0)))</f>
        <v>350</v>
      </c>
      <c r="J111" s="13" t="n">
        <f aca="false">IF(I111="","",F111*I111)</f>
        <v>350</v>
      </c>
      <c r="K111" s="9" t="str">
        <f aca="false">INDEX(Articles!$H$2:$H$148,MATCH(C111,Articles!$A$2:$A$148,0))</f>
        <v>Estimé</v>
      </c>
      <c r="L111" s="9" t="str">
        <f aca="false">INDEX(Articles!$F$2:$F$148,MATCH(C111,Articles!$A$2:$A$148,0))</f>
        <v>Estimé</v>
      </c>
      <c r="M111" s="17" t="s">
        <v>765</v>
      </c>
      <c r="N111" s="9" t="s">
        <v>167</v>
      </c>
    </row>
    <row r="112" customFormat="false" ht="15" hidden="false" customHeight="false" outlineLevel="0" collapsed="false">
      <c r="A112" s="9" t="s">
        <v>675</v>
      </c>
      <c r="B112" s="9" t="s">
        <v>753</v>
      </c>
      <c r="C112" s="31" t="s">
        <v>248</v>
      </c>
      <c r="D112" s="9" t="str">
        <f aca="false">INDEX(Articles!$C$2:$C$148,MATCH(C112,Articles!$A$2:$A$148,0))</f>
        <v>Bâton de colle Giotto 20 g</v>
      </c>
      <c r="E112" s="9" t="str">
        <f aca="false">INDEX(Articles!$B$2:$B$148,MATCH(C112,Articles!$A$2:$A$148,0))</f>
        <v>Papex</v>
      </c>
      <c r="F112" s="31" t="n">
        <v>1</v>
      </c>
      <c r="G112" s="13" t="n">
        <f aca="false">IF(INDEX(Articles!$G$2:$G$148,MATCH(C112,Articles!$A$2:$A$148,0))="","",INDEX(Articles!$G$2:$G$148,MATCH(C112,Articles!$A$2:$A$148,0)))</f>
        <v>900</v>
      </c>
      <c r="H112" s="13" t="n">
        <f aca="false">IF(G112="",0,F112*G112)</f>
        <v>900</v>
      </c>
      <c r="I112" s="13" t="n">
        <f aca="false">IF(INDEX(Articles!$E$2:$E$148,MATCH(C112,Articles!$A$2:$A$148,0))="","",INDEX(Articles!$E$2:$E$148,MATCH(C112,Articles!$A$2:$A$148,0)))</f>
        <v>650</v>
      </c>
      <c r="J112" s="13" t="n">
        <f aca="false">IF(I112="","",F112*I112)</f>
        <v>650</v>
      </c>
      <c r="K112" s="9" t="str">
        <f aca="false">INDEX(Articles!$H$2:$H$148,MATCH(C112,Articles!$A$2:$A$148,0))</f>
        <v>Estimé</v>
      </c>
      <c r="L112" s="9" t="str">
        <f aca="false">INDEX(Articles!$F$2:$F$148,MATCH(C112,Articles!$A$2:$A$148,0))</f>
        <v>Estimé</v>
      </c>
      <c r="M112" s="17"/>
      <c r="N112" s="9" t="s">
        <v>167</v>
      </c>
    </row>
    <row r="113" customFormat="false" ht="15" hidden="false" customHeight="false" outlineLevel="0" collapsed="false">
      <c r="A113" s="9" t="s">
        <v>675</v>
      </c>
      <c r="B113" s="9" t="s">
        <v>754</v>
      </c>
      <c r="C113" s="31" t="s">
        <v>189</v>
      </c>
      <c r="D113" s="9" t="str">
        <f aca="false">INDEX(Articles!$C$2:$C$148,MATCH(C113,Articles!$A$2:$A$148,0))</f>
        <v>Ciseaux Maped 13 cm Security</v>
      </c>
      <c r="E113" s="9" t="str">
        <f aca="false">INDEX(Articles!$B$2:$B$148,MATCH(C113,Articles!$A$2:$A$148,0))</f>
        <v>Papex</v>
      </c>
      <c r="F113" s="31" t="n">
        <v>1</v>
      </c>
      <c r="G113" s="13" t="n">
        <f aca="false">IF(INDEX(Articles!$G$2:$G$148,MATCH(C113,Articles!$A$2:$A$148,0))="","",INDEX(Articles!$G$2:$G$148,MATCH(C113,Articles!$A$2:$A$148,0)))</f>
        <v>900</v>
      </c>
      <c r="H113" s="13" t="n">
        <f aca="false">IF(G113="",0,F113*G113)</f>
        <v>900</v>
      </c>
      <c r="I113" s="13" t="n">
        <f aca="false">IF(INDEX(Articles!$E$2:$E$148,MATCH(C113,Articles!$A$2:$A$148,0))="","",INDEX(Articles!$E$2:$E$148,MATCH(C113,Articles!$A$2:$A$148,0)))</f>
        <v>650</v>
      </c>
      <c r="J113" s="13" t="n">
        <f aca="false">IF(I113="","",F113*I113)</f>
        <v>650</v>
      </c>
      <c r="K113" s="9" t="str">
        <f aca="false">INDEX(Articles!$H$2:$H$148,MATCH(C113,Articles!$A$2:$A$148,0))</f>
        <v>Estimé</v>
      </c>
      <c r="L113" s="9" t="str">
        <f aca="false">INDEX(Articles!$F$2:$F$148,MATCH(C113,Articles!$A$2:$A$148,0))</f>
        <v>Estimé</v>
      </c>
      <c r="M113" s="17"/>
      <c r="N113" s="9" t="s">
        <v>167</v>
      </c>
    </row>
    <row r="114" customFormat="false" ht="15" hidden="false" customHeight="false" outlineLevel="0" collapsed="false">
      <c r="A114" s="9" t="s">
        <v>676</v>
      </c>
      <c r="B114" s="9" t="s">
        <v>755</v>
      </c>
      <c r="C114" s="31" t="s">
        <v>215</v>
      </c>
      <c r="D114" s="9" t="str">
        <f aca="false">INDEX(Articles!$C$2:$C$148,MATCH(C114,Articles!$A$2:$A$148,0))</f>
        <v>Kit géométrie Maped 30 cm (réf. 1930)</v>
      </c>
      <c r="E114" s="9" t="str">
        <f aca="false">INDEX(Articles!$B$2:$B$148,MATCH(C114,Articles!$A$2:$A$148,0))</f>
        <v>LPD</v>
      </c>
      <c r="F114" s="31" t="n">
        <v>1</v>
      </c>
      <c r="G114" s="13" t="n">
        <f aca="false">IF(INDEX(Articles!$G$2:$G$148,MATCH(C114,Articles!$A$2:$A$148,0))="","",INDEX(Articles!$G$2:$G$148,MATCH(C114,Articles!$A$2:$A$148,0)))</f>
        <v>1800</v>
      </c>
      <c r="H114" s="13" t="n">
        <f aca="false">IF(G114="",0,F114*G114)</f>
        <v>1800</v>
      </c>
      <c r="I114" s="13" t="n">
        <f aca="false">IF(INDEX(Articles!$E$2:$E$148,MATCH(C114,Articles!$A$2:$A$148,0))="","",INDEX(Articles!$E$2:$E$148,MATCH(C114,Articles!$A$2:$A$148,0)))</f>
        <v>1500</v>
      </c>
      <c r="J114" s="13" t="n">
        <f aca="false">IF(I114="","",F114*I114)</f>
        <v>1500</v>
      </c>
      <c r="K114" s="9" t="str">
        <f aca="false">INDEX(Articles!$H$2:$H$148,MATCH(C114,Articles!$A$2:$A$148,0))</f>
        <v>À trancher</v>
      </c>
      <c r="L114" s="9" t="str">
        <f aca="false">INDEX(Articles!$F$2:$F$148,MATCH(C114,Articles!$A$2:$A$148,0))</f>
        <v>Confirmé</v>
      </c>
      <c r="M114" s="17"/>
      <c r="N114" s="9" t="s">
        <v>167</v>
      </c>
    </row>
    <row r="115" customFormat="false" ht="15" hidden="false" customHeight="false" outlineLevel="0" collapsed="false">
      <c r="A115" s="9" t="s">
        <v>676</v>
      </c>
      <c r="B115" s="9" t="s">
        <v>756</v>
      </c>
      <c r="C115" s="31" t="s">
        <v>171</v>
      </c>
      <c r="D115" s="9" t="str">
        <f aca="false">INDEX(Articles!$C$2:$C$148,MATCH(C115,Articles!$A$2:$A$148,0))</f>
        <v>Compas Maped</v>
      </c>
      <c r="E115" s="9" t="str">
        <f aca="false">INDEX(Articles!$B$2:$B$148,MATCH(C115,Articles!$A$2:$A$148,0))</f>
        <v>Papex</v>
      </c>
      <c r="F115" s="31" t="n">
        <v>1</v>
      </c>
      <c r="G115" s="13" t="n">
        <f aca="false">IF(INDEX(Articles!$G$2:$G$148,MATCH(C115,Articles!$A$2:$A$148,0))="","",INDEX(Articles!$G$2:$G$148,MATCH(C115,Articles!$A$2:$A$148,0)))</f>
        <v>2000</v>
      </c>
      <c r="H115" s="13" t="n">
        <f aca="false">IF(G115="",0,F115*G115)</f>
        <v>2000</v>
      </c>
      <c r="I115" s="13" t="n">
        <f aca="false">IF(INDEX(Articles!$E$2:$E$148,MATCH(C115,Articles!$A$2:$A$148,0))="","",INDEX(Articles!$E$2:$E$148,MATCH(C115,Articles!$A$2:$A$148,0)))</f>
        <v>1750</v>
      </c>
      <c r="J115" s="13" t="n">
        <f aca="false">IF(I115="","",F115*I115)</f>
        <v>1750</v>
      </c>
      <c r="K115" s="9" t="str">
        <f aca="false">INDEX(Articles!$H$2:$H$148,MATCH(C115,Articles!$A$2:$A$148,0))</f>
        <v>Fixé</v>
      </c>
      <c r="L115" s="9" t="str">
        <f aca="false">INDEX(Articles!$F$2:$F$148,MATCH(C115,Articles!$A$2:$A$148,0))</f>
        <v>Confirmé</v>
      </c>
      <c r="M115" s="17"/>
      <c r="N115" s="9" t="s">
        <v>167</v>
      </c>
    </row>
    <row r="116" customFormat="false" ht="15" hidden="false" customHeight="false" outlineLevel="0" collapsed="false">
      <c r="A116" s="9" t="s">
        <v>681</v>
      </c>
      <c r="B116" s="9" t="s">
        <v>757</v>
      </c>
      <c r="C116" s="31" t="s">
        <v>198</v>
      </c>
      <c r="D116" s="9" t="str">
        <f aca="false">INDEX(Articles!$C$2:$C$148,MATCH(C116,Articles!$A$2:$A$148,0))</f>
        <v>Crayons de couleur Maped, boîte de 12</v>
      </c>
      <c r="E116" s="9" t="str">
        <f aca="false">INDEX(Articles!$B$2:$B$148,MATCH(C116,Articles!$A$2:$A$148,0))</f>
        <v>Papex</v>
      </c>
      <c r="F116" s="31" t="n">
        <v>1</v>
      </c>
      <c r="G116" s="13" t="n">
        <f aca="false">IF(INDEX(Articles!$G$2:$G$148,MATCH(C116,Articles!$A$2:$A$148,0))="","",INDEX(Articles!$G$2:$G$148,MATCH(C116,Articles!$A$2:$A$148,0)))</f>
        <v>900</v>
      </c>
      <c r="H116" s="13" t="n">
        <f aca="false">IF(G116="",0,F116*G116)</f>
        <v>900</v>
      </c>
      <c r="I116" s="13" t="n">
        <f aca="false">IF(INDEX(Articles!$E$2:$E$148,MATCH(C116,Articles!$A$2:$A$148,0))="","",INDEX(Articles!$E$2:$E$148,MATCH(C116,Articles!$A$2:$A$148,0)))</f>
        <v>650</v>
      </c>
      <c r="J116" s="13" t="n">
        <f aca="false">IF(I116="","",F116*I116)</f>
        <v>650</v>
      </c>
      <c r="K116" s="9" t="str">
        <f aca="false">INDEX(Articles!$H$2:$H$148,MATCH(C116,Articles!$A$2:$A$148,0))</f>
        <v>Estimé</v>
      </c>
      <c r="L116" s="9" t="str">
        <f aca="false">INDEX(Articles!$F$2:$F$148,MATCH(C116,Articles!$A$2:$A$148,0))</f>
        <v>Estimé</v>
      </c>
      <c r="M116" s="17"/>
      <c r="N116" s="9" t="s">
        <v>167</v>
      </c>
    </row>
    <row r="117" customFormat="false" ht="15" hidden="false" customHeight="false" outlineLevel="0" collapsed="false">
      <c r="A117" s="9" t="s">
        <v>678</v>
      </c>
      <c r="B117" s="9" t="s">
        <v>766</v>
      </c>
      <c r="C117" s="31" t="s">
        <v>200</v>
      </c>
      <c r="D117" s="9" t="str">
        <f aca="false">INDEX(Articles!$C$2:$C$148,MATCH(C117,Articles!$A$2:$A$148,0))</f>
        <v>Surligneurs Maped Fluo Peps, pochette de 4</v>
      </c>
      <c r="E117" s="9" t="str">
        <f aca="false">INDEX(Articles!$B$2:$B$148,MATCH(C117,Articles!$A$2:$A$148,0))</f>
        <v>Papex</v>
      </c>
      <c r="F117" s="31" t="n">
        <v>1</v>
      </c>
      <c r="G117" s="13" t="n">
        <f aca="false">IF(INDEX(Articles!$G$2:$G$148,MATCH(C117,Articles!$A$2:$A$148,0))="","",INDEX(Articles!$G$2:$G$148,MATCH(C117,Articles!$A$2:$A$148,0)))</f>
        <v>2500</v>
      </c>
      <c r="H117" s="13" t="n">
        <f aca="false">IF(G117="",0,F117*G117)</f>
        <v>2500</v>
      </c>
      <c r="I117" s="13" t="n">
        <f aca="false">IF(INDEX(Articles!$E$2:$E$148,MATCH(C117,Articles!$A$2:$A$148,0))="","",INDEX(Articles!$E$2:$E$148,MATCH(C117,Articles!$A$2:$A$148,0)))</f>
        <v>2000</v>
      </c>
      <c r="J117" s="13" t="n">
        <f aca="false">IF(I117="","",F117*I117)</f>
        <v>2000</v>
      </c>
      <c r="K117" s="9" t="str">
        <f aca="false">INDEX(Articles!$H$2:$H$148,MATCH(C117,Articles!$A$2:$A$148,0))</f>
        <v>Estimé</v>
      </c>
      <c r="L117" s="9" t="str">
        <f aca="false">INDEX(Articles!$F$2:$F$148,MATCH(C117,Articles!$A$2:$A$148,0))</f>
        <v>Confirmé</v>
      </c>
      <c r="M117" s="17" t="s">
        <v>767</v>
      </c>
      <c r="N117" s="9" t="s">
        <v>167</v>
      </c>
    </row>
    <row r="118" customFormat="false" ht="15" hidden="false" customHeight="false" outlineLevel="0" collapsed="false">
      <c r="A118" s="9" t="s">
        <v>768</v>
      </c>
      <c r="B118" s="9" t="s">
        <v>769</v>
      </c>
      <c r="C118" s="31" t="s">
        <v>446</v>
      </c>
      <c r="D118" s="9" t="str">
        <f aca="false">INDEX(Articles!$C$2:$C$148,MATCH(C118,Articles!$A$2:$A$148,0))</f>
        <v>Chemise 3 rabats à élastique</v>
      </c>
      <c r="E118" s="9" t="str">
        <f aca="false">INDEX(Articles!$B$2:$B$148,MATCH(C118,Articles!$A$2:$A$148,0))</f>
        <v>Papex</v>
      </c>
      <c r="F118" s="31" t="n">
        <v>1</v>
      </c>
      <c r="G118" s="13" t="n">
        <f aca="false">IF(INDEX(Articles!$G$2:$G$148,MATCH(C118,Articles!$A$2:$A$148,0))="","",INDEX(Articles!$G$2:$G$148,MATCH(C118,Articles!$A$2:$A$148,0)))</f>
        <v>500</v>
      </c>
      <c r="H118" s="13" t="n">
        <f aca="false">IF(G118="",0,F118*G118)</f>
        <v>500</v>
      </c>
      <c r="I118" s="13" t="str">
        <f aca="false">IF(INDEX(Articles!$E$2:$E$148,MATCH(C118,Articles!$A$2:$A$148,0))="","",INDEX(Articles!$E$2:$E$148,MATCH(C118,Articles!$A$2:$A$148,0)))</f>
        <v/>
      </c>
      <c r="J118" s="13" t="str">
        <f aca="false">IF(I118="","",F118*I118)</f>
        <v/>
      </c>
      <c r="K118" s="9" t="str">
        <f aca="false">INDEX(Articles!$H$2:$H$148,MATCH(C118,Articles!$A$2:$A$148,0))</f>
        <v>Estimé</v>
      </c>
      <c r="L118" s="9" t="str">
        <f aca="false">INDEX(Articles!$F$2:$F$148,MATCH(C118,Articles!$A$2:$A$148,0))</f>
        <v>Inconnu</v>
      </c>
      <c r="M118" s="17" t="s">
        <v>770</v>
      </c>
      <c r="N118" s="9" t="s">
        <v>167</v>
      </c>
    </row>
    <row r="119" customFormat="false" ht="15" hidden="false" customHeight="false" outlineLevel="0" collapsed="false">
      <c r="A119" s="9" t="s">
        <v>676</v>
      </c>
      <c r="B119" s="9" t="s">
        <v>812</v>
      </c>
      <c r="C119" s="31" t="s">
        <v>205</v>
      </c>
      <c r="D119" s="9" t="str">
        <f aca="false">INDEX(Articles!$C$2:$C$148,MATCH(C119,Articles!$A$2:$A$148,0))</f>
        <v>Calculatrice Casio fx-92 Collège</v>
      </c>
      <c r="E119" s="9" t="str">
        <f aca="false">INDEX(Articles!$B$2:$B$148,MATCH(C119,Articles!$A$2:$A$148,0))</f>
        <v>Papex</v>
      </c>
      <c r="F119" s="31" t="n">
        <v>1</v>
      </c>
      <c r="G119" s="13" t="n">
        <f aca="false">IF(INDEX(Articles!$G$2:$G$148,MATCH(C119,Articles!$A$2:$A$148,0))="","",INDEX(Articles!$G$2:$G$148,MATCH(C119,Articles!$A$2:$A$148,0)))</f>
        <v>8000</v>
      </c>
      <c r="H119" s="13" t="n">
        <f aca="false">IF(G119="",0,F119*G119)</f>
        <v>8000</v>
      </c>
      <c r="I119" s="13" t="n">
        <f aca="false">IF(INDEX(Articles!$E$2:$E$148,MATCH(C119,Articles!$A$2:$A$148,0))="","",INDEX(Articles!$E$2:$E$148,MATCH(C119,Articles!$A$2:$A$148,0)))</f>
        <v>7000</v>
      </c>
      <c r="J119" s="13" t="n">
        <f aca="false">IF(I119="","",F119*I119)</f>
        <v>7000</v>
      </c>
      <c r="K119" s="9" t="str">
        <f aca="false">INDEX(Articles!$H$2:$H$148,MATCH(C119,Articles!$A$2:$A$148,0))</f>
        <v>Fixé</v>
      </c>
      <c r="L119" s="9" t="str">
        <f aca="false">INDEX(Articles!$F$2:$F$148,MATCH(C119,Articles!$A$2:$A$148,0))</f>
        <v>Confirmé</v>
      </c>
      <c r="M119" s="17" t="s">
        <v>820</v>
      </c>
      <c r="N119" s="9" t="s">
        <v>167</v>
      </c>
    </row>
    <row r="120" customFormat="false" ht="15" hidden="false" customHeight="false" outlineLevel="0" collapsed="false">
      <c r="A120" s="9" t="s">
        <v>768</v>
      </c>
      <c r="B120" s="9" t="s">
        <v>861</v>
      </c>
      <c r="C120" s="31" t="s">
        <v>246</v>
      </c>
      <c r="D120" s="9" t="str">
        <f aca="false">INDEX(Articles!$C$2:$C$148,MATCH(C120,Articles!$A$2:$A$148,0))</f>
        <v>Protège-documents porte-vues</v>
      </c>
      <c r="E120" s="9" t="str">
        <f aca="false">INDEX(Articles!$B$2:$B$148,MATCH(C120,Articles!$A$2:$A$148,0))</f>
        <v>LPD</v>
      </c>
      <c r="F120" s="31" t="n">
        <v>1</v>
      </c>
      <c r="G120" s="13" t="n">
        <f aca="false">IF(INDEX(Articles!$G$2:$G$148,MATCH(C120,Articles!$A$2:$A$148,0))="","",INDEX(Articles!$G$2:$G$148,MATCH(C120,Articles!$A$2:$A$148,0)))</f>
        <v>1150</v>
      </c>
      <c r="H120" s="13" t="n">
        <f aca="false">IF(G120="",0,F120*G120)</f>
        <v>1150</v>
      </c>
      <c r="I120" s="13" t="n">
        <f aca="false">IF(INDEX(Articles!$E$2:$E$148,MATCH(C120,Articles!$A$2:$A$148,0))="","",INDEX(Articles!$E$2:$E$148,MATCH(C120,Articles!$A$2:$A$148,0)))</f>
        <v>850</v>
      </c>
      <c r="J120" s="13" t="n">
        <f aca="false">IF(I120="","",F120*I120)</f>
        <v>850</v>
      </c>
      <c r="K120" s="9" t="str">
        <f aca="false">INDEX(Articles!$H$2:$H$148,MATCH(C120,Articles!$A$2:$A$148,0))</f>
        <v>Fixé</v>
      </c>
      <c r="L120" s="9" t="str">
        <f aca="false">INDEX(Articles!$F$2:$F$148,MATCH(C120,Articles!$A$2:$A$148,0))</f>
        <v>Estimé</v>
      </c>
      <c r="M120" s="17"/>
      <c r="N120" s="9" t="s">
        <v>167</v>
      </c>
    </row>
    <row r="121" customFormat="false" ht="15" hidden="false" customHeight="false" outlineLevel="0" collapsed="false">
      <c r="A121" s="9" t="s">
        <v>758</v>
      </c>
      <c r="B121" s="9" t="s">
        <v>759</v>
      </c>
      <c r="C121" s="31" t="s">
        <v>376</v>
      </c>
      <c r="D121" s="9" t="str">
        <f aca="false">INDEX(Articles!$C$2:$C$148,MATCH(C121,Articles!$A$2:$A$148,0))</f>
        <v>Paquet de copies doubles grand format</v>
      </c>
      <c r="E121" s="9" t="str">
        <f aca="false">INDEX(Articles!$B$2:$B$148,MATCH(C121,Articles!$A$2:$A$148,0))</f>
        <v>À préciser</v>
      </c>
      <c r="F121" s="31" t="n">
        <v>1</v>
      </c>
      <c r="G121" s="45" t="n">
        <f aca="false">IF(INDEX(Articles!$G$2:$G$148,MATCH(C121,Articles!$A$2:$A$148,0))="","",INDEX(Articles!$G$2:$G$148,MATCH(C121,Articles!$A$2:$A$148,0)))</f>
        <v>1800</v>
      </c>
      <c r="H121" s="13" t="n">
        <f aca="false">IF(G121="",0,F121*G121)</f>
        <v>1800</v>
      </c>
      <c r="I121" s="13" t="n">
        <f aca="false">IF(INDEX(Articles!$E$2:$E$148,MATCH(C121,Articles!$A$2:$A$148,0))="","",INDEX(Articles!$E$2:$E$148,MATCH(C121,Articles!$A$2:$A$148,0)))</f>
        <v>1300</v>
      </c>
      <c r="J121" s="13" t="n">
        <f aca="false">IF(I121="","",F121*I121)</f>
        <v>1300</v>
      </c>
      <c r="K121" s="9" t="str">
        <f aca="false">INDEX(Articles!$H$2:$H$148,MATCH(C121,Articles!$A$2:$A$148,0))</f>
        <v>Fixé</v>
      </c>
      <c r="L121" s="9" t="str">
        <f aca="false">INDEX(Articles!$F$2:$F$148,MATCH(C121,Articles!$A$2:$A$148,0))</f>
        <v>Confirmé</v>
      </c>
      <c r="M121" s="17"/>
      <c r="N121" s="9" t="s">
        <v>167</v>
      </c>
    </row>
    <row r="122" customFormat="false" ht="15" hidden="false" customHeight="false" outlineLevel="0" collapsed="false">
      <c r="A122" s="9" t="s">
        <v>771</v>
      </c>
      <c r="B122" s="9" t="s">
        <v>772</v>
      </c>
      <c r="C122" s="31" t="s">
        <v>160</v>
      </c>
      <c r="D122" s="9" t="str">
        <f aca="false">INDEX(Articles!$C$2:$C$148,MATCH(C122,Articles!$A$2:$A$148,0))</f>
        <v>Protège-cahier couleur petit format (à l'unité)</v>
      </c>
      <c r="E122" s="9" t="str">
        <f aca="false">INDEX(Articles!$B$2:$B$148,MATCH(C122,Articles!$A$2:$A$148,0))</f>
        <v>LPD</v>
      </c>
      <c r="F122" s="31" t="n">
        <v>3</v>
      </c>
      <c r="G122" s="13" t="n">
        <f aca="false">IF(INDEX(Articles!$G$2:$G$148,MATCH(C122,Articles!$A$2:$A$148,0))="","",INDEX(Articles!$G$2:$G$148,MATCH(C122,Articles!$A$2:$A$148,0)))</f>
        <v>150</v>
      </c>
      <c r="H122" s="13" t="n">
        <f aca="false">IF(G122="",0,F122*G122)</f>
        <v>450</v>
      </c>
      <c r="I122" s="13" t="str">
        <f aca="false">IF(INDEX(Articles!$E$2:$E$148,MATCH(C122,Articles!$A$2:$A$148,0))="","",INDEX(Articles!$E$2:$E$148,MATCH(C122,Articles!$A$2:$A$148,0)))</f>
        <v/>
      </c>
      <c r="J122" s="13" t="str">
        <f aca="false">IF(I122="","",F122*I122)</f>
        <v/>
      </c>
      <c r="K122" s="9" t="str">
        <f aca="false">INDEX(Articles!$H$2:$H$148,MATCH(C122,Articles!$A$2:$A$148,0))</f>
        <v>Fixé</v>
      </c>
      <c r="L122" s="9" t="str">
        <f aca="false">INDEX(Articles!$F$2:$F$148,MATCH(C122,Articles!$A$2:$A$148,0))</f>
        <v>Inconnu</v>
      </c>
      <c r="M122" s="17"/>
      <c r="N122" s="9" t="s">
        <v>167</v>
      </c>
    </row>
    <row r="123" customFormat="false" ht="15" hidden="false" customHeight="false" outlineLevel="0" collapsed="false">
      <c r="A123" s="9" t="s">
        <v>771</v>
      </c>
      <c r="B123" s="9" t="s">
        <v>773</v>
      </c>
      <c r="C123" s="31" t="s">
        <v>419</v>
      </c>
      <c r="D123" s="9" t="str">
        <f aca="false">INDEX(Articles!$C$2:$C$148,MATCH(C123,Articles!$A$2:$A$148,0))</f>
        <v>Protège-cahier grand format (à l'unité)</v>
      </c>
      <c r="E123" s="9" t="str">
        <f aca="false">INDEX(Articles!$B$2:$B$148,MATCH(C123,Articles!$A$2:$A$148,0))</f>
        <v>À préciser</v>
      </c>
      <c r="F123" s="31" t="n">
        <v>10</v>
      </c>
      <c r="G123" s="13" t="str">
        <f aca="false">IF(INDEX(Articles!$G$2:$G$148,MATCH(C123,Articles!$A$2:$A$148,0))="","",INDEX(Articles!$G$2:$G$148,MATCH(C123,Articles!$A$2:$A$148,0)))</f>
        <v/>
      </c>
      <c r="H123" s="13" t="n">
        <f aca="false">IF(G123="",0,F123*G123)</f>
        <v>0</v>
      </c>
      <c r="I123" s="13" t="str">
        <f aca="false">IF(INDEX(Articles!$E$2:$E$148,MATCH(C123,Articles!$A$2:$A$148,0))="","",INDEX(Articles!$E$2:$E$148,MATCH(C123,Articles!$A$2:$A$148,0)))</f>
        <v/>
      </c>
      <c r="J123" s="13" t="str">
        <f aca="false">IF(I123="","",F123*I123)</f>
        <v/>
      </c>
      <c r="K123" s="9" t="str">
        <f aca="false">INDEX(Articles!$H$2:$H$148,MATCH(C123,Articles!$A$2:$A$148,0))</f>
        <v>À fournir</v>
      </c>
      <c r="L123" s="9" t="str">
        <f aca="false">INDEX(Articles!$F$2:$F$148,MATCH(C123,Articles!$A$2:$A$148,0))</f>
        <v>Inconnu</v>
      </c>
      <c r="M123" s="17"/>
      <c r="N123" s="9" t="s">
        <v>167</v>
      </c>
    </row>
    <row r="124" customFormat="false" ht="15" hidden="false" customHeight="false" outlineLevel="0" collapsed="false">
      <c r="A124" s="9" t="s">
        <v>760</v>
      </c>
      <c r="B124" s="9" t="s">
        <v>883</v>
      </c>
      <c r="C124" s="31" t="s">
        <v>514</v>
      </c>
      <c r="D124" s="9" t="str">
        <f aca="false">INDEX(Articles!$C$2:$C$148,MATCH(C124,Articles!$A$2:$A$148,0))</f>
        <v>L'Étranger (Albert Camus)</v>
      </c>
      <c r="E124" s="9" t="str">
        <f aca="false">INDEX(Articles!$B$2:$B$148,MATCH(C124,Articles!$A$2:$A$148,0))</f>
        <v>LPD</v>
      </c>
      <c r="F124" s="31" t="n">
        <v>1</v>
      </c>
      <c r="G124" s="13" t="n">
        <f aca="false">IF(INDEX(Articles!$G$2:$G$148,MATCH(C124,Articles!$A$2:$A$148,0))="","",INDEX(Articles!$G$2:$G$148,MATCH(C124,Articles!$A$2:$A$148,0)))</f>
        <v>2800</v>
      </c>
      <c r="H124" s="13" t="n">
        <f aca="false">IF(G124="",0,F124*G124)</f>
        <v>2800</v>
      </c>
      <c r="I124" s="13" t="n">
        <f aca="false">IF(INDEX(Articles!$E$2:$E$148,MATCH(C124,Articles!$A$2:$A$148,0))="","",INDEX(Articles!$E$2:$E$148,MATCH(C124,Articles!$A$2:$A$148,0)))</f>
        <v>1800</v>
      </c>
      <c r="J124" s="13" t="n">
        <f aca="false">IF(I124="","",F124*I124)</f>
        <v>1800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760</v>
      </c>
      <c r="B125" s="9" t="s">
        <v>883</v>
      </c>
      <c r="C125" s="31" t="s">
        <v>516</v>
      </c>
      <c r="D125" s="9" t="str">
        <f aca="false">INDEX(Articles!$C$2:$C$148,MATCH(C125,Articles!$A$2:$A$148,0))</f>
        <v>Les Contemplations (Victor Hugo)</v>
      </c>
      <c r="E125" s="9" t="str">
        <f aca="false">INDEX(Articles!$B$2:$B$148,MATCH(C125,Articles!$A$2:$A$148,0))</f>
        <v>LPD</v>
      </c>
      <c r="F125" s="31" t="n">
        <v>1</v>
      </c>
      <c r="G125" s="13" t="n">
        <f aca="false">IF(INDEX(Articles!$G$2:$G$148,MATCH(C125,Articles!$A$2:$A$148,0))="","",INDEX(Articles!$G$2:$G$148,MATCH(C125,Articles!$A$2:$A$148,0)))</f>
        <v>2800</v>
      </c>
      <c r="H125" s="13" t="n">
        <f aca="false">IF(G125="",0,F125*G125)</f>
        <v>2800</v>
      </c>
      <c r="I125" s="13" t="n">
        <f aca="false">IF(INDEX(Articles!$E$2:$E$148,MATCH(C125,Articles!$A$2:$A$148,0))="","",INDEX(Articles!$E$2:$E$148,MATCH(C125,Articles!$A$2:$A$148,0)))</f>
        <v>1800</v>
      </c>
      <c r="J125" s="13" t="n">
        <f aca="false">IF(I125="","",F125*I125)</f>
        <v>1800</v>
      </c>
      <c r="K125" s="9" t="str">
        <f aca="false">INDEX(Articles!$H$2:$H$148,MATCH(C125,Articles!$A$2:$A$148,0))</f>
        <v>Fixé</v>
      </c>
      <c r="L125" s="9" t="str">
        <f aca="false">INDEX(Articles!$F$2:$F$148,MATCH(C125,Articles!$A$2:$A$148,0))</f>
        <v>Confirmé</v>
      </c>
      <c r="M125" s="17"/>
      <c r="N125" s="9" t="s">
        <v>167</v>
      </c>
    </row>
    <row r="126" customFormat="false" ht="15" hidden="false" customHeight="false" outlineLevel="0" collapsed="false">
      <c r="A126" s="9" t="s">
        <v>777</v>
      </c>
      <c r="B126" s="9" t="s">
        <v>917</v>
      </c>
      <c r="C126" s="31" t="s">
        <v>649</v>
      </c>
      <c r="D126" s="9" t="str">
        <f aca="false">INDEX(Articles!$C$2:$C$148,MATCH(C126,Articles!$A$2:$A$148,0))</f>
        <v>Science de la Vie et de la Terre Tlᵉ</v>
      </c>
      <c r="E126" s="9" t="str">
        <f aca="false">INDEX(Articles!$B$2:$B$148,MATCH(C126,Articles!$A$2:$A$148,0))</f>
        <v>LPD</v>
      </c>
      <c r="F126" s="31" t="n">
        <v>1</v>
      </c>
      <c r="G126" s="13" t="n">
        <f aca="false">IF(INDEX(Articles!$G$2:$G$148,MATCH(C126,Articles!$A$2:$A$148,0))="","",INDEX(Articles!$G$2:$G$148,MATCH(C126,Articles!$A$2:$A$148,0)))</f>
        <v>4720</v>
      </c>
      <c r="H126" s="13" t="n">
        <f aca="false">IF(G126="",0,F126*G126)</f>
        <v>4720</v>
      </c>
      <c r="I126" s="13" t="n">
        <f aca="false">IF(INDEX(Articles!$E$2:$E$148,MATCH(C126,Articles!$A$2:$A$148,0))="","",INDEX(Articles!$E$2:$E$148,MATCH(C126,Articles!$A$2:$A$148,0)))</f>
        <v>3720</v>
      </c>
      <c r="J126" s="13" t="n">
        <f aca="false">IF(I126="","",F126*I126)</f>
        <v>3720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A127" s="9" t="s">
        <v>678</v>
      </c>
      <c r="B127" s="9" t="s">
        <v>781</v>
      </c>
      <c r="C127" s="31" t="s">
        <v>434</v>
      </c>
      <c r="D127" s="9" t="str">
        <f aca="false">INDEX(Articles!$C$2:$C$148,MATCH(C127,Articles!$A$2:$A$148,0))</f>
        <v>Stylo 4 couleurs Schneider</v>
      </c>
      <c r="E127" s="9" t="str">
        <f aca="false">INDEX(Articles!$B$2:$B$148,MATCH(C127,Articles!$A$2:$A$148,0))</f>
        <v>Papex</v>
      </c>
      <c r="F127" s="31" t="n">
        <v>1</v>
      </c>
      <c r="G127" s="13" t="n">
        <f aca="false">IF(INDEX(Articles!$G$2:$G$148,MATCH(C127,Articles!$A$2:$A$148,0))="","",INDEX(Articles!$G$2:$G$148,MATCH(C127,Articles!$A$2:$A$148,0)))</f>
        <v>1750</v>
      </c>
      <c r="H127" s="13" t="n">
        <f aca="false">IF(G127="",0,F127*G127)</f>
        <v>1750</v>
      </c>
      <c r="I127" s="13" t="n">
        <f aca="false">IF(INDEX(Articles!$E$2:$E$148,MATCH(C127,Articles!$A$2:$A$148,0))="","",INDEX(Articles!$E$2:$E$148,MATCH(C127,Articles!$A$2:$A$148,0)))</f>
        <v>1500</v>
      </c>
      <c r="J127" s="13" t="n">
        <f aca="false">IF(I127="","",F127*I127)</f>
        <v>1500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678</v>
      </c>
      <c r="B128" s="9" t="s">
        <v>782</v>
      </c>
      <c r="C128" s="31" t="s">
        <v>174</v>
      </c>
      <c r="D128" s="9" t="str">
        <f aca="false">INDEX(Articles!$C$2:$C$148,MATCH(C128,Articles!$A$2:$A$148,0))</f>
        <v>Correcteur souris ARK</v>
      </c>
      <c r="E128" s="9" t="str">
        <f aca="false">INDEX(Articles!$B$2:$B$148,MATCH(C128,Articles!$A$2:$A$148,0))</f>
        <v>Papex</v>
      </c>
      <c r="F128" s="31" t="n">
        <v>1</v>
      </c>
      <c r="G128" s="13" t="n">
        <f aca="false">IF(INDEX(Articles!$G$2:$G$148,MATCH(C128,Articles!$A$2:$A$148,0))="","",INDEX(Articles!$G$2:$G$148,MATCH(C128,Articles!$A$2:$A$148,0)))</f>
        <v>1000</v>
      </c>
      <c r="H128" s="13" t="n">
        <f aca="false">IF(G128="",0,F128*G128)</f>
        <v>1000</v>
      </c>
      <c r="I128" s="13" t="n">
        <f aca="false">IF(INDEX(Articles!$E$2:$E$148,MATCH(C128,Articles!$A$2:$A$148,0))="","",INDEX(Articles!$E$2:$E$148,MATCH(C128,Articles!$A$2:$A$148,0)))</f>
        <v>700</v>
      </c>
      <c r="J128" s="13" t="n">
        <f aca="false">IF(I128="","",F128*I128)</f>
        <v>700</v>
      </c>
      <c r="K128" s="9" t="str">
        <f aca="false">INDEX(Articles!$H$2:$H$148,MATCH(C128,Articles!$A$2:$A$148,0))</f>
        <v>Fixé</v>
      </c>
      <c r="L128" s="9" t="str">
        <f aca="false">INDEX(Articles!$F$2:$F$148,MATCH(C128,Articles!$A$2:$A$148,0))</f>
        <v>Confirmé</v>
      </c>
      <c r="M128" s="17"/>
      <c r="N128" s="9" t="s">
        <v>167</v>
      </c>
    </row>
    <row r="129" customFormat="false" ht="15" hidden="false" customHeight="false" outlineLevel="0" collapsed="false">
      <c r="A129" s="9" t="s">
        <v>840</v>
      </c>
      <c r="B129" s="9" t="s">
        <v>928</v>
      </c>
      <c r="C129" s="31" t="s">
        <v>407</v>
      </c>
      <c r="D129" s="9" t="str">
        <f aca="false">INDEX(Articles!$C$2:$C$148,MATCH(C129,Articles!$A$2:$A$148,0))</f>
        <v>MATHS TS1 (EPREUVES DU BAC S1, C, E) (Korka Diallo)</v>
      </c>
      <c r="E129" s="9" t="str">
        <f aca="false">INDEX(Articles!$B$2:$B$148,MATCH(C129,Articles!$A$2:$A$148,0))</f>
        <v>Korka Diallo</v>
      </c>
      <c r="F129" s="31" t="n">
        <v>1</v>
      </c>
      <c r="G129" s="45" t="n">
        <f aca="false">IF(INDEX(Articles!$G$2:$G$148,MATCH(C129,Articles!$A$2:$A$148,0))="","",INDEX(Articles!$G$2:$G$148,MATCH(C129,Articles!$A$2:$A$148,0)))</f>
        <v>10000</v>
      </c>
      <c r="H129" s="13" t="n">
        <f aca="false">IF(G129="",0,F129*G129)</f>
        <v>10000</v>
      </c>
      <c r="I129" s="13" t="n">
        <f aca="false">IF(INDEX(Articles!$E$2:$E$148,MATCH(C129,Articles!$A$2:$A$148,0))="","",INDEX(Articles!$E$2:$E$148,MATCH(C129,Articles!$A$2:$A$148,0)))</f>
        <v>8000</v>
      </c>
      <c r="J129" s="13" t="n">
        <f aca="false">IF(I129="","",F129*I129)</f>
        <v>8000</v>
      </c>
      <c r="K129" s="9" t="str">
        <f aca="false">INDEX(Articles!$H$2:$H$148,MATCH(C129,Articles!$A$2:$A$148,0))</f>
        <v>Fixé</v>
      </c>
      <c r="L129" s="9" t="str">
        <f aca="false">INDEX(Articles!$F$2:$F$148,MATCH(C129,Articles!$A$2:$A$148,0))</f>
        <v>Confirmé</v>
      </c>
      <c r="M129" s="17"/>
      <c r="N129" s="9" t="s">
        <v>167</v>
      </c>
    </row>
    <row r="130" customFormat="false" ht="15" hidden="false" customHeight="false" outlineLevel="0" collapsed="false">
      <c r="A130" s="9" t="s">
        <v>703</v>
      </c>
      <c r="B130" s="9" t="s">
        <v>919</v>
      </c>
      <c r="C130" s="31" t="s">
        <v>414</v>
      </c>
      <c r="D130" s="9" t="str">
        <f aca="false">INDEX(Articles!$C$2:$C$148,MATCH(C130,Articles!$A$2:$A$148,0))</f>
        <v>PHILOSOPHIE TERMINALES L ET S - L'ESSENTIEL (Korka Diallo, Club de l'Excellence)</v>
      </c>
      <c r="E130" s="9" t="str">
        <f aca="false">INDEX(Articles!$B$2:$B$148,MATCH(C130,Articles!$A$2:$A$148,0))</f>
        <v>Korka Diallo</v>
      </c>
      <c r="F130" s="31" t="n">
        <v>1</v>
      </c>
      <c r="G130" s="45" t="n">
        <f aca="false">IF(INDEX(Articles!$G$2:$G$148,MATCH(C130,Articles!$A$2:$A$148,0))="","",INDEX(Articles!$G$2:$G$148,MATCH(C130,Articles!$A$2:$A$148,0)))</f>
        <v>3000</v>
      </c>
      <c r="H130" s="13" t="n">
        <f aca="false">IF(G130="",0,F130*G130)</f>
        <v>3000</v>
      </c>
      <c r="I130" s="13" t="n">
        <f aca="false">IF(INDEX(Articles!$E$2:$E$148,MATCH(C130,Articles!$A$2:$A$148,0))="","",INDEX(Articles!$E$2:$E$148,MATCH(C130,Articles!$A$2:$A$148,0)))</f>
        <v>2400</v>
      </c>
      <c r="J130" s="13" t="n">
        <f aca="false">IF(I130="","",F130*I130)</f>
        <v>2400</v>
      </c>
      <c r="K130" s="9" t="str">
        <f aca="false">INDEX(Articles!$H$2:$H$148,MATCH(C130,Articles!$A$2:$A$148,0))</f>
        <v>Fixé</v>
      </c>
      <c r="L130" s="9" t="str">
        <f aca="false">INDEX(Articles!$F$2:$F$148,MATCH(C130,Articles!$A$2:$A$148,0))</f>
        <v>Confirmé</v>
      </c>
      <c r="M130" s="17"/>
      <c r="N130" s="9" t="s">
        <v>167</v>
      </c>
    </row>
    <row r="131" customFormat="false" ht="15" hidden="false" customHeight="false" outlineLevel="0" collapsed="false">
      <c r="A131" s="9" t="s">
        <v>703</v>
      </c>
      <c r="B131" s="9" t="s">
        <v>929</v>
      </c>
      <c r="C131" s="31" t="s">
        <v>651</v>
      </c>
      <c r="D131" s="9" t="str">
        <f aca="false">INDEX(Articles!$C$2:$C$148,MATCH(C131,Articles!$A$2:$A$148,0))</f>
        <v>Livre de Mathématiques Tlᵉ</v>
      </c>
      <c r="E131" s="9" t="str">
        <f aca="false">INDEX(Articles!$B$2:$B$148,MATCH(C131,Articles!$A$2:$A$148,0))</f>
        <v>LPD</v>
      </c>
      <c r="F131" s="31" t="n">
        <v>1</v>
      </c>
      <c r="G131" s="13" t="n">
        <f aca="false">IF(INDEX(Articles!$G$2:$G$148,MATCH(C131,Articles!$A$2:$A$148,0))="","",INDEX(Articles!$G$2:$G$148,MATCH(C131,Articles!$A$2:$A$148,0)))</f>
        <v>4720</v>
      </c>
      <c r="H131" s="13" t="n">
        <f aca="false">IF(G131="",0,F131*G131)</f>
        <v>4720</v>
      </c>
      <c r="I131" s="13" t="n">
        <f aca="false">IF(INDEX(Articles!$E$2:$E$148,MATCH(C131,Articles!$A$2:$A$148,0))="","",INDEX(Articles!$E$2:$E$148,MATCH(C131,Articles!$A$2:$A$148,0)))</f>
        <v>3720</v>
      </c>
      <c r="J131" s="13" t="n">
        <f aca="false">IF(I131="","",F131*I131)</f>
        <v>3720</v>
      </c>
      <c r="K131" s="9" t="str">
        <f aca="false">INDEX(Articles!$H$2:$H$148,MATCH(C131,Articles!$A$2:$A$148,0))</f>
        <v>Fixé</v>
      </c>
      <c r="L131" s="9" t="str">
        <f aca="false">INDEX(Articles!$F$2:$F$148,MATCH(C131,Articles!$A$2:$A$148,0))</f>
        <v>Estimé</v>
      </c>
      <c r="M131" s="17"/>
      <c r="N131" s="9" t="s">
        <v>167</v>
      </c>
    </row>
    <row r="132" customFormat="false" ht="15" hidden="false" customHeight="false" outlineLevel="0" collapsed="false">
      <c r="D132" s="32" t="s">
        <v>683</v>
      </c>
      <c r="E132" s="32"/>
      <c r="F132" s="32"/>
      <c r="G132" s="32"/>
      <c r="H132" s="33" t="n">
        <f aca="false">COUNTIF(G96:G131,"")</f>
        <v>1</v>
      </c>
    </row>
    <row r="133" customFormat="false" ht="15" hidden="false" customHeight="false" outlineLevel="0" collapsed="false">
      <c r="D133" s="32" t="s">
        <v>684</v>
      </c>
      <c r="E133" s="32"/>
      <c r="F133" s="32"/>
      <c r="G133" s="32"/>
      <c r="H133" s="33" t="n">
        <f aca="false">SUM(H96:H131)</f>
        <v>71215</v>
      </c>
    </row>
    <row r="134" customFormat="false" ht="15" hidden="false" customHeight="false" outlineLevel="0" collapsed="false">
      <c r="D134" s="32" t="s">
        <v>28</v>
      </c>
      <c r="E134" s="32"/>
      <c r="F134" s="32"/>
      <c r="G134" s="32"/>
      <c r="H134" s="33" t="n">
        <f aca="false">SUM(J96:J131)</f>
        <v>56550</v>
      </c>
    </row>
    <row r="135" customFormat="false" ht="15" hidden="false" customHeight="false" outlineLevel="0" collapsed="false">
      <c r="D135" s="32" t="s">
        <v>685</v>
      </c>
      <c r="E135" s="32"/>
      <c r="F135" s="32"/>
      <c r="G135" s="32"/>
      <c r="H135" s="33" t="n">
        <f aca="false">COUNTIF(I96:I131,"")</f>
        <v>5</v>
      </c>
    </row>
    <row r="136" customFormat="false" ht="15" hidden="false" customHeight="false" outlineLevel="0" collapsed="false">
      <c r="D136" s="32" t="s">
        <v>686</v>
      </c>
      <c r="E136" s="32"/>
      <c r="F136" s="32"/>
      <c r="G136" s="32"/>
      <c r="H136" s="33" t="n">
        <f aca="false">SUMPRODUCT((I96:I131&lt;&gt;"")*H96:H131)-H134</f>
        <v>13240</v>
      </c>
    </row>
    <row r="137" customFormat="false" ht="15" hidden="false" customHeight="false" outlineLevel="0" collapsed="false">
      <c r="D137" s="32" t="s">
        <v>687</v>
      </c>
      <c r="E137" s="32"/>
      <c r="F137" s="32"/>
      <c r="G137" s="32"/>
      <c r="H137" s="33" t="n">
        <f aca="false">SUMIF(A96:A131,"Cahiers",F96:F131)</f>
        <v>13</v>
      </c>
    </row>
    <row r="138" customFormat="false" ht="15" hidden="false" customHeight="false" outlineLevel="0" collapsed="false">
      <c r="D138" s="32" t="s">
        <v>688</v>
      </c>
      <c r="E138" s="32"/>
      <c r="F138" s="32"/>
      <c r="G138" s="32"/>
      <c r="H138" s="34" t="n">
        <f aca="false">IF(H133=0,0,SUMIF(K96:K131,"&lt;&gt;Fixé",H96:H131)/H133)</f>
        <v>0.112335884294039</v>
      </c>
    </row>
    <row r="139" customFormat="false" ht="15" hidden="false" customHeight="false" outlineLevel="0" collapsed="false">
      <c r="D139" s="32" t="s">
        <v>689</v>
      </c>
      <c r="E139" s="32"/>
      <c r="F139" s="32"/>
      <c r="G139" s="32"/>
      <c r="H139" s="33" t="str">
        <f aca="false">IF(H132&gt;0,"Total incomplet : "&amp;H132&amp;" prix de vente à fournir",IF(H135&gt;0,"Coût incomplet : "&amp;H135&amp;" ligne(s) sans prix d'achat","Complet"))</f>
        <v>Total incomplet : 1 prix de vente à fournir</v>
      </c>
    </row>
    <row r="140" customFormat="false" ht="15" hidden="false" customHeight="false" outlineLevel="0" collapsed="false">
      <c r="D140" s="21" t="s">
        <v>696</v>
      </c>
      <c r="E140" s="21" t="str">
        <f aca="false">INDEX(Articles!$C$2:$C$148,MATCH("S020",Articles!$A$2:$A$148,0))</f>
        <v>Sac à dos bleu marine</v>
      </c>
      <c r="H140" s="41" t="n">
        <f aca="false">INDEX(Articles!$G$2:$G$148,MATCH("S020",Articles!$A$2:$A$148,0))</f>
        <v>7000</v>
      </c>
    </row>
    <row r="141" customFormat="false" ht="15" hidden="false" customHeight="false" outlineLevel="0" collapsed="false">
      <c r="D141" s="42" t="s">
        <v>697</v>
      </c>
      <c r="E141" s="43" t="s">
        <v>912</v>
      </c>
    </row>
    <row r="142" customFormat="false" ht="15" hidden="false" customHeight="false" outlineLevel="0" collapsed="false">
      <c r="E142" s="43" t="s">
        <v>913</v>
      </c>
    </row>
    <row r="143" customFormat="false" ht="15" hidden="false" customHeight="false" outlineLevel="0" collapsed="false">
      <c r="E143" s="43" t="s">
        <v>914</v>
      </c>
    </row>
    <row r="144" customFormat="false" ht="15" hidden="false" customHeight="false" outlineLevel="0" collapsed="false">
      <c r="E144" s="43" t="s">
        <v>887</v>
      </c>
    </row>
    <row r="145" customFormat="false" ht="15" hidden="false" customHeight="false" outlineLevel="0" collapsed="false">
      <c r="E145" s="43" t="s">
        <v>926</v>
      </c>
    </row>
    <row r="146" customFormat="false" ht="15" hidden="false" customHeight="false" outlineLevel="0" collapsed="false">
      <c r="E146" s="43" t="s">
        <v>921</v>
      </c>
    </row>
  </sheetData>
  <mergeCells count="24">
    <mergeCell ref="D29:G29"/>
    <mergeCell ref="D30:G30"/>
    <mergeCell ref="D31:G31"/>
    <mergeCell ref="D32:G32"/>
    <mergeCell ref="D33:G33"/>
    <mergeCell ref="D34:G34"/>
    <mergeCell ref="D35:G35"/>
    <mergeCell ref="D36:G36"/>
    <mergeCell ref="D78:G78"/>
    <mergeCell ref="D79:G79"/>
    <mergeCell ref="D80:G80"/>
    <mergeCell ref="D81:G81"/>
    <mergeCell ref="D82:G82"/>
    <mergeCell ref="D83:G83"/>
    <mergeCell ref="D84:G84"/>
    <mergeCell ref="D85:G85"/>
    <mergeCell ref="D132:G132"/>
    <mergeCell ref="D133:G133"/>
    <mergeCell ref="D134:G134"/>
    <mergeCell ref="D135:G135"/>
    <mergeCell ref="D136:G136"/>
    <mergeCell ref="D137:G137"/>
    <mergeCell ref="D138:G138"/>
    <mergeCell ref="D139:G1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930</v>
      </c>
    </row>
    <row r="2" customFormat="false" ht="15" hidden="false" customHeight="false" outlineLevel="0" collapsed="false">
      <c r="A2" s="21" t="s">
        <v>894</v>
      </c>
    </row>
    <row r="4" customFormat="false" ht="15" hidden="false" customHeight="false" outlineLevel="0" collapsed="false">
      <c r="A4" s="28" t="s">
        <v>931</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850</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744</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854</v>
      </c>
      <c r="C8" s="31" t="s">
        <v>195</v>
      </c>
      <c r="D8" s="9" t="str">
        <f aca="false">INDEX(Articles!$C$2:$C$148,MATCH(C8,Articles!$A$2:$A$148,0))</f>
        <v>Cahier Calligraphe 96 pages 17x22 56 g seyès</v>
      </c>
      <c r="E8" s="9" t="str">
        <f aca="false">INDEX(Articles!$B$2:$B$148,MATCH(C8,Articles!$A$2:$A$148,0))</f>
        <v>Papex</v>
      </c>
      <c r="F8" s="31" t="n">
        <v>1</v>
      </c>
      <c r="G8" s="13" t="n">
        <f aca="false">IF(INDEX(Articles!$G$2:$G$148,MATCH(C8,Articles!$A$2:$A$148,0))="","",INDEX(Articles!$G$2:$G$148,MATCH(C8,Articles!$A$2:$A$148,0)))</f>
        <v>450</v>
      </c>
      <c r="H8" s="13" t="n">
        <f aca="false">IF(G8="",0,F8*G8)</f>
        <v>450</v>
      </c>
      <c r="I8" s="13" t="n">
        <f aca="false">IF(INDEX(Articles!$E$2:$E$148,MATCH(C8,Articles!$A$2:$A$148,0))="","",INDEX(Articles!$E$2:$E$148,MATCH(C8,Articles!$A$2:$A$148,0)))</f>
        <v>350</v>
      </c>
      <c r="J8" s="13" t="n">
        <f aca="false">IF(I8="","",F8*I8)</f>
        <v>350</v>
      </c>
      <c r="K8" s="9" t="str">
        <f aca="false">INDEX(Articles!$H$2:$H$148,MATCH(C8,Articles!$A$2:$A$148,0))</f>
        <v>Fixé</v>
      </c>
      <c r="L8" s="9" t="str">
        <f aca="false">INDEX(Articles!$F$2:$F$148,MATCH(C8,Articles!$A$2:$A$148,0))</f>
        <v>Confirmé</v>
      </c>
      <c r="M8" s="17"/>
      <c r="N8" s="9" t="s">
        <v>167</v>
      </c>
    </row>
    <row r="9" customFormat="false" ht="15" hidden="false" customHeight="false" outlineLevel="0" collapsed="false">
      <c r="A9" s="9" t="s">
        <v>671</v>
      </c>
      <c r="B9" s="9" t="s">
        <v>737</v>
      </c>
      <c r="C9" s="31" t="s">
        <v>210</v>
      </c>
      <c r="D9" s="9" t="str">
        <f aca="false">INDEX(Articles!$C$2:$C$148,MATCH(C9,Articles!$A$2:$A$148,0))</f>
        <v>Cahier L'écolier 192 pages</v>
      </c>
      <c r="E9" s="9" t="str">
        <f aca="false">INDEX(Articles!$B$2:$B$148,MATCH(C9,Articles!$A$2:$A$148,0))</f>
        <v>Papex</v>
      </c>
      <c r="F9" s="31" t="n">
        <v>1</v>
      </c>
      <c r="G9" s="13" t="n">
        <f aca="false">IF(INDEX(Articles!$G$2:$G$148,MATCH(C9,Articles!$A$2:$A$148,0))="","",INDEX(Articles!$G$2:$G$148,MATCH(C9,Articles!$A$2:$A$148,0)))</f>
        <v>500</v>
      </c>
      <c r="H9" s="13" t="n">
        <f aca="false">IF(G9="",0,F9*G9)</f>
        <v>500</v>
      </c>
      <c r="I9" s="13" t="n">
        <f aca="false">IF(INDEX(Articles!$E$2:$E$148,MATCH(C9,Articles!$A$2:$A$148,0))="","",INDEX(Articles!$E$2:$E$148,MATCH(C9,Articles!$A$2:$A$148,0)))</f>
        <v>400</v>
      </c>
      <c r="J9" s="13" t="n">
        <f aca="false">IF(I9="","",F9*I9)</f>
        <v>400</v>
      </c>
      <c r="K9" s="9" t="str">
        <f aca="false">INDEX(Articles!$H$2:$H$148,MATCH(C9,Articles!$A$2:$A$148,0))</f>
        <v>Estimé</v>
      </c>
      <c r="L9" s="9" t="str">
        <f aca="false">INDEX(Articles!$F$2:$F$148,MATCH(C9,Articles!$A$2:$A$148,0))</f>
        <v>Confirmé</v>
      </c>
      <c r="M9" s="17" t="s">
        <v>738</v>
      </c>
      <c r="N9" s="9" t="s">
        <v>167</v>
      </c>
    </row>
    <row r="10" customFormat="false" ht="15" hidden="false" customHeight="false" outlineLevel="0" collapsed="false">
      <c r="A10" s="9" t="s">
        <v>671</v>
      </c>
      <c r="B10" s="9" t="s">
        <v>739</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742</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852</v>
      </c>
      <c r="C12" s="31" t="s">
        <v>195</v>
      </c>
      <c r="D12" s="9" t="str">
        <f aca="false">INDEX(Articles!$C$2:$C$148,MATCH(C12,Articles!$A$2:$A$148,0))</f>
        <v>Cahier Calligraphe 96 pages 17x22 56 g seyès</v>
      </c>
      <c r="E12" s="9" t="str">
        <f aca="false">INDEX(Articles!$B$2:$B$148,MATCH(C12,Articles!$A$2:$A$148,0))</f>
        <v>Papex</v>
      </c>
      <c r="F12" s="31" t="n">
        <v>1</v>
      </c>
      <c r="G12" s="13" t="n">
        <f aca="false">IF(INDEX(Articles!$G$2:$G$148,MATCH(C12,Articles!$A$2:$A$148,0))="","",INDEX(Articles!$G$2:$G$148,MATCH(C12,Articles!$A$2:$A$148,0)))</f>
        <v>450</v>
      </c>
      <c r="H12" s="13" t="n">
        <f aca="false">IF(G12="",0,F12*G12)</f>
        <v>450</v>
      </c>
      <c r="I12" s="13" t="n">
        <f aca="false">IF(INDEX(Articles!$E$2:$E$148,MATCH(C12,Articles!$A$2:$A$148,0))="","",INDEX(Articles!$E$2:$E$148,MATCH(C12,Articles!$A$2:$A$148,0)))</f>
        <v>350</v>
      </c>
      <c r="J12" s="13" t="n">
        <f aca="false">IF(I12="","",F12*I12)</f>
        <v>350</v>
      </c>
      <c r="K12" s="9" t="str">
        <f aca="false">INDEX(Articles!$H$2:$H$148,MATCH(C12,Articles!$A$2:$A$148,0))</f>
        <v>Fixé</v>
      </c>
      <c r="L12" s="9" t="str">
        <f aca="false">INDEX(Articles!$F$2:$F$148,MATCH(C12,Articles!$A$2:$A$148,0))</f>
        <v>Confirmé</v>
      </c>
      <c r="M12" s="17"/>
      <c r="N12" s="9" t="s">
        <v>167</v>
      </c>
    </row>
    <row r="13" customFormat="false" ht="15" hidden="false" customHeight="false" outlineLevel="0" collapsed="false">
      <c r="A13" s="9" t="s">
        <v>671</v>
      </c>
      <c r="B13" s="9" t="s">
        <v>853</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909</v>
      </c>
      <c r="C14" s="31" t="s">
        <v>210</v>
      </c>
      <c r="D14" s="9" t="str">
        <f aca="false">INDEX(Articles!$C$2:$C$148,MATCH(C14,Articles!$A$2:$A$148,0))</f>
        <v>Cahier L'écolier 192 pages</v>
      </c>
      <c r="E14" s="9" t="str">
        <f aca="false">INDEX(Articles!$B$2:$B$148,MATCH(C14,Articles!$A$2:$A$148,0))</f>
        <v>Papex</v>
      </c>
      <c r="F14" s="31" t="n">
        <v>1</v>
      </c>
      <c r="G14" s="13" t="n">
        <f aca="false">IF(INDEX(Articles!$G$2:$G$148,MATCH(C14,Articles!$A$2:$A$148,0))="","",INDEX(Articles!$G$2:$G$148,MATCH(C14,Articles!$A$2:$A$148,0)))</f>
        <v>500</v>
      </c>
      <c r="H14" s="13" t="n">
        <f aca="false">IF(G14="",0,F14*G14)</f>
        <v>500</v>
      </c>
      <c r="I14" s="13" t="n">
        <f aca="false">IF(INDEX(Articles!$E$2:$E$148,MATCH(C14,Articles!$A$2:$A$148,0))="","",INDEX(Articles!$E$2:$E$148,MATCH(C14,Articles!$A$2:$A$148,0)))</f>
        <v>400</v>
      </c>
      <c r="J14" s="13" t="n">
        <f aca="false">IF(I14="","",F14*I14)</f>
        <v>400</v>
      </c>
      <c r="K14" s="9" t="str">
        <f aca="false">INDEX(Articles!$H$2:$H$148,MATCH(C14,Articles!$A$2:$A$148,0))</f>
        <v>Estimé</v>
      </c>
      <c r="L14" s="9" t="str">
        <f aca="false">INDEX(Articles!$F$2:$F$148,MATCH(C14,Articles!$A$2:$A$148,0))</f>
        <v>Confirmé</v>
      </c>
      <c r="M14" s="17" t="s">
        <v>738</v>
      </c>
      <c r="N14" s="9" t="s">
        <v>167</v>
      </c>
    </row>
    <row r="15" customFormat="false" ht="15" hidden="false" customHeight="false" outlineLevel="0" collapsed="false">
      <c r="A15" s="9" t="s">
        <v>671</v>
      </c>
      <c r="B15" s="9" t="s">
        <v>745</v>
      </c>
      <c r="C15" s="31" t="s">
        <v>210</v>
      </c>
      <c r="D15" s="9" t="str">
        <f aca="false">INDEX(Articles!$C$2:$C$148,MATCH(C15,Articles!$A$2:$A$148,0))</f>
        <v>Cahier L'écolier 192 pages</v>
      </c>
      <c r="E15" s="9" t="str">
        <f aca="false">INDEX(Articles!$B$2:$B$148,MATCH(C15,Articles!$A$2:$A$148,0))</f>
        <v>Papex</v>
      </c>
      <c r="F15" s="31" t="n">
        <v>2</v>
      </c>
      <c r="G15" s="13" t="n">
        <f aca="false">IF(INDEX(Articles!$G$2:$G$148,MATCH(C15,Articles!$A$2:$A$148,0))="","",INDEX(Articles!$G$2:$G$148,MATCH(C15,Articles!$A$2:$A$148,0)))</f>
        <v>500</v>
      </c>
      <c r="H15" s="13" t="n">
        <f aca="false">IF(G15="",0,F15*G15)</f>
        <v>1000</v>
      </c>
      <c r="I15" s="13" t="n">
        <f aca="false">IF(INDEX(Articles!$E$2:$E$148,MATCH(C15,Articles!$A$2:$A$148,0))="","",INDEX(Articles!$E$2:$E$148,MATCH(C15,Articles!$A$2:$A$148,0)))</f>
        <v>400</v>
      </c>
      <c r="J15" s="13" t="n">
        <f aca="false">IF(I15="","",F15*I15)</f>
        <v>800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831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855</v>
      </c>
      <c r="C17" s="31" t="s">
        <v>210</v>
      </c>
      <c r="D17" s="9" t="str">
        <f aca="false">INDEX(Articles!$C$2:$C$148,MATCH(C17,Articles!$A$2:$A$148,0))</f>
        <v>Cahier L'écolier 192 pages</v>
      </c>
      <c r="E17" s="9" t="str">
        <f aca="false">INDEX(Articles!$B$2:$B$148,MATCH(C17,Articles!$A$2:$A$148,0))</f>
        <v>Papex</v>
      </c>
      <c r="F17" s="31" t="n">
        <v>1</v>
      </c>
      <c r="G17" s="13" t="n">
        <f aca="false">IF(INDEX(Articles!$G$2:$G$148,MATCH(C17,Articles!$A$2:$A$148,0))="","",INDEX(Articles!$G$2:$G$148,MATCH(C17,Articles!$A$2:$A$148,0)))</f>
        <v>500</v>
      </c>
      <c r="H17" s="13" t="n">
        <f aca="false">IF(G17="",0,F17*G17)</f>
        <v>500</v>
      </c>
      <c r="I17" s="13" t="n">
        <f aca="false">IF(INDEX(Articles!$E$2:$E$148,MATCH(C17,Articles!$A$2:$A$148,0))="","",INDEX(Articles!$E$2:$E$148,MATCH(C17,Articles!$A$2:$A$148,0)))</f>
        <v>400</v>
      </c>
      <c r="J17" s="13" t="n">
        <f aca="false">IF(I17="","",F17*I17)</f>
        <v>400</v>
      </c>
      <c r="K17" s="9" t="str">
        <f aca="false">INDEX(Articles!$H$2:$H$148,MATCH(C17,Articles!$A$2:$A$148,0))</f>
        <v>Estimé</v>
      </c>
      <c r="L17" s="9" t="str">
        <f aca="false">INDEX(Articles!$F$2:$F$148,MATCH(C17,Articles!$A$2:$A$148,0))</f>
        <v>Confirmé</v>
      </c>
      <c r="M17" s="17" t="s">
        <v>738</v>
      </c>
      <c r="N17" s="9" t="s">
        <v>167</v>
      </c>
    </row>
    <row r="18" customFormat="false" ht="15" hidden="false" customHeight="false" outlineLevel="0" collapsed="false">
      <c r="A18" s="9" t="s">
        <v>678</v>
      </c>
      <c r="B18" s="9" t="s">
        <v>749</v>
      </c>
      <c r="C18" s="31" t="s">
        <v>222</v>
      </c>
      <c r="D18" s="9" t="str">
        <f aca="false">INDEX(Articles!$C$2:$C$148,MATCH(C18,Articles!$A$2:$A$148,0))</f>
        <v>Pack de 4 stylos Schneider Tops 505 M (bleu, noir, rouge, vert)</v>
      </c>
      <c r="E18" s="9" t="str">
        <f aca="false">INDEX(Articles!$B$2:$B$148,MATCH(C18,Articles!$A$2:$A$148,0))</f>
        <v>Papex</v>
      </c>
      <c r="F18" s="31" t="n">
        <v>1</v>
      </c>
      <c r="G18" s="13" t="n">
        <f aca="false">IF(INDEX(Articles!$G$2:$G$148,MATCH(C18,Articles!$A$2:$A$148,0))="","",INDEX(Articles!$G$2:$G$148,MATCH(C18,Articles!$A$2:$A$148,0)))</f>
        <v>400</v>
      </c>
      <c r="H18" s="13" t="n">
        <f aca="false">IF(G18="",0,F18*G18)</f>
        <v>400</v>
      </c>
      <c r="I18" s="13" t="str">
        <f aca="false">IF(INDEX(Articles!$E$2:$E$148,MATCH(C18,Articles!$A$2:$A$148,0))="","",INDEX(Articles!$E$2:$E$148,MATCH(C18,Articles!$A$2:$A$148,0)))</f>
        <v/>
      </c>
      <c r="J18" s="13" t="str">
        <f aca="false">IF(I18="","",F18*I18)</f>
        <v/>
      </c>
      <c r="K18" s="9" t="str">
        <f aca="false">INDEX(Articles!$H$2:$H$148,MATCH(C18,Articles!$A$2:$A$148,0))</f>
        <v>Fixé</v>
      </c>
      <c r="L18" s="9" t="str">
        <f aca="false">INDEX(Articles!$F$2:$F$148,MATCH(C18,Articles!$A$2:$A$148,0))</f>
        <v>Inconnu</v>
      </c>
      <c r="M18" s="17" t="s">
        <v>432</v>
      </c>
      <c r="N18" s="9" t="s">
        <v>167</v>
      </c>
    </row>
    <row r="19" customFormat="false" ht="15" hidden="false" customHeight="false" outlineLevel="0" collapsed="false">
      <c r="A19" s="9" t="s">
        <v>678</v>
      </c>
      <c r="B19" s="9" t="s">
        <v>750</v>
      </c>
      <c r="C19" s="31" t="s">
        <v>235</v>
      </c>
      <c r="D19" s="9" t="str">
        <f aca="false">INDEX(Articles!$C$2:$C$148,MATCH(C19,Articles!$A$2:$A$148,0))</f>
        <v>Crayon papier (vendu à l'unité)</v>
      </c>
      <c r="E19" s="9" t="str">
        <f aca="false">INDEX(Articles!$B$2:$B$148,MATCH(C19,Articles!$A$2:$A$148,0))</f>
        <v>LPD</v>
      </c>
      <c r="F19" s="31" t="n">
        <v>1</v>
      </c>
      <c r="G19" s="13" t="n">
        <f aca="false">IF(INDEX(Articles!$G$2:$G$148,MATCH(C19,Articles!$A$2:$A$148,0))="","",INDEX(Articles!$G$2:$G$148,MATCH(C19,Articles!$A$2:$A$148,0)))</f>
        <v>75</v>
      </c>
      <c r="H19" s="13" t="n">
        <f aca="false">IF(G19="",0,F19*G19)</f>
        <v>75</v>
      </c>
      <c r="I19" s="13" t="str">
        <f aca="false">IF(INDEX(Articles!$E$2:$E$148,MATCH(C19,Articles!$A$2:$A$148,0))="","",INDEX(Articles!$E$2:$E$148,MATCH(C19,Articles!$A$2:$A$148,0)))</f>
        <v/>
      </c>
      <c r="J19" s="13" t="str">
        <f aca="false">IF(I19="","",F19*I19)</f>
        <v/>
      </c>
      <c r="K19" s="9" t="str">
        <f aca="false">INDEX(Articles!$H$2:$H$148,MATCH(C19,Articles!$A$2:$A$148,0))</f>
        <v>Fixé</v>
      </c>
      <c r="L19" s="9" t="str">
        <f aca="false">INDEX(Articles!$F$2:$F$148,MATCH(C19,Articles!$A$2:$A$148,0))</f>
        <v>Inconnu</v>
      </c>
      <c r="M19" s="17"/>
      <c r="N19" s="9" t="s">
        <v>167</v>
      </c>
    </row>
    <row r="20" customFormat="false" ht="15" hidden="false" customHeight="false" outlineLevel="0" collapsed="false">
      <c r="A20" s="9" t="s">
        <v>675</v>
      </c>
      <c r="B20" s="9" t="s">
        <v>717</v>
      </c>
      <c r="C20" s="31" t="s">
        <v>180</v>
      </c>
      <c r="D20" s="9" t="str">
        <f aca="false">INDEX(Articles!$C$2:$C$148,MATCH(C20,Articles!$A$2:$A$148,0))</f>
        <v>Gomme Staedtler Mars Plastic</v>
      </c>
      <c r="E20" s="9" t="str">
        <f aca="false">INDEX(Articles!$B$2:$B$148,MATCH(C20,Articles!$A$2:$A$148,0))</f>
        <v>LPD</v>
      </c>
      <c r="F20" s="31" t="n">
        <v>1</v>
      </c>
      <c r="G20" s="13" t="n">
        <f aca="false">IF(INDEX(Articles!$G$2:$G$148,MATCH(C20,Articles!$A$2:$A$148,0))="","",INDEX(Articles!$G$2:$G$148,MATCH(C20,Articles!$A$2:$A$148,0)))</f>
        <v>250</v>
      </c>
      <c r="H20" s="13" t="n">
        <f aca="false">IF(G20="",0,F20*G20)</f>
        <v>250</v>
      </c>
      <c r="I20" s="13" t="n">
        <f aca="false">IF(INDEX(Articles!$E$2:$E$148,MATCH(C20,Articles!$A$2:$A$148,0))="","",INDEX(Articles!$E$2:$E$148,MATCH(C20,Articles!$A$2:$A$148,0)))</f>
        <v>110</v>
      </c>
      <c r="J20" s="13" t="n">
        <f aca="false">IF(I20="","",F20*I20)</f>
        <v>110</v>
      </c>
      <c r="K20" s="9" t="str">
        <f aca="false">INDEX(Articles!$H$2:$H$148,MATCH(C20,Articles!$A$2:$A$148,0))</f>
        <v>Fixé</v>
      </c>
      <c r="L20" s="9" t="str">
        <f aca="false">INDEX(Articles!$F$2:$F$148,MATCH(C20,Articles!$A$2:$A$148,0))</f>
        <v>Estimé</v>
      </c>
      <c r="M20" s="17"/>
      <c r="N20" s="9" t="s">
        <v>167</v>
      </c>
    </row>
    <row r="21" customFormat="false" ht="15" hidden="false" customHeight="false" outlineLevel="0" collapsed="false">
      <c r="A21" s="9" t="s">
        <v>675</v>
      </c>
      <c r="B21" s="9" t="s">
        <v>751</v>
      </c>
      <c r="C21" s="31" t="s">
        <v>183</v>
      </c>
      <c r="D21" s="9" t="str">
        <f aca="false">INDEX(Articles!$C$2:$C$148,MATCH(C21,Articles!$A$2:$A$148,0))</f>
        <v>Taille-crayon avec réservoir Maped</v>
      </c>
      <c r="E21" s="9" t="str">
        <f aca="false">INDEX(Articles!$B$2:$B$148,MATCH(C21,Articles!$A$2:$A$148,0))</f>
        <v>Papex</v>
      </c>
      <c r="F21" s="31" t="n">
        <v>1</v>
      </c>
      <c r="G21" s="13" t="n">
        <f aca="false">IF(INDEX(Articles!$G$2:$G$148,MATCH(C21,Articles!$A$2:$A$148,0))="","",INDEX(Articles!$G$2:$G$148,MATCH(C21,Articles!$A$2:$A$148,0)))</f>
        <v>500</v>
      </c>
      <c r="H21" s="13" t="n">
        <f aca="false">IF(G21="",0,F21*G21)</f>
        <v>500</v>
      </c>
      <c r="I21" s="13" t="n">
        <f aca="false">IF(INDEX(Articles!$E$2:$E$148,MATCH(C21,Articles!$A$2:$A$148,0))="","",INDEX(Articles!$E$2:$E$148,MATCH(C21,Articles!$A$2:$A$148,0)))</f>
        <v>350</v>
      </c>
      <c r="J21" s="13" t="n">
        <f aca="false">IF(I21="","",F21*I21)</f>
        <v>350</v>
      </c>
      <c r="K21" s="9" t="str">
        <f aca="false">INDEX(Articles!$H$2:$H$148,MATCH(C21,Articles!$A$2:$A$148,0))</f>
        <v>Estimé</v>
      </c>
      <c r="L21" s="9" t="str">
        <f aca="false">INDEX(Articles!$F$2:$F$148,MATCH(C21,Articles!$A$2:$A$148,0))</f>
        <v>Estimé</v>
      </c>
      <c r="M21" s="17" t="s">
        <v>752</v>
      </c>
      <c r="N21" s="9" t="s">
        <v>167</v>
      </c>
    </row>
    <row r="22" customFormat="false" ht="15" hidden="false" customHeight="false" outlineLevel="0" collapsed="false">
      <c r="A22" s="9" t="s">
        <v>675</v>
      </c>
      <c r="B22" s="9" t="s">
        <v>753</v>
      </c>
      <c r="C22" s="31" t="s">
        <v>250</v>
      </c>
      <c r="D22" s="9" t="str">
        <f aca="false">INDEX(Articles!$C$2:$C$148,MATCH(C22,Articles!$A$2:$A$148,0))</f>
        <v>Bâton de colle Giotto 10 g</v>
      </c>
      <c r="E22" s="9" t="str">
        <f aca="false">INDEX(Articles!$B$2:$B$148,MATCH(C22,Articles!$A$2:$A$148,0))</f>
        <v>Papex</v>
      </c>
      <c r="F22" s="31" t="n">
        <v>1</v>
      </c>
      <c r="G22" s="13" t="n">
        <f aca="false">IF(INDEX(Articles!$G$2:$G$148,MATCH(C22,Articles!$A$2:$A$148,0))="","",INDEX(Articles!$G$2:$G$148,MATCH(C22,Articles!$A$2:$A$148,0)))</f>
        <v>500</v>
      </c>
      <c r="H22" s="13" t="n">
        <f aca="false">IF(G22="",0,F22*G22)</f>
        <v>500</v>
      </c>
      <c r="I22" s="13" t="n">
        <f aca="false">IF(INDEX(Articles!$E$2:$E$148,MATCH(C22,Articles!$A$2:$A$148,0))="","",INDEX(Articles!$E$2:$E$148,MATCH(C22,Articles!$A$2:$A$148,0)))</f>
        <v>350</v>
      </c>
      <c r="J22" s="13" t="n">
        <f aca="false">IF(I22="","",F22*I22)</f>
        <v>350</v>
      </c>
      <c r="K22" s="9" t="str">
        <f aca="false">INDEX(Articles!$H$2:$H$148,MATCH(C22,Articles!$A$2:$A$148,0))</f>
        <v>Estimé</v>
      </c>
      <c r="L22" s="9" t="str">
        <f aca="false">INDEX(Articles!$F$2:$F$148,MATCH(C22,Articles!$A$2:$A$148,0))</f>
        <v>Estimé</v>
      </c>
      <c r="M22" s="17"/>
      <c r="N22" s="9" t="s">
        <v>167</v>
      </c>
    </row>
    <row r="23" customFormat="false" ht="15" hidden="false" customHeight="false" outlineLevel="0" collapsed="false">
      <c r="A23" s="9" t="s">
        <v>675</v>
      </c>
      <c r="B23" s="9" t="s">
        <v>754</v>
      </c>
      <c r="C23" s="31" t="s">
        <v>233</v>
      </c>
      <c r="D23" s="9" t="str">
        <f aca="false">INDEX(Articles!$C$2:$C$148,MATCH(C23,Articles!$A$2:$A$148,0))</f>
        <v>Ciseaux scolaires bouts ronds</v>
      </c>
      <c r="E23" s="9" t="str">
        <f aca="false">INDEX(Articles!$B$2:$B$148,MATCH(C23,Articles!$A$2:$A$148,0))</f>
        <v>LPD</v>
      </c>
      <c r="F23" s="31" t="n">
        <v>1</v>
      </c>
      <c r="G23" s="13" t="n">
        <f aca="false">IF(INDEX(Articles!$G$2:$G$148,MATCH(C23,Articles!$A$2:$A$148,0))="","",INDEX(Articles!$G$2:$G$148,MATCH(C23,Articles!$A$2:$A$148,0)))</f>
        <v>250</v>
      </c>
      <c r="H23" s="13" t="n">
        <f aca="false">IF(G23="",0,F23*G23)</f>
        <v>250</v>
      </c>
      <c r="I23" s="13" t="n">
        <f aca="false">IF(INDEX(Articles!$E$2:$E$148,MATCH(C23,Articles!$A$2:$A$148,0))="","",INDEX(Articles!$E$2:$E$148,MATCH(C23,Articles!$A$2:$A$148,0)))</f>
        <v>100</v>
      </c>
      <c r="J23" s="13" t="n">
        <f aca="false">IF(I23="","",F23*I23)</f>
        <v>100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676</v>
      </c>
      <c r="B24" s="9" t="s">
        <v>755</v>
      </c>
      <c r="C24" s="31" t="s">
        <v>239</v>
      </c>
      <c r="D24" s="9" t="str">
        <f aca="false">INDEX(Articles!$C$2:$C$148,MATCH(C24,Articles!$A$2:$A$148,0))</f>
        <v>Kit de traçage 30 cm, 4 pièces L'écolier</v>
      </c>
      <c r="E24" s="9" t="str">
        <f aca="false">INDEX(Articles!$B$2:$B$148,MATCH(C24,Articles!$A$2:$A$148,0))</f>
        <v>Papex</v>
      </c>
      <c r="F24" s="31" t="n">
        <v>1</v>
      </c>
      <c r="G24" s="13" t="n">
        <f aca="false">IF(INDEX(Articles!$G$2:$G$148,MATCH(C24,Articles!$A$2:$A$148,0))="","",INDEX(Articles!$G$2:$G$148,MATCH(C24,Articles!$A$2:$A$148,0)))</f>
        <v>900</v>
      </c>
      <c r="H24" s="13" t="n">
        <f aca="false">IF(G24="",0,F24*G24)</f>
        <v>900</v>
      </c>
      <c r="I24" s="13" t="n">
        <f aca="false">IF(INDEX(Articles!$E$2:$E$148,MATCH(C24,Articles!$A$2:$A$148,0))="","",INDEX(Articles!$E$2:$E$148,MATCH(C24,Articles!$A$2:$A$148,0)))</f>
        <v>650</v>
      </c>
      <c r="J24" s="13" t="n">
        <f aca="false">IF(I24="","",F24*I24)</f>
        <v>650</v>
      </c>
      <c r="K24" s="9" t="str">
        <f aca="false">INDEX(Articles!$H$2:$H$148,MATCH(C24,Articles!$A$2:$A$148,0))</f>
        <v>Estimé</v>
      </c>
      <c r="L24" s="9" t="str">
        <f aca="false">INDEX(Articles!$F$2:$F$148,MATCH(C24,Articles!$A$2:$A$148,0))</f>
        <v>Confirmé</v>
      </c>
      <c r="M24" s="17"/>
      <c r="N24" s="9" t="s">
        <v>167</v>
      </c>
    </row>
    <row r="25" customFormat="false" ht="15" hidden="false" customHeight="false" outlineLevel="0" collapsed="false">
      <c r="A25" s="9" t="s">
        <v>676</v>
      </c>
      <c r="B25" s="9" t="s">
        <v>756</v>
      </c>
      <c r="C25" s="31" t="s">
        <v>217</v>
      </c>
      <c r="D25" s="9" t="str">
        <f aca="false">INDEX(Articles!$C$2:$C$148,MATCH(C25,Articles!$A$2:$A$148,0))</f>
        <v>Compas de précision avec étui</v>
      </c>
      <c r="E25" s="9" t="str">
        <f aca="false">INDEX(Articles!$B$2:$B$148,MATCH(C25,Articles!$A$2:$A$148,0))</f>
        <v>LPD</v>
      </c>
      <c r="F25" s="31" t="n">
        <v>1</v>
      </c>
      <c r="G25" s="13" t="n">
        <f aca="false">IF(INDEX(Articles!$G$2:$G$148,MATCH(C25,Articles!$A$2:$A$148,0))="","",INDEX(Articles!$G$2:$G$148,MATCH(C25,Articles!$A$2:$A$148,0)))</f>
        <v>600</v>
      </c>
      <c r="H25" s="13" t="n">
        <f aca="false">IF(G25="",0,F25*G25)</f>
        <v>600</v>
      </c>
      <c r="I25" s="13" t="n">
        <f aca="false">IF(INDEX(Articles!$E$2:$E$148,MATCH(C25,Articles!$A$2:$A$148,0))="","",INDEX(Articles!$E$2:$E$148,MATCH(C25,Articles!$A$2:$A$148,0)))</f>
        <v>450</v>
      </c>
      <c r="J25" s="13" t="n">
        <f aca="false">IF(I25="","",F25*I25)</f>
        <v>450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681</v>
      </c>
      <c r="B26" s="9" t="s">
        <v>757</v>
      </c>
      <c r="C26" s="31" t="s">
        <v>198</v>
      </c>
      <c r="D26" s="9" t="str">
        <f aca="false">INDEX(Articles!$C$2:$C$148,MATCH(C26,Articles!$A$2:$A$148,0))</f>
        <v>Crayons de couleur Maped, boîte de 12</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Estimé</v>
      </c>
      <c r="M26" s="17"/>
      <c r="N26" s="9" t="s">
        <v>167</v>
      </c>
    </row>
    <row r="27" customFormat="false" ht="15" hidden="false" customHeight="false" outlineLevel="0" collapsed="false">
      <c r="A27" s="9" t="s">
        <v>676</v>
      </c>
      <c r="B27" s="9" t="s">
        <v>812</v>
      </c>
      <c r="C27" s="31" t="s">
        <v>242</v>
      </c>
      <c r="D27" s="9" t="str">
        <f aca="false">INDEX(Articles!$C$2:$C$148,MATCH(C27,Articles!$A$2:$A$148,0))</f>
        <v>Calculatrice scientifique Parpn YH-2000</v>
      </c>
      <c r="E27" s="9" t="str">
        <f aca="false">INDEX(Articles!$B$2:$B$148,MATCH(C27,Articles!$A$2:$A$148,0))</f>
        <v>LPD</v>
      </c>
      <c r="F27" s="31" t="n">
        <v>1</v>
      </c>
      <c r="G27" s="13" t="n">
        <f aca="false">IF(INDEX(Articles!$G$2:$G$148,MATCH(C27,Articles!$A$2:$A$148,0))="","",INDEX(Articles!$G$2:$G$148,MATCH(C27,Articles!$A$2:$A$148,0)))</f>
        <v>1400</v>
      </c>
      <c r="H27" s="13" t="n">
        <f aca="false">IF(G27="",0,F27*G27)</f>
        <v>1400</v>
      </c>
      <c r="I27" s="13" t="n">
        <f aca="false">IF(INDEX(Articles!$E$2:$E$148,MATCH(C27,Articles!$A$2:$A$148,0))="","",INDEX(Articles!$E$2:$E$148,MATCH(C27,Articles!$A$2:$A$148,0)))</f>
        <v>1100</v>
      </c>
      <c r="J27" s="13" t="n">
        <f aca="false">IF(I27="","",F27*I27)</f>
        <v>1100</v>
      </c>
      <c r="K27" s="9" t="str">
        <f aca="false">INDEX(Articles!$H$2:$H$148,MATCH(C27,Articles!$A$2:$A$148,0))</f>
        <v>Fixé</v>
      </c>
      <c r="L27" s="9" t="str">
        <f aca="false">INDEX(Articles!$F$2:$F$148,MATCH(C27,Articles!$A$2:$A$148,0))</f>
        <v>Confirmé</v>
      </c>
      <c r="M27" s="17" t="s">
        <v>813</v>
      </c>
      <c r="N27" s="9" t="s">
        <v>167</v>
      </c>
    </row>
    <row r="28" customFormat="false" ht="15" hidden="false" customHeight="false" outlineLevel="0" collapsed="false">
      <c r="A28" s="9" t="s">
        <v>758</v>
      </c>
      <c r="B28" s="9" t="s">
        <v>759</v>
      </c>
      <c r="C28" s="31" t="s">
        <v>376</v>
      </c>
      <c r="D28" s="9" t="str">
        <f aca="false">INDEX(Articles!$C$2:$C$148,MATCH(C28,Articles!$A$2:$A$148,0))</f>
        <v>Paquet de copies doubles grand format</v>
      </c>
      <c r="E28" s="9" t="str">
        <f aca="false">INDEX(Articles!$B$2:$B$148,MATCH(C28,Articles!$A$2:$A$148,0))</f>
        <v>À préciser</v>
      </c>
      <c r="F28" s="31" t="n">
        <v>1</v>
      </c>
      <c r="G28" s="45" t="n">
        <f aca="false">IF(INDEX(Articles!$G$2:$G$148,MATCH(C28,Articles!$A$2:$A$148,0))="","",INDEX(Articles!$G$2:$G$148,MATCH(C28,Articles!$A$2:$A$148,0)))</f>
        <v>1800</v>
      </c>
      <c r="H28" s="13" t="n">
        <f aca="false">IF(G28="",0,F28*G28)</f>
        <v>1800</v>
      </c>
      <c r="I28" s="13" t="n">
        <f aca="false">IF(INDEX(Articles!$E$2:$E$148,MATCH(C28,Articles!$A$2:$A$148,0))="","",INDEX(Articles!$E$2:$E$148,MATCH(C28,Articles!$A$2:$A$148,0)))</f>
        <v>1300</v>
      </c>
      <c r="J28" s="13" t="n">
        <f aca="false">IF(I28="","",F28*I28)</f>
        <v>1300</v>
      </c>
      <c r="K28" s="9" t="str">
        <f aca="false">INDEX(Articles!$H$2:$H$148,MATCH(C28,Articles!$A$2:$A$148,0))</f>
        <v>Fixé</v>
      </c>
      <c r="L28" s="9" t="str">
        <f aca="false">INDEX(Articles!$F$2:$F$148,MATCH(C28,Articles!$A$2:$A$148,0))</f>
        <v>Confirmé</v>
      </c>
      <c r="M28" s="17"/>
      <c r="N28" s="9" t="s">
        <v>167</v>
      </c>
    </row>
    <row r="29" customFormat="false" ht="15" hidden="false" customHeight="false" outlineLevel="0" collapsed="false">
      <c r="D29" s="32" t="s">
        <v>683</v>
      </c>
      <c r="E29" s="32"/>
      <c r="F29" s="32"/>
      <c r="G29" s="32"/>
      <c r="H29" s="33" t="n">
        <f aca="false">COUNTIF(G6:G28,"")</f>
        <v>0</v>
      </c>
    </row>
    <row r="30" customFormat="false" ht="15" hidden="false" customHeight="false" outlineLevel="0" collapsed="false">
      <c r="D30" s="32" t="s">
        <v>684</v>
      </c>
      <c r="E30" s="32"/>
      <c r="F30" s="32"/>
      <c r="G30" s="32"/>
      <c r="H30" s="33" t="n">
        <f aca="false">SUM(H6:H28)</f>
        <v>13975</v>
      </c>
    </row>
    <row r="31" customFormat="false" ht="15" hidden="false" customHeight="false" outlineLevel="0" collapsed="false">
      <c r="D31" s="32" t="s">
        <v>28</v>
      </c>
      <c r="E31" s="32"/>
      <c r="F31" s="32"/>
      <c r="G31" s="32"/>
      <c r="H31" s="33" t="n">
        <f aca="false">SUM(J6:J28)</f>
        <v>10160</v>
      </c>
    </row>
    <row r="32" customFormat="false" ht="15" hidden="false" customHeight="false" outlineLevel="0" collapsed="false">
      <c r="D32" s="32" t="s">
        <v>685</v>
      </c>
      <c r="E32" s="32"/>
      <c r="F32" s="32"/>
      <c r="G32" s="32"/>
      <c r="H32" s="33" t="n">
        <f aca="false">COUNTIF(I6:I28,"")</f>
        <v>2</v>
      </c>
    </row>
    <row r="33" customFormat="false" ht="15" hidden="false" customHeight="false" outlineLevel="0" collapsed="false">
      <c r="D33" s="32" t="s">
        <v>686</v>
      </c>
      <c r="E33" s="32"/>
      <c r="F33" s="32"/>
      <c r="G33" s="32"/>
      <c r="H33" s="33" t="n">
        <f aca="false">SUMPRODUCT((I6:I28&lt;&gt;"")*H6:H28)-H31</f>
        <v>3340</v>
      </c>
    </row>
    <row r="34" customFormat="false" ht="15" hidden="false" customHeight="false" outlineLevel="0" collapsed="false">
      <c r="D34" s="32" t="s">
        <v>687</v>
      </c>
      <c r="E34" s="32"/>
      <c r="F34" s="32"/>
      <c r="G34" s="32"/>
      <c r="H34" s="33" t="n">
        <f aca="false">SUMIF(A6:A28,"Cahiers",F6:F28)</f>
        <v>13</v>
      </c>
    </row>
    <row r="35" customFormat="false" ht="15" hidden="false" customHeight="false" outlineLevel="0" collapsed="false">
      <c r="D35" s="32" t="s">
        <v>688</v>
      </c>
      <c r="E35" s="32"/>
      <c r="F35" s="32"/>
      <c r="G35" s="32"/>
      <c r="H35" s="34" t="n">
        <f aca="false">IF(H30=0,0,SUMIF(K6:K28,"&lt;&gt;Fixé",H6:H28)/H30)</f>
        <v>0.59391771019678</v>
      </c>
    </row>
    <row r="36" customFormat="false" ht="15" hidden="false" customHeight="false" outlineLevel="0" collapsed="false">
      <c r="D36" s="32" t="s">
        <v>689</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690</v>
      </c>
    </row>
    <row r="39" customFormat="false" ht="15" hidden="false" customHeight="false" outlineLevel="0" collapsed="false">
      <c r="A39" s="36" t="s">
        <v>760</v>
      </c>
      <c r="B39" s="36" t="s">
        <v>883</v>
      </c>
      <c r="C39" s="31" t="s">
        <v>514</v>
      </c>
      <c r="D39" s="36" t="str">
        <f aca="false">INDEX(Articles!$C$2:$C$148,MATCH(C39,Articles!$A$2:$A$148,0))</f>
        <v>L'Étranger (Albert Camus)</v>
      </c>
      <c r="E39" s="37"/>
      <c r="F39" s="37"/>
      <c r="G39" s="38" t="n">
        <f aca="false">INDEX(Articles!$G$2:$G$148,MATCH(C39,Articles!$A$2:$A$148,0))</f>
        <v>2800</v>
      </c>
      <c r="H39" s="37"/>
      <c r="I39" s="37"/>
      <c r="J39" s="37"/>
      <c r="K39" s="37"/>
      <c r="L39" s="37"/>
      <c r="M39" s="37"/>
      <c r="N39" s="39" t="s">
        <v>271</v>
      </c>
    </row>
    <row r="40" customFormat="false" ht="15" hidden="false" customHeight="false" outlineLevel="0" collapsed="false">
      <c r="A40" s="36" t="s">
        <v>760</v>
      </c>
      <c r="B40" s="36" t="s">
        <v>883</v>
      </c>
      <c r="C40" s="31" t="s">
        <v>516</v>
      </c>
      <c r="D40" s="36" t="str">
        <f aca="false">INDEX(Articles!$C$2:$C$148,MATCH(C40,Articles!$A$2:$A$148,0))</f>
        <v>Les Contemplations (Victor Hugo)</v>
      </c>
      <c r="E40" s="37"/>
      <c r="F40" s="37"/>
      <c r="G40" s="38" t="n">
        <f aca="false">INDEX(Articles!$G$2:$G$148,MATCH(C40,Articles!$A$2:$A$148,0))</f>
        <v>2800</v>
      </c>
      <c r="H40" s="37"/>
      <c r="I40" s="37"/>
      <c r="J40" s="37"/>
      <c r="K40" s="37"/>
      <c r="L40" s="37"/>
      <c r="M40" s="37"/>
      <c r="N40" s="39" t="s">
        <v>271</v>
      </c>
    </row>
    <row r="41" customFormat="false" ht="15" hidden="false" customHeight="false" outlineLevel="0" collapsed="false">
      <c r="D41" s="40" t="s">
        <v>695</v>
      </c>
      <c r="H41" s="33" t="n">
        <f aca="false">H30+SUM(G39:G40)</f>
        <v>19575</v>
      </c>
    </row>
    <row r="42" customFormat="false" ht="15" hidden="false" customHeight="false" outlineLevel="0" collapsed="false">
      <c r="D42" s="21" t="s">
        <v>696</v>
      </c>
      <c r="E42" s="21" t="str">
        <f aca="false">INDEX(Articles!$C$2:$C$148,MATCH("S020",Articles!$A$2:$A$148,0))</f>
        <v>Sac à dos bleu marine</v>
      </c>
      <c r="H42" s="41" t="n">
        <f aca="false">INDEX(Articles!$G$2:$G$148,MATCH("S020",Articles!$A$2:$A$148,0))</f>
        <v>7000</v>
      </c>
    </row>
    <row r="43" customFormat="false" ht="15" hidden="false" customHeight="false" outlineLevel="0" collapsed="false">
      <c r="D43" s="42" t="s">
        <v>697</v>
      </c>
      <c r="E43" s="44" t="s">
        <v>711</v>
      </c>
    </row>
    <row r="46" customFormat="false" ht="15" hidden="false" customHeight="false" outlineLevel="0" collapsed="false">
      <c r="A46" s="28" t="s">
        <v>932</v>
      </c>
      <c r="B46" s="29"/>
      <c r="C46" s="29"/>
      <c r="D46" s="29"/>
      <c r="E46" s="29"/>
      <c r="F46" s="29"/>
      <c r="G46" s="29"/>
      <c r="H46" s="29"/>
      <c r="I46" s="29"/>
      <c r="J46" s="29"/>
      <c r="K46" s="29"/>
      <c r="L46" s="29"/>
      <c r="M46" s="29"/>
      <c r="N46" s="29"/>
    </row>
    <row r="47" customFormat="false" ht="39.55" hidden="false" customHeight="false" outlineLevel="0" collapsed="false">
      <c r="A47" s="30" t="s">
        <v>663</v>
      </c>
      <c r="B47" s="30" t="s">
        <v>664</v>
      </c>
      <c r="C47" s="30" t="s">
        <v>348</v>
      </c>
      <c r="D47" s="30" t="s">
        <v>350</v>
      </c>
      <c r="E47" s="30" t="s">
        <v>349</v>
      </c>
      <c r="F47" s="30" t="s">
        <v>665</v>
      </c>
      <c r="G47" s="30" t="s">
        <v>666</v>
      </c>
      <c r="H47" s="30" t="s">
        <v>667</v>
      </c>
      <c r="I47" s="30" t="s">
        <v>668</v>
      </c>
      <c r="J47" s="30" t="s">
        <v>669</v>
      </c>
      <c r="K47" s="30" t="s">
        <v>355</v>
      </c>
      <c r="L47" s="30" t="s">
        <v>353</v>
      </c>
      <c r="M47" s="30" t="s">
        <v>356</v>
      </c>
      <c r="N47" s="30" t="s">
        <v>670</v>
      </c>
    </row>
    <row r="48" customFormat="false" ht="15" hidden="false" customHeight="false" outlineLevel="0" collapsed="false">
      <c r="A48" s="9" t="s">
        <v>671</v>
      </c>
      <c r="B48" s="9" t="s">
        <v>850</v>
      </c>
      <c r="C48" s="31" t="s">
        <v>208</v>
      </c>
      <c r="D48" s="9" t="str">
        <f aca="false">INDEX(Articles!$C$2:$C$148,MATCH(C48,Articles!$A$2:$A$148,0))</f>
        <v>Cahier Calligraphe 96 pages 24x32 (grand format)</v>
      </c>
      <c r="E48" s="9" t="str">
        <f aca="false">INDEX(Articles!$B$2:$B$148,MATCH(C48,Articles!$A$2:$A$148,0))</f>
        <v>Papex</v>
      </c>
      <c r="F48" s="31" t="n">
        <v>1</v>
      </c>
      <c r="G48" s="13" t="n">
        <f aca="false">IF(INDEX(Articles!$G$2:$G$148,MATCH(C48,Articles!$A$2:$A$148,0))="","",INDEX(Articles!$G$2:$G$148,MATCH(C48,Articles!$A$2:$A$148,0)))</f>
        <v>1350</v>
      </c>
      <c r="H48" s="13" t="n">
        <f aca="false">IF(G48="",0,F48*G48)</f>
        <v>1350</v>
      </c>
      <c r="I48" s="13" t="n">
        <f aca="false">IF(INDEX(Articles!$E$2:$E$148,MATCH(C48,Articles!$A$2:$A$148,0))="","",INDEX(Articles!$E$2:$E$148,MATCH(C48,Articles!$A$2:$A$148,0)))</f>
        <v>1000</v>
      </c>
      <c r="J48" s="13" t="n">
        <f aca="false">IF(I48="","",F48*I48)</f>
        <v>1000</v>
      </c>
      <c r="K48" s="9" t="str">
        <f aca="false">INDEX(Articles!$H$2:$H$148,MATCH(C48,Articles!$A$2:$A$148,0))</f>
        <v>Fixé</v>
      </c>
      <c r="L48" s="9" t="str">
        <f aca="false">INDEX(Articles!$F$2:$F$148,MATCH(C48,Articles!$A$2:$A$148,0))</f>
        <v>Confirmé</v>
      </c>
      <c r="M48" s="17"/>
      <c r="N48" s="9" t="s">
        <v>167</v>
      </c>
    </row>
    <row r="49" customFormat="false" ht="15" hidden="false" customHeight="false" outlineLevel="0" collapsed="false">
      <c r="A49" s="9" t="s">
        <v>671</v>
      </c>
      <c r="B49" s="9" t="s">
        <v>744</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854</v>
      </c>
      <c r="C50" s="31" t="s">
        <v>366</v>
      </c>
      <c r="D50" s="9" t="str">
        <f aca="false">INDEX(Articles!$C$2:$C$148,MATCH(C50,Articles!$A$2:$A$148,0))</f>
        <v>Cahier Calligraphe 140 pages 17x22 90 g seyès</v>
      </c>
      <c r="E50" s="9" t="str">
        <f aca="false">INDEX(Articles!$B$2:$B$148,MATCH(C50,Articles!$A$2:$A$148,0))</f>
        <v>Papex</v>
      </c>
      <c r="F50" s="31" t="n">
        <v>1</v>
      </c>
      <c r="G50" s="13" t="n">
        <f aca="false">IF(INDEX(Articles!$G$2:$G$148,MATCH(C50,Articles!$A$2:$A$148,0))="","",INDEX(Articles!$G$2:$G$148,MATCH(C50,Articles!$A$2:$A$148,0)))</f>
        <v>750</v>
      </c>
      <c r="H50" s="13" t="n">
        <f aca="false">IF(G50="",0,F50*G50)</f>
        <v>750</v>
      </c>
      <c r="I50" s="13" t="n">
        <f aca="false">IF(INDEX(Articles!$E$2:$E$148,MATCH(C50,Articles!$A$2:$A$148,0))="","",INDEX(Articles!$E$2:$E$148,MATCH(C50,Articles!$A$2:$A$148,0)))</f>
        <v>650</v>
      </c>
      <c r="J50" s="13" t="n">
        <f aca="false">IF(I50="","",F50*I50)</f>
        <v>650</v>
      </c>
      <c r="K50" s="9" t="str">
        <f aca="false">INDEX(Articles!$H$2:$H$148,MATCH(C50,Articles!$A$2:$A$148,0))</f>
        <v>Fixé</v>
      </c>
      <c r="L50" s="9" t="str">
        <f aca="false">INDEX(Articles!$F$2:$F$148,MATCH(C50,Articles!$A$2:$A$148,0))</f>
        <v>Estimé</v>
      </c>
      <c r="M50" s="17" t="s">
        <v>763</v>
      </c>
      <c r="N50" s="9" t="s">
        <v>167</v>
      </c>
    </row>
    <row r="51" customFormat="false" ht="15" hidden="false" customHeight="false" outlineLevel="0" collapsed="false">
      <c r="A51" s="9" t="s">
        <v>671</v>
      </c>
      <c r="B51" s="9" t="s">
        <v>737</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739</v>
      </c>
      <c r="C52" s="31" t="s">
        <v>192</v>
      </c>
      <c r="D52" s="9" t="str">
        <f aca="false">INDEX(Articles!$C$2:$C$148,MATCH(C52,Articles!$A$2:$A$148,0))</f>
        <v>Cahier Calligraphe 192 pages 17x22 90 g seyès</v>
      </c>
      <c r="E52" s="9" t="str">
        <f aca="false">INDEX(Articles!$B$2:$B$148,MATCH(C52,Articles!$A$2:$A$148,0))</f>
        <v>Papex</v>
      </c>
      <c r="F52" s="31" t="n">
        <v>1</v>
      </c>
      <c r="G52" s="13" t="n">
        <f aca="false">IF(INDEX(Articles!$G$2:$G$148,MATCH(C52,Articles!$A$2:$A$148,0))="","",INDEX(Articles!$G$2:$G$148,MATCH(C52,Articles!$A$2:$A$148,0)))</f>
        <v>900</v>
      </c>
      <c r="H52" s="13" t="n">
        <f aca="false">IF(G52="",0,F52*G52)</f>
        <v>900</v>
      </c>
      <c r="I52" s="13" t="n">
        <f aca="false">IF(INDEX(Articles!$E$2:$E$148,MATCH(C52,Articles!$A$2:$A$148,0))="","",INDEX(Articles!$E$2:$E$148,MATCH(C52,Articles!$A$2:$A$148,0)))</f>
        <v>800</v>
      </c>
      <c r="J52" s="13" t="n">
        <f aca="false">IF(I52="","",F52*I52)</f>
        <v>800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742</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852</v>
      </c>
      <c r="C54" s="31" t="s">
        <v>366</v>
      </c>
      <c r="D54" s="9" t="str">
        <f aca="false">INDEX(Articles!$C$2:$C$148,MATCH(C54,Articles!$A$2:$A$148,0))</f>
        <v>Cahier Calligraphe 140 pages 17x22 90 g seyès</v>
      </c>
      <c r="E54" s="9" t="str">
        <f aca="false">INDEX(Articles!$B$2:$B$148,MATCH(C54,Articles!$A$2:$A$148,0))</f>
        <v>Papex</v>
      </c>
      <c r="F54" s="31" t="n">
        <v>1</v>
      </c>
      <c r="G54" s="13" t="n">
        <f aca="false">IF(INDEX(Articles!$G$2:$G$148,MATCH(C54,Articles!$A$2:$A$148,0))="","",INDEX(Articles!$G$2:$G$148,MATCH(C54,Articles!$A$2:$A$148,0)))</f>
        <v>750</v>
      </c>
      <c r="H54" s="13" t="n">
        <f aca="false">IF(G54="",0,F54*G54)</f>
        <v>750</v>
      </c>
      <c r="I54" s="13" t="n">
        <f aca="false">IF(INDEX(Articles!$E$2:$E$148,MATCH(C54,Articles!$A$2:$A$148,0))="","",INDEX(Articles!$E$2:$E$148,MATCH(C54,Articles!$A$2:$A$148,0)))</f>
        <v>650</v>
      </c>
      <c r="J54" s="13" t="n">
        <f aca="false">IF(I54="","",F54*I54)</f>
        <v>650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671</v>
      </c>
      <c r="B55" s="9" t="s">
        <v>853</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909</v>
      </c>
      <c r="C56" s="31" t="s">
        <v>213</v>
      </c>
      <c r="D56" s="9" t="str">
        <f aca="false">INDEX(Articles!$C$2:$C$148,MATCH(C56,Articles!$A$2:$A$148,0))</f>
        <v>Cahier Calligraphe 192 pages 24x32 (grand format)</v>
      </c>
      <c r="E56" s="9" t="str">
        <f aca="false">INDEX(Articles!$B$2:$B$148,MATCH(C56,Articles!$A$2:$A$148,0))</f>
        <v>Papex</v>
      </c>
      <c r="F56" s="31" t="n">
        <v>1</v>
      </c>
      <c r="G56" s="13" t="n">
        <f aca="false">IF(INDEX(Articles!$G$2:$G$148,MATCH(C56,Articles!$A$2:$A$148,0))="","",INDEX(Articles!$G$2:$G$148,MATCH(C56,Articles!$A$2:$A$148,0)))</f>
        <v>1650</v>
      </c>
      <c r="H56" s="13" t="n">
        <f aca="false">IF(G56="",0,F56*G56)</f>
        <v>1650</v>
      </c>
      <c r="I56" s="13" t="n">
        <f aca="false">IF(INDEX(Articles!$E$2:$E$148,MATCH(C56,Articles!$A$2:$A$148,0))="","",INDEX(Articles!$E$2:$E$148,MATCH(C56,Articles!$A$2:$A$148,0)))</f>
        <v>1500</v>
      </c>
      <c r="J56" s="13" t="n">
        <f aca="false">IF(I56="","",F56*I56)</f>
        <v>1500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745</v>
      </c>
      <c r="C57" s="31" t="s">
        <v>213</v>
      </c>
      <c r="D57" s="9" t="str">
        <f aca="false">INDEX(Articles!$C$2:$C$148,MATCH(C57,Articles!$A$2:$A$148,0))</f>
        <v>Cahier Calligraphe 192 pages 24x32 (grand format)</v>
      </c>
      <c r="E57" s="9" t="str">
        <f aca="false">INDEX(Articles!$B$2:$B$148,MATCH(C57,Articles!$A$2:$A$148,0))</f>
        <v>Papex</v>
      </c>
      <c r="F57" s="31" t="n">
        <v>2</v>
      </c>
      <c r="G57" s="13" t="n">
        <f aca="false">IF(INDEX(Articles!$G$2:$G$148,MATCH(C57,Articles!$A$2:$A$148,0))="","",INDEX(Articles!$G$2:$G$148,MATCH(C57,Articles!$A$2:$A$148,0)))</f>
        <v>1650</v>
      </c>
      <c r="H57" s="13" t="n">
        <f aca="false">IF(G57="",0,F57*G57)</f>
        <v>3300</v>
      </c>
      <c r="I57" s="13" t="n">
        <f aca="false">IF(INDEX(Articles!$E$2:$E$148,MATCH(C57,Articles!$A$2:$A$148,0))="","",INDEX(Articles!$E$2:$E$148,MATCH(C57,Articles!$A$2:$A$148,0)))</f>
        <v>1500</v>
      </c>
      <c r="J57" s="13" t="n">
        <f aca="false">IF(I57="","",F57*I57)</f>
        <v>3000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831</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855</v>
      </c>
      <c r="C59" s="31" t="s">
        <v>208</v>
      </c>
      <c r="D59" s="9" t="str">
        <f aca="false">INDEX(Articles!$C$2:$C$148,MATCH(C59,Articles!$A$2:$A$148,0))</f>
        <v>Cahier Calligraphe 96 pages 24x32 (grand format)</v>
      </c>
      <c r="E59" s="9" t="str">
        <f aca="false">INDEX(Articles!$B$2:$B$148,MATCH(C59,Articles!$A$2:$A$148,0))</f>
        <v>Papex</v>
      </c>
      <c r="F59" s="31" t="n">
        <v>1</v>
      </c>
      <c r="G59" s="13" t="n">
        <f aca="false">IF(INDEX(Articles!$G$2:$G$148,MATCH(C59,Articles!$A$2:$A$148,0))="","",INDEX(Articles!$G$2:$G$148,MATCH(C59,Articles!$A$2:$A$148,0)))</f>
        <v>1350</v>
      </c>
      <c r="H59" s="13" t="n">
        <f aca="false">IF(G59="",0,F59*G59)</f>
        <v>1350</v>
      </c>
      <c r="I59" s="13" t="n">
        <f aca="false">IF(INDEX(Articles!$E$2:$E$148,MATCH(C59,Articles!$A$2:$A$148,0))="","",INDEX(Articles!$E$2:$E$148,MATCH(C59,Articles!$A$2:$A$148,0)))</f>
        <v>1000</v>
      </c>
      <c r="J59" s="13" t="n">
        <f aca="false">IF(I59="","",F59*I59)</f>
        <v>1000</v>
      </c>
      <c r="K59" s="9" t="str">
        <f aca="false">INDEX(Articles!$H$2:$H$148,MATCH(C59,Articles!$A$2:$A$148,0))</f>
        <v>Fixé</v>
      </c>
      <c r="L59" s="9" t="str">
        <f aca="false">INDEX(Articles!$F$2:$F$148,MATCH(C59,Articles!$A$2:$A$148,0))</f>
        <v>Confirmé</v>
      </c>
      <c r="M59" s="17"/>
      <c r="N59" s="9" t="s">
        <v>167</v>
      </c>
    </row>
    <row r="60" customFormat="false" ht="15" hidden="false" customHeight="false" outlineLevel="0" collapsed="false">
      <c r="A60" s="9" t="s">
        <v>678</v>
      </c>
      <c r="B60" s="9" t="s">
        <v>749</v>
      </c>
      <c r="C60" s="31" t="s">
        <v>222</v>
      </c>
      <c r="D60" s="9" t="str">
        <f aca="false">INDEX(Articles!$C$2:$C$148,MATCH(C60,Articles!$A$2:$A$148,0))</f>
        <v>Pack de 4 stylos Schneider Tops 505 M (bleu, noir, rouge, vert)</v>
      </c>
      <c r="E60" s="9" t="str">
        <f aca="false">INDEX(Articles!$B$2:$B$148,MATCH(C60,Articles!$A$2:$A$148,0))</f>
        <v>Papex</v>
      </c>
      <c r="F60" s="31" t="n">
        <v>1</v>
      </c>
      <c r="G60" s="13" t="n">
        <f aca="false">IF(INDEX(Articles!$G$2:$G$148,MATCH(C60,Articles!$A$2:$A$148,0))="","",INDEX(Articles!$G$2:$G$148,MATCH(C60,Articles!$A$2:$A$148,0)))</f>
        <v>400</v>
      </c>
      <c r="H60" s="13" t="n">
        <f aca="false">IF(G60="",0,F60*G60)</f>
        <v>400</v>
      </c>
      <c r="I60" s="13" t="str">
        <f aca="false">IF(INDEX(Articles!$E$2:$E$148,MATCH(C60,Articles!$A$2:$A$148,0))="","",INDEX(Articles!$E$2:$E$148,MATCH(C60,Articles!$A$2:$A$148,0)))</f>
        <v/>
      </c>
      <c r="J60" s="13" t="str">
        <f aca="false">IF(I60="","",F60*I60)</f>
        <v/>
      </c>
      <c r="K60" s="9" t="str">
        <f aca="false">INDEX(Articles!$H$2:$H$148,MATCH(C60,Articles!$A$2:$A$148,0))</f>
        <v>Fixé</v>
      </c>
      <c r="L60" s="9" t="str">
        <f aca="false">INDEX(Articles!$F$2:$F$148,MATCH(C60,Articles!$A$2:$A$148,0))</f>
        <v>Inconnu</v>
      </c>
      <c r="M60" s="17" t="s">
        <v>432</v>
      </c>
      <c r="N60" s="9" t="s">
        <v>167</v>
      </c>
    </row>
    <row r="61" customFormat="false" ht="15" hidden="false" customHeight="false" outlineLevel="0" collapsed="false">
      <c r="A61" s="9" t="s">
        <v>678</v>
      </c>
      <c r="B61" s="9" t="s">
        <v>750</v>
      </c>
      <c r="C61" s="31" t="s">
        <v>235</v>
      </c>
      <c r="D61" s="9" t="str">
        <f aca="false">INDEX(Articles!$C$2:$C$148,MATCH(C61,Articles!$A$2:$A$148,0))</f>
        <v>Crayon papier (vendu à l'unité)</v>
      </c>
      <c r="E61" s="9" t="str">
        <f aca="false">INDEX(Articles!$B$2:$B$148,MATCH(C61,Articles!$A$2:$A$148,0))</f>
        <v>LPD</v>
      </c>
      <c r="F61" s="31" t="n">
        <v>1</v>
      </c>
      <c r="G61" s="13" t="n">
        <f aca="false">IF(INDEX(Articles!$G$2:$G$148,MATCH(C61,Articles!$A$2:$A$148,0))="","",INDEX(Articles!$G$2:$G$148,MATCH(C61,Articles!$A$2:$A$148,0)))</f>
        <v>75</v>
      </c>
      <c r="H61" s="13" t="n">
        <f aca="false">IF(G61="",0,F61*G61)</f>
        <v>75</v>
      </c>
      <c r="I61" s="13" t="str">
        <f aca="false">IF(INDEX(Articles!$E$2:$E$148,MATCH(C61,Articles!$A$2:$A$148,0))="","",INDEX(Articles!$E$2:$E$148,MATCH(C61,Articles!$A$2:$A$148,0)))</f>
        <v/>
      </c>
      <c r="J61" s="13" t="str">
        <f aca="false">IF(I61="","",F61*I61)</f>
        <v/>
      </c>
      <c r="K61" s="9" t="str">
        <f aca="false">INDEX(Articles!$H$2:$H$148,MATCH(C61,Articles!$A$2:$A$148,0))</f>
        <v>Fixé</v>
      </c>
      <c r="L61" s="9" t="str">
        <f aca="false">INDEX(Articles!$F$2:$F$148,MATCH(C61,Articles!$A$2:$A$148,0))</f>
        <v>Inconnu</v>
      </c>
      <c r="M61" s="17"/>
      <c r="N61" s="9" t="s">
        <v>167</v>
      </c>
    </row>
    <row r="62" customFormat="false" ht="15" hidden="false" customHeight="false" outlineLevel="0" collapsed="false">
      <c r="A62" s="9" t="s">
        <v>675</v>
      </c>
      <c r="B62" s="9" t="s">
        <v>717</v>
      </c>
      <c r="C62" s="31" t="s">
        <v>180</v>
      </c>
      <c r="D62" s="9" t="str">
        <f aca="false">INDEX(Articles!$C$2:$C$148,MATCH(C62,Articles!$A$2:$A$148,0))</f>
        <v>Gomme Staedtler Mars Plastic</v>
      </c>
      <c r="E62" s="9" t="str">
        <f aca="false">INDEX(Articles!$B$2:$B$148,MATCH(C62,Articles!$A$2:$A$148,0))</f>
        <v>LPD</v>
      </c>
      <c r="F62" s="31" t="n">
        <v>1</v>
      </c>
      <c r="G62" s="13" t="n">
        <f aca="false">IF(INDEX(Articles!$G$2:$G$148,MATCH(C62,Articles!$A$2:$A$148,0))="","",INDEX(Articles!$G$2:$G$148,MATCH(C62,Articles!$A$2:$A$148,0)))</f>
        <v>250</v>
      </c>
      <c r="H62" s="13" t="n">
        <f aca="false">IF(G62="",0,F62*G62)</f>
        <v>250</v>
      </c>
      <c r="I62" s="13" t="n">
        <f aca="false">IF(INDEX(Articles!$E$2:$E$148,MATCH(C62,Articles!$A$2:$A$148,0))="","",INDEX(Articles!$E$2:$E$148,MATCH(C62,Articles!$A$2:$A$148,0)))</f>
        <v>110</v>
      </c>
      <c r="J62" s="13" t="n">
        <f aca="false">IF(I62="","",F62*I62)</f>
        <v>110</v>
      </c>
      <c r="K62" s="9" t="str">
        <f aca="false">INDEX(Articles!$H$2:$H$148,MATCH(C62,Articles!$A$2:$A$148,0))</f>
        <v>Fixé</v>
      </c>
      <c r="L62" s="9" t="str">
        <f aca="false">INDEX(Articles!$F$2:$F$148,MATCH(C62,Articles!$A$2:$A$148,0))</f>
        <v>Estimé</v>
      </c>
      <c r="M62" s="17"/>
      <c r="N62" s="9" t="s">
        <v>167</v>
      </c>
    </row>
    <row r="63" customFormat="false" ht="15" hidden="false" customHeight="false" outlineLevel="0" collapsed="false">
      <c r="A63" s="9" t="s">
        <v>675</v>
      </c>
      <c r="B63" s="9" t="s">
        <v>751</v>
      </c>
      <c r="C63" s="31" t="s">
        <v>183</v>
      </c>
      <c r="D63" s="9" t="str">
        <f aca="false">INDEX(Articles!$C$2:$C$148,MATCH(C63,Articles!$A$2:$A$148,0))</f>
        <v>Taille-crayon avec réservoir Maped</v>
      </c>
      <c r="E63" s="9" t="str">
        <f aca="false">INDEX(Articles!$B$2:$B$148,MATCH(C63,Articles!$A$2:$A$148,0))</f>
        <v>Papex</v>
      </c>
      <c r="F63" s="31" t="n">
        <v>1</v>
      </c>
      <c r="G63" s="13" t="n">
        <f aca="false">IF(INDEX(Articles!$G$2:$G$148,MATCH(C63,Articles!$A$2:$A$148,0))="","",INDEX(Articles!$G$2:$G$148,MATCH(C63,Articles!$A$2:$A$148,0)))</f>
        <v>500</v>
      </c>
      <c r="H63" s="13" t="n">
        <f aca="false">IF(G63="",0,F63*G63)</f>
        <v>500</v>
      </c>
      <c r="I63" s="13" t="n">
        <f aca="false">IF(INDEX(Articles!$E$2:$E$148,MATCH(C63,Articles!$A$2:$A$148,0))="","",INDEX(Articles!$E$2:$E$148,MATCH(C63,Articles!$A$2:$A$148,0)))</f>
        <v>350</v>
      </c>
      <c r="J63" s="13" t="n">
        <f aca="false">IF(I63="","",F63*I63)</f>
        <v>350</v>
      </c>
      <c r="K63" s="9" t="str">
        <f aca="false">INDEX(Articles!$H$2:$H$148,MATCH(C63,Articles!$A$2:$A$148,0))</f>
        <v>Estimé</v>
      </c>
      <c r="L63" s="9" t="str">
        <f aca="false">INDEX(Articles!$F$2:$F$148,MATCH(C63,Articles!$A$2:$A$148,0))</f>
        <v>Estimé</v>
      </c>
      <c r="M63" s="17" t="s">
        <v>765</v>
      </c>
      <c r="N63" s="9" t="s">
        <v>167</v>
      </c>
    </row>
    <row r="64" customFormat="false" ht="15" hidden="false" customHeight="false" outlineLevel="0" collapsed="false">
      <c r="A64" s="9" t="s">
        <v>675</v>
      </c>
      <c r="B64" s="9" t="s">
        <v>753</v>
      </c>
      <c r="C64" s="31" t="s">
        <v>248</v>
      </c>
      <c r="D64" s="9" t="str">
        <f aca="false">INDEX(Articles!$C$2:$C$148,MATCH(C64,Articles!$A$2:$A$148,0))</f>
        <v>Bâton de colle Giotto 20 g</v>
      </c>
      <c r="E64" s="9" t="str">
        <f aca="false">INDEX(Articles!$B$2:$B$148,MATCH(C64,Articles!$A$2:$A$148,0))</f>
        <v>Papex</v>
      </c>
      <c r="F64" s="31" t="n">
        <v>1</v>
      </c>
      <c r="G64" s="13" t="n">
        <f aca="false">IF(INDEX(Articles!$G$2:$G$148,MATCH(C64,Articles!$A$2:$A$148,0))="","",INDEX(Articles!$G$2:$G$148,MATCH(C64,Articles!$A$2:$A$148,0)))</f>
        <v>900</v>
      </c>
      <c r="H64" s="13" t="n">
        <f aca="false">IF(G64="",0,F64*G64)</f>
        <v>900</v>
      </c>
      <c r="I64" s="13" t="n">
        <f aca="false">IF(INDEX(Articles!$E$2:$E$148,MATCH(C64,Articles!$A$2:$A$148,0))="","",INDEX(Articles!$E$2:$E$148,MATCH(C64,Articles!$A$2:$A$148,0)))</f>
        <v>650</v>
      </c>
      <c r="J64" s="13" t="n">
        <f aca="false">IF(I64="","",F64*I64)</f>
        <v>650</v>
      </c>
      <c r="K64" s="9" t="str">
        <f aca="false">INDEX(Articles!$H$2:$H$148,MATCH(C64,Articles!$A$2:$A$148,0))</f>
        <v>Estimé</v>
      </c>
      <c r="L64" s="9" t="str">
        <f aca="false">INDEX(Articles!$F$2:$F$148,MATCH(C64,Articles!$A$2:$A$148,0))</f>
        <v>Estimé</v>
      </c>
      <c r="M64" s="17"/>
      <c r="N64" s="9" t="s">
        <v>167</v>
      </c>
    </row>
    <row r="65" customFormat="false" ht="15" hidden="false" customHeight="false" outlineLevel="0" collapsed="false">
      <c r="A65" s="9" t="s">
        <v>675</v>
      </c>
      <c r="B65" s="9" t="s">
        <v>754</v>
      </c>
      <c r="C65" s="31" t="s">
        <v>189</v>
      </c>
      <c r="D65" s="9" t="str">
        <f aca="false">INDEX(Articles!$C$2:$C$148,MATCH(C65,Articles!$A$2:$A$148,0))</f>
        <v>Ciseaux Maped 13 cm Security</v>
      </c>
      <c r="E65" s="9" t="str">
        <f aca="false">INDEX(Articles!$B$2:$B$148,MATCH(C65,Articles!$A$2:$A$148,0))</f>
        <v>Papex</v>
      </c>
      <c r="F65" s="31" t="n">
        <v>1</v>
      </c>
      <c r="G65" s="13" t="n">
        <f aca="false">IF(INDEX(Articles!$G$2:$G$148,MATCH(C65,Articles!$A$2:$A$148,0))="","",INDEX(Articles!$G$2:$G$148,MATCH(C65,Articles!$A$2:$A$148,0)))</f>
        <v>900</v>
      </c>
      <c r="H65" s="13" t="n">
        <f aca="false">IF(G65="",0,F65*G65)</f>
        <v>900</v>
      </c>
      <c r="I65" s="13" t="n">
        <f aca="false">IF(INDEX(Articles!$E$2:$E$148,MATCH(C65,Articles!$A$2:$A$148,0))="","",INDEX(Articles!$E$2:$E$148,MATCH(C65,Articles!$A$2:$A$148,0)))</f>
        <v>650</v>
      </c>
      <c r="J65" s="13" t="n">
        <f aca="false">IF(I65="","",F65*I65)</f>
        <v>650</v>
      </c>
      <c r="K65" s="9" t="str">
        <f aca="false">INDEX(Articles!$H$2:$H$148,MATCH(C65,Articles!$A$2:$A$148,0))</f>
        <v>Estimé</v>
      </c>
      <c r="L65" s="9" t="str">
        <f aca="false">INDEX(Articles!$F$2:$F$148,MATCH(C65,Articles!$A$2:$A$148,0))</f>
        <v>Estimé</v>
      </c>
      <c r="M65" s="17"/>
      <c r="N65" s="9" t="s">
        <v>167</v>
      </c>
    </row>
    <row r="66" customFormat="false" ht="15" hidden="false" customHeight="false" outlineLevel="0" collapsed="false">
      <c r="A66" s="9" t="s">
        <v>676</v>
      </c>
      <c r="B66" s="9" t="s">
        <v>755</v>
      </c>
      <c r="C66" s="31" t="s">
        <v>215</v>
      </c>
      <c r="D66" s="9" t="str">
        <f aca="false">INDEX(Articles!$C$2:$C$148,MATCH(C66,Articles!$A$2:$A$148,0))</f>
        <v>Kit géométrie Maped 30 cm (réf. 1930)</v>
      </c>
      <c r="E66" s="9" t="str">
        <f aca="false">INDEX(Articles!$B$2:$B$148,MATCH(C66,Articles!$A$2:$A$148,0))</f>
        <v>LPD</v>
      </c>
      <c r="F66" s="31" t="n">
        <v>1</v>
      </c>
      <c r="G66" s="13" t="n">
        <f aca="false">IF(INDEX(Articles!$G$2:$G$148,MATCH(C66,Articles!$A$2:$A$148,0))="","",INDEX(Articles!$G$2:$G$148,MATCH(C66,Articles!$A$2:$A$148,0)))</f>
        <v>1800</v>
      </c>
      <c r="H66" s="13" t="n">
        <f aca="false">IF(G66="",0,F66*G66)</f>
        <v>1800</v>
      </c>
      <c r="I66" s="13" t="n">
        <f aca="false">IF(INDEX(Articles!$E$2:$E$148,MATCH(C66,Articles!$A$2:$A$148,0))="","",INDEX(Articles!$E$2:$E$148,MATCH(C66,Articles!$A$2:$A$148,0)))</f>
        <v>1500</v>
      </c>
      <c r="J66" s="13" t="n">
        <f aca="false">IF(I66="","",F66*I66)</f>
        <v>1500</v>
      </c>
      <c r="K66" s="9" t="str">
        <f aca="false">INDEX(Articles!$H$2:$H$148,MATCH(C66,Articles!$A$2:$A$148,0))</f>
        <v>À trancher</v>
      </c>
      <c r="L66" s="9" t="str">
        <f aca="false">INDEX(Articles!$F$2:$F$148,MATCH(C66,Articles!$A$2:$A$148,0))</f>
        <v>Confirmé</v>
      </c>
      <c r="M66" s="17"/>
      <c r="N66" s="9" t="s">
        <v>167</v>
      </c>
    </row>
    <row r="67" customFormat="false" ht="15" hidden="false" customHeight="false" outlineLevel="0" collapsed="false">
      <c r="A67" s="9" t="s">
        <v>676</v>
      </c>
      <c r="B67" s="9" t="s">
        <v>756</v>
      </c>
      <c r="C67" s="31" t="s">
        <v>171</v>
      </c>
      <c r="D67" s="9" t="str">
        <f aca="false">INDEX(Articles!$C$2:$C$148,MATCH(C67,Articles!$A$2:$A$148,0))</f>
        <v>Compas Maped</v>
      </c>
      <c r="E67" s="9" t="str">
        <f aca="false">INDEX(Articles!$B$2:$B$148,MATCH(C67,Articles!$A$2:$A$148,0))</f>
        <v>Papex</v>
      </c>
      <c r="F67" s="31" t="n">
        <v>1</v>
      </c>
      <c r="G67" s="13" t="n">
        <f aca="false">IF(INDEX(Articles!$G$2:$G$148,MATCH(C67,Articles!$A$2:$A$148,0))="","",INDEX(Articles!$G$2:$G$148,MATCH(C67,Articles!$A$2:$A$148,0)))</f>
        <v>2000</v>
      </c>
      <c r="H67" s="13" t="n">
        <f aca="false">IF(G67="",0,F67*G67)</f>
        <v>2000</v>
      </c>
      <c r="I67" s="13" t="n">
        <f aca="false">IF(INDEX(Articles!$E$2:$E$148,MATCH(C67,Articles!$A$2:$A$148,0))="","",INDEX(Articles!$E$2:$E$148,MATCH(C67,Articles!$A$2:$A$148,0)))</f>
        <v>1750</v>
      </c>
      <c r="J67" s="13" t="n">
        <f aca="false">IF(I67="","",F67*I67)</f>
        <v>1750</v>
      </c>
      <c r="K67" s="9" t="str">
        <f aca="false">INDEX(Articles!$H$2:$H$148,MATCH(C67,Articles!$A$2:$A$148,0))</f>
        <v>Fixé</v>
      </c>
      <c r="L67" s="9" t="str">
        <f aca="false">INDEX(Articles!$F$2:$F$148,MATCH(C67,Articles!$A$2:$A$148,0))</f>
        <v>Confirmé</v>
      </c>
      <c r="M67" s="17"/>
      <c r="N67" s="9" t="s">
        <v>167</v>
      </c>
    </row>
    <row r="68" customFormat="false" ht="15" hidden="false" customHeight="false" outlineLevel="0" collapsed="false">
      <c r="A68" s="9" t="s">
        <v>681</v>
      </c>
      <c r="B68" s="9" t="s">
        <v>757</v>
      </c>
      <c r="C68" s="31" t="s">
        <v>198</v>
      </c>
      <c r="D68" s="9" t="str">
        <f aca="false">INDEX(Articles!$C$2:$C$148,MATCH(C68,Articles!$A$2:$A$148,0))</f>
        <v>Crayons de couleur Maped, boîte de 12</v>
      </c>
      <c r="E68" s="9" t="str">
        <f aca="false">INDEX(Articles!$B$2:$B$148,MATCH(C68,Articles!$A$2:$A$148,0))</f>
        <v>Papex</v>
      </c>
      <c r="F68" s="31" t="n">
        <v>1</v>
      </c>
      <c r="G68" s="13" t="n">
        <f aca="false">IF(INDEX(Articles!$G$2:$G$148,MATCH(C68,Articles!$A$2:$A$148,0))="","",INDEX(Articles!$G$2:$G$148,MATCH(C68,Articles!$A$2:$A$148,0)))</f>
        <v>900</v>
      </c>
      <c r="H68" s="13" t="n">
        <f aca="false">IF(G68="",0,F68*G68)</f>
        <v>900</v>
      </c>
      <c r="I68" s="13" t="n">
        <f aca="false">IF(INDEX(Articles!$E$2:$E$148,MATCH(C68,Articles!$A$2:$A$148,0))="","",INDEX(Articles!$E$2:$E$148,MATCH(C68,Articles!$A$2:$A$148,0)))</f>
        <v>650</v>
      </c>
      <c r="J68" s="13" t="n">
        <f aca="false">IF(I68="","",F68*I68)</f>
        <v>650</v>
      </c>
      <c r="K68" s="9" t="str">
        <f aca="false">INDEX(Articles!$H$2:$H$148,MATCH(C68,Articles!$A$2:$A$148,0))</f>
        <v>Estimé</v>
      </c>
      <c r="L68" s="9" t="str">
        <f aca="false">INDEX(Articles!$F$2:$F$148,MATCH(C68,Articles!$A$2:$A$148,0))</f>
        <v>Estimé</v>
      </c>
      <c r="M68" s="17"/>
      <c r="N68" s="9" t="s">
        <v>167</v>
      </c>
    </row>
    <row r="69" customFormat="false" ht="15" hidden="false" customHeight="false" outlineLevel="0" collapsed="false">
      <c r="A69" s="9" t="s">
        <v>678</v>
      </c>
      <c r="B69" s="9" t="s">
        <v>766</v>
      </c>
      <c r="C69" s="31" t="s">
        <v>200</v>
      </c>
      <c r="D69" s="9" t="str">
        <f aca="false">INDEX(Articles!$C$2:$C$148,MATCH(C69,Articles!$A$2:$A$148,0))</f>
        <v>Surligneurs Maped Fluo Peps, pochette de 4</v>
      </c>
      <c r="E69" s="9" t="str">
        <f aca="false">INDEX(Articles!$B$2:$B$148,MATCH(C69,Articles!$A$2:$A$148,0))</f>
        <v>Papex</v>
      </c>
      <c r="F69" s="31" t="n">
        <v>1</v>
      </c>
      <c r="G69" s="13" t="n">
        <f aca="false">IF(INDEX(Articles!$G$2:$G$148,MATCH(C69,Articles!$A$2:$A$148,0))="","",INDEX(Articles!$G$2:$G$148,MATCH(C69,Articles!$A$2:$A$148,0)))</f>
        <v>2500</v>
      </c>
      <c r="H69" s="13" t="n">
        <f aca="false">IF(G69="",0,F69*G69)</f>
        <v>2500</v>
      </c>
      <c r="I69" s="13" t="n">
        <f aca="false">IF(INDEX(Articles!$E$2:$E$148,MATCH(C69,Articles!$A$2:$A$148,0))="","",INDEX(Articles!$E$2:$E$148,MATCH(C69,Articles!$A$2:$A$148,0)))</f>
        <v>2000</v>
      </c>
      <c r="J69" s="13" t="n">
        <f aca="false">IF(I69="","",F69*I69)</f>
        <v>2000</v>
      </c>
      <c r="K69" s="9" t="str">
        <f aca="false">INDEX(Articles!$H$2:$H$148,MATCH(C69,Articles!$A$2:$A$148,0))</f>
        <v>Estimé</v>
      </c>
      <c r="L69" s="9" t="str">
        <f aca="false">INDEX(Articles!$F$2:$F$148,MATCH(C69,Articles!$A$2:$A$148,0))</f>
        <v>Confirmé</v>
      </c>
      <c r="M69" s="17" t="s">
        <v>767</v>
      </c>
      <c r="N69" s="9" t="s">
        <v>167</v>
      </c>
    </row>
    <row r="70" customFormat="false" ht="15" hidden="false" customHeight="false" outlineLevel="0" collapsed="false">
      <c r="A70" s="9" t="s">
        <v>768</v>
      </c>
      <c r="B70" s="9" t="s">
        <v>769</v>
      </c>
      <c r="C70" s="31" t="s">
        <v>446</v>
      </c>
      <c r="D70" s="9" t="str">
        <f aca="false">INDEX(Articles!$C$2:$C$148,MATCH(C70,Articles!$A$2:$A$148,0))</f>
        <v>Chemise 3 rabats à élastique</v>
      </c>
      <c r="E70" s="9" t="str">
        <f aca="false">INDEX(Articles!$B$2:$B$148,MATCH(C70,Articles!$A$2:$A$148,0))</f>
        <v>Papex</v>
      </c>
      <c r="F70" s="31" t="n">
        <v>1</v>
      </c>
      <c r="G70" s="13" t="n">
        <f aca="false">IF(INDEX(Articles!$G$2:$G$148,MATCH(C70,Articles!$A$2:$A$148,0))="","",INDEX(Articles!$G$2:$G$148,MATCH(C70,Articles!$A$2:$A$148,0)))</f>
        <v>500</v>
      </c>
      <c r="H70" s="13" t="n">
        <f aca="false">IF(G70="",0,F70*G70)</f>
        <v>500</v>
      </c>
      <c r="I70" s="13" t="str">
        <f aca="false">IF(INDEX(Articles!$E$2:$E$148,MATCH(C70,Articles!$A$2:$A$148,0))="","",INDEX(Articles!$E$2:$E$148,MATCH(C70,Articles!$A$2:$A$148,0)))</f>
        <v/>
      </c>
      <c r="J70" s="13" t="str">
        <f aca="false">IF(I70="","",F70*I70)</f>
        <v/>
      </c>
      <c r="K70" s="9" t="str">
        <f aca="false">INDEX(Articles!$H$2:$H$148,MATCH(C70,Articles!$A$2:$A$148,0))</f>
        <v>Estimé</v>
      </c>
      <c r="L70" s="9" t="str">
        <f aca="false">INDEX(Articles!$F$2:$F$148,MATCH(C70,Articles!$A$2:$A$148,0))</f>
        <v>Inconnu</v>
      </c>
      <c r="M70" s="17" t="s">
        <v>770</v>
      </c>
      <c r="N70" s="9" t="s">
        <v>167</v>
      </c>
    </row>
    <row r="71" customFormat="false" ht="26.85" hidden="false" customHeight="false" outlineLevel="0" collapsed="false">
      <c r="A71" s="9" t="s">
        <v>676</v>
      </c>
      <c r="B71" s="9" t="s">
        <v>812</v>
      </c>
      <c r="C71" s="31" t="s">
        <v>242</v>
      </c>
      <c r="D71" s="9" t="str">
        <f aca="false">INDEX(Articles!$C$2:$C$148,MATCH(C71,Articles!$A$2:$A$148,0))</f>
        <v>Calculatrice scientifique Parpn YH-2000</v>
      </c>
      <c r="E71" s="9" t="str">
        <f aca="false">INDEX(Articles!$B$2:$B$148,MATCH(C71,Articles!$A$2:$A$148,0))</f>
        <v>LPD</v>
      </c>
      <c r="F71" s="31" t="n">
        <v>1</v>
      </c>
      <c r="G71" s="13" t="n">
        <f aca="false">IF(INDEX(Articles!$G$2:$G$148,MATCH(C71,Articles!$A$2:$A$148,0))="","",INDEX(Articles!$G$2:$G$148,MATCH(C71,Articles!$A$2:$A$148,0)))</f>
        <v>1400</v>
      </c>
      <c r="H71" s="13" t="n">
        <f aca="false">IF(G71="",0,F71*G71)</f>
        <v>1400</v>
      </c>
      <c r="I71" s="13" t="n">
        <f aca="false">IF(INDEX(Articles!$E$2:$E$148,MATCH(C71,Articles!$A$2:$A$148,0))="","",INDEX(Articles!$E$2:$E$148,MATCH(C71,Articles!$A$2:$A$148,0)))</f>
        <v>1100</v>
      </c>
      <c r="J71" s="13" t="n">
        <f aca="false">IF(I71="","",F71*I71)</f>
        <v>1100</v>
      </c>
      <c r="K71" s="9" t="str">
        <f aca="false">INDEX(Articles!$H$2:$H$148,MATCH(C71,Articles!$A$2:$A$148,0))</f>
        <v>Fixé</v>
      </c>
      <c r="L71" s="9" t="str">
        <f aca="false">INDEX(Articles!$F$2:$F$148,MATCH(C71,Articles!$A$2:$A$148,0))</f>
        <v>Confirmé</v>
      </c>
      <c r="M71" s="17" t="s">
        <v>816</v>
      </c>
      <c r="N71" s="9" t="s">
        <v>167</v>
      </c>
    </row>
    <row r="72" customFormat="false" ht="15" hidden="false" customHeight="false" outlineLevel="0" collapsed="false">
      <c r="A72" s="9" t="s">
        <v>768</v>
      </c>
      <c r="B72" s="9" t="s">
        <v>861</v>
      </c>
      <c r="C72" s="31" t="s">
        <v>246</v>
      </c>
      <c r="D72" s="9" t="str">
        <f aca="false">INDEX(Articles!$C$2:$C$148,MATCH(C72,Articles!$A$2:$A$148,0))</f>
        <v>Protège-documents porte-vues</v>
      </c>
      <c r="E72" s="9" t="str">
        <f aca="false">INDEX(Articles!$B$2:$B$148,MATCH(C72,Articles!$A$2:$A$148,0))</f>
        <v>LPD</v>
      </c>
      <c r="F72" s="31" t="n">
        <v>1</v>
      </c>
      <c r="G72" s="13" t="n">
        <f aca="false">IF(INDEX(Articles!$G$2:$G$148,MATCH(C72,Articles!$A$2:$A$148,0))="","",INDEX(Articles!$G$2:$G$148,MATCH(C72,Articles!$A$2:$A$148,0)))</f>
        <v>1150</v>
      </c>
      <c r="H72" s="13" t="n">
        <f aca="false">IF(G72="",0,F72*G72)</f>
        <v>1150</v>
      </c>
      <c r="I72" s="13" t="n">
        <f aca="false">IF(INDEX(Articles!$E$2:$E$148,MATCH(C72,Articles!$A$2:$A$148,0))="","",INDEX(Articles!$E$2:$E$148,MATCH(C72,Articles!$A$2:$A$148,0)))</f>
        <v>850</v>
      </c>
      <c r="J72" s="13" t="n">
        <f aca="false">IF(I72="","",F72*I72)</f>
        <v>850</v>
      </c>
      <c r="K72" s="9" t="str">
        <f aca="false">INDEX(Articles!$H$2:$H$148,MATCH(C72,Articles!$A$2:$A$148,0))</f>
        <v>Fixé</v>
      </c>
      <c r="L72" s="9" t="str">
        <f aca="false">INDEX(Articles!$F$2:$F$148,MATCH(C72,Articles!$A$2:$A$148,0))</f>
        <v>Estimé</v>
      </c>
      <c r="M72" s="17"/>
      <c r="N72" s="9" t="s">
        <v>167</v>
      </c>
    </row>
    <row r="73" customFormat="false" ht="15" hidden="false" customHeight="false" outlineLevel="0" collapsed="false">
      <c r="A73" s="9" t="s">
        <v>758</v>
      </c>
      <c r="B73" s="9" t="s">
        <v>759</v>
      </c>
      <c r="C73" s="31" t="s">
        <v>376</v>
      </c>
      <c r="D73" s="9" t="str">
        <f aca="false">INDEX(Articles!$C$2:$C$148,MATCH(C73,Articles!$A$2:$A$148,0))</f>
        <v>Paquet de copies doubles grand format</v>
      </c>
      <c r="E73" s="9" t="str">
        <f aca="false">INDEX(Articles!$B$2:$B$148,MATCH(C73,Articles!$A$2:$A$148,0))</f>
        <v>À préciser</v>
      </c>
      <c r="F73" s="31" t="n">
        <v>1</v>
      </c>
      <c r="G73" s="45" t="n">
        <f aca="false">IF(INDEX(Articles!$G$2:$G$148,MATCH(C73,Articles!$A$2:$A$148,0))="","",INDEX(Articles!$G$2:$G$148,MATCH(C73,Articles!$A$2:$A$148,0)))</f>
        <v>1800</v>
      </c>
      <c r="H73" s="13" t="n">
        <f aca="false">IF(G73="",0,F73*G73)</f>
        <v>1800</v>
      </c>
      <c r="I73" s="13" t="n">
        <f aca="false">IF(INDEX(Articles!$E$2:$E$148,MATCH(C73,Articles!$A$2:$A$148,0))="","",INDEX(Articles!$E$2:$E$148,MATCH(C73,Articles!$A$2:$A$148,0)))</f>
        <v>1300</v>
      </c>
      <c r="J73" s="13" t="n">
        <f aca="false">IF(I73="","",F73*I73)</f>
        <v>1300</v>
      </c>
      <c r="K73" s="9" t="str">
        <f aca="false">INDEX(Articles!$H$2:$H$148,MATCH(C73,Articles!$A$2:$A$148,0))</f>
        <v>Fixé</v>
      </c>
      <c r="L73" s="9" t="str">
        <f aca="false">INDEX(Articles!$F$2:$F$148,MATCH(C73,Articles!$A$2:$A$148,0))</f>
        <v>Confirmé</v>
      </c>
      <c r="M73" s="17"/>
      <c r="N73" s="9" t="s">
        <v>167</v>
      </c>
    </row>
    <row r="74" customFormat="false" ht="15" hidden="false" customHeight="false" outlineLevel="0" collapsed="false">
      <c r="A74" s="9" t="s">
        <v>771</v>
      </c>
      <c r="B74" s="9" t="s">
        <v>772</v>
      </c>
      <c r="C74" s="31" t="s">
        <v>160</v>
      </c>
      <c r="D74" s="9" t="str">
        <f aca="false">INDEX(Articles!$C$2:$C$148,MATCH(C74,Articles!$A$2:$A$148,0))</f>
        <v>Protège-cahier couleur petit format (à l'unité)</v>
      </c>
      <c r="E74" s="9" t="str">
        <f aca="false">INDEX(Articles!$B$2:$B$148,MATCH(C74,Articles!$A$2:$A$148,0))</f>
        <v>LPD</v>
      </c>
      <c r="F74" s="31" t="n">
        <v>3</v>
      </c>
      <c r="G74" s="13" t="n">
        <f aca="false">IF(INDEX(Articles!$G$2:$G$148,MATCH(C74,Articles!$A$2:$A$148,0))="","",INDEX(Articles!$G$2:$G$148,MATCH(C74,Articles!$A$2:$A$148,0)))</f>
        <v>150</v>
      </c>
      <c r="H74" s="13" t="n">
        <f aca="false">IF(G74="",0,F74*G74)</f>
        <v>450</v>
      </c>
      <c r="I74" s="13" t="str">
        <f aca="false">IF(INDEX(Articles!$E$2:$E$148,MATCH(C74,Articles!$A$2:$A$148,0))="","",INDEX(Articles!$E$2:$E$148,MATCH(C74,Articles!$A$2:$A$148,0)))</f>
        <v/>
      </c>
      <c r="J74" s="13" t="str">
        <f aca="false">IF(I74="","",F74*I74)</f>
        <v/>
      </c>
      <c r="K74" s="9" t="str">
        <f aca="false">INDEX(Articles!$H$2:$H$148,MATCH(C74,Articles!$A$2:$A$148,0))</f>
        <v>Fixé</v>
      </c>
      <c r="L74" s="9" t="str">
        <f aca="false">INDEX(Articles!$F$2:$F$148,MATCH(C74,Articles!$A$2:$A$148,0))</f>
        <v>Inconnu</v>
      </c>
      <c r="M74" s="17"/>
      <c r="N74" s="9" t="s">
        <v>167</v>
      </c>
    </row>
    <row r="75" customFormat="false" ht="15" hidden="false" customHeight="false" outlineLevel="0" collapsed="false">
      <c r="A75" s="9" t="s">
        <v>771</v>
      </c>
      <c r="B75" s="9" t="s">
        <v>773</v>
      </c>
      <c r="C75" s="31" t="s">
        <v>419</v>
      </c>
      <c r="D75" s="9" t="str">
        <f aca="false">INDEX(Articles!$C$2:$C$148,MATCH(C75,Articles!$A$2:$A$148,0))</f>
        <v>Protège-cahier grand format (à l'unité)</v>
      </c>
      <c r="E75" s="9" t="str">
        <f aca="false">INDEX(Articles!$B$2:$B$148,MATCH(C75,Articles!$A$2:$A$148,0))</f>
        <v>À préciser</v>
      </c>
      <c r="F75" s="31" t="n">
        <v>10</v>
      </c>
      <c r="G75" s="13" t="str">
        <f aca="false">IF(INDEX(Articles!$G$2:$G$148,MATCH(C75,Articles!$A$2:$A$148,0))="","",INDEX(Articles!$G$2:$G$148,MATCH(C75,Articles!$A$2:$A$148,0)))</f>
        <v/>
      </c>
      <c r="H75" s="13" t="n">
        <f aca="false">IF(G75="",0,F75*G75)</f>
        <v>0</v>
      </c>
      <c r="I75" s="13" t="str">
        <f aca="false">IF(INDEX(Articles!$E$2:$E$148,MATCH(C75,Articles!$A$2:$A$148,0))="","",INDEX(Articles!$E$2:$E$148,MATCH(C75,Articles!$A$2:$A$148,0)))</f>
        <v/>
      </c>
      <c r="J75" s="13" t="str">
        <f aca="false">IF(I75="","",F75*I75)</f>
        <v/>
      </c>
      <c r="K75" s="9" t="str">
        <f aca="false">INDEX(Articles!$H$2:$H$148,MATCH(C75,Articles!$A$2:$A$148,0))</f>
        <v>À fournir</v>
      </c>
      <c r="L75" s="9" t="str">
        <f aca="false">INDEX(Articles!$F$2:$F$148,MATCH(C75,Articles!$A$2:$A$148,0))</f>
        <v>Inconnu</v>
      </c>
      <c r="M75" s="17"/>
      <c r="N75" s="9" t="s">
        <v>167</v>
      </c>
    </row>
    <row r="76" customFormat="false" ht="15" hidden="false" customHeight="false" outlineLevel="0" collapsed="false">
      <c r="A76" s="9" t="s">
        <v>760</v>
      </c>
      <c r="B76" s="9" t="s">
        <v>883</v>
      </c>
      <c r="C76" s="31" t="s">
        <v>514</v>
      </c>
      <c r="D76" s="9" t="str">
        <f aca="false">INDEX(Articles!$C$2:$C$148,MATCH(C76,Articles!$A$2:$A$148,0))</f>
        <v>L'Étranger (Albert Camus)</v>
      </c>
      <c r="E76" s="9" t="str">
        <f aca="false">INDEX(Articles!$B$2:$B$148,MATCH(C76,Articles!$A$2:$A$148,0))</f>
        <v>LPD</v>
      </c>
      <c r="F76" s="31" t="n">
        <v>1</v>
      </c>
      <c r="G76" s="13" t="n">
        <f aca="false">IF(INDEX(Articles!$G$2:$G$148,MATCH(C76,Articles!$A$2:$A$148,0))="","",INDEX(Articles!$G$2:$G$148,MATCH(C76,Articles!$A$2:$A$148,0)))</f>
        <v>2800</v>
      </c>
      <c r="H76" s="13" t="n">
        <f aca="false">IF(G76="",0,F76*G76)</f>
        <v>2800</v>
      </c>
      <c r="I76" s="13" t="n">
        <f aca="false">IF(INDEX(Articles!$E$2:$E$148,MATCH(C76,Articles!$A$2:$A$148,0))="","",INDEX(Articles!$E$2:$E$148,MATCH(C76,Articles!$A$2:$A$148,0)))</f>
        <v>1800</v>
      </c>
      <c r="J76" s="13" t="n">
        <f aca="false">IF(I76="","",F76*I76)</f>
        <v>1800</v>
      </c>
      <c r="K76" s="9" t="str">
        <f aca="false">INDEX(Articles!$H$2:$H$148,MATCH(C76,Articles!$A$2:$A$148,0))</f>
        <v>Fixé</v>
      </c>
      <c r="L76" s="9" t="str">
        <f aca="false">INDEX(Articles!$F$2:$F$148,MATCH(C76,Articles!$A$2:$A$148,0))</f>
        <v>Estimé</v>
      </c>
      <c r="M76" s="17"/>
      <c r="N76" s="9" t="s">
        <v>167</v>
      </c>
    </row>
    <row r="77" customFormat="false" ht="15" hidden="false" customHeight="false" outlineLevel="0" collapsed="false">
      <c r="A77" s="9" t="s">
        <v>760</v>
      </c>
      <c r="B77" s="9" t="s">
        <v>883</v>
      </c>
      <c r="C77" s="31" t="s">
        <v>516</v>
      </c>
      <c r="D77" s="9" t="str">
        <f aca="false">INDEX(Articles!$C$2:$C$148,MATCH(C77,Articles!$A$2:$A$148,0))</f>
        <v>Les Contemplations (Victor Hugo)</v>
      </c>
      <c r="E77" s="9" t="str">
        <f aca="false">INDEX(Articles!$B$2:$B$148,MATCH(C77,Articles!$A$2:$A$148,0))</f>
        <v>LPD</v>
      </c>
      <c r="F77" s="31" t="n">
        <v>1</v>
      </c>
      <c r="G77" s="13" t="n">
        <f aca="false">IF(INDEX(Articles!$G$2:$G$148,MATCH(C77,Articles!$A$2:$A$148,0))="","",INDEX(Articles!$G$2:$G$148,MATCH(C77,Articles!$A$2:$A$148,0)))</f>
        <v>2800</v>
      </c>
      <c r="H77" s="13" t="n">
        <f aca="false">IF(G77="",0,F77*G77)</f>
        <v>2800</v>
      </c>
      <c r="I77" s="13" t="n">
        <f aca="false">IF(INDEX(Articles!$E$2:$E$148,MATCH(C77,Articles!$A$2:$A$148,0))="","",INDEX(Articles!$E$2:$E$148,MATCH(C77,Articles!$A$2:$A$148,0)))</f>
        <v>1800</v>
      </c>
      <c r="J77" s="13" t="n">
        <f aca="false">IF(I77="","",F77*I77)</f>
        <v>1800</v>
      </c>
      <c r="K77" s="9" t="str">
        <f aca="false">INDEX(Articles!$H$2:$H$148,MATCH(C77,Articles!$A$2:$A$148,0))</f>
        <v>Fixé</v>
      </c>
      <c r="L77" s="9" t="str">
        <f aca="false">INDEX(Articles!$F$2:$F$148,MATCH(C77,Articles!$A$2:$A$148,0))</f>
        <v>Confirmé</v>
      </c>
      <c r="M77" s="17"/>
      <c r="N77" s="9" t="s">
        <v>167</v>
      </c>
    </row>
    <row r="78" customFormat="false" ht="15" hidden="false" customHeight="false" outlineLevel="0" collapsed="false">
      <c r="D78" s="32" t="s">
        <v>683</v>
      </c>
      <c r="E78" s="32"/>
      <c r="F78" s="32"/>
      <c r="G78" s="32"/>
      <c r="H78" s="33" t="n">
        <f aca="false">COUNTIF(G48:G77,"")</f>
        <v>1</v>
      </c>
    </row>
    <row r="79" customFormat="false" ht="15" hidden="false" customHeight="false" outlineLevel="0" collapsed="false">
      <c r="D79" s="32" t="s">
        <v>684</v>
      </c>
      <c r="E79" s="32"/>
      <c r="F79" s="32"/>
      <c r="G79" s="32"/>
      <c r="H79" s="33" t="n">
        <f aca="false">SUM(H48:H77)</f>
        <v>39425</v>
      </c>
    </row>
    <row r="80" customFormat="false" ht="15" hidden="false" customHeight="false" outlineLevel="0" collapsed="false">
      <c r="D80" s="32" t="s">
        <v>28</v>
      </c>
      <c r="E80" s="32"/>
      <c r="F80" s="32"/>
      <c r="G80" s="32"/>
      <c r="H80" s="33" t="n">
        <f aca="false">SUM(J48:J77)</f>
        <v>30610</v>
      </c>
    </row>
    <row r="81" customFormat="false" ht="15" hidden="false" customHeight="false" outlineLevel="0" collapsed="false">
      <c r="D81" s="32" t="s">
        <v>685</v>
      </c>
      <c r="E81" s="32"/>
      <c r="F81" s="32"/>
      <c r="G81" s="32"/>
      <c r="H81" s="33" t="n">
        <f aca="false">COUNTIF(I48:I77,"")</f>
        <v>5</v>
      </c>
    </row>
    <row r="82" customFormat="false" ht="15" hidden="false" customHeight="false" outlineLevel="0" collapsed="false">
      <c r="D82" s="32" t="s">
        <v>686</v>
      </c>
      <c r="E82" s="32"/>
      <c r="F82" s="32"/>
      <c r="G82" s="32"/>
      <c r="H82" s="33" t="n">
        <f aca="false">SUMPRODUCT((I48:I77&lt;&gt;"")*H48:H77)-H80</f>
        <v>7390</v>
      </c>
    </row>
    <row r="83" customFormat="false" ht="15" hidden="false" customHeight="false" outlineLevel="0" collapsed="false">
      <c r="D83" s="32" t="s">
        <v>687</v>
      </c>
      <c r="E83" s="32"/>
      <c r="F83" s="32"/>
      <c r="G83" s="32"/>
      <c r="H83" s="33" t="n">
        <f aca="false">SUMIF(A48:A77,"Cahiers",F48:F77)</f>
        <v>13</v>
      </c>
    </row>
    <row r="84" customFormat="false" ht="15" hidden="false" customHeight="false" outlineLevel="0" collapsed="false">
      <c r="D84" s="32" t="s">
        <v>688</v>
      </c>
      <c r="E84" s="32"/>
      <c r="F84" s="32"/>
      <c r="G84" s="32"/>
      <c r="H84" s="34" t="n">
        <f aca="false">IF(H79=0,0,SUMIF(K48:K77,"&lt;&gt;Fixé",H48:H77)/H79)</f>
        <v>0.20291693088142</v>
      </c>
    </row>
    <row r="85" customFormat="false" ht="15" hidden="false" customHeight="false" outlineLevel="0" collapsed="false">
      <c r="D85" s="32" t="s">
        <v>689</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696</v>
      </c>
      <c r="E86" s="21" t="str">
        <f aca="false">INDEX(Articles!$C$2:$C$148,MATCH("S020",Articles!$A$2:$A$148,0))</f>
        <v>Sac à dos bleu marine</v>
      </c>
      <c r="H86" s="41" t="n">
        <f aca="false">INDEX(Articles!$G$2:$G$148,MATCH("S020",Articles!$A$2:$A$148,0))</f>
        <v>7000</v>
      </c>
    </row>
    <row r="87" customFormat="false" ht="15" hidden="false" customHeight="false" outlineLevel="0" collapsed="false">
      <c r="D87" s="42" t="s">
        <v>697</v>
      </c>
      <c r="E87" s="43" t="s">
        <v>912</v>
      </c>
    </row>
    <row r="88" customFormat="false" ht="15" hidden="false" customHeight="false" outlineLevel="0" collapsed="false">
      <c r="E88" s="43" t="s">
        <v>913</v>
      </c>
    </row>
    <row r="89" customFormat="false" ht="15" hidden="false" customHeight="false" outlineLevel="0" collapsed="false">
      <c r="E89" s="43" t="s">
        <v>914</v>
      </c>
    </row>
    <row r="90" customFormat="false" ht="15" hidden="false" customHeight="false" outlineLevel="0" collapsed="false">
      <c r="E90" s="43" t="s">
        <v>887</v>
      </c>
    </row>
    <row r="91" customFormat="false" ht="15" hidden="false" customHeight="false" outlineLevel="0" collapsed="false">
      <c r="E91" s="43" t="s">
        <v>926</v>
      </c>
    </row>
    <row r="94" customFormat="false" ht="15" hidden="false" customHeight="false" outlineLevel="0" collapsed="false">
      <c r="A94" s="28" t="s">
        <v>933</v>
      </c>
      <c r="B94" s="29"/>
      <c r="C94" s="29"/>
      <c r="D94" s="29"/>
      <c r="E94" s="29"/>
      <c r="F94" s="29"/>
      <c r="G94" s="29"/>
      <c r="H94" s="29"/>
      <c r="I94" s="29"/>
      <c r="J94" s="29"/>
      <c r="K94" s="29"/>
      <c r="L94" s="29"/>
      <c r="M94" s="29"/>
      <c r="N94" s="29"/>
    </row>
    <row r="95" customFormat="false" ht="39.55" hidden="false" customHeight="false" outlineLevel="0" collapsed="false">
      <c r="A95" s="30" t="s">
        <v>663</v>
      </c>
      <c r="B95" s="30" t="s">
        <v>664</v>
      </c>
      <c r="C95" s="30" t="s">
        <v>348</v>
      </c>
      <c r="D95" s="30" t="s">
        <v>350</v>
      </c>
      <c r="E95" s="30" t="s">
        <v>349</v>
      </c>
      <c r="F95" s="30" t="s">
        <v>665</v>
      </c>
      <c r="G95" s="30" t="s">
        <v>666</v>
      </c>
      <c r="H95" s="30" t="s">
        <v>667</v>
      </c>
      <c r="I95" s="30" t="s">
        <v>668</v>
      </c>
      <c r="J95" s="30" t="s">
        <v>669</v>
      </c>
      <c r="K95" s="30" t="s">
        <v>355</v>
      </c>
      <c r="L95" s="30" t="s">
        <v>353</v>
      </c>
      <c r="M95" s="30" t="s">
        <v>356</v>
      </c>
      <c r="N95" s="30" t="s">
        <v>670</v>
      </c>
    </row>
    <row r="96" customFormat="false" ht="15" hidden="false" customHeight="false" outlineLevel="0" collapsed="false">
      <c r="A96" s="9" t="s">
        <v>671</v>
      </c>
      <c r="B96" s="9" t="s">
        <v>850</v>
      </c>
      <c r="C96" s="31" t="s">
        <v>208</v>
      </c>
      <c r="D96" s="9" t="str">
        <f aca="false">INDEX(Articles!$C$2:$C$148,MATCH(C96,Articles!$A$2:$A$148,0))</f>
        <v>Cahier Calligraphe 96 pages 24x32 (grand format)</v>
      </c>
      <c r="E96" s="9" t="str">
        <f aca="false">INDEX(Articles!$B$2:$B$148,MATCH(C96,Articles!$A$2:$A$148,0))</f>
        <v>Papex</v>
      </c>
      <c r="F96" s="31" t="n">
        <v>1</v>
      </c>
      <c r="G96" s="13" t="n">
        <f aca="false">IF(INDEX(Articles!$G$2:$G$148,MATCH(C96,Articles!$A$2:$A$148,0))="","",INDEX(Articles!$G$2:$G$148,MATCH(C96,Articles!$A$2:$A$148,0)))</f>
        <v>1350</v>
      </c>
      <c r="H96" s="13" t="n">
        <f aca="false">IF(G96="",0,F96*G96)</f>
        <v>1350</v>
      </c>
      <c r="I96" s="13" t="n">
        <f aca="false">IF(INDEX(Articles!$E$2:$E$148,MATCH(C96,Articles!$A$2:$A$148,0))="","",INDEX(Articles!$E$2:$E$148,MATCH(C96,Articles!$A$2:$A$148,0)))</f>
        <v>1000</v>
      </c>
      <c r="J96" s="13" t="n">
        <f aca="false">IF(I96="","",F96*I96)</f>
        <v>1000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744</v>
      </c>
      <c r="C97" s="31" t="s">
        <v>213</v>
      </c>
      <c r="D97" s="9" t="str">
        <f aca="false">INDEX(Articles!$C$2:$C$148,MATCH(C97,Articles!$A$2:$A$148,0))</f>
        <v>Cahier Calligraphe 192 pages 24x32 (grand format)</v>
      </c>
      <c r="E97" s="9" t="str">
        <f aca="false">INDEX(Articles!$B$2:$B$148,MATCH(C97,Articles!$A$2:$A$148,0))</f>
        <v>Papex</v>
      </c>
      <c r="F97" s="31" t="n">
        <v>1</v>
      </c>
      <c r="G97" s="13" t="n">
        <f aca="false">IF(INDEX(Articles!$G$2:$G$148,MATCH(C97,Articles!$A$2:$A$148,0))="","",INDEX(Articles!$G$2:$G$148,MATCH(C97,Articles!$A$2:$A$148,0)))</f>
        <v>1650</v>
      </c>
      <c r="H97" s="13" t="n">
        <f aca="false">IF(G97="",0,F97*G97)</f>
        <v>1650</v>
      </c>
      <c r="I97" s="13" t="n">
        <f aca="false">IF(INDEX(Articles!$E$2:$E$148,MATCH(C97,Articles!$A$2:$A$148,0))="","",INDEX(Articles!$E$2:$E$148,MATCH(C97,Articles!$A$2:$A$148,0)))</f>
        <v>1500</v>
      </c>
      <c r="J97" s="13" t="n">
        <f aca="false">IF(I97="","",F97*I97)</f>
        <v>1500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671</v>
      </c>
      <c r="B98" s="9" t="s">
        <v>854</v>
      </c>
      <c r="C98" s="31" t="s">
        <v>366</v>
      </c>
      <c r="D98" s="9" t="str">
        <f aca="false">INDEX(Articles!$C$2:$C$148,MATCH(C98,Articles!$A$2:$A$148,0))</f>
        <v>Cahier Calligraphe 140 pages 17x22 90 g seyès</v>
      </c>
      <c r="E98" s="9" t="str">
        <f aca="false">INDEX(Articles!$B$2:$B$148,MATCH(C98,Articles!$A$2:$A$148,0))</f>
        <v>Papex</v>
      </c>
      <c r="F98" s="31" t="n">
        <v>1</v>
      </c>
      <c r="G98" s="13" t="n">
        <f aca="false">IF(INDEX(Articles!$G$2:$G$148,MATCH(C98,Articles!$A$2:$A$148,0))="","",INDEX(Articles!$G$2:$G$148,MATCH(C98,Articles!$A$2:$A$148,0)))</f>
        <v>750</v>
      </c>
      <c r="H98" s="13" t="n">
        <f aca="false">IF(G98="",0,F98*G98)</f>
        <v>750</v>
      </c>
      <c r="I98" s="13" t="n">
        <f aca="false">IF(INDEX(Articles!$E$2:$E$148,MATCH(C98,Articles!$A$2:$A$148,0))="","",INDEX(Articles!$E$2:$E$148,MATCH(C98,Articles!$A$2:$A$148,0)))</f>
        <v>650</v>
      </c>
      <c r="J98" s="13" t="n">
        <f aca="false">IF(I98="","",F98*I98)</f>
        <v>650</v>
      </c>
      <c r="K98" s="9" t="str">
        <f aca="false">INDEX(Articles!$H$2:$H$148,MATCH(C98,Articles!$A$2:$A$148,0))</f>
        <v>Fixé</v>
      </c>
      <c r="L98" s="9" t="str">
        <f aca="false">INDEX(Articles!$F$2:$F$148,MATCH(C98,Articles!$A$2:$A$148,0))</f>
        <v>Estimé</v>
      </c>
      <c r="M98" s="17" t="s">
        <v>763</v>
      </c>
      <c r="N98" s="9" t="s">
        <v>167</v>
      </c>
    </row>
    <row r="99" customFormat="false" ht="15" hidden="false" customHeight="false" outlineLevel="0" collapsed="false">
      <c r="A99" s="9" t="s">
        <v>671</v>
      </c>
      <c r="B99" s="9" t="s">
        <v>737</v>
      </c>
      <c r="C99" s="31" t="s">
        <v>213</v>
      </c>
      <c r="D99" s="9" t="str">
        <f aca="false">INDEX(Articles!$C$2:$C$148,MATCH(C99,Articles!$A$2:$A$148,0))</f>
        <v>Cahier Calligraphe 192 pages 24x32 (grand format)</v>
      </c>
      <c r="E99" s="9" t="str">
        <f aca="false">INDEX(Articles!$B$2:$B$148,MATCH(C99,Articles!$A$2:$A$148,0))</f>
        <v>Papex</v>
      </c>
      <c r="F99" s="31" t="n">
        <v>1</v>
      </c>
      <c r="G99" s="13" t="n">
        <f aca="false">IF(INDEX(Articles!$G$2:$G$148,MATCH(C99,Articles!$A$2:$A$148,0))="","",INDEX(Articles!$G$2:$G$148,MATCH(C99,Articles!$A$2:$A$148,0)))</f>
        <v>1650</v>
      </c>
      <c r="H99" s="13" t="n">
        <f aca="false">IF(G99="",0,F99*G99)</f>
        <v>1650</v>
      </c>
      <c r="I99" s="13" t="n">
        <f aca="false">IF(INDEX(Articles!$E$2:$E$148,MATCH(C99,Articles!$A$2:$A$148,0))="","",INDEX(Articles!$E$2:$E$148,MATCH(C99,Articles!$A$2:$A$148,0)))</f>
        <v>1500</v>
      </c>
      <c r="J99" s="13" t="n">
        <f aca="false">IF(I99="","",F99*I99)</f>
        <v>1500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739</v>
      </c>
      <c r="C100" s="31" t="s">
        <v>192</v>
      </c>
      <c r="D100" s="9" t="str">
        <f aca="false">INDEX(Articles!$C$2:$C$148,MATCH(C100,Articles!$A$2:$A$148,0))</f>
        <v>Cahier Calligraphe 192 pages 17x22 90 g seyès</v>
      </c>
      <c r="E100" s="9" t="str">
        <f aca="false">INDEX(Articles!$B$2:$B$148,MATCH(C100,Articles!$A$2:$A$148,0))</f>
        <v>Papex</v>
      </c>
      <c r="F100" s="31" t="n">
        <v>1</v>
      </c>
      <c r="G100" s="13" t="n">
        <f aca="false">IF(INDEX(Articles!$G$2:$G$148,MATCH(C100,Articles!$A$2:$A$148,0))="","",INDEX(Articles!$G$2:$G$148,MATCH(C100,Articles!$A$2:$A$148,0)))</f>
        <v>900</v>
      </c>
      <c r="H100" s="13" t="n">
        <f aca="false">IF(G100="",0,F100*G100)</f>
        <v>900</v>
      </c>
      <c r="I100" s="13" t="n">
        <f aca="false">IF(INDEX(Articles!$E$2:$E$148,MATCH(C100,Articles!$A$2:$A$148,0))="","",INDEX(Articles!$E$2:$E$148,MATCH(C100,Articles!$A$2:$A$148,0)))</f>
        <v>800</v>
      </c>
      <c r="J100" s="13" t="n">
        <f aca="false">IF(I100="","",F100*I100)</f>
        <v>800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742</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852</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671</v>
      </c>
      <c r="B103" s="9" t="s">
        <v>853</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909</v>
      </c>
      <c r="C104" s="31" t="s">
        <v>213</v>
      </c>
      <c r="D104" s="9" t="str">
        <f aca="false">INDEX(Articles!$C$2:$C$148,MATCH(C104,Articles!$A$2:$A$148,0))</f>
        <v>Cahier Calligraphe 192 pages 24x32 (grand format)</v>
      </c>
      <c r="E104" s="9" t="str">
        <f aca="false">INDEX(Articles!$B$2:$B$148,MATCH(C104,Articles!$A$2:$A$148,0))</f>
        <v>Papex</v>
      </c>
      <c r="F104" s="31" t="n">
        <v>1</v>
      </c>
      <c r="G104" s="13" t="n">
        <f aca="false">IF(INDEX(Articles!$G$2:$G$148,MATCH(C104,Articles!$A$2:$A$148,0))="","",INDEX(Articles!$G$2:$G$148,MATCH(C104,Articles!$A$2:$A$148,0)))</f>
        <v>1650</v>
      </c>
      <c r="H104" s="13" t="n">
        <f aca="false">IF(G104="",0,F104*G104)</f>
        <v>1650</v>
      </c>
      <c r="I104" s="13" t="n">
        <f aca="false">IF(INDEX(Articles!$E$2:$E$148,MATCH(C104,Articles!$A$2:$A$148,0))="","",INDEX(Articles!$E$2:$E$148,MATCH(C104,Articles!$A$2:$A$148,0)))</f>
        <v>1500</v>
      </c>
      <c r="J104" s="13" t="n">
        <f aca="false">IF(I104="","",F104*I104)</f>
        <v>1500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745</v>
      </c>
      <c r="C105" s="31" t="s">
        <v>213</v>
      </c>
      <c r="D105" s="9" t="str">
        <f aca="false">INDEX(Articles!$C$2:$C$148,MATCH(C105,Articles!$A$2:$A$148,0))</f>
        <v>Cahier Calligraphe 192 pages 24x32 (grand format)</v>
      </c>
      <c r="E105" s="9" t="str">
        <f aca="false">INDEX(Articles!$B$2:$B$148,MATCH(C105,Articles!$A$2:$A$148,0))</f>
        <v>Papex</v>
      </c>
      <c r="F105" s="31" t="n">
        <v>2</v>
      </c>
      <c r="G105" s="13" t="n">
        <f aca="false">IF(INDEX(Articles!$G$2:$G$148,MATCH(C105,Articles!$A$2:$A$148,0))="","",INDEX(Articles!$G$2:$G$148,MATCH(C105,Articles!$A$2:$A$148,0)))</f>
        <v>1650</v>
      </c>
      <c r="H105" s="13" t="n">
        <f aca="false">IF(G105="",0,F105*G105)</f>
        <v>3300</v>
      </c>
      <c r="I105" s="13" t="n">
        <f aca="false">IF(INDEX(Articles!$E$2:$E$148,MATCH(C105,Articles!$A$2:$A$148,0))="","",INDEX(Articles!$E$2:$E$148,MATCH(C105,Articles!$A$2:$A$148,0)))</f>
        <v>1500</v>
      </c>
      <c r="J105" s="13" t="n">
        <f aca="false">IF(I105="","",F105*I105)</f>
        <v>3000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831</v>
      </c>
      <c r="C106" s="31" t="s">
        <v>213</v>
      </c>
      <c r="D106" s="9" t="str">
        <f aca="false">INDEX(Articles!$C$2:$C$148,MATCH(C106,Articles!$A$2:$A$148,0))</f>
        <v>Cahier Calligraphe 192 pages 24x32 (grand format)</v>
      </c>
      <c r="E106" s="9" t="str">
        <f aca="false">INDEX(Articles!$B$2:$B$148,MATCH(C106,Articles!$A$2:$A$148,0))</f>
        <v>Papex</v>
      </c>
      <c r="F106" s="31" t="n">
        <v>1</v>
      </c>
      <c r="G106" s="13" t="n">
        <f aca="false">IF(INDEX(Articles!$G$2:$G$148,MATCH(C106,Articles!$A$2:$A$148,0))="","",INDEX(Articles!$G$2:$G$148,MATCH(C106,Articles!$A$2:$A$148,0)))</f>
        <v>1650</v>
      </c>
      <c r="H106" s="13" t="n">
        <f aca="false">IF(G106="",0,F106*G106)</f>
        <v>1650</v>
      </c>
      <c r="I106" s="13" t="n">
        <f aca="false">IF(INDEX(Articles!$E$2:$E$148,MATCH(C106,Articles!$A$2:$A$148,0))="","",INDEX(Articles!$E$2:$E$148,MATCH(C106,Articles!$A$2:$A$148,0)))</f>
        <v>1500</v>
      </c>
      <c r="J106" s="13" t="n">
        <f aca="false">IF(I106="","",F106*I106)</f>
        <v>1500</v>
      </c>
      <c r="K106" s="9" t="str">
        <f aca="false">INDEX(Articles!$H$2:$H$148,MATCH(C106,Articles!$A$2:$A$148,0))</f>
        <v>Fixé</v>
      </c>
      <c r="L106" s="9" t="str">
        <f aca="false">INDEX(Articles!$F$2:$F$148,MATCH(C106,Articles!$A$2:$A$148,0))</f>
        <v>Confirmé</v>
      </c>
      <c r="M106" s="17"/>
      <c r="N106" s="9" t="s">
        <v>167</v>
      </c>
    </row>
    <row r="107" customFormat="false" ht="15" hidden="false" customHeight="false" outlineLevel="0" collapsed="false">
      <c r="A107" s="9" t="s">
        <v>671</v>
      </c>
      <c r="B107" s="9" t="s">
        <v>855</v>
      </c>
      <c r="C107" s="31" t="s">
        <v>208</v>
      </c>
      <c r="D107" s="9" t="str">
        <f aca="false">INDEX(Articles!$C$2:$C$148,MATCH(C107,Articles!$A$2:$A$148,0))</f>
        <v>Cahier Calligraphe 96 pages 24x32 (grand format)</v>
      </c>
      <c r="E107" s="9" t="str">
        <f aca="false">INDEX(Articles!$B$2:$B$148,MATCH(C107,Articles!$A$2:$A$148,0))</f>
        <v>Papex</v>
      </c>
      <c r="F107" s="31" t="n">
        <v>1</v>
      </c>
      <c r="G107" s="13" t="n">
        <f aca="false">IF(INDEX(Articles!$G$2:$G$148,MATCH(C107,Articles!$A$2:$A$148,0))="","",INDEX(Articles!$G$2:$G$148,MATCH(C107,Articles!$A$2:$A$148,0)))</f>
        <v>1350</v>
      </c>
      <c r="H107" s="13" t="n">
        <f aca="false">IF(G107="",0,F107*G107)</f>
        <v>1350</v>
      </c>
      <c r="I107" s="13" t="n">
        <f aca="false">IF(INDEX(Articles!$E$2:$E$148,MATCH(C107,Articles!$A$2:$A$148,0))="","",INDEX(Articles!$E$2:$E$148,MATCH(C107,Articles!$A$2:$A$148,0)))</f>
        <v>1000</v>
      </c>
      <c r="J107" s="13" t="n">
        <f aca="false">IF(I107="","",F107*I107)</f>
        <v>1000</v>
      </c>
      <c r="K107" s="9" t="str">
        <f aca="false">INDEX(Articles!$H$2:$H$148,MATCH(C107,Articles!$A$2:$A$148,0))</f>
        <v>Fixé</v>
      </c>
      <c r="L107" s="9" t="str">
        <f aca="false">INDEX(Articles!$F$2:$F$148,MATCH(C107,Articles!$A$2:$A$148,0))</f>
        <v>Confirmé</v>
      </c>
      <c r="M107" s="17"/>
      <c r="N107" s="9" t="s">
        <v>167</v>
      </c>
    </row>
    <row r="108" customFormat="false" ht="15" hidden="false" customHeight="false" outlineLevel="0" collapsed="false">
      <c r="A108" s="9" t="s">
        <v>678</v>
      </c>
      <c r="B108" s="9" t="s">
        <v>749</v>
      </c>
      <c r="C108" s="31" t="s">
        <v>222</v>
      </c>
      <c r="D108" s="9" t="str">
        <f aca="false">INDEX(Articles!$C$2:$C$148,MATCH(C108,Articles!$A$2:$A$148,0))</f>
        <v>Pack de 4 stylos Schneider Tops 505 M (bleu, noir, rouge, vert)</v>
      </c>
      <c r="E108" s="9" t="str">
        <f aca="false">INDEX(Articles!$B$2:$B$148,MATCH(C108,Articles!$A$2:$A$148,0))</f>
        <v>Papex</v>
      </c>
      <c r="F108" s="31" t="n">
        <v>1</v>
      </c>
      <c r="G108" s="13" t="n">
        <f aca="false">IF(INDEX(Articles!$G$2:$G$148,MATCH(C108,Articles!$A$2:$A$148,0))="","",INDEX(Articles!$G$2:$G$148,MATCH(C108,Articles!$A$2:$A$148,0)))</f>
        <v>400</v>
      </c>
      <c r="H108" s="13" t="n">
        <f aca="false">IF(G108="",0,F108*G108)</f>
        <v>400</v>
      </c>
      <c r="I108" s="13" t="str">
        <f aca="false">IF(INDEX(Articles!$E$2:$E$148,MATCH(C108,Articles!$A$2:$A$148,0))="","",INDEX(Articles!$E$2:$E$148,MATCH(C108,Articles!$A$2:$A$148,0)))</f>
        <v/>
      </c>
      <c r="J108" s="13" t="str">
        <f aca="false">IF(I108="","",F108*I108)</f>
        <v/>
      </c>
      <c r="K108" s="9" t="str">
        <f aca="false">INDEX(Articles!$H$2:$H$148,MATCH(C108,Articles!$A$2:$A$148,0))</f>
        <v>Fixé</v>
      </c>
      <c r="L108" s="9" t="str">
        <f aca="false">INDEX(Articles!$F$2:$F$148,MATCH(C108,Articles!$A$2:$A$148,0))</f>
        <v>Inconnu</v>
      </c>
      <c r="M108" s="17" t="s">
        <v>432</v>
      </c>
      <c r="N108" s="9" t="s">
        <v>167</v>
      </c>
    </row>
    <row r="109" customFormat="false" ht="15" hidden="false" customHeight="false" outlineLevel="0" collapsed="false">
      <c r="A109" s="9" t="s">
        <v>678</v>
      </c>
      <c r="B109" s="9" t="s">
        <v>750</v>
      </c>
      <c r="C109" s="31" t="s">
        <v>235</v>
      </c>
      <c r="D109" s="9" t="str">
        <f aca="false">INDEX(Articles!$C$2:$C$148,MATCH(C109,Articles!$A$2:$A$148,0))</f>
        <v>Crayon papier (vendu à l'unité)</v>
      </c>
      <c r="E109" s="9" t="str">
        <f aca="false">INDEX(Articles!$B$2:$B$148,MATCH(C109,Articles!$A$2:$A$148,0))</f>
        <v>LPD</v>
      </c>
      <c r="F109" s="31" t="n">
        <v>1</v>
      </c>
      <c r="G109" s="13" t="n">
        <f aca="false">IF(INDEX(Articles!$G$2:$G$148,MATCH(C109,Articles!$A$2:$A$148,0))="","",INDEX(Articles!$G$2:$G$148,MATCH(C109,Articles!$A$2:$A$148,0)))</f>
        <v>75</v>
      </c>
      <c r="H109" s="13" t="n">
        <f aca="false">IF(G109="",0,F109*G109)</f>
        <v>75</v>
      </c>
      <c r="I109" s="13" t="str">
        <f aca="false">IF(INDEX(Articles!$E$2:$E$148,MATCH(C109,Articles!$A$2:$A$148,0))="","",INDEX(Articles!$E$2:$E$148,MATCH(C109,Articles!$A$2:$A$148,0)))</f>
        <v/>
      </c>
      <c r="J109" s="13" t="str">
        <f aca="false">IF(I109="","",F109*I109)</f>
        <v/>
      </c>
      <c r="K109" s="9" t="str">
        <f aca="false">INDEX(Articles!$H$2:$H$148,MATCH(C109,Articles!$A$2:$A$148,0))</f>
        <v>Fixé</v>
      </c>
      <c r="L109" s="9" t="str">
        <f aca="false">INDEX(Articles!$F$2:$F$148,MATCH(C109,Articles!$A$2:$A$148,0))</f>
        <v>Inconnu</v>
      </c>
      <c r="M109" s="17"/>
      <c r="N109" s="9" t="s">
        <v>167</v>
      </c>
    </row>
    <row r="110" customFormat="false" ht="15" hidden="false" customHeight="false" outlineLevel="0" collapsed="false">
      <c r="A110" s="9" t="s">
        <v>675</v>
      </c>
      <c r="B110" s="9" t="s">
        <v>717</v>
      </c>
      <c r="C110" s="31" t="s">
        <v>180</v>
      </c>
      <c r="D110" s="9" t="str">
        <f aca="false">INDEX(Articles!$C$2:$C$148,MATCH(C110,Articles!$A$2:$A$148,0))</f>
        <v>Gomme Staedtler Mars Plastic</v>
      </c>
      <c r="E110" s="9" t="str">
        <f aca="false">INDEX(Articles!$B$2:$B$148,MATCH(C110,Articles!$A$2:$A$148,0))</f>
        <v>LPD</v>
      </c>
      <c r="F110" s="31" t="n">
        <v>1</v>
      </c>
      <c r="G110" s="13" t="n">
        <f aca="false">IF(INDEX(Articles!$G$2:$G$148,MATCH(C110,Articles!$A$2:$A$148,0))="","",INDEX(Articles!$G$2:$G$148,MATCH(C110,Articles!$A$2:$A$148,0)))</f>
        <v>250</v>
      </c>
      <c r="H110" s="13" t="n">
        <f aca="false">IF(G110="",0,F110*G110)</f>
        <v>250</v>
      </c>
      <c r="I110" s="13" t="n">
        <f aca="false">IF(INDEX(Articles!$E$2:$E$148,MATCH(C110,Articles!$A$2:$A$148,0))="","",INDEX(Articles!$E$2:$E$148,MATCH(C110,Articles!$A$2:$A$148,0)))</f>
        <v>110</v>
      </c>
      <c r="J110" s="13" t="n">
        <f aca="false">IF(I110="","",F110*I110)</f>
        <v>110</v>
      </c>
      <c r="K110" s="9" t="str">
        <f aca="false">INDEX(Articles!$H$2:$H$148,MATCH(C110,Articles!$A$2:$A$148,0))</f>
        <v>Fixé</v>
      </c>
      <c r="L110" s="9" t="str">
        <f aca="false">INDEX(Articles!$F$2:$F$148,MATCH(C110,Articles!$A$2:$A$148,0))</f>
        <v>Estimé</v>
      </c>
      <c r="M110" s="17"/>
      <c r="N110" s="9" t="s">
        <v>167</v>
      </c>
    </row>
    <row r="111" customFormat="false" ht="15" hidden="false" customHeight="false" outlineLevel="0" collapsed="false">
      <c r="A111" s="9" t="s">
        <v>675</v>
      </c>
      <c r="B111" s="9" t="s">
        <v>751</v>
      </c>
      <c r="C111" s="31" t="s">
        <v>183</v>
      </c>
      <c r="D111" s="9" t="str">
        <f aca="false">INDEX(Articles!$C$2:$C$148,MATCH(C111,Articles!$A$2:$A$148,0))</f>
        <v>Taille-crayon avec réservoir Maped</v>
      </c>
      <c r="E111" s="9" t="str">
        <f aca="false">INDEX(Articles!$B$2:$B$148,MATCH(C111,Articles!$A$2:$A$148,0))</f>
        <v>Papex</v>
      </c>
      <c r="F111" s="31" t="n">
        <v>1</v>
      </c>
      <c r="G111" s="13" t="n">
        <f aca="false">IF(INDEX(Articles!$G$2:$G$148,MATCH(C111,Articles!$A$2:$A$148,0))="","",INDEX(Articles!$G$2:$G$148,MATCH(C111,Articles!$A$2:$A$148,0)))</f>
        <v>500</v>
      </c>
      <c r="H111" s="13" t="n">
        <f aca="false">IF(G111="",0,F111*G111)</f>
        <v>500</v>
      </c>
      <c r="I111" s="13" t="n">
        <f aca="false">IF(INDEX(Articles!$E$2:$E$148,MATCH(C111,Articles!$A$2:$A$148,0))="","",INDEX(Articles!$E$2:$E$148,MATCH(C111,Articles!$A$2:$A$148,0)))</f>
        <v>350</v>
      </c>
      <c r="J111" s="13" t="n">
        <f aca="false">IF(I111="","",F111*I111)</f>
        <v>350</v>
      </c>
      <c r="K111" s="9" t="str">
        <f aca="false">INDEX(Articles!$H$2:$H$148,MATCH(C111,Articles!$A$2:$A$148,0))</f>
        <v>Estimé</v>
      </c>
      <c r="L111" s="9" t="str">
        <f aca="false">INDEX(Articles!$F$2:$F$148,MATCH(C111,Articles!$A$2:$A$148,0))</f>
        <v>Estimé</v>
      </c>
      <c r="M111" s="17" t="s">
        <v>765</v>
      </c>
      <c r="N111" s="9" t="s">
        <v>167</v>
      </c>
    </row>
    <row r="112" customFormat="false" ht="15" hidden="false" customHeight="false" outlineLevel="0" collapsed="false">
      <c r="A112" s="9" t="s">
        <v>675</v>
      </c>
      <c r="B112" s="9" t="s">
        <v>753</v>
      </c>
      <c r="C112" s="31" t="s">
        <v>248</v>
      </c>
      <c r="D112" s="9" t="str">
        <f aca="false">INDEX(Articles!$C$2:$C$148,MATCH(C112,Articles!$A$2:$A$148,0))</f>
        <v>Bâton de colle Giotto 20 g</v>
      </c>
      <c r="E112" s="9" t="str">
        <f aca="false">INDEX(Articles!$B$2:$B$148,MATCH(C112,Articles!$A$2:$A$148,0))</f>
        <v>Papex</v>
      </c>
      <c r="F112" s="31" t="n">
        <v>1</v>
      </c>
      <c r="G112" s="13" t="n">
        <f aca="false">IF(INDEX(Articles!$G$2:$G$148,MATCH(C112,Articles!$A$2:$A$148,0))="","",INDEX(Articles!$G$2:$G$148,MATCH(C112,Articles!$A$2:$A$148,0)))</f>
        <v>900</v>
      </c>
      <c r="H112" s="13" t="n">
        <f aca="false">IF(G112="",0,F112*G112)</f>
        <v>900</v>
      </c>
      <c r="I112" s="13" t="n">
        <f aca="false">IF(INDEX(Articles!$E$2:$E$148,MATCH(C112,Articles!$A$2:$A$148,0))="","",INDEX(Articles!$E$2:$E$148,MATCH(C112,Articles!$A$2:$A$148,0)))</f>
        <v>650</v>
      </c>
      <c r="J112" s="13" t="n">
        <f aca="false">IF(I112="","",F112*I112)</f>
        <v>650</v>
      </c>
      <c r="K112" s="9" t="str">
        <f aca="false">INDEX(Articles!$H$2:$H$148,MATCH(C112,Articles!$A$2:$A$148,0))</f>
        <v>Estimé</v>
      </c>
      <c r="L112" s="9" t="str">
        <f aca="false">INDEX(Articles!$F$2:$F$148,MATCH(C112,Articles!$A$2:$A$148,0))</f>
        <v>Estimé</v>
      </c>
      <c r="M112" s="17"/>
      <c r="N112" s="9" t="s">
        <v>167</v>
      </c>
    </row>
    <row r="113" customFormat="false" ht="15" hidden="false" customHeight="false" outlineLevel="0" collapsed="false">
      <c r="A113" s="9" t="s">
        <v>675</v>
      </c>
      <c r="B113" s="9" t="s">
        <v>754</v>
      </c>
      <c r="C113" s="31" t="s">
        <v>189</v>
      </c>
      <c r="D113" s="9" t="str">
        <f aca="false">INDEX(Articles!$C$2:$C$148,MATCH(C113,Articles!$A$2:$A$148,0))</f>
        <v>Ciseaux Maped 13 cm Security</v>
      </c>
      <c r="E113" s="9" t="str">
        <f aca="false">INDEX(Articles!$B$2:$B$148,MATCH(C113,Articles!$A$2:$A$148,0))</f>
        <v>Papex</v>
      </c>
      <c r="F113" s="31" t="n">
        <v>1</v>
      </c>
      <c r="G113" s="13" t="n">
        <f aca="false">IF(INDEX(Articles!$G$2:$G$148,MATCH(C113,Articles!$A$2:$A$148,0))="","",INDEX(Articles!$G$2:$G$148,MATCH(C113,Articles!$A$2:$A$148,0)))</f>
        <v>900</v>
      </c>
      <c r="H113" s="13" t="n">
        <f aca="false">IF(G113="",0,F113*G113)</f>
        <v>900</v>
      </c>
      <c r="I113" s="13" t="n">
        <f aca="false">IF(INDEX(Articles!$E$2:$E$148,MATCH(C113,Articles!$A$2:$A$148,0))="","",INDEX(Articles!$E$2:$E$148,MATCH(C113,Articles!$A$2:$A$148,0)))</f>
        <v>650</v>
      </c>
      <c r="J113" s="13" t="n">
        <f aca="false">IF(I113="","",F113*I113)</f>
        <v>650</v>
      </c>
      <c r="K113" s="9" t="str">
        <f aca="false">INDEX(Articles!$H$2:$H$148,MATCH(C113,Articles!$A$2:$A$148,0))</f>
        <v>Estimé</v>
      </c>
      <c r="L113" s="9" t="str">
        <f aca="false">INDEX(Articles!$F$2:$F$148,MATCH(C113,Articles!$A$2:$A$148,0))</f>
        <v>Estimé</v>
      </c>
      <c r="M113" s="17"/>
      <c r="N113" s="9" t="s">
        <v>167</v>
      </c>
    </row>
    <row r="114" customFormat="false" ht="15" hidden="false" customHeight="false" outlineLevel="0" collapsed="false">
      <c r="A114" s="9" t="s">
        <v>676</v>
      </c>
      <c r="B114" s="9" t="s">
        <v>755</v>
      </c>
      <c r="C114" s="31" t="s">
        <v>215</v>
      </c>
      <c r="D114" s="9" t="str">
        <f aca="false">INDEX(Articles!$C$2:$C$148,MATCH(C114,Articles!$A$2:$A$148,0))</f>
        <v>Kit géométrie Maped 30 cm (réf. 1930)</v>
      </c>
      <c r="E114" s="9" t="str">
        <f aca="false">INDEX(Articles!$B$2:$B$148,MATCH(C114,Articles!$A$2:$A$148,0))</f>
        <v>LPD</v>
      </c>
      <c r="F114" s="31" t="n">
        <v>1</v>
      </c>
      <c r="G114" s="13" t="n">
        <f aca="false">IF(INDEX(Articles!$G$2:$G$148,MATCH(C114,Articles!$A$2:$A$148,0))="","",INDEX(Articles!$G$2:$G$148,MATCH(C114,Articles!$A$2:$A$148,0)))</f>
        <v>1800</v>
      </c>
      <c r="H114" s="13" t="n">
        <f aca="false">IF(G114="",0,F114*G114)</f>
        <v>1800</v>
      </c>
      <c r="I114" s="13" t="n">
        <f aca="false">IF(INDEX(Articles!$E$2:$E$148,MATCH(C114,Articles!$A$2:$A$148,0))="","",INDEX(Articles!$E$2:$E$148,MATCH(C114,Articles!$A$2:$A$148,0)))</f>
        <v>1500</v>
      </c>
      <c r="J114" s="13" t="n">
        <f aca="false">IF(I114="","",F114*I114)</f>
        <v>1500</v>
      </c>
      <c r="K114" s="9" t="str">
        <f aca="false">INDEX(Articles!$H$2:$H$148,MATCH(C114,Articles!$A$2:$A$148,0))</f>
        <v>À trancher</v>
      </c>
      <c r="L114" s="9" t="str">
        <f aca="false">INDEX(Articles!$F$2:$F$148,MATCH(C114,Articles!$A$2:$A$148,0))</f>
        <v>Confirmé</v>
      </c>
      <c r="M114" s="17"/>
      <c r="N114" s="9" t="s">
        <v>167</v>
      </c>
    </row>
    <row r="115" customFormat="false" ht="15" hidden="false" customHeight="false" outlineLevel="0" collapsed="false">
      <c r="A115" s="9" t="s">
        <v>676</v>
      </c>
      <c r="B115" s="9" t="s">
        <v>756</v>
      </c>
      <c r="C115" s="31" t="s">
        <v>171</v>
      </c>
      <c r="D115" s="9" t="str">
        <f aca="false">INDEX(Articles!$C$2:$C$148,MATCH(C115,Articles!$A$2:$A$148,0))</f>
        <v>Compas Maped</v>
      </c>
      <c r="E115" s="9" t="str">
        <f aca="false">INDEX(Articles!$B$2:$B$148,MATCH(C115,Articles!$A$2:$A$148,0))</f>
        <v>Papex</v>
      </c>
      <c r="F115" s="31" t="n">
        <v>1</v>
      </c>
      <c r="G115" s="13" t="n">
        <f aca="false">IF(INDEX(Articles!$G$2:$G$148,MATCH(C115,Articles!$A$2:$A$148,0))="","",INDEX(Articles!$G$2:$G$148,MATCH(C115,Articles!$A$2:$A$148,0)))</f>
        <v>2000</v>
      </c>
      <c r="H115" s="13" t="n">
        <f aca="false">IF(G115="",0,F115*G115)</f>
        <v>2000</v>
      </c>
      <c r="I115" s="13" t="n">
        <f aca="false">IF(INDEX(Articles!$E$2:$E$148,MATCH(C115,Articles!$A$2:$A$148,0))="","",INDEX(Articles!$E$2:$E$148,MATCH(C115,Articles!$A$2:$A$148,0)))</f>
        <v>1750</v>
      </c>
      <c r="J115" s="13" t="n">
        <f aca="false">IF(I115="","",F115*I115)</f>
        <v>1750</v>
      </c>
      <c r="K115" s="9" t="str">
        <f aca="false">INDEX(Articles!$H$2:$H$148,MATCH(C115,Articles!$A$2:$A$148,0))</f>
        <v>Fixé</v>
      </c>
      <c r="L115" s="9" t="str">
        <f aca="false">INDEX(Articles!$F$2:$F$148,MATCH(C115,Articles!$A$2:$A$148,0))</f>
        <v>Confirmé</v>
      </c>
      <c r="M115" s="17"/>
      <c r="N115" s="9" t="s">
        <v>167</v>
      </c>
    </row>
    <row r="116" customFormat="false" ht="15" hidden="false" customHeight="false" outlineLevel="0" collapsed="false">
      <c r="A116" s="9" t="s">
        <v>681</v>
      </c>
      <c r="B116" s="9" t="s">
        <v>757</v>
      </c>
      <c r="C116" s="31" t="s">
        <v>198</v>
      </c>
      <c r="D116" s="9" t="str">
        <f aca="false">INDEX(Articles!$C$2:$C$148,MATCH(C116,Articles!$A$2:$A$148,0))</f>
        <v>Crayons de couleur Maped, boîte de 12</v>
      </c>
      <c r="E116" s="9" t="str">
        <f aca="false">INDEX(Articles!$B$2:$B$148,MATCH(C116,Articles!$A$2:$A$148,0))</f>
        <v>Papex</v>
      </c>
      <c r="F116" s="31" t="n">
        <v>1</v>
      </c>
      <c r="G116" s="13" t="n">
        <f aca="false">IF(INDEX(Articles!$G$2:$G$148,MATCH(C116,Articles!$A$2:$A$148,0))="","",INDEX(Articles!$G$2:$G$148,MATCH(C116,Articles!$A$2:$A$148,0)))</f>
        <v>900</v>
      </c>
      <c r="H116" s="13" t="n">
        <f aca="false">IF(G116="",0,F116*G116)</f>
        <v>900</v>
      </c>
      <c r="I116" s="13" t="n">
        <f aca="false">IF(INDEX(Articles!$E$2:$E$148,MATCH(C116,Articles!$A$2:$A$148,0))="","",INDEX(Articles!$E$2:$E$148,MATCH(C116,Articles!$A$2:$A$148,0)))</f>
        <v>650</v>
      </c>
      <c r="J116" s="13" t="n">
        <f aca="false">IF(I116="","",F116*I116)</f>
        <v>650</v>
      </c>
      <c r="K116" s="9" t="str">
        <f aca="false">INDEX(Articles!$H$2:$H$148,MATCH(C116,Articles!$A$2:$A$148,0))</f>
        <v>Estimé</v>
      </c>
      <c r="L116" s="9" t="str">
        <f aca="false">INDEX(Articles!$F$2:$F$148,MATCH(C116,Articles!$A$2:$A$148,0))</f>
        <v>Estimé</v>
      </c>
      <c r="M116" s="17"/>
      <c r="N116" s="9" t="s">
        <v>167</v>
      </c>
    </row>
    <row r="117" customFormat="false" ht="15" hidden="false" customHeight="false" outlineLevel="0" collapsed="false">
      <c r="A117" s="9" t="s">
        <v>678</v>
      </c>
      <c r="B117" s="9" t="s">
        <v>766</v>
      </c>
      <c r="C117" s="31" t="s">
        <v>200</v>
      </c>
      <c r="D117" s="9" t="str">
        <f aca="false">INDEX(Articles!$C$2:$C$148,MATCH(C117,Articles!$A$2:$A$148,0))</f>
        <v>Surligneurs Maped Fluo Peps, pochette de 4</v>
      </c>
      <c r="E117" s="9" t="str">
        <f aca="false">INDEX(Articles!$B$2:$B$148,MATCH(C117,Articles!$A$2:$A$148,0))</f>
        <v>Papex</v>
      </c>
      <c r="F117" s="31" t="n">
        <v>1</v>
      </c>
      <c r="G117" s="13" t="n">
        <f aca="false">IF(INDEX(Articles!$G$2:$G$148,MATCH(C117,Articles!$A$2:$A$148,0))="","",INDEX(Articles!$G$2:$G$148,MATCH(C117,Articles!$A$2:$A$148,0)))</f>
        <v>2500</v>
      </c>
      <c r="H117" s="13" t="n">
        <f aca="false">IF(G117="",0,F117*G117)</f>
        <v>2500</v>
      </c>
      <c r="I117" s="13" t="n">
        <f aca="false">IF(INDEX(Articles!$E$2:$E$148,MATCH(C117,Articles!$A$2:$A$148,0))="","",INDEX(Articles!$E$2:$E$148,MATCH(C117,Articles!$A$2:$A$148,0)))</f>
        <v>2000</v>
      </c>
      <c r="J117" s="13" t="n">
        <f aca="false">IF(I117="","",F117*I117)</f>
        <v>2000</v>
      </c>
      <c r="K117" s="9" t="str">
        <f aca="false">INDEX(Articles!$H$2:$H$148,MATCH(C117,Articles!$A$2:$A$148,0))</f>
        <v>Estimé</v>
      </c>
      <c r="L117" s="9" t="str">
        <f aca="false">INDEX(Articles!$F$2:$F$148,MATCH(C117,Articles!$A$2:$A$148,0))</f>
        <v>Confirmé</v>
      </c>
      <c r="M117" s="17" t="s">
        <v>767</v>
      </c>
      <c r="N117" s="9" t="s">
        <v>167</v>
      </c>
    </row>
    <row r="118" customFormat="false" ht="15" hidden="false" customHeight="false" outlineLevel="0" collapsed="false">
      <c r="A118" s="9" t="s">
        <v>768</v>
      </c>
      <c r="B118" s="9" t="s">
        <v>769</v>
      </c>
      <c r="C118" s="31" t="s">
        <v>446</v>
      </c>
      <c r="D118" s="9" t="str">
        <f aca="false">INDEX(Articles!$C$2:$C$148,MATCH(C118,Articles!$A$2:$A$148,0))</f>
        <v>Chemise 3 rabats à élastique</v>
      </c>
      <c r="E118" s="9" t="str">
        <f aca="false">INDEX(Articles!$B$2:$B$148,MATCH(C118,Articles!$A$2:$A$148,0))</f>
        <v>Papex</v>
      </c>
      <c r="F118" s="31" t="n">
        <v>1</v>
      </c>
      <c r="G118" s="13" t="n">
        <f aca="false">IF(INDEX(Articles!$G$2:$G$148,MATCH(C118,Articles!$A$2:$A$148,0))="","",INDEX(Articles!$G$2:$G$148,MATCH(C118,Articles!$A$2:$A$148,0)))</f>
        <v>500</v>
      </c>
      <c r="H118" s="13" t="n">
        <f aca="false">IF(G118="",0,F118*G118)</f>
        <v>500</v>
      </c>
      <c r="I118" s="13" t="str">
        <f aca="false">IF(INDEX(Articles!$E$2:$E$148,MATCH(C118,Articles!$A$2:$A$148,0))="","",INDEX(Articles!$E$2:$E$148,MATCH(C118,Articles!$A$2:$A$148,0)))</f>
        <v/>
      </c>
      <c r="J118" s="13" t="str">
        <f aca="false">IF(I118="","",F118*I118)</f>
        <v/>
      </c>
      <c r="K118" s="9" t="str">
        <f aca="false">INDEX(Articles!$H$2:$H$148,MATCH(C118,Articles!$A$2:$A$148,0))</f>
        <v>Estimé</v>
      </c>
      <c r="L118" s="9" t="str">
        <f aca="false">INDEX(Articles!$F$2:$F$148,MATCH(C118,Articles!$A$2:$A$148,0))</f>
        <v>Inconnu</v>
      </c>
      <c r="M118" s="17" t="s">
        <v>770</v>
      </c>
      <c r="N118" s="9" t="s">
        <v>167</v>
      </c>
    </row>
    <row r="119" customFormat="false" ht="15" hidden="false" customHeight="false" outlineLevel="0" collapsed="false">
      <c r="A119" s="9" t="s">
        <v>676</v>
      </c>
      <c r="B119" s="9" t="s">
        <v>812</v>
      </c>
      <c r="C119" s="31" t="s">
        <v>205</v>
      </c>
      <c r="D119" s="9" t="str">
        <f aca="false">INDEX(Articles!$C$2:$C$148,MATCH(C119,Articles!$A$2:$A$148,0))</f>
        <v>Calculatrice Casio fx-92 Collège</v>
      </c>
      <c r="E119" s="9" t="str">
        <f aca="false">INDEX(Articles!$B$2:$B$148,MATCH(C119,Articles!$A$2:$A$148,0))</f>
        <v>Papex</v>
      </c>
      <c r="F119" s="31" t="n">
        <v>1</v>
      </c>
      <c r="G119" s="13" t="n">
        <f aca="false">IF(INDEX(Articles!$G$2:$G$148,MATCH(C119,Articles!$A$2:$A$148,0))="","",INDEX(Articles!$G$2:$G$148,MATCH(C119,Articles!$A$2:$A$148,0)))</f>
        <v>8000</v>
      </c>
      <c r="H119" s="13" t="n">
        <f aca="false">IF(G119="",0,F119*G119)</f>
        <v>8000</v>
      </c>
      <c r="I119" s="13" t="n">
        <f aca="false">IF(INDEX(Articles!$E$2:$E$148,MATCH(C119,Articles!$A$2:$A$148,0))="","",INDEX(Articles!$E$2:$E$148,MATCH(C119,Articles!$A$2:$A$148,0)))</f>
        <v>7000</v>
      </c>
      <c r="J119" s="13" t="n">
        <f aca="false">IF(I119="","",F119*I119)</f>
        <v>7000</v>
      </c>
      <c r="K119" s="9" t="str">
        <f aca="false">INDEX(Articles!$H$2:$H$148,MATCH(C119,Articles!$A$2:$A$148,0))</f>
        <v>Fixé</v>
      </c>
      <c r="L119" s="9" t="str">
        <f aca="false">INDEX(Articles!$F$2:$F$148,MATCH(C119,Articles!$A$2:$A$148,0))</f>
        <v>Confirmé</v>
      </c>
      <c r="M119" s="17" t="s">
        <v>820</v>
      </c>
      <c r="N119" s="9" t="s">
        <v>167</v>
      </c>
    </row>
    <row r="120" customFormat="false" ht="15" hidden="false" customHeight="false" outlineLevel="0" collapsed="false">
      <c r="A120" s="9" t="s">
        <v>768</v>
      </c>
      <c r="B120" s="9" t="s">
        <v>861</v>
      </c>
      <c r="C120" s="31" t="s">
        <v>246</v>
      </c>
      <c r="D120" s="9" t="str">
        <f aca="false">INDEX(Articles!$C$2:$C$148,MATCH(C120,Articles!$A$2:$A$148,0))</f>
        <v>Protège-documents porte-vues</v>
      </c>
      <c r="E120" s="9" t="str">
        <f aca="false">INDEX(Articles!$B$2:$B$148,MATCH(C120,Articles!$A$2:$A$148,0))</f>
        <v>LPD</v>
      </c>
      <c r="F120" s="31" t="n">
        <v>1</v>
      </c>
      <c r="G120" s="13" t="n">
        <f aca="false">IF(INDEX(Articles!$G$2:$G$148,MATCH(C120,Articles!$A$2:$A$148,0))="","",INDEX(Articles!$G$2:$G$148,MATCH(C120,Articles!$A$2:$A$148,0)))</f>
        <v>1150</v>
      </c>
      <c r="H120" s="13" t="n">
        <f aca="false">IF(G120="",0,F120*G120)</f>
        <v>1150</v>
      </c>
      <c r="I120" s="13" t="n">
        <f aca="false">IF(INDEX(Articles!$E$2:$E$148,MATCH(C120,Articles!$A$2:$A$148,0))="","",INDEX(Articles!$E$2:$E$148,MATCH(C120,Articles!$A$2:$A$148,0)))</f>
        <v>850</v>
      </c>
      <c r="J120" s="13" t="n">
        <f aca="false">IF(I120="","",F120*I120)</f>
        <v>850</v>
      </c>
      <c r="K120" s="9" t="str">
        <f aca="false">INDEX(Articles!$H$2:$H$148,MATCH(C120,Articles!$A$2:$A$148,0))</f>
        <v>Fixé</v>
      </c>
      <c r="L120" s="9" t="str">
        <f aca="false">INDEX(Articles!$F$2:$F$148,MATCH(C120,Articles!$A$2:$A$148,0))</f>
        <v>Estimé</v>
      </c>
      <c r="M120" s="17"/>
      <c r="N120" s="9" t="s">
        <v>167</v>
      </c>
    </row>
    <row r="121" customFormat="false" ht="15" hidden="false" customHeight="false" outlineLevel="0" collapsed="false">
      <c r="A121" s="9" t="s">
        <v>758</v>
      </c>
      <c r="B121" s="9" t="s">
        <v>759</v>
      </c>
      <c r="C121" s="31" t="s">
        <v>376</v>
      </c>
      <c r="D121" s="9" t="str">
        <f aca="false">INDEX(Articles!$C$2:$C$148,MATCH(C121,Articles!$A$2:$A$148,0))</f>
        <v>Paquet de copies doubles grand format</v>
      </c>
      <c r="E121" s="9" t="str">
        <f aca="false">INDEX(Articles!$B$2:$B$148,MATCH(C121,Articles!$A$2:$A$148,0))</f>
        <v>À préciser</v>
      </c>
      <c r="F121" s="31" t="n">
        <v>1</v>
      </c>
      <c r="G121" s="45" t="n">
        <f aca="false">IF(INDEX(Articles!$G$2:$G$148,MATCH(C121,Articles!$A$2:$A$148,0))="","",INDEX(Articles!$G$2:$G$148,MATCH(C121,Articles!$A$2:$A$148,0)))</f>
        <v>1800</v>
      </c>
      <c r="H121" s="13" t="n">
        <f aca="false">IF(G121="",0,F121*G121)</f>
        <v>1800</v>
      </c>
      <c r="I121" s="13" t="n">
        <f aca="false">IF(INDEX(Articles!$E$2:$E$148,MATCH(C121,Articles!$A$2:$A$148,0))="","",INDEX(Articles!$E$2:$E$148,MATCH(C121,Articles!$A$2:$A$148,0)))</f>
        <v>1300</v>
      </c>
      <c r="J121" s="13" t="n">
        <f aca="false">IF(I121="","",F121*I121)</f>
        <v>1300</v>
      </c>
      <c r="K121" s="9" t="str">
        <f aca="false">INDEX(Articles!$H$2:$H$148,MATCH(C121,Articles!$A$2:$A$148,0))</f>
        <v>Fixé</v>
      </c>
      <c r="L121" s="9" t="str">
        <f aca="false">INDEX(Articles!$F$2:$F$148,MATCH(C121,Articles!$A$2:$A$148,0))</f>
        <v>Confirmé</v>
      </c>
      <c r="M121" s="17"/>
      <c r="N121" s="9" t="s">
        <v>167</v>
      </c>
    </row>
    <row r="122" customFormat="false" ht="15" hidden="false" customHeight="false" outlineLevel="0" collapsed="false">
      <c r="A122" s="9" t="s">
        <v>771</v>
      </c>
      <c r="B122" s="9" t="s">
        <v>772</v>
      </c>
      <c r="C122" s="31" t="s">
        <v>160</v>
      </c>
      <c r="D122" s="9" t="str">
        <f aca="false">INDEX(Articles!$C$2:$C$148,MATCH(C122,Articles!$A$2:$A$148,0))</f>
        <v>Protège-cahier couleur petit format (à l'unité)</v>
      </c>
      <c r="E122" s="9" t="str">
        <f aca="false">INDEX(Articles!$B$2:$B$148,MATCH(C122,Articles!$A$2:$A$148,0))</f>
        <v>LPD</v>
      </c>
      <c r="F122" s="31" t="n">
        <v>3</v>
      </c>
      <c r="G122" s="13" t="n">
        <f aca="false">IF(INDEX(Articles!$G$2:$G$148,MATCH(C122,Articles!$A$2:$A$148,0))="","",INDEX(Articles!$G$2:$G$148,MATCH(C122,Articles!$A$2:$A$148,0)))</f>
        <v>150</v>
      </c>
      <c r="H122" s="13" t="n">
        <f aca="false">IF(G122="",0,F122*G122)</f>
        <v>450</v>
      </c>
      <c r="I122" s="13" t="str">
        <f aca="false">IF(INDEX(Articles!$E$2:$E$148,MATCH(C122,Articles!$A$2:$A$148,0))="","",INDEX(Articles!$E$2:$E$148,MATCH(C122,Articles!$A$2:$A$148,0)))</f>
        <v/>
      </c>
      <c r="J122" s="13" t="str">
        <f aca="false">IF(I122="","",F122*I122)</f>
        <v/>
      </c>
      <c r="K122" s="9" t="str">
        <f aca="false">INDEX(Articles!$H$2:$H$148,MATCH(C122,Articles!$A$2:$A$148,0))</f>
        <v>Fixé</v>
      </c>
      <c r="L122" s="9" t="str">
        <f aca="false">INDEX(Articles!$F$2:$F$148,MATCH(C122,Articles!$A$2:$A$148,0))</f>
        <v>Inconnu</v>
      </c>
      <c r="M122" s="17"/>
      <c r="N122" s="9" t="s">
        <v>167</v>
      </c>
    </row>
    <row r="123" customFormat="false" ht="15" hidden="false" customHeight="false" outlineLevel="0" collapsed="false">
      <c r="A123" s="9" t="s">
        <v>771</v>
      </c>
      <c r="B123" s="9" t="s">
        <v>773</v>
      </c>
      <c r="C123" s="31" t="s">
        <v>419</v>
      </c>
      <c r="D123" s="9" t="str">
        <f aca="false">INDEX(Articles!$C$2:$C$148,MATCH(C123,Articles!$A$2:$A$148,0))</f>
        <v>Protège-cahier grand format (à l'unité)</v>
      </c>
      <c r="E123" s="9" t="str">
        <f aca="false">INDEX(Articles!$B$2:$B$148,MATCH(C123,Articles!$A$2:$A$148,0))</f>
        <v>À préciser</v>
      </c>
      <c r="F123" s="31" t="n">
        <v>10</v>
      </c>
      <c r="G123" s="13" t="str">
        <f aca="false">IF(INDEX(Articles!$G$2:$G$148,MATCH(C123,Articles!$A$2:$A$148,0))="","",INDEX(Articles!$G$2:$G$148,MATCH(C123,Articles!$A$2:$A$148,0)))</f>
        <v/>
      </c>
      <c r="H123" s="13" t="n">
        <f aca="false">IF(G123="",0,F123*G123)</f>
        <v>0</v>
      </c>
      <c r="I123" s="13" t="str">
        <f aca="false">IF(INDEX(Articles!$E$2:$E$148,MATCH(C123,Articles!$A$2:$A$148,0))="","",INDEX(Articles!$E$2:$E$148,MATCH(C123,Articles!$A$2:$A$148,0)))</f>
        <v/>
      </c>
      <c r="J123" s="13" t="str">
        <f aca="false">IF(I123="","",F123*I123)</f>
        <v/>
      </c>
      <c r="K123" s="9" t="str">
        <f aca="false">INDEX(Articles!$H$2:$H$148,MATCH(C123,Articles!$A$2:$A$148,0))</f>
        <v>À fournir</v>
      </c>
      <c r="L123" s="9" t="str">
        <f aca="false">INDEX(Articles!$F$2:$F$148,MATCH(C123,Articles!$A$2:$A$148,0))</f>
        <v>Inconnu</v>
      </c>
      <c r="M123" s="17"/>
      <c r="N123" s="9" t="s">
        <v>167</v>
      </c>
    </row>
    <row r="124" customFormat="false" ht="15" hidden="false" customHeight="false" outlineLevel="0" collapsed="false">
      <c r="A124" s="9" t="s">
        <v>760</v>
      </c>
      <c r="B124" s="9" t="s">
        <v>883</v>
      </c>
      <c r="C124" s="31" t="s">
        <v>514</v>
      </c>
      <c r="D124" s="9" t="str">
        <f aca="false">INDEX(Articles!$C$2:$C$148,MATCH(C124,Articles!$A$2:$A$148,0))</f>
        <v>L'Étranger (Albert Camus)</v>
      </c>
      <c r="E124" s="9" t="str">
        <f aca="false">INDEX(Articles!$B$2:$B$148,MATCH(C124,Articles!$A$2:$A$148,0))</f>
        <v>LPD</v>
      </c>
      <c r="F124" s="31" t="n">
        <v>1</v>
      </c>
      <c r="G124" s="13" t="n">
        <f aca="false">IF(INDEX(Articles!$G$2:$G$148,MATCH(C124,Articles!$A$2:$A$148,0))="","",INDEX(Articles!$G$2:$G$148,MATCH(C124,Articles!$A$2:$A$148,0)))</f>
        <v>2800</v>
      </c>
      <c r="H124" s="13" t="n">
        <f aca="false">IF(G124="",0,F124*G124)</f>
        <v>2800</v>
      </c>
      <c r="I124" s="13" t="n">
        <f aca="false">IF(INDEX(Articles!$E$2:$E$148,MATCH(C124,Articles!$A$2:$A$148,0))="","",INDEX(Articles!$E$2:$E$148,MATCH(C124,Articles!$A$2:$A$148,0)))</f>
        <v>1800</v>
      </c>
      <c r="J124" s="13" t="n">
        <f aca="false">IF(I124="","",F124*I124)</f>
        <v>1800</v>
      </c>
      <c r="K124" s="9" t="str">
        <f aca="false">INDEX(Articles!$H$2:$H$148,MATCH(C124,Articles!$A$2:$A$148,0))</f>
        <v>Fixé</v>
      </c>
      <c r="L124" s="9" t="str">
        <f aca="false">INDEX(Articles!$F$2:$F$148,MATCH(C124,Articles!$A$2:$A$148,0))</f>
        <v>Estimé</v>
      </c>
      <c r="M124" s="17"/>
      <c r="N124" s="9" t="s">
        <v>167</v>
      </c>
    </row>
    <row r="125" customFormat="false" ht="15" hidden="false" customHeight="false" outlineLevel="0" collapsed="false">
      <c r="A125" s="9" t="s">
        <v>760</v>
      </c>
      <c r="B125" s="9" t="s">
        <v>883</v>
      </c>
      <c r="C125" s="31" t="s">
        <v>516</v>
      </c>
      <c r="D125" s="9" t="str">
        <f aca="false">INDEX(Articles!$C$2:$C$148,MATCH(C125,Articles!$A$2:$A$148,0))</f>
        <v>Les Contemplations (Victor Hugo)</v>
      </c>
      <c r="E125" s="9" t="str">
        <f aca="false">INDEX(Articles!$B$2:$B$148,MATCH(C125,Articles!$A$2:$A$148,0))</f>
        <v>LPD</v>
      </c>
      <c r="F125" s="31" t="n">
        <v>1</v>
      </c>
      <c r="G125" s="13" t="n">
        <f aca="false">IF(INDEX(Articles!$G$2:$G$148,MATCH(C125,Articles!$A$2:$A$148,0))="","",INDEX(Articles!$G$2:$G$148,MATCH(C125,Articles!$A$2:$A$148,0)))</f>
        <v>2800</v>
      </c>
      <c r="H125" s="13" t="n">
        <f aca="false">IF(G125="",0,F125*G125)</f>
        <v>2800</v>
      </c>
      <c r="I125" s="13" t="n">
        <f aca="false">IF(INDEX(Articles!$E$2:$E$148,MATCH(C125,Articles!$A$2:$A$148,0))="","",INDEX(Articles!$E$2:$E$148,MATCH(C125,Articles!$A$2:$A$148,0)))</f>
        <v>1800</v>
      </c>
      <c r="J125" s="13" t="n">
        <f aca="false">IF(I125="","",F125*I125)</f>
        <v>1800</v>
      </c>
      <c r="K125" s="9" t="str">
        <f aca="false">INDEX(Articles!$H$2:$H$148,MATCH(C125,Articles!$A$2:$A$148,0))</f>
        <v>Fixé</v>
      </c>
      <c r="L125" s="9" t="str">
        <f aca="false">INDEX(Articles!$F$2:$F$148,MATCH(C125,Articles!$A$2:$A$148,0))</f>
        <v>Confirmé</v>
      </c>
      <c r="M125" s="17"/>
      <c r="N125" s="9" t="s">
        <v>167</v>
      </c>
    </row>
    <row r="126" customFormat="false" ht="15" hidden="false" customHeight="false" outlineLevel="0" collapsed="false">
      <c r="A126" s="9" t="s">
        <v>777</v>
      </c>
      <c r="B126" s="9" t="s">
        <v>917</v>
      </c>
      <c r="C126" s="31" t="s">
        <v>649</v>
      </c>
      <c r="D126" s="9" t="str">
        <f aca="false">INDEX(Articles!$C$2:$C$148,MATCH(C126,Articles!$A$2:$A$148,0))</f>
        <v>Science de la Vie et de la Terre Tlᵉ</v>
      </c>
      <c r="E126" s="9" t="str">
        <f aca="false">INDEX(Articles!$B$2:$B$148,MATCH(C126,Articles!$A$2:$A$148,0))</f>
        <v>LPD</v>
      </c>
      <c r="F126" s="31" t="n">
        <v>1</v>
      </c>
      <c r="G126" s="13" t="n">
        <f aca="false">IF(INDEX(Articles!$G$2:$G$148,MATCH(C126,Articles!$A$2:$A$148,0))="","",INDEX(Articles!$G$2:$G$148,MATCH(C126,Articles!$A$2:$A$148,0)))</f>
        <v>4720</v>
      </c>
      <c r="H126" s="13" t="n">
        <f aca="false">IF(G126="",0,F126*G126)</f>
        <v>4720</v>
      </c>
      <c r="I126" s="13" t="n">
        <f aca="false">IF(INDEX(Articles!$E$2:$E$148,MATCH(C126,Articles!$A$2:$A$148,0))="","",INDEX(Articles!$E$2:$E$148,MATCH(C126,Articles!$A$2:$A$148,0)))</f>
        <v>3720</v>
      </c>
      <c r="J126" s="13" t="n">
        <f aca="false">IF(I126="","",F126*I126)</f>
        <v>3720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A127" s="9" t="s">
        <v>678</v>
      </c>
      <c r="B127" s="9" t="s">
        <v>781</v>
      </c>
      <c r="C127" s="31" t="s">
        <v>434</v>
      </c>
      <c r="D127" s="9" t="str">
        <f aca="false">INDEX(Articles!$C$2:$C$148,MATCH(C127,Articles!$A$2:$A$148,0))</f>
        <v>Stylo 4 couleurs Schneider</v>
      </c>
      <c r="E127" s="9" t="str">
        <f aca="false">INDEX(Articles!$B$2:$B$148,MATCH(C127,Articles!$A$2:$A$148,0))</f>
        <v>Papex</v>
      </c>
      <c r="F127" s="31" t="n">
        <v>1</v>
      </c>
      <c r="G127" s="13" t="n">
        <f aca="false">IF(INDEX(Articles!$G$2:$G$148,MATCH(C127,Articles!$A$2:$A$148,0))="","",INDEX(Articles!$G$2:$G$148,MATCH(C127,Articles!$A$2:$A$148,0)))</f>
        <v>1750</v>
      </c>
      <c r="H127" s="13" t="n">
        <f aca="false">IF(G127="",0,F127*G127)</f>
        <v>1750</v>
      </c>
      <c r="I127" s="13" t="n">
        <f aca="false">IF(INDEX(Articles!$E$2:$E$148,MATCH(C127,Articles!$A$2:$A$148,0))="","",INDEX(Articles!$E$2:$E$148,MATCH(C127,Articles!$A$2:$A$148,0)))</f>
        <v>1500</v>
      </c>
      <c r="J127" s="13" t="n">
        <f aca="false">IF(I127="","",F127*I127)</f>
        <v>1500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678</v>
      </c>
      <c r="B128" s="9" t="s">
        <v>782</v>
      </c>
      <c r="C128" s="31" t="s">
        <v>174</v>
      </c>
      <c r="D128" s="9" t="str">
        <f aca="false">INDEX(Articles!$C$2:$C$148,MATCH(C128,Articles!$A$2:$A$148,0))</f>
        <v>Correcteur souris ARK</v>
      </c>
      <c r="E128" s="9" t="str">
        <f aca="false">INDEX(Articles!$B$2:$B$148,MATCH(C128,Articles!$A$2:$A$148,0))</f>
        <v>Papex</v>
      </c>
      <c r="F128" s="31" t="n">
        <v>1</v>
      </c>
      <c r="G128" s="13" t="n">
        <f aca="false">IF(INDEX(Articles!$G$2:$G$148,MATCH(C128,Articles!$A$2:$A$148,0))="","",INDEX(Articles!$G$2:$G$148,MATCH(C128,Articles!$A$2:$A$148,0)))</f>
        <v>1000</v>
      </c>
      <c r="H128" s="13" t="n">
        <f aca="false">IF(G128="",0,F128*G128)</f>
        <v>1000</v>
      </c>
      <c r="I128" s="13" t="n">
        <f aca="false">IF(INDEX(Articles!$E$2:$E$148,MATCH(C128,Articles!$A$2:$A$148,0))="","",INDEX(Articles!$E$2:$E$148,MATCH(C128,Articles!$A$2:$A$148,0)))</f>
        <v>700</v>
      </c>
      <c r="J128" s="13" t="n">
        <f aca="false">IF(I128="","",F128*I128)</f>
        <v>700</v>
      </c>
      <c r="K128" s="9" t="str">
        <f aca="false">INDEX(Articles!$H$2:$H$148,MATCH(C128,Articles!$A$2:$A$148,0))</f>
        <v>Fixé</v>
      </c>
      <c r="L128" s="9" t="str">
        <f aca="false">INDEX(Articles!$F$2:$F$148,MATCH(C128,Articles!$A$2:$A$148,0))</f>
        <v>Confirmé</v>
      </c>
      <c r="M128" s="17"/>
      <c r="N128" s="9" t="s">
        <v>167</v>
      </c>
    </row>
    <row r="129" customFormat="false" ht="15" hidden="false" customHeight="false" outlineLevel="0" collapsed="false">
      <c r="A129" s="9" t="s">
        <v>840</v>
      </c>
      <c r="B129" s="9" t="s">
        <v>934</v>
      </c>
      <c r="C129" s="31" t="s">
        <v>410</v>
      </c>
      <c r="D129" s="9" t="str">
        <f aca="false">INDEX(Articles!$C$2:$C$148,MATCH(C129,Articles!$A$2:$A$148,0))</f>
        <v>MATHS TS2 - LA CLE DU BAC (Korka Diallo, Collection Cracks)</v>
      </c>
      <c r="E129" s="9" t="str">
        <f aca="false">INDEX(Articles!$B$2:$B$148,MATCH(C129,Articles!$A$2:$A$148,0))</f>
        <v>Korka Diallo</v>
      </c>
      <c r="F129" s="31" t="n">
        <v>1</v>
      </c>
      <c r="G129" s="45" t="n">
        <f aca="false">IF(INDEX(Articles!$G$2:$G$148,MATCH(C129,Articles!$A$2:$A$148,0))="","",INDEX(Articles!$G$2:$G$148,MATCH(C129,Articles!$A$2:$A$148,0)))</f>
        <v>10000</v>
      </c>
      <c r="H129" s="13" t="n">
        <f aca="false">IF(G129="",0,F129*G129)</f>
        <v>10000</v>
      </c>
      <c r="I129" s="13" t="n">
        <f aca="false">IF(INDEX(Articles!$E$2:$E$148,MATCH(C129,Articles!$A$2:$A$148,0))="","",INDEX(Articles!$E$2:$E$148,MATCH(C129,Articles!$A$2:$A$148,0)))</f>
        <v>8000</v>
      </c>
      <c r="J129" s="13" t="n">
        <f aca="false">IF(I129="","",F129*I129)</f>
        <v>8000</v>
      </c>
      <c r="K129" s="9" t="str">
        <f aca="false">INDEX(Articles!$H$2:$H$148,MATCH(C129,Articles!$A$2:$A$148,0))</f>
        <v>Fixé</v>
      </c>
      <c r="L129" s="9" t="str">
        <f aca="false">INDEX(Articles!$F$2:$F$148,MATCH(C129,Articles!$A$2:$A$148,0))</f>
        <v>Confirmé</v>
      </c>
      <c r="M129" s="17"/>
      <c r="N129" s="9" t="s">
        <v>167</v>
      </c>
    </row>
    <row r="130" customFormat="false" ht="15" hidden="false" customHeight="false" outlineLevel="0" collapsed="false">
      <c r="A130" s="9" t="s">
        <v>840</v>
      </c>
      <c r="B130" s="9" t="s">
        <v>935</v>
      </c>
      <c r="C130" s="31" t="s">
        <v>412</v>
      </c>
      <c r="D130" s="9" t="str">
        <f aca="false">INDEX(Articles!$C$2:$C$148,MATCH(C130,Articles!$A$2:$A$148,0))</f>
        <v>PHYSIQUE CHIMIE TS2</v>
      </c>
      <c r="E130" s="9" t="str">
        <f aca="false">INDEX(Articles!$B$2:$B$148,MATCH(C130,Articles!$A$2:$A$148,0))</f>
        <v>Korka Diallo</v>
      </c>
      <c r="F130" s="31" t="n">
        <v>1</v>
      </c>
      <c r="G130" s="45" t="n">
        <f aca="false">IF(INDEX(Articles!$G$2:$G$148,MATCH(C130,Articles!$A$2:$A$148,0))="","",INDEX(Articles!$G$2:$G$148,MATCH(C130,Articles!$A$2:$A$148,0)))</f>
        <v>10000</v>
      </c>
      <c r="H130" s="13" t="n">
        <f aca="false">IF(G130="",0,F130*G130)</f>
        <v>10000</v>
      </c>
      <c r="I130" s="13" t="n">
        <f aca="false">IF(INDEX(Articles!$E$2:$E$148,MATCH(C130,Articles!$A$2:$A$148,0))="","",INDEX(Articles!$E$2:$E$148,MATCH(C130,Articles!$A$2:$A$148,0)))</f>
        <v>8000</v>
      </c>
      <c r="J130" s="13" t="n">
        <f aca="false">IF(I130="","",F130*I130)</f>
        <v>8000</v>
      </c>
      <c r="K130" s="9" t="str">
        <f aca="false">INDEX(Articles!$H$2:$H$148,MATCH(C130,Articles!$A$2:$A$148,0))</f>
        <v>Fixé</v>
      </c>
      <c r="L130" s="9" t="str">
        <f aca="false">INDEX(Articles!$F$2:$F$148,MATCH(C130,Articles!$A$2:$A$148,0))</f>
        <v>Confirmé</v>
      </c>
      <c r="M130" s="17"/>
      <c r="N130" s="9" t="s">
        <v>167</v>
      </c>
    </row>
    <row r="131" customFormat="false" ht="15" hidden="false" customHeight="false" outlineLevel="0" collapsed="false">
      <c r="A131" s="9" t="s">
        <v>703</v>
      </c>
      <c r="B131" s="9" t="s">
        <v>919</v>
      </c>
      <c r="C131" s="31" t="s">
        <v>414</v>
      </c>
      <c r="D131" s="9" t="str">
        <f aca="false">INDEX(Articles!$C$2:$C$148,MATCH(C131,Articles!$A$2:$A$148,0))</f>
        <v>PHILOSOPHIE TERMINALES L ET S - L'ESSENTIEL (Korka Diallo, Club de l'Excellence)</v>
      </c>
      <c r="E131" s="9" t="str">
        <f aca="false">INDEX(Articles!$B$2:$B$148,MATCH(C131,Articles!$A$2:$A$148,0))</f>
        <v>Korka Diallo</v>
      </c>
      <c r="F131" s="31" t="n">
        <v>1</v>
      </c>
      <c r="G131" s="45" t="n">
        <f aca="false">IF(INDEX(Articles!$G$2:$G$148,MATCH(C131,Articles!$A$2:$A$148,0))="","",INDEX(Articles!$G$2:$G$148,MATCH(C131,Articles!$A$2:$A$148,0)))</f>
        <v>3000</v>
      </c>
      <c r="H131" s="13" t="n">
        <f aca="false">IF(G131="",0,F131*G131)</f>
        <v>3000</v>
      </c>
      <c r="I131" s="13" t="n">
        <f aca="false">IF(INDEX(Articles!$E$2:$E$148,MATCH(C131,Articles!$A$2:$A$148,0))="","",INDEX(Articles!$E$2:$E$148,MATCH(C131,Articles!$A$2:$A$148,0)))</f>
        <v>2400</v>
      </c>
      <c r="J131" s="13" t="n">
        <f aca="false">IF(I131="","",F131*I131)</f>
        <v>2400</v>
      </c>
      <c r="K131" s="9" t="str">
        <f aca="false">INDEX(Articles!$H$2:$H$148,MATCH(C131,Articles!$A$2:$A$148,0))</f>
        <v>Fixé</v>
      </c>
      <c r="L131" s="9" t="str">
        <f aca="false">INDEX(Articles!$F$2:$F$148,MATCH(C131,Articles!$A$2:$A$148,0))</f>
        <v>Confirmé</v>
      </c>
      <c r="M131" s="17"/>
      <c r="N131" s="9" t="s">
        <v>167</v>
      </c>
    </row>
    <row r="132" customFormat="false" ht="15" hidden="false" customHeight="false" outlineLevel="0" collapsed="false">
      <c r="A132" s="9" t="s">
        <v>703</v>
      </c>
      <c r="B132" s="9" t="s">
        <v>929</v>
      </c>
      <c r="C132" s="31" t="s">
        <v>651</v>
      </c>
      <c r="D132" s="9" t="str">
        <f aca="false">INDEX(Articles!$C$2:$C$148,MATCH(C132,Articles!$A$2:$A$148,0))</f>
        <v>Livre de Mathématiques Tlᵉ</v>
      </c>
      <c r="E132" s="9" t="str">
        <f aca="false">INDEX(Articles!$B$2:$B$148,MATCH(C132,Articles!$A$2:$A$148,0))</f>
        <v>LPD</v>
      </c>
      <c r="F132" s="31" t="n">
        <v>1</v>
      </c>
      <c r="G132" s="13" t="n">
        <f aca="false">IF(INDEX(Articles!$G$2:$G$148,MATCH(C132,Articles!$A$2:$A$148,0))="","",INDEX(Articles!$G$2:$G$148,MATCH(C132,Articles!$A$2:$A$148,0)))</f>
        <v>4720</v>
      </c>
      <c r="H132" s="13" t="n">
        <f aca="false">IF(G132="",0,F132*G132)</f>
        <v>4720</v>
      </c>
      <c r="I132" s="13" t="n">
        <f aca="false">IF(INDEX(Articles!$E$2:$E$148,MATCH(C132,Articles!$A$2:$A$148,0))="","",INDEX(Articles!$E$2:$E$148,MATCH(C132,Articles!$A$2:$A$148,0)))</f>
        <v>3720</v>
      </c>
      <c r="J132" s="13" t="n">
        <f aca="false">IF(I132="","",F132*I132)</f>
        <v>3720</v>
      </c>
      <c r="K132" s="9" t="str">
        <f aca="false">INDEX(Articles!$H$2:$H$148,MATCH(C132,Articles!$A$2:$A$148,0))</f>
        <v>Fixé</v>
      </c>
      <c r="L132" s="9" t="str">
        <f aca="false">INDEX(Articles!$F$2:$F$148,MATCH(C132,Articles!$A$2:$A$148,0))</f>
        <v>Estimé</v>
      </c>
      <c r="M132" s="17"/>
      <c r="N132" s="9" t="s">
        <v>167</v>
      </c>
    </row>
    <row r="133" customFormat="false" ht="15" hidden="false" customHeight="false" outlineLevel="0" collapsed="false">
      <c r="D133" s="32" t="s">
        <v>683</v>
      </c>
      <c r="E133" s="32"/>
      <c r="F133" s="32"/>
      <c r="G133" s="32"/>
      <c r="H133" s="33" t="n">
        <f aca="false">COUNTIF(G96:G132,"")</f>
        <v>1</v>
      </c>
    </row>
    <row r="134" customFormat="false" ht="15" hidden="false" customHeight="false" outlineLevel="0" collapsed="false">
      <c r="D134" s="32" t="s">
        <v>684</v>
      </c>
      <c r="E134" s="32"/>
      <c r="F134" s="32"/>
      <c r="G134" s="32"/>
      <c r="H134" s="33" t="n">
        <f aca="false">SUM(H96:H132)</f>
        <v>81215</v>
      </c>
    </row>
    <row r="135" customFormat="false" ht="15" hidden="false" customHeight="false" outlineLevel="0" collapsed="false">
      <c r="D135" s="32" t="s">
        <v>28</v>
      </c>
      <c r="E135" s="32"/>
      <c r="F135" s="32"/>
      <c r="G135" s="32"/>
      <c r="H135" s="33" t="n">
        <f aca="false">SUM(J96:J132)</f>
        <v>64550</v>
      </c>
    </row>
    <row r="136" customFormat="false" ht="15" hidden="false" customHeight="false" outlineLevel="0" collapsed="false">
      <c r="D136" s="32" t="s">
        <v>685</v>
      </c>
      <c r="E136" s="32"/>
      <c r="F136" s="32"/>
      <c r="G136" s="32"/>
      <c r="H136" s="33" t="n">
        <f aca="false">COUNTIF(I96:I132,"")</f>
        <v>5</v>
      </c>
    </row>
    <row r="137" customFormat="false" ht="15" hidden="false" customHeight="false" outlineLevel="0" collapsed="false">
      <c r="D137" s="32" t="s">
        <v>686</v>
      </c>
      <c r="E137" s="32"/>
      <c r="F137" s="32"/>
      <c r="G137" s="32"/>
      <c r="H137" s="33" t="n">
        <f aca="false">SUMPRODUCT((I96:I132&lt;&gt;"")*H96:H132)-H135</f>
        <v>15240</v>
      </c>
    </row>
    <row r="138" customFormat="false" ht="15" hidden="false" customHeight="false" outlineLevel="0" collapsed="false">
      <c r="D138" s="32" t="s">
        <v>687</v>
      </c>
      <c r="E138" s="32"/>
      <c r="F138" s="32"/>
      <c r="G138" s="32"/>
      <c r="H138" s="33" t="n">
        <f aca="false">SUMIF(A96:A132,"Cahiers",F96:F132)</f>
        <v>13</v>
      </c>
    </row>
    <row r="139" customFormat="false" ht="15" hidden="false" customHeight="false" outlineLevel="0" collapsed="false">
      <c r="D139" s="32" t="s">
        <v>688</v>
      </c>
      <c r="E139" s="32"/>
      <c r="F139" s="32"/>
      <c r="G139" s="32"/>
      <c r="H139" s="34" t="n">
        <f aca="false">IF(H134=0,0,SUMIF(K96:K132,"&lt;&gt;Fixé",H96:H132)/H134)</f>
        <v>0.0985039709413286</v>
      </c>
    </row>
    <row r="140" customFormat="false" ht="15" hidden="false" customHeight="false" outlineLevel="0" collapsed="false">
      <c r="D140" s="32" t="s">
        <v>689</v>
      </c>
      <c r="E140" s="32"/>
      <c r="F140" s="32"/>
      <c r="G140" s="32"/>
      <c r="H140" s="33" t="str">
        <f aca="false">IF(H133&gt;0,"Total incomplet : "&amp;H133&amp;" prix de vente à fournir",IF(H136&gt;0,"Coût incomplet : "&amp;H136&amp;" ligne(s) sans prix d'achat","Complet"))</f>
        <v>Total incomplet : 1 prix de vente à fournir</v>
      </c>
    </row>
    <row r="141" customFormat="false" ht="15" hidden="false" customHeight="false" outlineLevel="0" collapsed="false">
      <c r="D141" s="21" t="s">
        <v>696</v>
      </c>
      <c r="E141" s="21" t="str">
        <f aca="false">INDEX(Articles!$C$2:$C$148,MATCH("S020",Articles!$A$2:$A$148,0))</f>
        <v>Sac à dos bleu marine</v>
      </c>
      <c r="H141" s="41" t="n">
        <f aca="false">INDEX(Articles!$G$2:$G$148,MATCH("S020",Articles!$A$2:$A$148,0))</f>
        <v>7000</v>
      </c>
    </row>
    <row r="142" customFormat="false" ht="15" hidden="false" customHeight="false" outlineLevel="0" collapsed="false">
      <c r="D142" s="42" t="s">
        <v>697</v>
      </c>
      <c r="E142" s="43" t="s">
        <v>912</v>
      </c>
    </row>
    <row r="143" customFormat="false" ht="15" hidden="false" customHeight="false" outlineLevel="0" collapsed="false">
      <c r="E143" s="43" t="s">
        <v>913</v>
      </c>
    </row>
    <row r="144" customFormat="false" ht="15" hidden="false" customHeight="false" outlineLevel="0" collapsed="false">
      <c r="E144" s="43" t="s">
        <v>914</v>
      </c>
    </row>
    <row r="145" customFormat="false" ht="15" hidden="false" customHeight="false" outlineLevel="0" collapsed="false">
      <c r="E145" s="43" t="s">
        <v>887</v>
      </c>
    </row>
    <row r="146" customFormat="false" ht="15" hidden="false" customHeight="false" outlineLevel="0" collapsed="false">
      <c r="E146" s="43" t="s">
        <v>926</v>
      </c>
    </row>
    <row r="147" customFormat="false" ht="15" hidden="false" customHeight="false" outlineLevel="0" collapsed="false">
      <c r="E147" s="43" t="s">
        <v>921</v>
      </c>
    </row>
  </sheetData>
  <mergeCells count="24">
    <mergeCell ref="D29:G29"/>
    <mergeCell ref="D30:G30"/>
    <mergeCell ref="D31:G31"/>
    <mergeCell ref="D32:G32"/>
    <mergeCell ref="D33:G33"/>
    <mergeCell ref="D34:G34"/>
    <mergeCell ref="D35:G35"/>
    <mergeCell ref="D36:G36"/>
    <mergeCell ref="D78:G78"/>
    <mergeCell ref="D79:G79"/>
    <mergeCell ref="D80:G80"/>
    <mergeCell ref="D81:G81"/>
    <mergeCell ref="D82:G82"/>
    <mergeCell ref="D83:G83"/>
    <mergeCell ref="D84:G84"/>
    <mergeCell ref="D85:G85"/>
    <mergeCell ref="D133:G133"/>
    <mergeCell ref="D134:G134"/>
    <mergeCell ref="D135:G135"/>
    <mergeCell ref="D136:G136"/>
    <mergeCell ref="D137:G137"/>
    <mergeCell ref="D138:G138"/>
    <mergeCell ref="D139:G139"/>
    <mergeCell ref="D140:G1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936</v>
      </c>
    </row>
    <row r="2" customFormat="false" ht="15" hidden="false" customHeight="false" outlineLevel="0" collapsed="false">
      <c r="A2" s="21" t="s">
        <v>937</v>
      </c>
    </row>
    <row r="4" customFormat="false" ht="15" hidden="false" customHeight="false" outlineLevel="0" collapsed="false">
      <c r="A4" s="28" t="s">
        <v>938</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939</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940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856</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857</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853</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744</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854</v>
      </c>
      <c r="C14" s="31" t="s">
        <v>195</v>
      </c>
      <c r="D14" s="9" t="str">
        <f aca="false">INDEX(Articles!$C$2:$C$148,MATCH(C14,Articles!$A$2:$A$148,0))</f>
        <v>Cahier Calligraphe 96 pages 17x22 56 g seyès</v>
      </c>
      <c r="E14" s="9" t="str">
        <f aca="false">INDEX(Articles!$B$2:$B$148,MATCH(C14,Articles!$A$2:$A$148,0))</f>
        <v>Papex</v>
      </c>
      <c r="F14" s="31" t="n">
        <v>1</v>
      </c>
      <c r="G14" s="13" t="n">
        <f aca="false">IF(INDEX(Articles!$G$2:$G$148,MATCH(C14,Articles!$A$2:$A$148,0))="","",INDEX(Articles!$G$2:$G$148,MATCH(C14,Articles!$A$2:$A$148,0)))</f>
        <v>450</v>
      </c>
      <c r="H14" s="13" t="n">
        <f aca="false">IF(G14="",0,F14*G14)</f>
        <v>450</v>
      </c>
      <c r="I14" s="13" t="n">
        <f aca="false">IF(INDEX(Articles!$E$2:$E$148,MATCH(C14,Articles!$A$2:$A$148,0))="","",INDEX(Articles!$E$2:$E$148,MATCH(C14,Articles!$A$2:$A$148,0)))</f>
        <v>350</v>
      </c>
      <c r="J14" s="13" t="n">
        <f aca="false">IF(I14="","",F14*I14)</f>
        <v>350</v>
      </c>
      <c r="K14" s="9" t="str">
        <f aca="false">INDEX(Articles!$H$2:$H$148,MATCH(C14,Articles!$A$2:$A$148,0))</f>
        <v>Fixé</v>
      </c>
      <c r="L14" s="9" t="str">
        <f aca="false">INDEX(Articles!$F$2:$F$148,MATCH(C14,Articles!$A$2:$A$148,0))</f>
        <v>Confirmé</v>
      </c>
      <c r="M14" s="17"/>
      <c r="N14" s="9" t="s">
        <v>167</v>
      </c>
    </row>
    <row r="15" customFormat="false" ht="15" hidden="false" customHeight="false" outlineLevel="0" collapsed="false">
      <c r="A15" s="9" t="s">
        <v>671</v>
      </c>
      <c r="B15" s="9" t="s">
        <v>850</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941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942</v>
      </c>
      <c r="C17" s="31" t="s">
        <v>210</v>
      </c>
      <c r="D17" s="9" t="str">
        <f aca="false">INDEX(Articles!$C$2:$C$148,MATCH(C17,Articles!$A$2:$A$148,0))</f>
        <v>Cahier L'écolier 192 pages</v>
      </c>
      <c r="E17" s="9" t="str">
        <f aca="false">INDEX(Articles!$B$2:$B$148,MATCH(C17,Articles!$A$2:$A$148,0))</f>
        <v>Papex</v>
      </c>
      <c r="F17" s="31" t="n">
        <v>1</v>
      </c>
      <c r="G17" s="13" t="n">
        <f aca="false">IF(INDEX(Articles!$G$2:$G$148,MATCH(C17,Articles!$A$2:$A$148,0))="","",INDEX(Articles!$G$2:$G$148,MATCH(C17,Articles!$A$2:$A$148,0)))</f>
        <v>500</v>
      </c>
      <c r="H17" s="13" t="n">
        <f aca="false">IF(G17="",0,F17*G17)</f>
        <v>500</v>
      </c>
      <c r="I17" s="13" t="n">
        <f aca="false">IF(INDEX(Articles!$E$2:$E$148,MATCH(C17,Articles!$A$2:$A$148,0))="","",INDEX(Articles!$E$2:$E$148,MATCH(C17,Articles!$A$2:$A$148,0)))</f>
        <v>400</v>
      </c>
      <c r="J17" s="13" t="n">
        <f aca="false">IF(I17="","",F17*I17)</f>
        <v>400</v>
      </c>
      <c r="K17" s="9" t="str">
        <f aca="false">INDEX(Articles!$H$2:$H$148,MATCH(C17,Articles!$A$2:$A$148,0))</f>
        <v>Estimé</v>
      </c>
      <c r="L17" s="9" t="str">
        <f aca="false">INDEX(Articles!$F$2:$F$148,MATCH(C17,Articles!$A$2:$A$148,0))</f>
        <v>Confirmé</v>
      </c>
      <c r="M17" s="17" t="s">
        <v>738</v>
      </c>
      <c r="N17" s="9" t="s">
        <v>167</v>
      </c>
    </row>
    <row r="18" customFormat="false" ht="15" hidden="false" customHeight="false" outlineLevel="0" collapsed="false">
      <c r="A18" s="9" t="s">
        <v>671</v>
      </c>
      <c r="B18" s="9" t="s">
        <v>943</v>
      </c>
      <c r="C18" s="31" t="s">
        <v>210</v>
      </c>
      <c r="D18" s="9" t="str">
        <f aca="false">INDEX(Articles!$C$2:$C$148,MATCH(C18,Articles!$A$2:$A$148,0))</f>
        <v>Cahier L'écolier 192 pages</v>
      </c>
      <c r="E18" s="9" t="str">
        <f aca="false">INDEX(Articles!$B$2:$B$148,MATCH(C18,Articles!$A$2:$A$148,0))</f>
        <v>Papex</v>
      </c>
      <c r="F18" s="31" t="n">
        <v>1</v>
      </c>
      <c r="G18" s="13" t="n">
        <f aca="false">IF(INDEX(Articles!$G$2:$G$148,MATCH(C18,Articles!$A$2:$A$148,0))="","",INDEX(Articles!$G$2:$G$148,MATCH(C18,Articles!$A$2:$A$148,0)))</f>
        <v>500</v>
      </c>
      <c r="H18" s="13" t="n">
        <f aca="false">IF(G18="",0,F18*G18)</f>
        <v>500</v>
      </c>
      <c r="I18" s="13" t="n">
        <f aca="false">IF(INDEX(Articles!$E$2:$E$148,MATCH(C18,Articles!$A$2:$A$148,0))="","",INDEX(Articles!$E$2:$E$148,MATCH(C18,Articles!$A$2:$A$148,0)))</f>
        <v>400</v>
      </c>
      <c r="J18" s="13" t="n">
        <f aca="false">IF(I18="","",F18*I18)</f>
        <v>400</v>
      </c>
      <c r="K18" s="9" t="str">
        <f aca="false">INDEX(Articles!$H$2:$H$148,MATCH(C18,Articles!$A$2:$A$148,0))</f>
        <v>Estimé</v>
      </c>
      <c r="L18" s="9" t="str">
        <f aca="false">INDEX(Articles!$F$2:$F$148,MATCH(C18,Articles!$A$2:$A$148,0))</f>
        <v>Confirmé</v>
      </c>
      <c r="M18" s="17" t="s">
        <v>738</v>
      </c>
      <c r="N18" s="9" t="s">
        <v>167</v>
      </c>
    </row>
    <row r="19" customFormat="false" ht="15" hidden="false" customHeight="false" outlineLevel="0" collapsed="false">
      <c r="A19" s="9" t="s">
        <v>671</v>
      </c>
      <c r="B19" s="9" t="s">
        <v>944</v>
      </c>
      <c r="C19" s="31" t="s">
        <v>195</v>
      </c>
      <c r="D19" s="9" t="str">
        <f aca="false">INDEX(Articles!$C$2:$C$148,MATCH(C19,Articles!$A$2:$A$148,0))</f>
        <v>Cahier Calligraphe 96 pages 17x22 56 g seyès</v>
      </c>
      <c r="E19" s="9" t="str">
        <f aca="false">INDEX(Articles!$B$2:$B$148,MATCH(C19,Articles!$A$2:$A$148,0))</f>
        <v>Papex</v>
      </c>
      <c r="F19" s="31" t="n">
        <v>1</v>
      </c>
      <c r="G19" s="13" t="n">
        <f aca="false">IF(INDEX(Articles!$G$2:$G$148,MATCH(C19,Articles!$A$2:$A$148,0))="","",INDEX(Articles!$G$2:$G$148,MATCH(C19,Articles!$A$2:$A$148,0)))</f>
        <v>450</v>
      </c>
      <c r="H19" s="13" t="n">
        <f aca="false">IF(G19="",0,F19*G19)</f>
        <v>450</v>
      </c>
      <c r="I19" s="13" t="n">
        <f aca="false">IF(INDEX(Articles!$E$2:$E$148,MATCH(C19,Articles!$A$2:$A$148,0))="","",INDEX(Articles!$E$2:$E$148,MATCH(C19,Articles!$A$2:$A$148,0)))</f>
        <v>350</v>
      </c>
      <c r="J19" s="13" t="n">
        <f aca="false">IF(I19="","",F19*I19)</f>
        <v>350</v>
      </c>
      <c r="K19" s="9" t="str">
        <f aca="false">INDEX(Articles!$H$2:$H$148,MATCH(C19,Articles!$A$2:$A$148,0))</f>
        <v>Fixé</v>
      </c>
      <c r="L19" s="9" t="str">
        <f aca="false">INDEX(Articles!$F$2:$F$148,MATCH(C19,Articles!$A$2:$A$148,0))</f>
        <v>Confirmé</v>
      </c>
      <c r="M19" s="17"/>
      <c r="N19" s="9" t="s">
        <v>167</v>
      </c>
    </row>
    <row r="20" customFormat="false" ht="15" hidden="false" customHeight="false" outlineLevel="0" collapsed="false">
      <c r="A20" s="9" t="s">
        <v>678</v>
      </c>
      <c r="B20" s="9" t="s">
        <v>749</v>
      </c>
      <c r="C20" s="31" t="s">
        <v>222</v>
      </c>
      <c r="D20" s="9" t="str">
        <f aca="false">INDEX(Articles!$C$2:$C$148,MATCH(C20,Articles!$A$2:$A$148,0))</f>
        <v>Pack de 4 stylos Schneider Tops 505 M (bleu, noir, rouge, vert)</v>
      </c>
      <c r="E20" s="9" t="str">
        <f aca="false">INDEX(Articles!$B$2:$B$148,MATCH(C20,Articles!$A$2:$A$148,0))</f>
        <v>Papex</v>
      </c>
      <c r="F20" s="31" t="n">
        <v>1</v>
      </c>
      <c r="G20" s="13" t="n">
        <f aca="false">IF(INDEX(Articles!$G$2:$G$148,MATCH(C20,Articles!$A$2:$A$148,0))="","",INDEX(Articles!$G$2:$G$148,MATCH(C20,Articles!$A$2:$A$148,0)))</f>
        <v>400</v>
      </c>
      <c r="H20" s="13" t="n">
        <f aca="false">IF(G20="",0,F20*G20)</f>
        <v>400</v>
      </c>
      <c r="I20" s="13" t="str">
        <f aca="false">IF(INDEX(Articles!$E$2:$E$148,MATCH(C20,Articles!$A$2:$A$148,0))="","",INDEX(Articles!$E$2:$E$148,MATCH(C20,Articles!$A$2:$A$148,0)))</f>
        <v/>
      </c>
      <c r="J20" s="13" t="str">
        <f aca="false">IF(I20="","",F20*I20)</f>
        <v/>
      </c>
      <c r="K20" s="9" t="str">
        <f aca="false">INDEX(Articles!$H$2:$H$148,MATCH(C20,Articles!$A$2:$A$148,0))</f>
        <v>Fixé</v>
      </c>
      <c r="L20" s="9" t="str">
        <f aca="false">INDEX(Articles!$F$2:$F$148,MATCH(C20,Articles!$A$2:$A$148,0))</f>
        <v>Inconnu</v>
      </c>
      <c r="M20" s="17" t="s">
        <v>432</v>
      </c>
      <c r="N20" s="9" t="s">
        <v>167</v>
      </c>
    </row>
    <row r="21" customFormat="false" ht="15" hidden="false" customHeight="false" outlineLevel="0" collapsed="false">
      <c r="A21" s="9" t="s">
        <v>678</v>
      </c>
      <c r="B21" s="9" t="s">
        <v>750</v>
      </c>
      <c r="C21" s="31" t="s">
        <v>235</v>
      </c>
      <c r="D21" s="9" t="str">
        <f aca="false">INDEX(Articles!$C$2:$C$148,MATCH(C21,Articles!$A$2:$A$148,0))</f>
        <v>Crayon papier (vendu à l'unité)</v>
      </c>
      <c r="E21" s="9" t="str">
        <f aca="false">INDEX(Articles!$B$2:$B$148,MATCH(C21,Articles!$A$2:$A$148,0))</f>
        <v>LPD</v>
      </c>
      <c r="F21" s="31" t="n">
        <v>1</v>
      </c>
      <c r="G21" s="13" t="n">
        <f aca="false">IF(INDEX(Articles!$G$2:$G$148,MATCH(C21,Articles!$A$2:$A$148,0))="","",INDEX(Articles!$G$2:$G$148,MATCH(C21,Articles!$A$2:$A$148,0)))</f>
        <v>75</v>
      </c>
      <c r="H21" s="13" t="n">
        <f aca="false">IF(G21="",0,F21*G21)</f>
        <v>75</v>
      </c>
      <c r="I21" s="13" t="str">
        <f aca="false">IF(INDEX(Articles!$E$2:$E$148,MATCH(C21,Articles!$A$2:$A$148,0))="","",INDEX(Articles!$E$2:$E$148,MATCH(C21,Articles!$A$2:$A$148,0)))</f>
        <v/>
      </c>
      <c r="J21" s="13" t="str">
        <f aca="false">IF(I21="","",F21*I21)</f>
        <v/>
      </c>
      <c r="K21" s="9" t="str">
        <f aca="false">INDEX(Articles!$H$2:$H$148,MATCH(C21,Articles!$A$2:$A$148,0))</f>
        <v>Fixé</v>
      </c>
      <c r="L21" s="9" t="str">
        <f aca="false">INDEX(Articles!$F$2:$F$148,MATCH(C21,Articles!$A$2:$A$148,0))</f>
        <v>Inconnu</v>
      </c>
      <c r="M21" s="17"/>
      <c r="N21" s="9" t="s">
        <v>167</v>
      </c>
    </row>
    <row r="22" customFormat="false" ht="15" hidden="false" customHeight="false" outlineLevel="0" collapsed="false">
      <c r="A22" s="9" t="s">
        <v>675</v>
      </c>
      <c r="B22" s="9" t="s">
        <v>717</v>
      </c>
      <c r="C22" s="31" t="s">
        <v>180</v>
      </c>
      <c r="D22" s="9" t="str">
        <f aca="false">INDEX(Articles!$C$2:$C$148,MATCH(C22,Articles!$A$2:$A$148,0))</f>
        <v>Gomme Staedtler Mars Plastic</v>
      </c>
      <c r="E22" s="9" t="str">
        <f aca="false">INDEX(Articles!$B$2:$B$148,MATCH(C22,Articles!$A$2:$A$148,0))</f>
        <v>LPD</v>
      </c>
      <c r="F22" s="31" t="n">
        <v>1</v>
      </c>
      <c r="G22" s="13" t="n">
        <f aca="false">IF(INDEX(Articles!$G$2:$G$148,MATCH(C22,Articles!$A$2:$A$148,0))="","",INDEX(Articles!$G$2:$G$148,MATCH(C22,Articles!$A$2:$A$148,0)))</f>
        <v>250</v>
      </c>
      <c r="H22" s="13" t="n">
        <f aca="false">IF(G22="",0,F22*G22)</f>
        <v>250</v>
      </c>
      <c r="I22" s="13" t="n">
        <f aca="false">IF(INDEX(Articles!$E$2:$E$148,MATCH(C22,Articles!$A$2:$A$148,0))="","",INDEX(Articles!$E$2:$E$148,MATCH(C22,Articles!$A$2:$A$148,0)))</f>
        <v>110</v>
      </c>
      <c r="J22" s="13" t="n">
        <f aca="false">IF(I22="","",F22*I22)</f>
        <v>110</v>
      </c>
      <c r="K22" s="9" t="str">
        <f aca="false">INDEX(Articles!$H$2:$H$148,MATCH(C22,Articles!$A$2:$A$148,0))</f>
        <v>Fixé</v>
      </c>
      <c r="L22" s="9" t="str">
        <f aca="false">INDEX(Articles!$F$2:$F$148,MATCH(C22,Articles!$A$2:$A$148,0))</f>
        <v>Estimé</v>
      </c>
      <c r="M22" s="17"/>
      <c r="N22" s="9" t="s">
        <v>167</v>
      </c>
    </row>
    <row r="23" customFormat="false" ht="15" hidden="false" customHeight="false" outlineLevel="0" collapsed="false">
      <c r="A23" s="9" t="s">
        <v>675</v>
      </c>
      <c r="B23" s="9" t="s">
        <v>751</v>
      </c>
      <c r="C23" s="31" t="s">
        <v>183</v>
      </c>
      <c r="D23" s="9" t="str">
        <f aca="false">INDEX(Articles!$C$2:$C$148,MATCH(C23,Articles!$A$2:$A$148,0))</f>
        <v>Taille-crayon avec réservoir Maped</v>
      </c>
      <c r="E23" s="9" t="str">
        <f aca="false">INDEX(Articles!$B$2:$B$148,MATCH(C23,Articles!$A$2:$A$148,0))</f>
        <v>Papex</v>
      </c>
      <c r="F23" s="31" t="n">
        <v>1</v>
      </c>
      <c r="G23" s="13" t="n">
        <f aca="false">IF(INDEX(Articles!$G$2:$G$148,MATCH(C23,Articles!$A$2:$A$148,0))="","",INDEX(Articles!$G$2:$G$148,MATCH(C23,Articles!$A$2:$A$148,0)))</f>
        <v>500</v>
      </c>
      <c r="H23" s="13" t="n">
        <f aca="false">IF(G23="",0,F23*G23)</f>
        <v>500</v>
      </c>
      <c r="I23" s="13" t="n">
        <f aca="false">IF(INDEX(Articles!$E$2:$E$148,MATCH(C23,Articles!$A$2:$A$148,0))="","",INDEX(Articles!$E$2:$E$148,MATCH(C23,Articles!$A$2:$A$148,0)))</f>
        <v>350</v>
      </c>
      <c r="J23" s="13" t="n">
        <f aca="false">IF(I23="","",F23*I23)</f>
        <v>350</v>
      </c>
      <c r="K23" s="9" t="str">
        <f aca="false">INDEX(Articles!$H$2:$H$148,MATCH(C23,Articles!$A$2:$A$148,0))</f>
        <v>Estimé</v>
      </c>
      <c r="L23" s="9" t="str">
        <f aca="false">INDEX(Articles!$F$2:$F$148,MATCH(C23,Articles!$A$2:$A$148,0))</f>
        <v>Estimé</v>
      </c>
      <c r="M23" s="17" t="s">
        <v>752</v>
      </c>
      <c r="N23" s="9" t="s">
        <v>167</v>
      </c>
    </row>
    <row r="24" customFormat="false" ht="15" hidden="false" customHeight="false" outlineLevel="0" collapsed="false">
      <c r="A24" s="9" t="s">
        <v>675</v>
      </c>
      <c r="B24" s="9" t="s">
        <v>753</v>
      </c>
      <c r="C24" s="31" t="s">
        <v>250</v>
      </c>
      <c r="D24" s="9" t="str">
        <f aca="false">INDEX(Articles!$C$2:$C$148,MATCH(C24,Articles!$A$2:$A$148,0))</f>
        <v>Bâton de colle Giotto 10 g</v>
      </c>
      <c r="E24" s="9" t="str">
        <f aca="false">INDEX(Articles!$B$2:$B$148,MATCH(C24,Articles!$A$2:$A$148,0))</f>
        <v>Papex</v>
      </c>
      <c r="F24" s="31" t="n">
        <v>1</v>
      </c>
      <c r="G24" s="13" t="n">
        <f aca="false">IF(INDEX(Articles!$G$2:$G$148,MATCH(C24,Articles!$A$2:$A$148,0))="","",INDEX(Articles!$G$2:$G$148,MATCH(C24,Articles!$A$2:$A$148,0)))</f>
        <v>500</v>
      </c>
      <c r="H24" s="13" t="n">
        <f aca="false">IF(G24="",0,F24*G24)</f>
        <v>500</v>
      </c>
      <c r="I24" s="13" t="n">
        <f aca="false">IF(INDEX(Articles!$E$2:$E$148,MATCH(C24,Articles!$A$2:$A$148,0))="","",INDEX(Articles!$E$2:$E$148,MATCH(C24,Articles!$A$2:$A$148,0)))</f>
        <v>350</v>
      </c>
      <c r="J24" s="13" t="n">
        <f aca="false">IF(I24="","",F24*I24)</f>
        <v>350</v>
      </c>
      <c r="K24" s="9" t="str">
        <f aca="false">INDEX(Articles!$H$2:$H$148,MATCH(C24,Articles!$A$2:$A$148,0))</f>
        <v>Estimé</v>
      </c>
      <c r="L24" s="9" t="str">
        <f aca="false">INDEX(Articles!$F$2:$F$148,MATCH(C24,Articles!$A$2:$A$148,0))</f>
        <v>Estimé</v>
      </c>
      <c r="M24" s="17"/>
      <c r="N24" s="9" t="s">
        <v>167</v>
      </c>
    </row>
    <row r="25" customFormat="false" ht="15" hidden="false" customHeight="false" outlineLevel="0" collapsed="false">
      <c r="A25" s="9" t="s">
        <v>675</v>
      </c>
      <c r="B25" s="9" t="s">
        <v>754</v>
      </c>
      <c r="C25" s="31" t="s">
        <v>233</v>
      </c>
      <c r="D25" s="9" t="str">
        <f aca="false">INDEX(Articles!$C$2:$C$148,MATCH(C25,Articles!$A$2:$A$148,0))</f>
        <v>Ciseaux scolaires bouts ronds</v>
      </c>
      <c r="E25" s="9" t="str">
        <f aca="false">INDEX(Articles!$B$2:$B$148,MATCH(C25,Articles!$A$2:$A$148,0))</f>
        <v>LPD</v>
      </c>
      <c r="F25" s="31" t="n">
        <v>1</v>
      </c>
      <c r="G25" s="13" t="n">
        <f aca="false">IF(INDEX(Articles!$G$2:$G$148,MATCH(C25,Articles!$A$2:$A$148,0))="","",INDEX(Articles!$G$2:$G$148,MATCH(C25,Articles!$A$2:$A$148,0)))</f>
        <v>250</v>
      </c>
      <c r="H25" s="13" t="n">
        <f aca="false">IF(G25="",0,F25*G25)</f>
        <v>250</v>
      </c>
      <c r="I25" s="13" t="n">
        <f aca="false">IF(INDEX(Articles!$E$2:$E$148,MATCH(C25,Articles!$A$2:$A$148,0))="","",INDEX(Articles!$E$2:$E$148,MATCH(C25,Articles!$A$2:$A$148,0)))</f>
        <v>100</v>
      </c>
      <c r="J25" s="13" t="n">
        <f aca="false">IF(I25="","",F25*I25)</f>
        <v>100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676</v>
      </c>
      <c r="B26" s="9" t="s">
        <v>755</v>
      </c>
      <c r="C26" s="31" t="s">
        <v>239</v>
      </c>
      <c r="D26" s="9" t="str">
        <f aca="false">INDEX(Articles!$C$2:$C$148,MATCH(C26,Articles!$A$2:$A$148,0))</f>
        <v>Kit de traçage 30 cm, 4 pièces L'écolier</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Confirmé</v>
      </c>
      <c r="M26" s="17"/>
      <c r="N26" s="9" t="s">
        <v>167</v>
      </c>
    </row>
    <row r="27" customFormat="false" ht="15" hidden="false" customHeight="false" outlineLevel="0" collapsed="false">
      <c r="A27" s="9" t="s">
        <v>676</v>
      </c>
      <c r="B27" s="9" t="s">
        <v>756</v>
      </c>
      <c r="C27" s="31" t="s">
        <v>217</v>
      </c>
      <c r="D27" s="9" t="str">
        <f aca="false">INDEX(Articles!$C$2:$C$148,MATCH(C27,Articles!$A$2:$A$148,0))</f>
        <v>Compas de précision avec étui</v>
      </c>
      <c r="E27" s="9" t="str">
        <f aca="false">INDEX(Articles!$B$2:$B$148,MATCH(C27,Articles!$A$2:$A$148,0))</f>
        <v>LPD</v>
      </c>
      <c r="F27" s="31" t="n">
        <v>1</v>
      </c>
      <c r="G27" s="13" t="n">
        <f aca="false">IF(INDEX(Articles!$G$2:$G$148,MATCH(C27,Articles!$A$2:$A$148,0))="","",INDEX(Articles!$G$2:$G$148,MATCH(C27,Articles!$A$2:$A$148,0)))</f>
        <v>600</v>
      </c>
      <c r="H27" s="13" t="n">
        <f aca="false">IF(G27="",0,F27*G27)</f>
        <v>600</v>
      </c>
      <c r="I27" s="13" t="n">
        <f aca="false">IF(INDEX(Articles!$E$2:$E$148,MATCH(C27,Articles!$A$2:$A$148,0))="","",INDEX(Articles!$E$2:$E$148,MATCH(C27,Articles!$A$2:$A$148,0)))</f>
        <v>450</v>
      </c>
      <c r="J27" s="13" t="n">
        <f aca="false">IF(I27="","",F27*I27)</f>
        <v>450</v>
      </c>
      <c r="K27" s="9" t="str">
        <f aca="false">INDEX(Articles!$H$2:$H$148,MATCH(C27,Articles!$A$2:$A$148,0))</f>
        <v>Fixé</v>
      </c>
      <c r="L27" s="9" t="str">
        <f aca="false">INDEX(Articles!$F$2:$F$148,MATCH(C27,Articles!$A$2:$A$148,0))</f>
        <v>Estimé</v>
      </c>
      <c r="M27" s="17"/>
      <c r="N27" s="9" t="s">
        <v>167</v>
      </c>
    </row>
    <row r="28" customFormat="false" ht="15" hidden="false" customHeight="false" outlineLevel="0" collapsed="false">
      <c r="A28" s="9" t="s">
        <v>681</v>
      </c>
      <c r="B28" s="9" t="s">
        <v>757</v>
      </c>
      <c r="C28" s="31" t="s">
        <v>198</v>
      </c>
      <c r="D28" s="9" t="str">
        <f aca="false">INDEX(Articles!$C$2:$C$148,MATCH(C28,Articles!$A$2:$A$148,0))</f>
        <v>Crayons de couleur Maped, boîte de 12</v>
      </c>
      <c r="E28" s="9" t="str">
        <f aca="false">INDEX(Articles!$B$2:$B$148,MATCH(C28,Articles!$A$2:$A$148,0))</f>
        <v>Papex</v>
      </c>
      <c r="F28" s="31" t="n">
        <v>1</v>
      </c>
      <c r="G28" s="13" t="n">
        <f aca="false">IF(INDEX(Articles!$G$2:$G$148,MATCH(C28,Articles!$A$2:$A$148,0))="","",INDEX(Articles!$G$2:$G$148,MATCH(C28,Articles!$A$2:$A$148,0)))</f>
        <v>900</v>
      </c>
      <c r="H28" s="13" t="n">
        <f aca="false">IF(G28="",0,F28*G28)</f>
        <v>900</v>
      </c>
      <c r="I28" s="13" t="n">
        <f aca="false">IF(INDEX(Articles!$E$2:$E$148,MATCH(C28,Articles!$A$2:$A$148,0))="","",INDEX(Articles!$E$2:$E$148,MATCH(C28,Articles!$A$2:$A$148,0)))</f>
        <v>650</v>
      </c>
      <c r="J28" s="13" t="n">
        <f aca="false">IF(I28="","",F28*I28)</f>
        <v>650</v>
      </c>
      <c r="K28" s="9" t="str">
        <f aca="false">INDEX(Articles!$H$2:$H$148,MATCH(C28,Articles!$A$2:$A$148,0))</f>
        <v>Estimé</v>
      </c>
      <c r="L28" s="9" t="str">
        <f aca="false">INDEX(Articles!$F$2:$F$148,MATCH(C28,Articles!$A$2:$A$148,0))</f>
        <v>Estimé</v>
      </c>
      <c r="M28" s="17"/>
      <c r="N28" s="9" t="s">
        <v>167</v>
      </c>
    </row>
    <row r="29" customFormat="false" ht="15" hidden="false" customHeight="false" outlineLevel="0" collapsed="false">
      <c r="A29" s="9" t="s">
        <v>676</v>
      </c>
      <c r="B29" s="9" t="s">
        <v>812</v>
      </c>
      <c r="C29" s="31" t="s">
        <v>242</v>
      </c>
      <c r="D29" s="9" t="str">
        <f aca="false">INDEX(Articles!$C$2:$C$148,MATCH(C29,Articles!$A$2:$A$148,0))</f>
        <v>Calculatrice scientifique Parpn YH-2000</v>
      </c>
      <c r="E29" s="9" t="str">
        <f aca="false">INDEX(Articles!$B$2:$B$148,MATCH(C29,Articles!$A$2:$A$148,0))</f>
        <v>LPD</v>
      </c>
      <c r="F29" s="31" t="n">
        <v>1</v>
      </c>
      <c r="G29" s="13" t="n">
        <f aca="false">IF(INDEX(Articles!$G$2:$G$148,MATCH(C29,Articles!$A$2:$A$148,0))="","",INDEX(Articles!$G$2:$G$148,MATCH(C29,Articles!$A$2:$A$148,0)))</f>
        <v>1400</v>
      </c>
      <c r="H29" s="13" t="n">
        <f aca="false">IF(G29="",0,F29*G29)</f>
        <v>1400</v>
      </c>
      <c r="I29" s="13" t="n">
        <f aca="false">IF(INDEX(Articles!$E$2:$E$148,MATCH(C29,Articles!$A$2:$A$148,0))="","",INDEX(Articles!$E$2:$E$148,MATCH(C29,Articles!$A$2:$A$148,0)))</f>
        <v>1100</v>
      </c>
      <c r="J29" s="13" t="n">
        <f aca="false">IF(I29="","",F29*I29)</f>
        <v>1100</v>
      </c>
      <c r="K29" s="9" t="str">
        <f aca="false">INDEX(Articles!$H$2:$H$148,MATCH(C29,Articles!$A$2:$A$148,0))</f>
        <v>Fixé</v>
      </c>
      <c r="L29" s="9" t="str">
        <f aca="false">INDEX(Articles!$F$2:$F$148,MATCH(C29,Articles!$A$2:$A$148,0))</f>
        <v>Confirmé</v>
      </c>
      <c r="M29" s="17" t="s">
        <v>813</v>
      </c>
      <c r="N29" s="9" t="s">
        <v>167</v>
      </c>
    </row>
    <row r="30" customFormat="false" ht="15" hidden="false" customHeight="false" outlineLevel="0" collapsed="false">
      <c r="A30" s="9" t="s">
        <v>758</v>
      </c>
      <c r="B30" s="9" t="s">
        <v>759</v>
      </c>
      <c r="C30" s="31" t="s">
        <v>376</v>
      </c>
      <c r="D30" s="9" t="str">
        <f aca="false">INDEX(Articles!$C$2:$C$148,MATCH(C30,Articles!$A$2:$A$148,0))</f>
        <v>Paquet de copies doubles grand format</v>
      </c>
      <c r="E30" s="9" t="str">
        <f aca="false">INDEX(Articles!$B$2:$B$148,MATCH(C30,Articles!$A$2:$A$148,0))</f>
        <v>À préciser</v>
      </c>
      <c r="F30" s="31" t="n">
        <v>1</v>
      </c>
      <c r="G30" s="45" t="n">
        <f aca="false">IF(INDEX(Articles!$G$2:$G$148,MATCH(C30,Articles!$A$2:$A$148,0))="","",INDEX(Articles!$G$2:$G$148,MATCH(C30,Articles!$A$2:$A$148,0)))</f>
        <v>1800</v>
      </c>
      <c r="H30" s="13" t="n">
        <f aca="false">IF(G30="",0,F30*G30)</f>
        <v>1800</v>
      </c>
      <c r="I30" s="13" t="n">
        <f aca="false">IF(INDEX(Articles!$E$2:$E$148,MATCH(C30,Articles!$A$2:$A$148,0))="","",INDEX(Articles!$E$2:$E$148,MATCH(C30,Articles!$A$2:$A$148,0)))</f>
        <v>1300</v>
      </c>
      <c r="J30" s="13" t="n">
        <f aca="false">IF(I30="","",F30*I30)</f>
        <v>1300</v>
      </c>
      <c r="K30" s="9" t="str">
        <f aca="false">INDEX(Articles!$H$2:$H$148,MATCH(C30,Articles!$A$2:$A$148,0))</f>
        <v>Fixé</v>
      </c>
      <c r="L30" s="9" t="str">
        <f aca="false">INDEX(Articles!$F$2:$F$148,MATCH(C30,Articles!$A$2:$A$148,0))</f>
        <v>Confirmé</v>
      </c>
      <c r="M30" s="17"/>
      <c r="N30" s="9" t="s">
        <v>167</v>
      </c>
    </row>
    <row r="31" customFormat="false" ht="15" hidden="false" customHeight="false" outlineLevel="0" collapsed="false">
      <c r="D31" s="32" t="s">
        <v>683</v>
      </c>
      <c r="E31" s="32"/>
      <c r="F31" s="32"/>
      <c r="G31" s="32"/>
      <c r="H31" s="33" t="n">
        <f aca="false">COUNTIF(G6:G30,"")</f>
        <v>0</v>
      </c>
    </row>
    <row r="32" customFormat="false" ht="15" hidden="false" customHeight="false" outlineLevel="0" collapsed="false">
      <c r="D32" s="32" t="s">
        <v>684</v>
      </c>
      <c r="E32" s="32"/>
      <c r="F32" s="32"/>
      <c r="G32" s="32"/>
      <c r="H32" s="33" t="n">
        <f aca="false">SUM(H6:H30)</f>
        <v>14425</v>
      </c>
    </row>
    <row r="33" customFormat="false" ht="15" hidden="false" customHeight="false" outlineLevel="0" collapsed="false">
      <c r="D33" s="32" t="s">
        <v>28</v>
      </c>
      <c r="E33" s="32"/>
      <c r="F33" s="32"/>
      <c r="G33" s="32"/>
      <c r="H33" s="33" t="n">
        <f aca="false">SUM(J6:J30)</f>
        <v>10510</v>
      </c>
    </row>
    <row r="34" customFormat="false" ht="15" hidden="false" customHeight="false" outlineLevel="0" collapsed="false">
      <c r="D34" s="32" t="s">
        <v>685</v>
      </c>
      <c r="E34" s="32"/>
      <c r="F34" s="32"/>
      <c r="G34" s="32"/>
      <c r="H34" s="33" t="n">
        <f aca="false">COUNTIF(I6:I30,"")</f>
        <v>2</v>
      </c>
    </row>
    <row r="35" customFormat="false" ht="15" hidden="false" customHeight="false" outlineLevel="0" collapsed="false">
      <c r="D35" s="32" t="s">
        <v>686</v>
      </c>
      <c r="E35" s="32"/>
      <c r="F35" s="32"/>
      <c r="G35" s="32"/>
      <c r="H35" s="33" t="n">
        <f aca="false">SUMPRODUCT((I6:I30&lt;&gt;"")*H6:H30)-H33</f>
        <v>3440</v>
      </c>
    </row>
    <row r="36" customFormat="false" ht="15" hidden="false" customHeight="false" outlineLevel="0" collapsed="false">
      <c r="D36" s="32" t="s">
        <v>687</v>
      </c>
      <c r="E36" s="32"/>
      <c r="F36" s="32"/>
      <c r="G36" s="32"/>
      <c r="H36" s="33" t="n">
        <f aca="false">SUMIF(A6:A30,"Cahiers",F6:F30)</f>
        <v>14</v>
      </c>
    </row>
    <row r="37" customFormat="false" ht="15" hidden="false" customHeight="false" outlineLevel="0" collapsed="false">
      <c r="D37" s="32" t="s">
        <v>688</v>
      </c>
      <c r="E37" s="32"/>
      <c r="F37" s="32"/>
      <c r="G37" s="32"/>
      <c r="H37" s="34" t="n">
        <f aca="false">IF(H32=0,0,SUMIF(K6:K30,"&lt;&gt;Fixé",H6:H30)/H32)</f>
        <v>0.575389948006932</v>
      </c>
    </row>
    <row r="38" customFormat="false" ht="15" hidden="false" customHeight="false" outlineLevel="0" collapsed="false">
      <c r="D38" s="32" t="s">
        <v>689</v>
      </c>
      <c r="E38" s="32"/>
      <c r="F38" s="32"/>
      <c r="G38" s="32"/>
      <c r="H38" s="33" t="str">
        <f aca="false">IF(H31&gt;0,"Total incomplet : "&amp;H31&amp;" prix de vente à fournir",IF(H34&gt;0,"Coût incomplet : "&amp;H34&amp;" ligne(s) sans prix d'achat","Complet"))</f>
        <v>Coût incomplet : 2 ligne(s) sans prix d'achat</v>
      </c>
    </row>
    <row r="40" customFormat="false" ht="15" hidden="false" customHeight="false" outlineLevel="0" collapsed="false">
      <c r="D40" s="35" t="s">
        <v>690</v>
      </c>
    </row>
    <row r="41" customFormat="false" ht="15" hidden="false" customHeight="false" outlineLevel="0" collapsed="false">
      <c r="A41" s="36" t="s">
        <v>760</v>
      </c>
      <c r="B41" s="36" t="s">
        <v>945</v>
      </c>
      <c r="C41" s="31" t="s">
        <v>497</v>
      </c>
      <c r="D41" s="36" t="str">
        <f aca="false">INDEX(Articles!$C$2:$C$148,MATCH(C41,Articles!$A$2:$A$148,0))</f>
        <v>Les Nouveaux Contes d'Amadou Koumba (Birago Diop)</v>
      </c>
      <c r="E41" s="37"/>
      <c r="F41" s="37"/>
      <c r="G41" s="38" t="n">
        <f aca="false">INDEX(Articles!$G$2:$G$148,MATCH(C41,Articles!$A$2:$A$148,0))</f>
        <v>3900</v>
      </c>
      <c r="H41" s="37"/>
      <c r="I41" s="37"/>
      <c r="J41" s="37"/>
      <c r="K41" s="37"/>
      <c r="L41" s="37"/>
      <c r="M41" s="37"/>
      <c r="N41" s="39" t="s">
        <v>271</v>
      </c>
    </row>
    <row r="42" customFormat="false" ht="15" hidden="false" customHeight="false" outlineLevel="0" collapsed="false">
      <c r="D42" s="40" t="s">
        <v>695</v>
      </c>
      <c r="H42" s="33" t="n">
        <f aca="false">H32+SUM(G41:G41)</f>
        <v>18325</v>
      </c>
    </row>
    <row r="43" customFormat="false" ht="15" hidden="false" customHeight="false" outlineLevel="0" collapsed="false">
      <c r="D43" s="21" t="s">
        <v>696</v>
      </c>
      <c r="E43" s="21" t="str">
        <f aca="false">INDEX(Articles!$C$2:$C$148,MATCH("S020",Articles!$A$2:$A$148,0))</f>
        <v>Sac à dos bleu marine</v>
      </c>
      <c r="H43" s="41" t="n">
        <f aca="false">INDEX(Articles!$G$2:$G$148,MATCH("S020",Articles!$A$2:$A$148,0))</f>
        <v>7000</v>
      </c>
    </row>
    <row r="44" customFormat="false" ht="15" hidden="false" customHeight="false" outlineLevel="0" collapsed="false">
      <c r="D44" s="42" t="s">
        <v>697</v>
      </c>
      <c r="E44" s="44" t="s">
        <v>711</v>
      </c>
    </row>
    <row r="47" customFormat="false" ht="15" hidden="false" customHeight="false" outlineLevel="0" collapsed="false">
      <c r="A47" s="28" t="s">
        <v>946</v>
      </c>
      <c r="B47" s="29"/>
      <c r="C47" s="29"/>
      <c r="D47" s="29"/>
      <c r="E47" s="29"/>
      <c r="F47" s="29"/>
      <c r="G47" s="29"/>
      <c r="H47" s="29"/>
      <c r="I47" s="29"/>
      <c r="J47" s="29"/>
      <c r="K47" s="29"/>
      <c r="L47" s="29"/>
      <c r="M47" s="29"/>
      <c r="N47" s="29"/>
    </row>
    <row r="48" customFormat="false" ht="39.55" hidden="false" customHeight="false" outlineLevel="0" collapsed="false">
      <c r="A48" s="30" t="s">
        <v>663</v>
      </c>
      <c r="B48" s="30" t="s">
        <v>664</v>
      </c>
      <c r="C48" s="30" t="s">
        <v>348</v>
      </c>
      <c r="D48" s="30" t="s">
        <v>350</v>
      </c>
      <c r="E48" s="30" t="s">
        <v>349</v>
      </c>
      <c r="F48" s="30" t="s">
        <v>665</v>
      </c>
      <c r="G48" s="30" t="s">
        <v>666</v>
      </c>
      <c r="H48" s="30" t="s">
        <v>667</v>
      </c>
      <c r="I48" s="30" t="s">
        <v>668</v>
      </c>
      <c r="J48" s="30" t="s">
        <v>669</v>
      </c>
      <c r="K48" s="30" t="s">
        <v>355</v>
      </c>
      <c r="L48" s="30" t="s">
        <v>353</v>
      </c>
      <c r="M48" s="30" t="s">
        <v>356</v>
      </c>
      <c r="N48" s="30" t="s">
        <v>670</v>
      </c>
    </row>
    <row r="49" customFormat="false" ht="15" hidden="false" customHeight="false" outlineLevel="0" collapsed="false">
      <c r="A49" s="9" t="s">
        <v>671</v>
      </c>
      <c r="B49" s="9" t="s">
        <v>939</v>
      </c>
      <c r="C49" s="31" t="s">
        <v>213</v>
      </c>
      <c r="D49" s="9" t="str">
        <f aca="false">INDEX(Articles!$C$2:$C$148,MATCH(C49,Articles!$A$2:$A$148,0))</f>
        <v>Cahier Calligraphe 192 pages 24x32 (grand format)</v>
      </c>
      <c r="E49" s="9" t="str">
        <f aca="false">INDEX(Articles!$B$2:$B$148,MATCH(C49,Articles!$A$2:$A$148,0))</f>
        <v>Papex</v>
      </c>
      <c r="F49" s="31" t="n">
        <v>1</v>
      </c>
      <c r="G49" s="13" t="n">
        <f aca="false">IF(INDEX(Articles!$G$2:$G$148,MATCH(C49,Articles!$A$2:$A$148,0))="","",INDEX(Articles!$G$2:$G$148,MATCH(C49,Articles!$A$2:$A$148,0)))</f>
        <v>1650</v>
      </c>
      <c r="H49" s="13" t="n">
        <f aca="false">IF(G49="",0,F49*G49)</f>
        <v>1650</v>
      </c>
      <c r="I49" s="13" t="n">
        <f aca="false">IF(INDEX(Articles!$E$2:$E$148,MATCH(C49,Articles!$A$2:$A$148,0))="","",INDEX(Articles!$E$2:$E$148,MATCH(C49,Articles!$A$2:$A$148,0)))</f>
        <v>1500</v>
      </c>
      <c r="J49" s="13" t="n">
        <f aca="false">IF(I49="","",F49*I49)</f>
        <v>1500</v>
      </c>
      <c r="K49" s="9" t="str">
        <f aca="false">INDEX(Articles!$H$2:$H$148,MATCH(C49,Articles!$A$2:$A$148,0))</f>
        <v>Fixé</v>
      </c>
      <c r="L49" s="9" t="str">
        <f aca="false">INDEX(Articles!$F$2:$F$148,MATCH(C49,Articles!$A$2:$A$148,0))</f>
        <v>Confirmé</v>
      </c>
      <c r="M49" s="17"/>
      <c r="N49" s="9" t="s">
        <v>167</v>
      </c>
    </row>
    <row r="50" customFormat="false" ht="15" hidden="false" customHeight="false" outlineLevel="0" collapsed="false">
      <c r="A50" s="9" t="s">
        <v>671</v>
      </c>
      <c r="B50" s="9" t="s">
        <v>940</v>
      </c>
      <c r="C50" s="31" t="s">
        <v>213</v>
      </c>
      <c r="D50" s="9" t="str">
        <f aca="false">INDEX(Articles!$C$2:$C$148,MATCH(C50,Articles!$A$2:$A$148,0))</f>
        <v>Cahier Calligraphe 192 pages 24x32 (grand format)</v>
      </c>
      <c r="E50" s="9" t="str">
        <f aca="false">INDEX(Articles!$B$2:$B$148,MATCH(C50,Articles!$A$2:$A$148,0))</f>
        <v>Papex</v>
      </c>
      <c r="F50" s="31" t="n">
        <v>1</v>
      </c>
      <c r="G50" s="13" t="n">
        <f aca="false">IF(INDEX(Articles!$G$2:$G$148,MATCH(C50,Articles!$A$2:$A$148,0))="","",INDEX(Articles!$G$2:$G$148,MATCH(C50,Articles!$A$2:$A$148,0)))</f>
        <v>1650</v>
      </c>
      <c r="H50" s="13" t="n">
        <f aca="false">IF(G50="",0,F50*G50)</f>
        <v>1650</v>
      </c>
      <c r="I50" s="13" t="n">
        <f aca="false">IF(INDEX(Articles!$E$2:$E$148,MATCH(C50,Articles!$A$2:$A$148,0))="","",INDEX(Articles!$E$2:$E$148,MATCH(C50,Articles!$A$2:$A$148,0)))</f>
        <v>1500</v>
      </c>
      <c r="J50" s="13" t="n">
        <f aca="false">IF(I50="","",F50*I50)</f>
        <v>1500</v>
      </c>
      <c r="K50" s="9" t="str">
        <f aca="false">INDEX(Articles!$H$2:$H$148,MATCH(C50,Articles!$A$2:$A$148,0))</f>
        <v>Fixé</v>
      </c>
      <c r="L50" s="9" t="str">
        <f aca="false">INDEX(Articles!$F$2:$F$148,MATCH(C50,Articles!$A$2:$A$148,0))</f>
        <v>Confirmé</v>
      </c>
      <c r="M50" s="17"/>
      <c r="N50" s="9" t="s">
        <v>167</v>
      </c>
    </row>
    <row r="51" customFormat="false" ht="15" hidden="false" customHeight="false" outlineLevel="0" collapsed="false">
      <c r="A51" s="9" t="s">
        <v>671</v>
      </c>
      <c r="B51" s="9" t="s">
        <v>856</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857</v>
      </c>
      <c r="C52" s="31" t="s">
        <v>366</v>
      </c>
      <c r="D52" s="9" t="str">
        <f aca="false">INDEX(Articles!$C$2:$C$148,MATCH(C52,Articles!$A$2:$A$148,0))</f>
        <v>Cahier Calligraphe 140 pages 17x22 90 g seyès</v>
      </c>
      <c r="E52" s="9" t="str">
        <f aca="false">INDEX(Articles!$B$2:$B$148,MATCH(C52,Articles!$A$2:$A$148,0))</f>
        <v>Papex</v>
      </c>
      <c r="F52" s="31" t="n">
        <v>1</v>
      </c>
      <c r="G52" s="13" t="n">
        <f aca="false">IF(INDEX(Articles!$G$2:$G$148,MATCH(C52,Articles!$A$2:$A$148,0))="","",INDEX(Articles!$G$2:$G$148,MATCH(C52,Articles!$A$2:$A$148,0)))</f>
        <v>750</v>
      </c>
      <c r="H52" s="13" t="n">
        <f aca="false">IF(G52="",0,F52*G52)</f>
        <v>750</v>
      </c>
      <c r="I52" s="13" t="n">
        <f aca="false">IF(INDEX(Articles!$E$2:$E$148,MATCH(C52,Articles!$A$2:$A$148,0))="","",INDEX(Articles!$E$2:$E$148,MATCH(C52,Articles!$A$2:$A$148,0)))</f>
        <v>650</v>
      </c>
      <c r="J52" s="13" t="n">
        <f aca="false">IF(I52="","",F52*I52)</f>
        <v>650</v>
      </c>
      <c r="K52" s="9" t="str">
        <f aca="false">INDEX(Articles!$H$2:$H$148,MATCH(C52,Articles!$A$2:$A$148,0))</f>
        <v>Fixé</v>
      </c>
      <c r="L52" s="9" t="str">
        <f aca="false">INDEX(Articles!$F$2:$F$148,MATCH(C52,Articles!$A$2:$A$148,0))</f>
        <v>Estimé</v>
      </c>
      <c r="M52" s="17" t="s">
        <v>763</v>
      </c>
      <c r="N52" s="9" t="s">
        <v>167</v>
      </c>
    </row>
    <row r="53" customFormat="false" ht="15" hidden="false" customHeight="false" outlineLevel="0" collapsed="false">
      <c r="A53" s="9" t="s">
        <v>671</v>
      </c>
      <c r="B53" s="9" t="s">
        <v>737</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739</v>
      </c>
      <c r="C54" s="31" t="s">
        <v>192</v>
      </c>
      <c r="D54" s="9" t="str">
        <f aca="false">INDEX(Articles!$C$2:$C$148,MATCH(C54,Articles!$A$2:$A$148,0))</f>
        <v>Cahier Calligraphe 192 pages 17x22 90 g seyès</v>
      </c>
      <c r="E54" s="9" t="str">
        <f aca="false">INDEX(Articles!$B$2:$B$148,MATCH(C54,Articles!$A$2:$A$148,0))</f>
        <v>Papex</v>
      </c>
      <c r="F54" s="31" t="n">
        <v>1</v>
      </c>
      <c r="G54" s="13" t="n">
        <f aca="false">IF(INDEX(Articles!$G$2:$G$148,MATCH(C54,Articles!$A$2:$A$148,0))="","",INDEX(Articles!$G$2:$G$148,MATCH(C54,Articles!$A$2:$A$148,0)))</f>
        <v>900</v>
      </c>
      <c r="H54" s="13" t="n">
        <f aca="false">IF(G54="",0,F54*G54)</f>
        <v>900</v>
      </c>
      <c r="I54" s="13" t="n">
        <f aca="false">IF(INDEX(Articles!$E$2:$E$148,MATCH(C54,Articles!$A$2:$A$148,0))="","",INDEX(Articles!$E$2:$E$148,MATCH(C54,Articles!$A$2:$A$148,0)))</f>
        <v>800</v>
      </c>
      <c r="J54" s="13" t="n">
        <f aca="false">IF(I54="","",F54*I54)</f>
        <v>800</v>
      </c>
      <c r="K54" s="9" t="str">
        <f aca="false">INDEX(Articles!$H$2:$H$148,MATCH(C54,Articles!$A$2:$A$148,0))</f>
        <v>Fixé</v>
      </c>
      <c r="L54" s="9" t="str">
        <f aca="false">INDEX(Articles!$F$2:$F$148,MATCH(C54,Articles!$A$2:$A$148,0))</f>
        <v>Confirmé</v>
      </c>
      <c r="M54" s="17"/>
      <c r="N54" s="9" t="s">
        <v>167</v>
      </c>
    </row>
    <row r="55" customFormat="false" ht="15" hidden="false" customHeight="false" outlineLevel="0" collapsed="false">
      <c r="A55" s="9" t="s">
        <v>671</v>
      </c>
      <c r="B55" s="9" t="s">
        <v>853</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744</v>
      </c>
      <c r="C56" s="31" t="s">
        <v>213</v>
      </c>
      <c r="D56" s="9" t="str">
        <f aca="false">INDEX(Articles!$C$2:$C$148,MATCH(C56,Articles!$A$2:$A$148,0))</f>
        <v>Cahier Calligraphe 192 pages 24x32 (grand format)</v>
      </c>
      <c r="E56" s="9" t="str">
        <f aca="false">INDEX(Articles!$B$2:$B$148,MATCH(C56,Articles!$A$2:$A$148,0))</f>
        <v>Papex</v>
      </c>
      <c r="F56" s="31" t="n">
        <v>1</v>
      </c>
      <c r="G56" s="13" t="n">
        <f aca="false">IF(INDEX(Articles!$G$2:$G$148,MATCH(C56,Articles!$A$2:$A$148,0))="","",INDEX(Articles!$G$2:$G$148,MATCH(C56,Articles!$A$2:$A$148,0)))</f>
        <v>1650</v>
      </c>
      <c r="H56" s="13" t="n">
        <f aca="false">IF(G56="",0,F56*G56)</f>
        <v>1650</v>
      </c>
      <c r="I56" s="13" t="n">
        <f aca="false">IF(INDEX(Articles!$E$2:$E$148,MATCH(C56,Articles!$A$2:$A$148,0))="","",INDEX(Articles!$E$2:$E$148,MATCH(C56,Articles!$A$2:$A$148,0)))</f>
        <v>1500</v>
      </c>
      <c r="J56" s="13" t="n">
        <f aca="false">IF(I56="","",F56*I56)</f>
        <v>1500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854</v>
      </c>
      <c r="C57" s="31" t="s">
        <v>366</v>
      </c>
      <c r="D57" s="9" t="str">
        <f aca="false">INDEX(Articles!$C$2:$C$148,MATCH(C57,Articles!$A$2:$A$148,0))</f>
        <v>Cahier Calligraphe 140 pages 17x22 90 g seyès</v>
      </c>
      <c r="E57" s="9" t="str">
        <f aca="false">INDEX(Articles!$B$2:$B$148,MATCH(C57,Articles!$A$2:$A$148,0))</f>
        <v>Papex</v>
      </c>
      <c r="F57" s="31" t="n">
        <v>1</v>
      </c>
      <c r="G57" s="13" t="n">
        <f aca="false">IF(INDEX(Articles!$G$2:$G$148,MATCH(C57,Articles!$A$2:$A$148,0))="","",INDEX(Articles!$G$2:$G$148,MATCH(C57,Articles!$A$2:$A$148,0)))</f>
        <v>750</v>
      </c>
      <c r="H57" s="13" t="n">
        <f aca="false">IF(G57="",0,F57*G57)</f>
        <v>750</v>
      </c>
      <c r="I57" s="13" t="n">
        <f aca="false">IF(INDEX(Articles!$E$2:$E$148,MATCH(C57,Articles!$A$2:$A$148,0))="","",INDEX(Articles!$E$2:$E$148,MATCH(C57,Articles!$A$2:$A$148,0)))</f>
        <v>650</v>
      </c>
      <c r="J57" s="13" t="n">
        <f aca="false">IF(I57="","",F57*I57)</f>
        <v>650</v>
      </c>
      <c r="K57" s="9" t="str">
        <f aca="false">INDEX(Articles!$H$2:$H$148,MATCH(C57,Articles!$A$2:$A$148,0))</f>
        <v>Fixé</v>
      </c>
      <c r="L57" s="9" t="str">
        <f aca="false">INDEX(Articles!$F$2:$F$148,MATCH(C57,Articles!$A$2:$A$148,0))</f>
        <v>Estimé</v>
      </c>
      <c r="M57" s="17" t="s">
        <v>763</v>
      </c>
      <c r="N57" s="9" t="s">
        <v>167</v>
      </c>
    </row>
    <row r="58" customFormat="false" ht="15" hidden="false" customHeight="false" outlineLevel="0" collapsed="false">
      <c r="A58" s="9" t="s">
        <v>671</v>
      </c>
      <c r="B58" s="9" t="s">
        <v>850</v>
      </c>
      <c r="C58" s="31" t="s">
        <v>208</v>
      </c>
      <c r="D58" s="9" t="str">
        <f aca="false">INDEX(Articles!$C$2:$C$148,MATCH(C58,Articles!$A$2:$A$148,0))</f>
        <v>Cahier Calligraphe 96 pages 24x32 (grand format)</v>
      </c>
      <c r="E58" s="9" t="str">
        <f aca="false">INDEX(Articles!$B$2:$B$148,MATCH(C58,Articles!$A$2:$A$148,0))</f>
        <v>Papex</v>
      </c>
      <c r="F58" s="31" t="n">
        <v>1</v>
      </c>
      <c r="G58" s="13" t="n">
        <f aca="false">IF(INDEX(Articles!$G$2:$G$148,MATCH(C58,Articles!$A$2:$A$148,0))="","",INDEX(Articles!$G$2:$G$148,MATCH(C58,Articles!$A$2:$A$148,0)))</f>
        <v>1350</v>
      </c>
      <c r="H58" s="13" t="n">
        <f aca="false">IF(G58="",0,F58*G58)</f>
        <v>1350</v>
      </c>
      <c r="I58" s="13" t="n">
        <f aca="false">IF(INDEX(Articles!$E$2:$E$148,MATCH(C58,Articles!$A$2:$A$148,0))="","",INDEX(Articles!$E$2:$E$148,MATCH(C58,Articles!$A$2:$A$148,0)))</f>
        <v>1000</v>
      </c>
      <c r="J58" s="13" t="n">
        <f aca="false">IF(I58="","",F58*I58)</f>
        <v>1000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941</v>
      </c>
      <c r="C59" s="31" t="s">
        <v>213</v>
      </c>
      <c r="D59" s="9" t="str">
        <f aca="false">INDEX(Articles!$C$2:$C$148,MATCH(C59,Articles!$A$2:$A$148,0))</f>
        <v>Cahier Calligraphe 192 pages 24x32 (grand format)</v>
      </c>
      <c r="E59" s="9" t="str">
        <f aca="false">INDEX(Articles!$B$2:$B$148,MATCH(C59,Articles!$A$2:$A$148,0))</f>
        <v>Papex</v>
      </c>
      <c r="F59" s="31" t="n">
        <v>1</v>
      </c>
      <c r="G59" s="13" t="n">
        <f aca="false">IF(INDEX(Articles!$G$2:$G$148,MATCH(C59,Articles!$A$2:$A$148,0))="","",INDEX(Articles!$G$2:$G$148,MATCH(C59,Articles!$A$2:$A$148,0)))</f>
        <v>1650</v>
      </c>
      <c r="H59" s="13" t="n">
        <f aca="false">IF(G59="",0,F59*G59)</f>
        <v>1650</v>
      </c>
      <c r="I59" s="13" t="n">
        <f aca="false">IF(INDEX(Articles!$E$2:$E$148,MATCH(C59,Articles!$A$2:$A$148,0))="","",INDEX(Articles!$E$2:$E$148,MATCH(C59,Articles!$A$2:$A$148,0)))</f>
        <v>1500</v>
      </c>
      <c r="J59" s="13" t="n">
        <f aca="false">IF(I59="","",F59*I59)</f>
        <v>1500</v>
      </c>
      <c r="K59" s="9" t="str">
        <f aca="false">INDEX(Articles!$H$2:$H$148,MATCH(C59,Articles!$A$2:$A$148,0))</f>
        <v>Fixé</v>
      </c>
      <c r="L59" s="9" t="str">
        <f aca="false">INDEX(Articles!$F$2:$F$148,MATCH(C59,Articles!$A$2:$A$148,0))</f>
        <v>Confirmé</v>
      </c>
      <c r="M59" s="17"/>
      <c r="N59" s="9" t="s">
        <v>167</v>
      </c>
    </row>
    <row r="60" customFormat="false" ht="15" hidden="false" customHeight="false" outlineLevel="0" collapsed="false">
      <c r="A60" s="9" t="s">
        <v>671</v>
      </c>
      <c r="B60" s="9" t="s">
        <v>942</v>
      </c>
      <c r="C60" s="31" t="s">
        <v>192</v>
      </c>
      <c r="D60" s="9" t="str">
        <f aca="false">INDEX(Articles!$C$2:$C$148,MATCH(C60,Articles!$A$2:$A$148,0))</f>
        <v>Cahier Calligraphe 192 pages 17x22 90 g seyès</v>
      </c>
      <c r="E60" s="9" t="str">
        <f aca="false">INDEX(Articles!$B$2:$B$148,MATCH(C60,Articles!$A$2:$A$148,0))</f>
        <v>Papex</v>
      </c>
      <c r="F60" s="31" t="n">
        <v>1</v>
      </c>
      <c r="G60" s="13" t="n">
        <f aca="false">IF(INDEX(Articles!$G$2:$G$148,MATCH(C60,Articles!$A$2:$A$148,0))="","",INDEX(Articles!$G$2:$G$148,MATCH(C60,Articles!$A$2:$A$148,0)))</f>
        <v>900</v>
      </c>
      <c r="H60" s="13" t="n">
        <f aca="false">IF(G60="",0,F60*G60)</f>
        <v>900</v>
      </c>
      <c r="I60" s="13" t="n">
        <f aca="false">IF(INDEX(Articles!$E$2:$E$148,MATCH(C60,Articles!$A$2:$A$148,0))="","",INDEX(Articles!$E$2:$E$148,MATCH(C60,Articles!$A$2:$A$148,0)))</f>
        <v>800</v>
      </c>
      <c r="J60" s="13" t="n">
        <f aca="false">IF(I60="","",F60*I60)</f>
        <v>800</v>
      </c>
      <c r="K60" s="9" t="str">
        <f aca="false">INDEX(Articles!$H$2:$H$148,MATCH(C60,Articles!$A$2:$A$148,0))</f>
        <v>Fixé</v>
      </c>
      <c r="L60" s="9" t="str">
        <f aca="false">INDEX(Articles!$F$2:$F$148,MATCH(C60,Articles!$A$2:$A$148,0))</f>
        <v>Confirmé</v>
      </c>
      <c r="M60" s="17"/>
      <c r="N60" s="9" t="s">
        <v>167</v>
      </c>
    </row>
    <row r="61" customFormat="false" ht="15" hidden="false" customHeight="false" outlineLevel="0" collapsed="false">
      <c r="A61" s="9" t="s">
        <v>671</v>
      </c>
      <c r="B61" s="9" t="s">
        <v>943</v>
      </c>
      <c r="C61" s="31" t="s">
        <v>192</v>
      </c>
      <c r="D61" s="9" t="str">
        <f aca="false">INDEX(Articles!$C$2:$C$148,MATCH(C61,Articles!$A$2:$A$148,0))</f>
        <v>Cahier Calligraphe 192 pages 17x22 90 g seyès</v>
      </c>
      <c r="E61" s="9" t="str">
        <f aca="false">INDEX(Articles!$B$2:$B$148,MATCH(C61,Articles!$A$2:$A$148,0))</f>
        <v>Papex</v>
      </c>
      <c r="F61" s="31" t="n">
        <v>1</v>
      </c>
      <c r="G61" s="13" t="n">
        <f aca="false">IF(INDEX(Articles!$G$2:$G$148,MATCH(C61,Articles!$A$2:$A$148,0))="","",INDEX(Articles!$G$2:$G$148,MATCH(C61,Articles!$A$2:$A$148,0)))</f>
        <v>900</v>
      </c>
      <c r="H61" s="13" t="n">
        <f aca="false">IF(G61="",0,F61*G61)</f>
        <v>900</v>
      </c>
      <c r="I61" s="13" t="n">
        <f aca="false">IF(INDEX(Articles!$E$2:$E$148,MATCH(C61,Articles!$A$2:$A$148,0))="","",INDEX(Articles!$E$2:$E$148,MATCH(C61,Articles!$A$2:$A$148,0)))</f>
        <v>800</v>
      </c>
      <c r="J61" s="13" t="n">
        <f aca="false">IF(I61="","",F61*I61)</f>
        <v>800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671</v>
      </c>
      <c r="B62" s="9" t="s">
        <v>944</v>
      </c>
      <c r="C62" s="31" t="s">
        <v>366</v>
      </c>
      <c r="D62" s="9" t="str">
        <f aca="false">INDEX(Articles!$C$2:$C$148,MATCH(C62,Articles!$A$2:$A$148,0))</f>
        <v>Cahier Calligraphe 140 pages 17x22 90 g seyès</v>
      </c>
      <c r="E62" s="9" t="str">
        <f aca="false">INDEX(Articles!$B$2:$B$148,MATCH(C62,Articles!$A$2:$A$148,0))</f>
        <v>Papex</v>
      </c>
      <c r="F62" s="31" t="n">
        <v>1</v>
      </c>
      <c r="G62" s="13" t="n">
        <f aca="false">IF(INDEX(Articles!$G$2:$G$148,MATCH(C62,Articles!$A$2:$A$148,0))="","",INDEX(Articles!$G$2:$G$148,MATCH(C62,Articles!$A$2:$A$148,0)))</f>
        <v>750</v>
      </c>
      <c r="H62" s="13" t="n">
        <f aca="false">IF(G62="",0,F62*G62)</f>
        <v>750</v>
      </c>
      <c r="I62" s="13" t="n">
        <f aca="false">IF(INDEX(Articles!$E$2:$E$148,MATCH(C62,Articles!$A$2:$A$148,0))="","",INDEX(Articles!$E$2:$E$148,MATCH(C62,Articles!$A$2:$A$148,0)))</f>
        <v>650</v>
      </c>
      <c r="J62" s="13" t="n">
        <f aca="false">IF(I62="","",F62*I62)</f>
        <v>650</v>
      </c>
      <c r="K62" s="9" t="str">
        <f aca="false">INDEX(Articles!$H$2:$H$148,MATCH(C62,Articles!$A$2:$A$148,0))</f>
        <v>Fixé</v>
      </c>
      <c r="L62" s="9" t="str">
        <f aca="false">INDEX(Articles!$F$2:$F$148,MATCH(C62,Articles!$A$2:$A$148,0))</f>
        <v>Estimé</v>
      </c>
      <c r="M62" s="17" t="s">
        <v>763</v>
      </c>
      <c r="N62" s="9" t="s">
        <v>167</v>
      </c>
    </row>
    <row r="63" customFormat="false" ht="15" hidden="false" customHeight="false" outlineLevel="0" collapsed="false">
      <c r="A63" s="9" t="s">
        <v>678</v>
      </c>
      <c r="B63" s="9" t="s">
        <v>749</v>
      </c>
      <c r="C63" s="31" t="s">
        <v>222</v>
      </c>
      <c r="D63" s="9" t="str">
        <f aca="false">INDEX(Articles!$C$2:$C$148,MATCH(C63,Articles!$A$2:$A$148,0))</f>
        <v>Pack de 4 stylos Schneider Tops 505 M (bleu, noir, rouge, vert)</v>
      </c>
      <c r="E63" s="9" t="str">
        <f aca="false">INDEX(Articles!$B$2:$B$148,MATCH(C63,Articles!$A$2:$A$148,0))</f>
        <v>Papex</v>
      </c>
      <c r="F63" s="31" t="n">
        <v>1</v>
      </c>
      <c r="G63" s="13" t="n">
        <f aca="false">IF(INDEX(Articles!$G$2:$G$148,MATCH(C63,Articles!$A$2:$A$148,0))="","",INDEX(Articles!$G$2:$G$148,MATCH(C63,Articles!$A$2:$A$148,0)))</f>
        <v>400</v>
      </c>
      <c r="H63" s="13" t="n">
        <f aca="false">IF(G63="",0,F63*G63)</f>
        <v>400</v>
      </c>
      <c r="I63" s="13" t="str">
        <f aca="false">IF(INDEX(Articles!$E$2:$E$148,MATCH(C63,Articles!$A$2:$A$148,0))="","",INDEX(Articles!$E$2:$E$148,MATCH(C63,Articles!$A$2:$A$148,0)))</f>
        <v/>
      </c>
      <c r="J63" s="13" t="str">
        <f aca="false">IF(I63="","",F63*I63)</f>
        <v/>
      </c>
      <c r="K63" s="9" t="str">
        <f aca="false">INDEX(Articles!$H$2:$H$148,MATCH(C63,Articles!$A$2:$A$148,0))</f>
        <v>Fixé</v>
      </c>
      <c r="L63" s="9" t="str">
        <f aca="false">INDEX(Articles!$F$2:$F$148,MATCH(C63,Articles!$A$2:$A$148,0))</f>
        <v>Inconnu</v>
      </c>
      <c r="M63" s="17" t="s">
        <v>432</v>
      </c>
      <c r="N63" s="9" t="s">
        <v>167</v>
      </c>
    </row>
    <row r="64" customFormat="false" ht="15" hidden="false" customHeight="false" outlineLevel="0" collapsed="false">
      <c r="A64" s="9" t="s">
        <v>678</v>
      </c>
      <c r="B64" s="9" t="s">
        <v>750</v>
      </c>
      <c r="C64" s="31" t="s">
        <v>235</v>
      </c>
      <c r="D64" s="9" t="str">
        <f aca="false">INDEX(Articles!$C$2:$C$148,MATCH(C64,Articles!$A$2:$A$148,0))</f>
        <v>Crayon papier (vendu à l'unité)</v>
      </c>
      <c r="E64" s="9" t="str">
        <f aca="false">INDEX(Articles!$B$2:$B$148,MATCH(C64,Articles!$A$2:$A$148,0))</f>
        <v>LPD</v>
      </c>
      <c r="F64" s="31" t="n">
        <v>1</v>
      </c>
      <c r="G64" s="13" t="n">
        <f aca="false">IF(INDEX(Articles!$G$2:$G$148,MATCH(C64,Articles!$A$2:$A$148,0))="","",INDEX(Articles!$G$2:$G$148,MATCH(C64,Articles!$A$2:$A$148,0)))</f>
        <v>75</v>
      </c>
      <c r="H64" s="13" t="n">
        <f aca="false">IF(G64="",0,F64*G64)</f>
        <v>75</v>
      </c>
      <c r="I64" s="13" t="str">
        <f aca="false">IF(INDEX(Articles!$E$2:$E$148,MATCH(C64,Articles!$A$2:$A$148,0))="","",INDEX(Articles!$E$2:$E$148,MATCH(C64,Articles!$A$2:$A$148,0)))</f>
        <v/>
      </c>
      <c r="J64" s="13" t="str">
        <f aca="false">IF(I64="","",F64*I64)</f>
        <v/>
      </c>
      <c r="K64" s="9" t="str">
        <f aca="false">INDEX(Articles!$H$2:$H$148,MATCH(C64,Articles!$A$2:$A$148,0))</f>
        <v>Fixé</v>
      </c>
      <c r="L64" s="9" t="str">
        <f aca="false">INDEX(Articles!$F$2:$F$148,MATCH(C64,Articles!$A$2:$A$148,0))</f>
        <v>Inconnu</v>
      </c>
      <c r="M64" s="17"/>
      <c r="N64" s="9" t="s">
        <v>167</v>
      </c>
    </row>
    <row r="65" customFormat="false" ht="15" hidden="false" customHeight="false" outlineLevel="0" collapsed="false">
      <c r="A65" s="9" t="s">
        <v>675</v>
      </c>
      <c r="B65" s="9" t="s">
        <v>717</v>
      </c>
      <c r="C65" s="31" t="s">
        <v>180</v>
      </c>
      <c r="D65" s="9" t="str">
        <f aca="false">INDEX(Articles!$C$2:$C$148,MATCH(C65,Articles!$A$2:$A$148,0))</f>
        <v>Gomme Staedtler Mars Plastic</v>
      </c>
      <c r="E65" s="9" t="str">
        <f aca="false">INDEX(Articles!$B$2:$B$148,MATCH(C65,Articles!$A$2:$A$148,0))</f>
        <v>LPD</v>
      </c>
      <c r="F65" s="31" t="n">
        <v>1</v>
      </c>
      <c r="G65" s="13" t="n">
        <f aca="false">IF(INDEX(Articles!$G$2:$G$148,MATCH(C65,Articles!$A$2:$A$148,0))="","",INDEX(Articles!$G$2:$G$148,MATCH(C65,Articles!$A$2:$A$148,0)))</f>
        <v>250</v>
      </c>
      <c r="H65" s="13" t="n">
        <f aca="false">IF(G65="",0,F65*G65)</f>
        <v>250</v>
      </c>
      <c r="I65" s="13" t="n">
        <f aca="false">IF(INDEX(Articles!$E$2:$E$148,MATCH(C65,Articles!$A$2:$A$148,0))="","",INDEX(Articles!$E$2:$E$148,MATCH(C65,Articles!$A$2:$A$148,0)))</f>
        <v>110</v>
      </c>
      <c r="J65" s="13" t="n">
        <f aca="false">IF(I65="","",F65*I65)</f>
        <v>110</v>
      </c>
      <c r="K65" s="9" t="str">
        <f aca="false">INDEX(Articles!$H$2:$H$148,MATCH(C65,Articles!$A$2:$A$148,0))</f>
        <v>Fixé</v>
      </c>
      <c r="L65" s="9" t="str">
        <f aca="false">INDEX(Articles!$F$2:$F$148,MATCH(C65,Articles!$A$2:$A$148,0))</f>
        <v>Estimé</v>
      </c>
      <c r="M65" s="17"/>
      <c r="N65" s="9" t="s">
        <v>167</v>
      </c>
    </row>
    <row r="66" customFormat="false" ht="15" hidden="false" customHeight="false" outlineLevel="0" collapsed="false">
      <c r="A66" s="9" t="s">
        <v>675</v>
      </c>
      <c r="B66" s="9" t="s">
        <v>751</v>
      </c>
      <c r="C66" s="31" t="s">
        <v>183</v>
      </c>
      <c r="D66" s="9" t="str">
        <f aca="false">INDEX(Articles!$C$2:$C$148,MATCH(C66,Articles!$A$2:$A$148,0))</f>
        <v>Taille-crayon avec réservoir Maped</v>
      </c>
      <c r="E66" s="9" t="str">
        <f aca="false">INDEX(Articles!$B$2:$B$148,MATCH(C66,Articles!$A$2:$A$148,0))</f>
        <v>Papex</v>
      </c>
      <c r="F66" s="31" t="n">
        <v>1</v>
      </c>
      <c r="G66" s="13" t="n">
        <f aca="false">IF(INDEX(Articles!$G$2:$G$148,MATCH(C66,Articles!$A$2:$A$148,0))="","",INDEX(Articles!$G$2:$G$148,MATCH(C66,Articles!$A$2:$A$148,0)))</f>
        <v>500</v>
      </c>
      <c r="H66" s="13" t="n">
        <f aca="false">IF(G66="",0,F66*G66)</f>
        <v>500</v>
      </c>
      <c r="I66" s="13" t="n">
        <f aca="false">IF(INDEX(Articles!$E$2:$E$148,MATCH(C66,Articles!$A$2:$A$148,0))="","",INDEX(Articles!$E$2:$E$148,MATCH(C66,Articles!$A$2:$A$148,0)))</f>
        <v>350</v>
      </c>
      <c r="J66" s="13" t="n">
        <f aca="false">IF(I66="","",F66*I66)</f>
        <v>350</v>
      </c>
      <c r="K66" s="9" t="str">
        <f aca="false">INDEX(Articles!$H$2:$H$148,MATCH(C66,Articles!$A$2:$A$148,0))</f>
        <v>Estimé</v>
      </c>
      <c r="L66" s="9" t="str">
        <f aca="false">INDEX(Articles!$F$2:$F$148,MATCH(C66,Articles!$A$2:$A$148,0))</f>
        <v>Estimé</v>
      </c>
      <c r="M66" s="17" t="s">
        <v>765</v>
      </c>
      <c r="N66" s="9" t="s">
        <v>167</v>
      </c>
    </row>
    <row r="67" customFormat="false" ht="15" hidden="false" customHeight="false" outlineLevel="0" collapsed="false">
      <c r="A67" s="9" t="s">
        <v>675</v>
      </c>
      <c r="B67" s="9" t="s">
        <v>753</v>
      </c>
      <c r="C67" s="31" t="s">
        <v>248</v>
      </c>
      <c r="D67" s="9" t="str">
        <f aca="false">INDEX(Articles!$C$2:$C$148,MATCH(C67,Articles!$A$2:$A$148,0))</f>
        <v>Bâton de colle Giotto 20 g</v>
      </c>
      <c r="E67" s="9" t="str">
        <f aca="false">INDEX(Articles!$B$2:$B$148,MATCH(C67,Articles!$A$2:$A$148,0))</f>
        <v>Papex</v>
      </c>
      <c r="F67" s="31" t="n">
        <v>1</v>
      </c>
      <c r="G67" s="13" t="n">
        <f aca="false">IF(INDEX(Articles!$G$2:$G$148,MATCH(C67,Articles!$A$2:$A$148,0))="","",INDEX(Articles!$G$2:$G$148,MATCH(C67,Articles!$A$2:$A$148,0)))</f>
        <v>900</v>
      </c>
      <c r="H67" s="13" t="n">
        <f aca="false">IF(G67="",0,F67*G67)</f>
        <v>900</v>
      </c>
      <c r="I67" s="13" t="n">
        <f aca="false">IF(INDEX(Articles!$E$2:$E$148,MATCH(C67,Articles!$A$2:$A$148,0))="","",INDEX(Articles!$E$2:$E$148,MATCH(C67,Articles!$A$2:$A$148,0)))</f>
        <v>650</v>
      </c>
      <c r="J67" s="13" t="n">
        <f aca="false">IF(I67="","",F67*I67)</f>
        <v>650</v>
      </c>
      <c r="K67" s="9" t="str">
        <f aca="false">INDEX(Articles!$H$2:$H$148,MATCH(C67,Articles!$A$2:$A$148,0))</f>
        <v>Estimé</v>
      </c>
      <c r="L67" s="9" t="str">
        <f aca="false">INDEX(Articles!$F$2:$F$148,MATCH(C67,Articles!$A$2:$A$148,0))</f>
        <v>Estimé</v>
      </c>
      <c r="M67" s="17"/>
      <c r="N67" s="9" t="s">
        <v>167</v>
      </c>
    </row>
    <row r="68" customFormat="false" ht="15" hidden="false" customHeight="false" outlineLevel="0" collapsed="false">
      <c r="A68" s="9" t="s">
        <v>675</v>
      </c>
      <c r="B68" s="9" t="s">
        <v>754</v>
      </c>
      <c r="C68" s="31" t="s">
        <v>189</v>
      </c>
      <c r="D68" s="9" t="str">
        <f aca="false">INDEX(Articles!$C$2:$C$148,MATCH(C68,Articles!$A$2:$A$148,0))</f>
        <v>Ciseaux Maped 13 cm Security</v>
      </c>
      <c r="E68" s="9" t="str">
        <f aca="false">INDEX(Articles!$B$2:$B$148,MATCH(C68,Articles!$A$2:$A$148,0))</f>
        <v>Papex</v>
      </c>
      <c r="F68" s="31" t="n">
        <v>1</v>
      </c>
      <c r="G68" s="13" t="n">
        <f aca="false">IF(INDEX(Articles!$G$2:$G$148,MATCH(C68,Articles!$A$2:$A$148,0))="","",INDEX(Articles!$G$2:$G$148,MATCH(C68,Articles!$A$2:$A$148,0)))</f>
        <v>900</v>
      </c>
      <c r="H68" s="13" t="n">
        <f aca="false">IF(G68="",0,F68*G68)</f>
        <v>900</v>
      </c>
      <c r="I68" s="13" t="n">
        <f aca="false">IF(INDEX(Articles!$E$2:$E$148,MATCH(C68,Articles!$A$2:$A$148,0))="","",INDEX(Articles!$E$2:$E$148,MATCH(C68,Articles!$A$2:$A$148,0)))</f>
        <v>650</v>
      </c>
      <c r="J68" s="13" t="n">
        <f aca="false">IF(I68="","",F68*I68)</f>
        <v>650</v>
      </c>
      <c r="K68" s="9" t="str">
        <f aca="false">INDEX(Articles!$H$2:$H$148,MATCH(C68,Articles!$A$2:$A$148,0))</f>
        <v>Estimé</v>
      </c>
      <c r="L68" s="9" t="str">
        <f aca="false">INDEX(Articles!$F$2:$F$148,MATCH(C68,Articles!$A$2:$A$148,0))</f>
        <v>Estimé</v>
      </c>
      <c r="M68" s="17"/>
      <c r="N68" s="9" t="s">
        <v>167</v>
      </c>
    </row>
    <row r="69" customFormat="false" ht="15" hidden="false" customHeight="false" outlineLevel="0" collapsed="false">
      <c r="A69" s="9" t="s">
        <v>676</v>
      </c>
      <c r="B69" s="9" t="s">
        <v>755</v>
      </c>
      <c r="C69" s="31" t="s">
        <v>215</v>
      </c>
      <c r="D69" s="9" t="str">
        <f aca="false">INDEX(Articles!$C$2:$C$148,MATCH(C69,Articles!$A$2:$A$148,0))</f>
        <v>Kit géométrie Maped 30 cm (réf. 1930)</v>
      </c>
      <c r="E69" s="9" t="str">
        <f aca="false">INDEX(Articles!$B$2:$B$148,MATCH(C69,Articles!$A$2:$A$148,0))</f>
        <v>LPD</v>
      </c>
      <c r="F69" s="31" t="n">
        <v>1</v>
      </c>
      <c r="G69" s="13" t="n">
        <f aca="false">IF(INDEX(Articles!$G$2:$G$148,MATCH(C69,Articles!$A$2:$A$148,0))="","",INDEX(Articles!$G$2:$G$148,MATCH(C69,Articles!$A$2:$A$148,0)))</f>
        <v>1800</v>
      </c>
      <c r="H69" s="13" t="n">
        <f aca="false">IF(G69="",0,F69*G69)</f>
        <v>1800</v>
      </c>
      <c r="I69" s="13" t="n">
        <f aca="false">IF(INDEX(Articles!$E$2:$E$148,MATCH(C69,Articles!$A$2:$A$148,0))="","",INDEX(Articles!$E$2:$E$148,MATCH(C69,Articles!$A$2:$A$148,0)))</f>
        <v>1500</v>
      </c>
      <c r="J69" s="13" t="n">
        <f aca="false">IF(I69="","",F69*I69)</f>
        <v>1500</v>
      </c>
      <c r="K69" s="9" t="str">
        <f aca="false">INDEX(Articles!$H$2:$H$148,MATCH(C69,Articles!$A$2:$A$148,0))</f>
        <v>À trancher</v>
      </c>
      <c r="L69" s="9" t="str">
        <f aca="false">INDEX(Articles!$F$2:$F$148,MATCH(C69,Articles!$A$2:$A$148,0))</f>
        <v>Confirmé</v>
      </c>
      <c r="M69" s="17"/>
      <c r="N69" s="9" t="s">
        <v>167</v>
      </c>
    </row>
    <row r="70" customFormat="false" ht="15" hidden="false" customHeight="false" outlineLevel="0" collapsed="false">
      <c r="A70" s="9" t="s">
        <v>676</v>
      </c>
      <c r="B70" s="9" t="s">
        <v>756</v>
      </c>
      <c r="C70" s="31" t="s">
        <v>171</v>
      </c>
      <c r="D70" s="9" t="str">
        <f aca="false">INDEX(Articles!$C$2:$C$148,MATCH(C70,Articles!$A$2:$A$148,0))</f>
        <v>Compas Maped</v>
      </c>
      <c r="E70" s="9" t="str">
        <f aca="false">INDEX(Articles!$B$2:$B$148,MATCH(C70,Articles!$A$2:$A$148,0))</f>
        <v>Papex</v>
      </c>
      <c r="F70" s="31" t="n">
        <v>1</v>
      </c>
      <c r="G70" s="13" t="n">
        <f aca="false">IF(INDEX(Articles!$G$2:$G$148,MATCH(C70,Articles!$A$2:$A$148,0))="","",INDEX(Articles!$G$2:$G$148,MATCH(C70,Articles!$A$2:$A$148,0)))</f>
        <v>2000</v>
      </c>
      <c r="H70" s="13" t="n">
        <f aca="false">IF(G70="",0,F70*G70)</f>
        <v>2000</v>
      </c>
      <c r="I70" s="13" t="n">
        <f aca="false">IF(INDEX(Articles!$E$2:$E$148,MATCH(C70,Articles!$A$2:$A$148,0))="","",INDEX(Articles!$E$2:$E$148,MATCH(C70,Articles!$A$2:$A$148,0)))</f>
        <v>1750</v>
      </c>
      <c r="J70" s="13" t="n">
        <f aca="false">IF(I70="","",F70*I70)</f>
        <v>1750</v>
      </c>
      <c r="K70" s="9" t="str">
        <f aca="false">INDEX(Articles!$H$2:$H$148,MATCH(C70,Articles!$A$2:$A$148,0))</f>
        <v>Fixé</v>
      </c>
      <c r="L70" s="9" t="str">
        <f aca="false">INDEX(Articles!$F$2:$F$148,MATCH(C70,Articles!$A$2:$A$148,0))</f>
        <v>Confirmé</v>
      </c>
      <c r="M70" s="17"/>
      <c r="N70" s="9" t="s">
        <v>167</v>
      </c>
    </row>
    <row r="71" customFormat="false" ht="15" hidden="false" customHeight="false" outlineLevel="0" collapsed="false">
      <c r="A71" s="9" t="s">
        <v>681</v>
      </c>
      <c r="B71" s="9" t="s">
        <v>757</v>
      </c>
      <c r="C71" s="31" t="s">
        <v>198</v>
      </c>
      <c r="D71" s="9" t="str">
        <f aca="false">INDEX(Articles!$C$2:$C$148,MATCH(C71,Articles!$A$2:$A$148,0))</f>
        <v>Crayons de couleur Maped, boîte de 12</v>
      </c>
      <c r="E71" s="9" t="str">
        <f aca="false">INDEX(Articles!$B$2:$B$148,MATCH(C71,Articles!$A$2:$A$148,0))</f>
        <v>Papex</v>
      </c>
      <c r="F71" s="31" t="n">
        <v>1</v>
      </c>
      <c r="G71" s="13" t="n">
        <f aca="false">IF(INDEX(Articles!$G$2:$G$148,MATCH(C71,Articles!$A$2:$A$148,0))="","",INDEX(Articles!$G$2:$G$148,MATCH(C71,Articles!$A$2:$A$148,0)))</f>
        <v>900</v>
      </c>
      <c r="H71" s="13" t="n">
        <f aca="false">IF(G71="",0,F71*G71)</f>
        <v>900</v>
      </c>
      <c r="I71" s="13" t="n">
        <f aca="false">IF(INDEX(Articles!$E$2:$E$148,MATCH(C71,Articles!$A$2:$A$148,0))="","",INDEX(Articles!$E$2:$E$148,MATCH(C71,Articles!$A$2:$A$148,0)))</f>
        <v>650</v>
      </c>
      <c r="J71" s="13" t="n">
        <f aca="false">IF(I71="","",F71*I71)</f>
        <v>650</v>
      </c>
      <c r="K71" s="9" t="str">
        <f aca="false">INDEX(Articles!$H$2:$H$148,MATCH(C71,Articles!$A$2:$A$148,0))</f>
        <v>Estimé</v>
      </c>
      <c r="L71" s="9" t="str">
        <f aca="false">INDEX(Articles!$F$2:$F$148,MATCH(C71,Articles!$A$2:$A$148,0))</f>
        <v>Estimé</v>
      </c>
      <c r="M71" s="17"/>
      <c r="N71" s="9" t="s">
        <v>167</v>
      </c>
    </row>
    <row r="72" customFormat="false" ht="15" hidden="false" customHeight="false" outlineLevel="0" collapsed="false">
      <c r="A72" s="9" t="s">
        <v>678</v>
      </c>
      <c r="B72" s="9" t="s">
        <v>766</v>
      </c>
      <c r="C72" s="31" t="s">
        <v>200</v>
      </c>
      <c r="D72" s="9" t="str">
        <f aca="false">INDEX(Articles!$C$2:$C$148,MATCH(C72,Articles!$A$2:$A$148,0))</f>
        <v>Surligneurs Maped Fluo Peps, pochette de 4</v>
      </c>
      <c r="E72" s="9" t="str">
        <f aca="false">INDEX(Articles!$B$2:$B$148,MATCH(C72,Articles!$A$2:$A$148,0))</f>
        <v>Papex</v>
      </c>
      <c r="F72" s="31" t="n">
        <v>1</v>
      </c>
      <c r="G72" s="13" t="n">
        <f aca="false">IF(INDEX(Articles!$G$2:$G$148,MATCH(C72,Articles!$A$2:$A$148,0))="","",INDEX(Articles!$G$2:$G$148,MATCH(C72,Articles!$A$2:$A$148,0)))</f>
        <v>2500</v>
      </c>
      <c r="H72" s="13" t="n">
        <f aca="false">IF(G72="",0,F72*G72)</f>
        <v>2500</v>
      </c>
      <c r="I72" s="13" t="n">
        <f aca="false">IF(INDEX(Articles!$E$2:$E$148,MATCH(C72,Articles!$A$2:$A$148,0))="","",INDEX(Articles!$E$2:$E$148,MATCH(C72,Articles!$A$2:$A$148,0)))</f>
        <v>2000</v>
      </c>
      <c r="J72" s="13" t="n">
        <f aca="false">IF(I72="","",F72*I72)</f>
        <v>2000</v>
      </c>
      <c r="K72" s="9" t="str">
        <f aca="false">INDEX(Articles!$H$2:$H$148,MATCH(C72,Articles!$A$2:$A$148,0))</f>
        <v>Estimé</v>
      </c>
      <c r="L72" s="9" t="str">
        <f aca="false">INDEX(Articles!$F$2:$F$148,MATCH(C72,Articles!$A$2:$A$148,0))</f>
        <v>Confirmé</v>
      </c>
      <c r="M72" s="17" t="s">
        <v>767</v>
      </c>
      <c r="N72" s="9" t="s">
        <v>167</v>
      </c>
    </row>
    <row r="73" customFormat="false" ht="15" hidden="false" customHeight="false" outlineLevel="0" collapsed="false">
      <c r="A73" s="9" t="s">
        <v>768</v>
      </c>
      <c r="B73" s="9" t="s">
        <v>769</v>
      </c>
      <c r="C73" s="31" t="s">
        <v>446</v>
      </c>
      <c r="D73" s="9" t="str">
        <f aca="false">INDEX(Articles!$C$2:$C$148,MATCH(C73,Articles!$A$2:$A$148,0))</f>
        <v>Chemise 3 rabats à élastique</v>
      </c>
      <c r="E73" s="9" t="str">
        <f aca="false">INDEX(Articles!$B$2:$B$148,MATCH(C73,Articles!$A$2:$A$148,0))</f>
        <v>Papex</v>
      </c>
      <c r="F73" s="31" t="n">
        <v>1</v>
      </c>
      <c r="G73" s="13" t="n">
        <f aca="false">IF(INDEX(Articles!$G$2:$G$148,MATCH(C73,Articles!$A$2:$A$148,0))="","",INDEX(Articles!$G$2:$G$148,MATCH(C73,Articles!$A$2:$A$148,0)))</f>
        <v>500</v>
      </c>
      <c r="H73" s="13" t="n">
        <f aca="false">IF(G73="",0,F73*G73)</f>
        <v>500</v>
      </c>
      <c r="I73" s="13" t="str">
        <f aca="false">IF(INDEX(Articles!$E$2:$E$148,MATCH(C73,Articles!$A$2:$A$148,0))="","",INDEX(Articles!$E$2:$E$148,MATCH(C73,Articles!$A$2:$A$148,0)))</f>
        <v/>
      </c>
      <c r="J73" s="13" t="str">
        <f aca="false">IF(I73="","",F73*I73)</f>
        <v/>
      </c>
      <c r="K73" s="9" t="str">
        <f aca="false">INDEX(Articles!$H$2:$H$148,MATCH(C73,Articles!$A$2:$A$148,0))</f>
        <v>Estimé</v>
      </c>
      <c r="L73" s="9" t="str">
        <f aca="false">INDEX(Articles!$F$2:$F$148,MATCH(C73,Articles!$A$2:$A$148,0))</f>
        <v>Inconnu</v>
      </c>
      <c r="M73" s="17" t="s">
        <v>770</v>
      </c>
      <c r="N73" s="9" t="s">
        <v>167</v>
      </c>
    </row>
    <row r="74" customFormat="false" ht="26.85" hidden="false" customHeight="false" outlineLevel="0" collapsed="false">
      <c r="A74" s="9" t="s">
        <v>676</v>
      </c>
      <c r="B74" s="9" t="s">
        <v>812</v>
      </c>
      <c r="C74" s="31" t="s">
        <v>242</v>
      </c>
      <c r="D74" s="9" t="str">
        <f aca="false">INDEX(Articles!$C$2:$C$148,MATCH(C74,Articles!$A$2:$A$148,0))</f>
        <v>Calculatrice scientifique Parpn YH-2000</v>
      </c>
      <c r="E74" s="9" t="str">
        <f aca="false">INDEX(Articles!$B$2:$B$148,MATCH(C74,Articles!$A$2:$A$148,0))</f>
        <v>LPD</v>
      </c>
      <c r="F74" s="31" t="n">
        <v>1</v>
      </c>
      <c r="G74" s="13" t="n">
        <f aca="false">IF(INDEX(Articles!$G$2:$G$148,MATCH(C74,Articles!$A$2:$A$148,0))="","",INDEX(Articles!$G$2:$G$148,MATCH(C74,Articles!$A$2:$A$148,0)))</f>
        <v>1400</v>
      </c>
      <c r="H74" s="13" t="n">
        <f aca="false">IF(G74="",0,F74*G74)</f>
        <v>1400</v>
      </c>
      <c r="I74" s="13" t="n">
        <f aca="false">IF(INDEX(Articles!$E$2:$E$148,MATCH(C74,Articles!$A$2:$A$148,0))="","",INDEX(Articles!$E$2:$E$148,MATCH(C74,Articles!$A$2:$A$148,0)))</f>
        <v>1100</v>
      </c>
      <c r="J74" s="13" t="n">
        <f aca="false">IF(I74="","",F74*I74)</f>
        <v>1100</v>
      </c>
      <c r="K74" s="9" t="str">
        <f aca="false">INDEX(Articles!$H$2:$H$148,MATCH(C74,Articles!$A$2:$A$148,0))</f>
        <v>Fixé</v>
      </c>
      <c r="L74" s="9" t="str">
        <f aca="false">INDEX(Articles!$F$2:$F$148,MATCH(C74,Articles!$A$2:$A$148,0))</f>
        <v>Confirmé</v>
      </c>
      <c r="M74" s="17" t="s">
        <v>816</v>
      </c>
      <c r="N74" s="9" t="s">
        <v>167</v>
      </c>
    </row>
    <row r="75" customFormat="false" ht="15" hidden="false" customHeight="false" outlineLevel="0" collapsed="false">
      <c r="A75" s="9" t="s">
        <v>768</v>
      </c>
      <c r="B75" s="9" t="s">
        <v>861</v>
      </c>
      <c r="C75" s="31" t="s">
        <v>246</v>
      </c>
      <c r="D75" s="9" t="str">
        <f aca="false">INDEX(Articles!$C$2:$C$148,MATCH(C75,Articles!$A$2:$A$148,0))</f>
        <v>Protège-documents porte-vues</v>
      </c>
      <c r="E75" s="9" t="str">
        <f aca="false">INDEX(Articles!$B$2:$B$148,MATCH(C75,Articles!$A$2:$A$148,0))</f>
        <v>LPD</v>
      </c>
      <c r="F75" s="31" t="n">
        <v>1</v>
      </c>
      <c r="G75" s="13" t="n">
        <f aca="false">IF(INDEX(Articles!$G$2:$G$148,MATCH(C75,Articles!$A$2:$A$148,0))="","",INDEX(Articles!$G$2:$G$148,MATCH(C75,Articles!$A$2:$A$148,0)))</f>
        <v>1150</v>
      </c>
      <c r="H75" s="13" t="n">
        <f aca="false">IF(G75="",0,F75*G75)</f>
        <v>1150</v>
      </c>
      <c r="I75" s="13" t="n">
        <f aca="false">IF(INDEX(Articles!$E$2:$E$148,MATCH(C75,Articles!$A$2:$A$148,0))="","",INDEX(Articles!$E$2:$E$148,MATCH(C75,Articles!$A$2:$A$148,0)))</f>
        <v>850</v>
      </c>
      <c r="J75" s="13" t="n">
        <f aca="false">IF(I75="","",F75*I75)</f>
        <v>850</v>
      </c>
      <c r="K75" s="9" t="str">
        <f aca="false">INDEX(Articles!$H$2:$H$148,MATCH(C75,Articles!$A$2:$A$148,0))</f>
        <v>Fixé</v>
      </c>
      <c r="L75" s="9" t="str">
        <f aca="false">INDEX(Articles!$F$2:$F$148,MATCH(C75,Articles!$A$2:$A$148,0))</f>
        <v>Estimé</v>
      </c>
      <c r="M75" s="17"/>
      <c r="N75" s="9" t="s">
        <v>167</v>
      </c>
    </row>
    <row r="76" customFormat="false" ht="15" hidden="false" customHeight="false" outlineLevel="0" collapsed="false">
      <c r="A76" s="9" t="s">
        <v>758</v>
      </c>
      <c r="B76" s="9" t="s">
        <v>759</v>
      </c>
      <c r="C76" s="31" t="s">
        <v>376</v>
      </c>
      <c r="D76" s="9" t="str">
        <f aca="false">INDEX(Articles!$C$2:$C$148,MATCH(C76,Articles!$A$2:$A$148,0))</f>
        <v>Paquet de copies doubles grand format</v>
      </c>
      <c r="E76" s="9" t="str">
        <f aca="false">INDEX(Articles!$B$2:$B$148,MATCH(C76,Articles!$A$2:$A$148,0))</f>
        <v>À préciser</v>
      </c>
      <c r="F76" s="31" t="n">
        <v>1</v>
      </c>
      <c r="G76" s="45" t="n">
        <f aca="false">IF(INDEX(Articles!$G$2:$G$148,MATCH(C76,Articles!$A$2:$A$148,0))="","",INDEX(Articles!$G$2:$G$148,MATCH(C76,Articles!$A$2:$A$148,0)))</f>
        <v>1800</v>
      </c>
      <c r="H76" s="13" t="n">
        <f aca="false">IF(G76="",0,F76*G76)</f>
        <v>1800</v>
      </c>
      <c r="I76" s="13" t="n">
        <f aca="false">IF(INDEX(Articles!$E$2:$E$148,MATCH(C76,Articles!$A$2:$A$148,0))="","",INDEX(Articles!$E$2:$E$148,MATCH(C76,Articles!$A$2:$A$148,0)))</f>
        <v>1300</v>
      </c>
      <c r="J76" s="13" t="n">
        <f aca="false">IF(I76="","",F76*I76)</f>
        <v>1300</v>
      </c>
      <c r="K76" s="9" t="str">
        <f aca="false">INDEX(Articles!$H$2:$H$148,MATCH(C76,Articles!$A$2:$A$148,0))</f>
        <v>Fixé</v>
      </c>
      <c r="L76" s="9" t="str">
        <f aca="false">INDEX(Articles!$F$2:$F$148,MATCH(C76,Articles!$A$2:$A$148,0))</f>
        <v>Confirmé</v>
      </c>
      <c r="M76" s="17"/>
      <c r="N76" s="9" t="s">
        <v>167</v>
      </c>
    </row>
    <row r="77" customFormat="false" ht="15" hidden="false" customHeight="false" outlineLevel="0" collapsed="false">
      <c r="A77" s="9" t="s">
        <v>771</v>
      </c>
      <c r="B77" s="9" t="s">
        <v>772</v>
      </c>
      <c r="C77" s="31" t="s">
        <v>160</v>
      </c>
      <c r="D77" s="9" t="str">
        <f aca="false">INDEX(Articles!$C$2:$C$148,MATCH(C77,Articles!$A$2:$A$148,0))</f>
        <v>Protège-cahier couleur petit format (à l'unité)</v>
      </c>
      <c r="E77" s="9" t="str">
        <f aca="false">INDEX(Articles!$B$2:$B$148,MATCH(C77,Articles!$A$2:$A$148,0))</f>
        <v>LPD</v>
      </c>
      <c r="F77" s="31" t="n">
        <v>6</v>
      </c>
      <c r="G77" s="13" t="n">
        <f aca="false">IF(INDEX(Articles!$G$2:$G$148,MATCH(C77,Articles!$A$2:$A$148,0))="","",INDEX(Articles!$G$2:$G$148,MATCH(C77,Articles!$A$2:$A$148,0)))</f>
        <v>150</v>
      </c>
      <c r="H77" s="13" t="n">
        <f aca="false">IF(G77="",0,F77*G77)</f>
        <v>900</v>
      </c>
      <c r="I77" s="13" t="str">
        <f aca="false">IF(INDEX(Articles!$E$2:$E$148,MATCH(C77,Articles!$A$2:$A$148,0))="","",INDEX(Articles!$E$2:$E$148,MATCH(C77,Articles!$A$2:$A$148,0)))</f>
        <v/>
      </c>
      <c r="J77" s="13" t="str">
        <f aca="false">IF(I77="","",F77*I77)</f>
        <v/>
      </c>
      <c r="K77" s="9" t="str">
        <f aca="false">INDEX(Articles!$H$2:$H$148,MATCH(C77,Articles!$A$2:$A$148,0))</f>
        <v>Fixé</v>
      </c>
      <c r="L77" s="9" t="str">
        <f aca="false">INDEX(Articles!$F$2:$F$148,MATCH(C77,Articles!$A$2:$A$148,0))</f>
        <v>Inconnu</v>
      </c>
      <c r="M77" s="17"/>
      <c r="N77" s="9" t="s">
        <v>167</v>
      </c>
    </row>
    <row r="78" customFormat="false" ht="15" hidden="false" customHeight="false" outlineLevel="0" collapsed="false">
      <c r="A78" s="9" t="s">
        <v>771</v>
      </c>
      <c r="B78" s="9" t="s">
        <v>773</v>
      </c>
      <c r="C78" s="31" t="s">
        <v>419</v>
      </c>
      <c r="D78" s="9" t="str">
        <f aca="false">INDEX(Articles!$C$2:$C$148,MATCH(C78,Articles!$A$2:$A$148,0))</f>
        <v>Protège-cahier grand format (à l'unité)</v>
      </c>
      <c r="E78" s="9" t="str">
        <f aca="false">INDEX(Articles!$B$2:$B$148,MATCH(C78,Articles!$A$2:$A$148,0))</f>
        <v>À préciser</v>
      </c>
      <c r="F78" s="31" t="n">
        <v>8</v>
      </c>
      <c r="G78" s="13" t="str">
        <f aca="false">IF(INDEX(Articles!$G$2:$G$148,MATCH(C78,Articles!$A$2:$A$148,0))="","",INDEX(Articles!$G$2:$G$148,MATCH(C78,Articles!$A$2:$A$148,0)))</f>
        <v/>
      </c>
      <c r="H78" s="13" t="n">
        <f aca="false">IF(G78="",0,F78*G78)</f>
        <v>0</v>
      </c>
      <c r="I78" s="13" t="str">
        <f aca="false">IF(INDEX(Articles!$E$2:$E$148,MATCH(C78,Articles!$A$2:$A$148,0))="","",INDEX(Articles!$E$2:$E$148,MATCH(C78,Articles!$A$2:$A$148,0)))</f>
        <v/>
      </c>
      <c r="J78" s="13" t="str">
        <f aca="false">IF(I78="","",F78*I78)</f>
        <v/>
      </c>
      <c r="K78" s="9" t="str">
        <f aca="false">INDEX(Articles!$H$2:$H$148,MATCH(C78,Articles!$A$2:$A$148,0))</f>
        <v>À fournir</v>
      </c>
      <c r="L78" s="9" t="str">
        <f aca="false">INDEX(Articles!$F$2:$F$148,MATCH(C78,Articles!$A$2:$A$148,0))</f>
        <v>Inconnu</v>
      </c>
      <c r="M78" s="17"/>
      <c r="N78" s="9" t="s">
        <v>167</v>
      </c>
    </row>
    <row r="79" customFormat="false" ht="26.85" hidden="false" customHeight="false" outlineLevel="0" collapsed="false">
      <c r="A79" s="9" t="s">
        <v>760</v>
      </c>
      <c r="B79" s="9" t="s">
        <v>945</v>
      </c>
      <c r="C79" s="31" t="s">
        <v>497</v>
      </c>
      <c r="D79" s="9" t="str">
        <f aca="false">INDEX(Articles!$C$2:$C$148,MATCH(C79,Articles!$A$2:$A$148,0))</f>
        <v>Les Nouveaux Contes d'Amadou Koumba (Birago Diop)</v>
      </c>
      <c r="E79" s="9" t="str">
        <f aca="false">INDEX(Articles!$B$2:$B$148,MATCH(C79,Articles!$A$2:$A$148,0))</f>
        <v>LPD</v>
      </c>
      <c r="F79" s="31" t="n">
        <v>1</v>
      </c>
      <c r="G79" s="13" t="n">
        <f aca="false">IF(INDEX(Articles!$G$2:$G$148,MATCH(C79,Articles!$A$2:$A$148,0))="","",INDEX(Articles!$G$2:$G$148,MATCH(C79,Articles!$A$2:$A$148,0)))</f>
        <v>3900</v>
      </c>
      <c r="H79" s="13" t="n">
        <f aca="false">IF(G79="",0,F79*G79)</f>
        <v>3900</v>
      </c>
      <c r="I79" s="13" t="n">
        <f aca="false">IF(INDEX(Articles!$E$2:$E$148,MATCH(C79,Articles!$A$2:$A$148,0))="","",INDEX(Articles!$E$2:$E$148,MATCH(C79,Articles!$A$2:$A$148,0)))</f>
        <v>2900</v>
      </c>
      <c r="J79" s="13" t="n">
        <f aca="false">IF(I79="","",F79*I79)</f>
        <v>2900</v>
      </c>
      <c r="K79" s="9" t="str">
        <f aca="false">INDEX(Articles!$H$2:$H$148,MATCH(C79,Articles!$A$2:$A$148,0))</f>
        <v>Fixé</v>
      </c>
      <c r="L79" s="9" t="str">
        <f aca="false">INDEX(Articles!$F$2:$F$148,MATCH(C79,Articles!$A$2:$A$148,0))</f>
        <v>Estimé</v>
      </c>
      <c r="M79" s="17" t="s">
        <v>947</v>
      </c>
      <c r="N79" s="9" t="s">
        <v>167</v>
      </c>
    </row>
    <row r="80" customFormat="false" ht="15" hidden="false" customHeight="false" outlineLevel="0" collapsed="false">
      <c r="D80" s="32" t="s">
        <v>683</v>
      </c>
      <c r="E80" s="32"/>
      <c r="F80" s="32"/>
      <c r="G80" s="32"/>
      <c r="H80" s="33" t="n">
        <f aca="false">COUNTIF(G49:G79,"")</f>
        <v>1</v>
      </c>
    </row>
    <row r="81" customFormat="false" ht="15" hidden="false" customHeight="false" outlineLevel="0" collapsed="false">
      <c r="D81" s="32" t="s">
        <v>684</v>
      </c>
      <c r="E81" s="32"/>
      <c r="F81" s="32"/>
      <c r="G81" s="32"/>
      <c r="H81" s="33" t="n">
        <f aca="false">SUM(H49:H79)</f>
        <v>37725</v>
      </c>
    </row>
    <row r="82" customFormat="false" ht="15" hidden="false" customHeight="false" outlineLevel="0" collapsed="false">
      <c r="D82" s="32" t="s">
        <v>28</v>
      </c>
      <c r="E82" s="32"/>
      <c r="F82" s="32"/>
      <c r="G82" s="32"/>
      <c r="H82" s="33" t="n">
        <f aca="false">SUM(J49:J79)</f>
        <v>29660</v>
      </c>
    </row>
    <row r="83" customFormat="false" ht="15" hidden="false" customHeight="false" outlineLevel="0" collapsed="false">
      <c r="D83" s="32" t="s">
        <v>685</v>
      </c>
      <c r="E83" s="32"/>
      <c r="F83" s="32"/>
      <c r="G83" s="32"/>
      <c r="H83" s="33" t="n">
        <f aca="false">COUNTIF(I49:I79,"")</f>
        <v>5</v>
      </c>
    </row>
    <row r="84" customFormat="false" ht="15" hidden="false" customHeight="false" outlineLevel="0" collapsed="false">
      <c r="D84" s="32" t="s">
        <v>686</v>
      </c>
      <c r="E84" s="32"/>
      <c r="F84" s="32"/>
      <c r="G84" s="32"/>
      <c r="H84" s="33" t="n">
        <f aca="false">SUMPRODUCT((I49:I79&lt;&gt;"")*H49:H79)-H82</f>
        <v>6190</v>
      </c>
    </row>
    <row r="85" customFormat="false" ht="15" hidden="false" customHeight="false" outlineLevel="0" collapsed="false">
      <c r="D85" s="32" t="s">
        <v>687</v>
      </c>
      <c r="E85" s="32"/>
      <c r="F85" s="32"/>
      <c r="G85" s="32"/>
      <c r="H85" s="33" t="n">
        <f aca="false">SUMIF(A49:A79,"Cahiers",F49:F79)</f>
        <v>14</v>
      </c>
    </row>
    <row r="86" customFormat="false" ht="15" hidden="false" customHeight="false" outlineLevel="0" collapsed="false">
      <c r="D86" s="32" t="s">
        <v>688</v>
      </c>
      <c r="E86" s="32"/>
      <c r="F86" s="32"/>
      <c r="G86" s="32"/>
      <c r="H86" s="34" t="n">
        <f aca="false">IF(H81=0,0,SUMIF(K49:K79,"&lt;&gt;Fixé",H49:H79)/H81)</f>
        <v>0.212060967528164</v>
      </c>
    </row>
    <row r="87" customFormat="false" ht="15" hidden="false" customHeight="false" outlineLevel="0" collapsed="false">
      <c r="D87" s="32" t="s">
        <v>689</v>
      </c>
      <c r="E87" s="32"/>
      <c r="F87" s="32"/>
      <c r="G87" s="32"/>
      <c r="H87" s="33" t="str">
        <f aca="false">IF(H80&gt;0,"Total incomplet : "&amp;H80&amp;" prix de vente à fournir",IF(H83&gt;0,"Coût incomplet : "&amp;H83&amp;" ligne(s) sans prix d'achat","Complet"))</f>
        <v>Total incomplet : 1 prix de vente à fournir</v>
      </c>
    </row>
    <row r="88" customFormat="false" ht="15" hidden="false" customHeight="false" outlineLevel="0" collapsed="false">
      <c r="D88" s="21" t="s">
        <v>696</v>
      </c>
      <c r="E88" s="21" t="str">
        <f aca="false">INDEX(Articles!$C$2:$C$148,MATCH("S020",Articles!$A$2:$A$148,0))</f>
        <v>Sac à dos bleu marine</v>
      </c>
      <c r="H88" s="41" t="n">
        <f aca="false">INDEX(Articles!$G$2:$G$148,MATCH("S020",Articles!$A$2:$A$148,0))</f>
        <v>7000</v>
      </c>
    </row>
    <row r="89" customFormat="false" ht="15" hidden="false" customHeight="false" outlineLevel="0" collapsed="false">
      <c r="D89" s="42" t="s">
        <v>697</v>
      </c>
      <c r="E89" s="43" t="s">
        <v>948</v>
      </c>
    </row>
    <row r="90" customFormat="false" ht="15" hidden="false" customHeight="false" outlineLevel="0" collapsed="false">
      <c r="E90" s="43" t="s">
        <v>81</v>
      </c>
    </row>
    <row r="93" customFormat="false" ht="15" hidden="false" customHeight="false" outlineLevel="0" collapsed="false">
      <c r="A93" s="28" t="s">
        <v>949</v>
      </c>
      <c r="B93" s="29"/>
      <c r="C93" s="29"/>
      <c r="D93" s="29"/>
      <c r="E93" s="29"/>
      <c r="F93" s="29"/>
      <c r="G93" s="29"/>
      <c r="H93" s="29"/>
      <c r="I93" s="29"/>
      <c r="J93" s="29"/>
      <c r="K93" s="29"/>
      <c r="L93" s="29"/>
      <c r="M93" s="29"/>
      <c r="N93" s="29"/>
    </row>
    <row r="94" customFormat="false" ht="39.55" hidden="false" customHeight="false" outlineLevel="0" collapsed="false">
      <c r="A94" s="30" t="s">
        <v>663</v>
      </c>
      <c r="B94" s="30" t="s">
        <v>664</v>
      </c>
      <c r="C94" s="30" t="s">
        <v>348</v>
      </c>
      <c r="D94" s="30" t="s">
        <v>350</v>
      </c>
      <c r="E94" s="30" t="s">
        <v>349</v>
      </c>
      <c r="F94" s="30" t="s">
        <v>665</v>
      </c>
      <c r="G94" s="30" t="s">
        <v>666</v>
      </c>
      <c r="H94" s="30" t="s">
        <v>667</v>
      </c>
      <c r="I94" s="30" t="s">
        <v>668</v>
      </c>
      <c r="J94" s="30" t="s">
        <v>669</v>
      </c>
      <c r="K94" s="30" t="s">
        <v>355</v>
      </c>
      <c r="L94" s="30" t="s">
        <v>353</v>
      </c>
      <c r="M94" s="30" t="s">
        <v>356</v>
      </c>
      <c r="N94" s="30" t="s">
        <v>670</v>
      </c>
    </row>
    <row r="95" customFormat="false" ht="15" hidden="false" customHeight="false" outlineLevel="0" collapsed="false">
      <c r="A95" s="9" t="s">
        <v>671</v>
      </c>
      <c r="B95" s="9" t="s">
        <v>939</v>
      </c>
      <c r="C95" s="31" t="s">
        <v>213</v>
      </c>
      <c r="D95" s="9" t="str">
        <f aca="false">INDEX(Articles!$C$2:$C$148,MATCH(C95,Articles!$A$2:$A$148,0))</f>
        <v>Cahier Calligraphe 192 pages 24x32 (grand format)</v>
      </c>
      <c r="E95" s="9" t="str">
        <f aca="false">INDEX(Articles!$B$2:$B$148,MATCH(C95,Articles!$A$2:$A$148,0))</f>
        <v>Papex</v>
      </c>
      <c r="F95" s="31" t="n">
        <v>1</v>
      </c>
      <c r="G95" s="13" t="n">
        <f aca="false">IF(INDEX(Articles!$G$2:$G$148,MATCH(C95,Articles!$A$2:$A$148,0))="","",INDEX(Articles!$G$2:$G$148,MATCH(C95,Articles!$A$2:$A$148,0)))</f>
        <v>1650</v>
      </c>
      <c r="H95" s="13" t="n">
        <f aca="false">IF(G95="",0,F95*G95)</f>
        <v>1650</v>
      </c>
      <c r="I95" s="13" t="n">
        <f aca="false">IF(INDEX(Articles!$E$2:$E$148,MATCH(C95,Articles!$A$2:$A$148,0))="","",INDEX(Articles!$E$2:$E$148,MATCH(C95,Articles!$A$2:$A$148,0)))</f>
        <v>1500</v>
      </c>
      <c r="J95" s="13" t="n">
        <f aca="false">IF(I95="","",F95*I95)</f>
        <v>1500</v>
      </c>
      <c r="K95" s="9" t="str">
        <f aca="false">INDEX(Articles!$H$2:$H$148,MATCH(C95,Articles!$A$2:$A$148,0))</f>
        <v>Fixé</v>
      </c>
      <c r="L95" s="9" t="str">
        <f aca="false">INDEX(Articles!$F$2:$F$148,MATCH(C95,Articles!$A$2:$A$148,0))</f>
        <v>Confirmé</v>
      </c>
      <c r="M95" s="17"/>
      <c r="N95" s="9" t="s">
        <v>167</v>
      </c>
    </row>
    <row r="96" customFormat="false" ht="15" hidden="false" customHeight="false" outlineLevel="0" collapsed="false">
      <c r="A96" s="9" t="s">
        <v>671</v>
      </c>
      <c r="B96" s="9" t="s">
        <v>940</v>
      </c>
      <c r="C96" s="31" t="s">
        <v>213</v>
      </c>
      <c r="D96" s="9" t="str">
        <f aca="false">INDEX(Articles!$C$2:$C$148,MATCH(C96,Articles!$A$2:$A$148,0))</f>
        <v>Cahier Calligraphe 192 pages 24x32 (grand format)</v>
      </c>
      <c r="E96" s="9" t="str">
        <f aca="false">INDEX(Articles!$B$2:$B$148,MATCH(C96,Articles!$A$2:$A$148,0))</f>
        <v>Papex</v>
      </c>
      <c r="F96" s="31" t="n">
        <v>1</v>
      </c>
      <c r="G96" s="13" t="n">
        <f aca="false">IF(INDEX(Articles!$G$2:$G$148,MATCH(C96,Articles!$A$2:$A$148,0))="","",INDEX(Articles!$G$2:$G$148,MATCH(C96,Articles!$A$2:$A$148,0)))</f>
        <v>1650</v>
      </c>
      <c r="H96" s="13" t="n">
        <f aca="false">IF(G96="",0,F96*G96)</f>
        <v>1650</v>
      </c>
      <c r="I96" s="13" t="n">
        <f aca="false">IF(INDEX(Articles!$E$2:$E$148,MATCH(C96,Articles!$A$2:$A$148,0))="","",INDEX(Articles!$E$2:$E$148,MATCH(C96,Articles!$A$2:$A$148,0)))</f>
        <v>1500</v>
      </c>
      <c r="J96" s="13" t="n">
        <f aca="false">IF(I96="","",F96*I96)</f>
        <v>1500</v>
      </c>
      <c r="K96" s="9" t="str">
        <f aca="false">INDEX(Articles!$H$2:$H$148,MATCH(C96,Articles!$A$2:$A$148,0))</f>
        <v>Fixé</v>
      </c>
      <c r="L96" s="9" t="str">
        <f aca="false">INDEX(Articles!$F$2:$F$148,MATCH(C96,Articles!$A$2:$A$148,0))</f>
        <v>Confirmé</v>
      </c>
      <c r="M96" s="17"/>
      <c r="N96" s="9" t="s">
        <v>167</v>
      </c>
    </row>
    <row r="97" customFormat="false" ht="15" hidden="false" customHeight="false" outlineLevel="0" collapsed="false">
      <c r="A97" s="9" t="s">
        <v>671</v>
      </c>
      <c r="B97" s="9" t="s">
        <v>856</v>
      </c>
      <c r="C97" s="31" t="s">
        <v>213</v>
      </c>
      <c r="D97" s="9" t="str">
        <f aca="false">INDEX(Articles!$C$2:$C$148,MATCH(C97,Articles!$A$2:$A$148,0))</f>
        <v>Cahier Calligraphe 192 pages 24x32 (grand format)</v>
      </c>
      <c r="E97" s="9" t="str">
        <f aca="false">INDEX(Articles!$B$2:$B$148,MATCH(C97,Articles!$A$2:$A$148,0))</f>
        <v>Papex</v>
      </c>
      <c r="F97" s="31" t="n">
        <v>1</v>
      </c>
      <c r="G97" s="13" t="n">
        <f aca="false">IF(INDEX(Articles!$G$2:$G$148,MATCH(C97,Articles!$A$2:$A$148,0))="","",INDEX(Articles!$G$2:$G$148,MATCH(C97,Articles!$A$2:$A$148,0)))</f>
        <v>1650</v>
      </c>
      <c r="H97" s="13" t="n">
        <f aca="false">IF(G97="",0,F97*G97)</f>
        <v>1650</v>
      </c>
      <c r="I97" s="13" t="n">
        <f aca="false">IF(INDEX(Articles!$E$2:$E$148,MATCH(C97,Articles!$A$2:$A$148,0))="","",INDEX(Articles!$E$2:$E$148,MATCH(C97,Articles!$A$2:$A$148,0)))</f>
        <v>1500</v>
      </c>
      <c r="J97" s="13" t="n">
        <f aca="false">IF(I97="","",F97*I97)</f>
        <v>1500</v>
      </c>
      <c r="K97" s="9" t="str">
        <f aca="false">INDEX(Articles!$H$2:$H$148,MATCH(C97,Articles!$A$2:$A$148,0))</f>
        <v>Fixé</v>
      </c>
      <c r="L97" s="9" t="str">
        <f aca="false">INDEX(Articles!$F$2:$F$148,MATCH(C97,Articles!$A$2:$A$148,0))</f>
        <v>Confirmé</v>
      </c>
      <c r="M97" s="17"/>
      <c r="N97" s="9" t="s">
        <v>167</v>
      </c>
    </row>
    <row r="98" customFormat="false" ht="15" hidden="false" customHeight="false" outlineLevel="0" collapsed="false">
      <c r="A98" s="9" t="s">
        <v>671</v>
      </c>
      <c r="B98" s="9" t="s">
        <v>857</v>
      </c>
      <c r="C98" s="31" t="s">
        <v>366</v>
      </c>
      <c r="D98" s="9" t="str">
        <f aca="false">INDEX(Articles!$C$2:$C$148,MATCH(C98,Articles!$A$2:$A$148,0))</f>
        <v>Cahier Calligraphe 140 pages 17x22 90 g seyès</v>
      </c>
      <c r="E98" s="9" t="str">
        <f aca="false">INDEX(Articles!$B$2:$B$148,MATCH(C98,Articles!$A$2:$A$148,0))</f>
        <v>Papex</v>
      </c>
      <c r="F98" s="31" t="n">
        <v>1</v>
      </c>
      <c r="G98" s="13" t="n">
        <f aca="false">IF(INDEX(Articles!$G$2:$G$148,MATCH(C98,Articles!$A$2:$A$148,0))="","",INDEX(Articles!$G$2:$G$148,MATCH(C98,Articles!$A$2:$A$148,0)))</f>
        <v>750</v>
      </c>
      <c r="H98" s="13" t="n">
        <f aca="false">IF(G98="",0,F98*G98)</f>
        <v>750</v>
      </c>
      <c r="I98" s="13" t="n">
        <f aca="false">IF(INDEX(Articles!$E$2:$E$148,MATCH(C98,Articles!$A$2:$A$148,0))="","",INDEX(Articles!$E$2:$E$148,MATCH(C98,Articles!$A$2:$A$148,0)))</f>
        <v>650</v>
      </c>
      <c r="J98" s="13" t="n">
        <f aca="false">IF(I98="","",F98*I98)</f>
        <v>650</v>
      </c>
      <c r="K98" s="9" t="str">
        <f aca="false">INDEX(Articles!$H$2:$H$148,MATCH(C98,Articles!$A$2:$A$148,0))</f>
        <v>Fixé</v>
      </c>
      <c r="L98" s="9" t="str">
        <f aca="false">INDEX(Articles!$F$2:$F$148,MATCH(C98,Articles!$A$2:$A$148,0))</f>
        <v>Estimé</v>
      </c>
      <c r="M98" s="17" t="s">
        <v>763</v>
      </c>
      <c r="N98" s="9" t="s">
        <v>167</v>
      </c>
    </row>
    <row r="99" customFormat="false" ht="15" hidden="false" customHeight="false" outlineLevel="0" collapsed="false">
      <c r="A99" s="9" t="s">
        <v>671</v>
      </c>
      <c r="B99" s="9" t="s">
        <v>737</v>
      </c>
      <c r="C99" s="31" t="s">
        <v>213</v>
      </c>
      <c r="D99" s="9" t="str">
        <f aca="false">INDEX(Articles!$C$2:$C$148,MATCH(C99,Articles!$A$2:$A$148,0))</f>
        <v>Cahier Calligraphe 192 pages 24x32 (grand format)</v>
      </c>
      <c r="E99" s="9" t="str">
        <f aca="false">INDEX(Articles!$B$2:$B$148,MATCH(C99,Articles!$A$2:$A$148,0))</f>
        <v>Papex</v>
      </c>
      <c r="F99" s="31" t="n">
        <v>1</v>
      </c>
      <c r="G99" s="13" t="n">
        <f aca="false">IF(INDEX(Articles!$G$2:$G$148,MATCH(C99,Articles!$A$2:$A$148,0))="","",INDEX(Articles!$G$2:$G$148,MATCH(C99,Articles!$A$2:$A$148,0)))</f>
        <v>1650</v>
      </c>
      <c r="H99" s="13" t="n">
        <f aca="false">IF(G99="",0,F99*G99)</f>
        <v>1650</v>
      </c>
      <c r="I99" s="13" t="n">
        <f aca="false">IF(INDEX(Articles!$E$2:$E$148,MATCH(C99,Articles!$A$2:$A$148,0))="","",INDEX(Articles!$E$2:$E$148,MATCH(C99,Articles!$A$2:$A$148,0)))</f>
        <v>1500</v>
      </c>
      <c r="J99" s="13" t="n">
        <f aca="false">IF(I99="","",F99*I99)</f>
        <v>1500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739</v>
      </c>
      <c r="C100" s="31" t="s">
        <v>192</v>
      </c>
      <c r="D100" s="9" t="str">
        <f aca="false">INDEX(Articles!$C$2:$C$148,MATCH(C100,Articles!$A$2:$A$148,0))</f>
        <v>Cahier Calligraphe 192 pages 17x22 90 g seyès</v>
      </c>
      <c r="E100" s="9" t="str">
        <f aca="false">INDEX(Articles!$B$2:$B$148,MATCH(C100,Articles!$A$2:$A$148,0))</f>
        <v>Papex</v>
      </c>
      <c r="F100" s="31" t="n">
        <v>1</v>
      </c>
      <c r="G100" s="13" t="n">
        <f aca="false">IF(INDEX(Articles!$G$2:$G$148,MATCH(C100,Articles!$A$2:$A$148,0))="","",INDEX(Articles!$G$2:$G$148,MATCH(C100,Articles!$A$2:$A$148,0)))</f>
        <v>900</v>
      </c>
      <c r="H100" s="13" t="n">
        <f aca="false">IF(G100="",0,F100*G100)</f>
        <v>900</v>
      </c>
      <c r="I100" s="13" t="n">
        <f aca="false">IF(INDEX(Articles!$E$2:$E$148,MATCH(C100,Articles!$A$2:$A$148,0))="","",INDEX(Articles!$E$2:$E$148,MATCH(C100,Articles!$A$2:$A$148,0)))</f>
        <v>800</v>
      </c>
      <c r="J100" s="13" t="n">
        <f aca="false">IF(I100="","",F100*I100)</f>
        <v>800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853</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744</v>
      </c>
      <c r="C102" s="31" t="s">
        <v>213</v>
      </c>
      <c r="D102" s="9" t="str">
        <f aca="false">INDEX(Articles!$C$2:$C$148,MATCH(C102,Articles!$A$2:$A$148,0))</f>
        <v>Cahier Calligraphe 192 pages 24x32 (grand format)</v>
      </c>
      <c r="E102" s="9" t="str">
        <f aca="false">INDEX(Articles!$B$2:$B$148,MATCH(C102,Articles!$A$2:$A$148,0))</f>
        <v>Papex</v>
      </c>
      <c r="F102" s="31" t="n">
        <v>1</v>
      </c>
      <c r="G102" s="13" t="n">
        <f aca="false">IF(INDEX(Articles!$G$2:$G$148,MATCH(C102,Articles!$A$2:$A$148,0))="","",INDEX(Articles!$G$2:$G$148,MATCH(C102,Articles!$A$2:$A$148,0)))</f>
        <v>1650</v>
      </c>
      <c r="H102" s="13" t="n">
        <f aca="false">IF(G102="",0,F102*G102)</f>
        <v>1650</v>
      </c>
      <c r="I102" s="13" t="n">
        <f aca="false">IF(INDEX(Articles!$E$2:$E$148,MATCH(C102,Articles!$A$2:$A$148,0))="","",INDEX(Articles!$E$2:$E$148,MATCH(C102,Articles!$A$2:$A$148,0)))</f>
        <v>1500</v>
      </c>
      <c r="J102" s="13" t="n">
        <f aca="false">IF(I102="","",F102*I102)</f>
        <v>1500</v>
      </c>
      <c r="K102" s="9" t="str">
        <f aca="false">INDEX(Articles!$H$2:$H$148,MATCH(C102,Articles!$A$2:$A$148,0))</f>
        <v>Fixé</v>
      </c>
      <c r="L102" s="9" t="str">
        <f aca="false">INDEX(Articles!$F$2:$F$148,MATCH(C102,Articles!$A$2:$A$148,0))</f>
        <v>Confirmé</v>
      </c>
      <c r="M102" s="17"/>
      <c r="N102" s="9" t="s">
        <v>167</v>
      </c>
    </row>
    <row r="103" customFormat="false" ht="15" hidden="false" customHeight="false" outlineLevel="0" collapsed="false">
      <c r="A103" s="9" t="s">
        <v>671</v>
      </c>
      <c r="B103" s="9" t="s">
        <v>854</v>
      </c>
      <c r="C103" s="31" t="s">
        <v>366</v>
      </c>
      <c r="D103" s="9" t="str">
        <f aca="false">INDEX(Articles!$C$2:$C$148,MATCH(C103,Articles!$A$2:$A$148,0))</f>
        <v>Cahier Calligraphe 140 pages 17x22 90 g seyès</v>
      </c>
      <c r="E103" s="9" t="str">
        <f aca="false">INDEX(Articles!$B$2:$B$148,MATCH(C103,Articles!$A$2:$A$148,0))</f>
        <v>Papex</v>
      </c>
      <c r="F103" s="31" t="n">
        <v>1</v>
      </c>
      <c r="G103" s="13" t="n">
        <f aca="false">IF(INDEX(Articles!$G$2:$G$148,MATCH(C103,Articles!$A$2:$A$148,0))="","",INDEX(Articles!$G$2:$G$148,MATCH(C103,Articles!$A$2:$A$148,0)))</f>
        <v>750</v>
      </c>
      <c r="H103" s="13" t="n">
        <f aca="false">IF(G103="",0,F103*G103)</f>
        <v>750</v>
      </c>
      <c r="I103" s="13" t="n">
        <f aca="false">IF(INDEX(Articles!$E$2:$E$148,MATCH(C103,Articles!$A$2:$A$148,0))="","",INDEX(Articles!$E$2:$E$148,MATCH(C103,Articles!$A$2:$A$148,0)))</f>
        <v>650</v>
      </c>
      <c r="J103" s="13" t="n">
        <f aca="false">IF(I103="","",F103*I103)</f>
        <v>650</v>
      </c>
      <c r="K103" s="9" t="str">
        <f aca="false">INDEX(Articles!$H$2:$H$148,MATCH(C103,Articles!$A$2:$A$148,0))</f>
        <v>Fixé</v>
      </c>
      <c r="L103" s="9" t="str">
        <f aca="false">INDEX(Articles!$F$2:$F$148,MATCH(C103,Articles!$A$2:$A$148,0))</f>
        <v>Estimé</v>
      </c>
      <c r="M103" s="17" t="s">
        <v>763</v>
      </c>
      <c r="N103" s="9" t="s">
        <v>167</v>
      </c>
    </row>
    <row r="104" customFormat="false" ht="15" hidden="false" customHeight="false" outlineLevel="0" collapsed="false">
      <c r="A104" s="9" t="s">
        <v>671</v>
      </c>
      <c r="B104" s="9" t="s">
        <v>850</v>
      </c>
      <c r="C104" s="31" t="s">
        <v>208</v>
      </c>
      <c r="D104" s="9" t="str">
        <f aca="false">INDEX(Articles!$C$2:$C$148,MATCH(C104,Articles!$A$2:$A$148,0))</f>
        <v>Cahier Calligraphe 96 pages 24x32 (grand format)</v>
      </c>
      <c r="E104" s="9" t="str">
        <f aca="false">INDEX(Articles!$B$2:$B$148,MATCH(C104,Articles!$A$2:$A$148,0))</f>
        <v>Papex</v>
      </c>
      <c r="F104" s="31" t="n">
        <v>1</v>
      </c>
      <c r="G104" s="13" t="n">
        <f aca="false">IF(INDEX(Articles!$G$2:$G$148,MATCH(C104,Articles!$A$2:$A$148,0))="","",INDEX(Articles!$G$2:$G$148,MATCH(C104,Articles!$A$2:$A$148,0)))</f>
        <v>1350</v>
      </c>
      <c r="H104" s="13" t="n">
        <f aca="false">IF(G104="",0,F104*G104)</f>
        <v>1350</v>
      </c>
      <c r="I104" s="13" t="n">
        <f aca="false">IF(INDEX(Articles!$E$2:$E$148,MATCH(C104,Articles!$A$2:$A$148,0))="","",INDEX(Articles!$E$2:$E$148,MATCH(C104,Articles!$A$2:$A$148,0)))</f>
        <v>1000</v>
      </c>
      <c r="J104" s="13" t="n">
        <f aca="false">IF(I104="","",F104*I104)</f>
        <v>1000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941</v>
      </c>
      <c r="C105" s="31" t="s">
        <v>213</v>
      </c>
      <c r="D105" s="9" t="str">
        <f aca="false">INDEX(Articles!$C$2:$C$148,MATCH(C105,Articles!$A$2:$A$148,0))</f>
        <v>Cahier Calligraphe 192 pages 24x32 (grand format)</v>
      </c>
      <c r="E105" s="9" t="str">
        <f aca="false">INDEX(Articles!$B$2:$B$148,MATCH(C105,Articles!$A$2:$A$148,0))</f>
        <v>Papex</v>
      </c>
      <c r="F105" s="31" t="n">
        <v>1</v>
      </c>
      <c r="G105" s="13" t="n">
        <f aca="false">IF(INDEX(Articles!$G$2:$G$148,MATCH(C105,Articles!$A$2:$A$148,0))="","",INDEX(Articles!$G$2:$G$148,MATCH(C105,Articles!$A$2:$A$148,0)))</f>
        <v>1650</v>
      </c>
      <c r="H105" s="13" t="n">
        <f aca="false">IF(G105="",0,F105*G105)</f>
        <v>1650</v>
      </c>
      <c r="I105" s="13" t="n">
        <f aca="false">IF(INDEX(Articles!$E$2:$E$148,MATCH(C105,Articles!$A$2:$A$148,0))="","",INDEX(Articles!$E$2:$E$148,MATCH(C105,Articles!$A$2:$A$148,0)))</f>
        <v>1500</v>
      </c>
      <c r="J105" s="13" t="n">
        <f aca="false">IF(I105="","",F105*I105)</f>
        <v>1500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942</v>
      </c>
      <c r="C106" s="31" t="s">
        <v>192</v>
      </c>
      <c r="D106" s="9" t="str">
        <f aca="false">INDEX(Articles!$C$2:$C$148,MATCH(C106,Articles!$A$2:$A$148,0))</f>
        <v>Cahier Calligraphe 192 pages 17x22 90 g seyès</v>
      </c>
      <c r="E106" s="9" t="str">
        <f aca="false">INDEX(Articles!$B$2:$B$148,MATCH(C106,Articles!$A$2:$A$148,0))</f>
        <v>Papex</v>
      </c>
      <c r="F106" s="31" t="n">
        <v>1</v>
      </c>
      <c r="G106" s="13" t="n">
        <f aca="false">IF(INDEX(Articles!$G$2:$G$148,MATCH(C106,Articles!$A$2:$A$148,0))="","",INDEX(Articles!$G$2:$G$148,MATCH(C106,Articles!$A$2:$A$148,0)))</f>
        <v>900</v>
      </c>
      <c r="H106" s="13" t="n">
        <f aca="false">IF(G106="",0,F106*G106)</f>
        <v>900</v>
      </c>
      <c r="I106" s="13" t="n">
        <f aca="false">IF(INDEX(Articles!$E$2:$E$148,MATCH(C106,Articles!$A$2:$A$148,0))="","",INDEX(Articles!$E$2:$E$148,MATCH(C106,Articles!$A$2:$A$148,0)))</f>
        <v>800</v>
      </c>
      <c r="J106" s="13" t="n">
        <f aca="false">IF(I106="","",F106*I106)</f>
        <v>800</v>
      </c>
      <c r="K106" s="9" t="str">
        <f aca="false">INDEX(Articles!$H$2:$H$148,MATCH(C106,Articles!$A$2:$A$148,0))</f>
        <v>Fixé</v>
      </c>
      <c r="L106" s="9" t="str">
        <f aca="false">INDEX(Articles!$F$2:$F$148,MATCH(C106,Articles!$A$2:$A$148,0))</f>
        <v>Confirmé</v>
      </c>
      <c r="M106" s="17"/>
      <c r="N106" s="9" t="s">
        <v>167</v>
      </c>
    </row>
    <row r="107" customFormat="false" ht="15" hidden="false" customHeight="false" outlineLevel="0" collapsed="false">
      <c r="A107" s="9" t="s">
        <v>671</v>
      </c>
      <c r="B107" s="9" t="s">
        <v>943</v>
      </c>
      <c r="C107" s="31" t="s">
        <v>192</v>
      </c>
      <c r="D107" s="9" t="str">
        <f aca="false">INDEX(Articles!$C$2:$C$148,MATCH(C107,Articles!$A$2:$A$148,0))</f>
        <v>Cahier Calligraphe 192 pages 17x22 90 g seyès</v>
      </c>
      <c r="E107" s="9" t="str">
        <f aca="false">INDEX(Articles!$B$2:$B$148,MATCH(C107,Articles!$A$2:$A$148,0))</f>
        <v>Papex</v>
      </c>
      <c r="F107" s="31" t="n">
        <v>1</v>
      </c>
      <c r="G107" s="13" t="n">
        <f aca="false">IF(INDEX(Articles!$G$2:$G$148,MATCH(C107,Articles!$A$2:$A$148,0))="","",INDEX(Articles!$G$2:$G$148,MATCH(C107,Articles!$A$2:$A$148,0)))</f>
        <v>900</v>
      </c>
      <c r="H107" s="13" t="n">
        <f aca="false">IF(G107="",0,F107*G107)</f>
        <v>900</v>
      </c>
      <c r="I107" s="13" t="n">
        <f aca="false">IF(INDEX(Articles!$E$2:$E$148,MATCH(C107,Articles!$A$2:$A$148,0))="","",INDEX(Articles!$E$2:$E$148,MATCH(C107,Articles!$A$2:$A$148,0)))</f>
        <v>800</v>
      </c>
      <c r="J107" s="13" t="n">
        <f aca="false">IF(I107="","",F107*I107)</f>
        <v>800</v>
      </c>
      <c r="K107" s="9" t="str">
        <f aca="false">INDEX(Articles!$H$2:$H$148,MATCH(C107,Articles!$A$2:$A$148,0))</f>
        <v>Fixé</v>
      </c>
      <c r="L107" s="9" t="str">
        <f aca="false">INDEX(Articles!$F$2:$F$148,MATCH(C107,Articles!$A$2:$A$148,0))</f>
        <v>Confirmé</v>
      </c>
      <c r="M107" s="17"/>
      <c r="N107" s="9" t="s">
        <v>167</v>
      </c>
    </row>
    <row r="108" customFormat="false" ht="15" hidden="false" customHeight="false" outlineLevel="0" collapsed="false">
      <c r="A108" s="9" t="s">
        <v>671</v>
      </c>
      <c r="B108" s="9" t="s">
        <v>944</v>
      </c>
      <c r="C108" s="31" t="s">
        <v>366</v>
      </c>
      <c r="D108" s="9" t="str">
        <f aca="false">INDEX(Articles!$C$2:$C$148,MATCH(C108,Articles!$A$2:$A$148,0))</f>
        <v>Cahier Calligraphe 140 pages 17x22 90 g seyès</v>
      </c>
      <c r="E108" s="9" t="str">
        <f aca="false">INDEX(Articles!$B$2:$B$148,MATCH(C108,Articles!$A$2:$A$148,0))</f>
        <v>Papex</v>
      </c>
      <c r="F108" s="31" t="n">
        <v>1</v>
      </c>
      <c r="G108" s="13" t="n">
        <f aca="false">IF(INDEX(Articles!$G$2:$G$148,MATCH(C108,Articles!$A$2:$A$148,0))="","",INDEX(Articles!$G$2:$G$148,MATCH(C108,Articles!$A$2:$A$148,0)))</f>
        <v>750</v>
      </c>
      <c r="H108" s="13" t="n">
        <f aca="false">IF(G108="",0,F108*G108)</f>
        <v>750</v>
      </c>
      <c r="I108" s="13" t="n">
        <f aca="false">IF(INDEX(Articles!$E$2:$E$148,MATCH(C108,Articles!$A$2:$A$148,0))="","",INDEX(Articles!$E$2:$E$148,MATCH(C108,Articles!$A$2:$A$148,0)))</f>
        <v>650</v>
      </c>
      <c r="J108" s="13" t="n">
        <f aca="false">IF(I108="","",F108*I108)</f>
        <v>650</v>
      </c>
      <c r="K108" s="9" t="str">
        <f aca="false">INDEX(Articles!$H$2:$H$148,MATCH(C108,Articles!$A$2:$A$148,0))</f>
        <v>Fixé</v>
      </c>
      <c r="L108" s="9" t="str">
        <f aca="false">INDEX(Articles!$F$2:$F$148,MATCH(C108,Articles!$A$2:$A$148,0))</f>
        <v>Estimé</v>
      </c>
      <c r="M108" s="17" t="s">
        <v>763</v>
      </c>
      <c r="N108" s="9" t="s">
        <v>167</v>
      </c>
    </row>
    <row r="109" customFormat="false" ht="15" hidden="false" customHeight="false" outlineLevel="0" collapsed="false">
      <c r="A109" s="9" t="s">
        <v>678</v>
      </c>
      <c r="B109" s="9" t="s">
        <v>749</v>
      </c>
      <c r="C109" s="31" t="s">
        <v>222</v>
      </c>
      <c r="D109" s="9" t="str">
        <f aca="false">INDEX(Articles!$C$2:$C$148,MATCH(C109,Articles!$A$2:$A$148,0))</f>
        <v>Pack de 4 stylos Schneider Tops 505 M (bleu, noir, rouge, vert)</v>
      </c>
      <c r="E109" s="9" t="str">
        <f aca="false">INDEX(Articles!$B$2:$B$148,MATCH(C109,Articles!$A$2:$A$148,0))</f>
        <v>Papex</v>
      </c>
      <c r="F109" s="31" t="n">
        <v>1</v>
      </c>
      <c r="G109" s="13" t="n">
        <f aca="false">IF(INDEX(Articles!$G$2:$G$148,MATCH(C109,Articles!$A$2:$A$148,0))="","",INDEX(Articles!$G$2:$G$148,MATCH(C109,Articles!$A$2:$A$148,0)))</f>
        <v>400</v>
      </c>
      <c r="H109" s="13" t="n">
        <f aca="false">IF(G109="",0,F109*G109)</f>
        <v>400</v>
      </c>
      <c r="I109" s="13" t="str">
        <f aca="false">IF(INDEX(Articles!$E$2:$E$148,MATCH(C109,Articles!$A$2:$A$148,0))="","",INDEX(Articles!$E$2:$E$148,MATCH(C109,Articles!$A$2:$A$148,0)))</f>
        <v/>
      </c>
      <c r="J109" s="13" t="str">
        <f aca="false">IF(I109="","",F109*I109)</f>
        <v/>
      </c>
      <c r="K109" s="9" t="str">
        <f aca="false">INDEX(Articles!$H$2:$H$148,MATCH(C109,Articles!$A$2:$A$148,0))</f>
        <v>Fixé</v>
      </c>
      <c r="L109" s="9" t="str">
        <f aca="false">INDEX(Articles!$F$2:$F$148,MATCH(C109,Articles!$A$2:$A$148,0))</f>
        <v>Inconnu</v>
      </c>
      <c r="M109" s="17" t="s">
        <v>432</v>
      </c>
      <c r="N109" s="9" t="s">
        <v>167</v>
      </c>
    </row>
    <row r="110" customFormat="false" ht="15" hidden="false" customHeight="false" outlineLevel="0" collapsed="false">
      <c r="A110" s="9" t="s">
        <v>678</v>
      </c>
      <c r="B110" s="9" t="s">
        <v>750</v>
      </c>
      <c r="C110" s="31" t="s">
        <v>235</v>
      </c>
      <c r="D110" s="9" t="str">
        <f aca="false">INDEX(Articles!$C$2:$C$148,MATCH(C110,Articles!$A$2:$A$148,0))</f>
        <v>Crayon papier (vendu à l'unité)</v>
      </c>
      <c r="E110" s="9" t="str">
        <f aca="false">INDEX(Articles!$B$2:$B$148,MATCH(C110,Articles!$A$2:$A$148,0))</f>
        <v>LPD</v>
      </c>
      <c r="F110" s="31" t="n">
        <v>1</v>
      </c>
      <c r="G110" s="13" t="n">
        <f aca="false">IF(INDEX(Articles!$G$2:$G$148,MATCH(C110,Articles!$A$2:$A$148,0))="","",INDEX(Articles!$G$2:$G$148,MATCH(C110,Articles!$A$2:$A$148,0)))</f>
        <v>75</v>
      </c>
      <c r="H110" s="13" t="n">
        <f aca="false">IF(G110="",0,F110*G110)</f>
        <v>75</v>
      </c>
      <c r="I110" s="13" t="str">
        <f aca="false">IF(INDEX(Articles!$E$2:$E$148,MATCH(C110,Articles!$A$2:$A$148,0))="","",INDEX(Articles!$E$2:$E$148,MATCH(C110,Articles!$A$2:$A$148,0)))</f>
        <v/>
      </c>
      <c r="J110" s="13" t="str">
        <f aca="false">IF(I110="","",F110*I110)</f>
        <v/>
      </c>
      <c r="K110" s="9" t="str">
        <f aca="false">INDEX(Articles!$H$2:$H$148,MATCH(C110,Articles!$A$2:$A$148,0))</f>
        <v>Fixé</v>
      </c>
      <c r="L110" s="9" t="str">
        <f aca="false">INDEX(Articles!$F$2:$F$148,MATCH(C110,Articles!$A$2:$A$148,0))</f>
        <v>Inconnu</v>
      </c>
      <c r="M110" s="17"/>
      <c r="N110" s="9" t="s">
        <v>167</v>
      </c>
    </row>
    <row r="111" customFormat="false" ht="15" hidden="false" customHeight="false" outlineLevel="0" collapsed="false">
      <c r="A111" s="9" t="s">
        <v>675</v>
      </c>
      <c r="B111" s="9" t="s">
        <v>717</v>
      </c>
      <c r="C111" s="31" t="s">
        <v>180</v>
      </c>
      <c r="D111" s="9" t="str">
        <f aca="false">INDEX(Articles!$C$2:$C$148,MATCH(C111,Articles!$A$2:$A$148,0))</f>
        <v>Gomme Staedtler Mars Plastic</v>
      </c>
      <c r="E111" s="9" t="str">
        <f aca="false">INDEX(Articles!$B$2:$B$148,MATCH(C111,Articles!$A$2:$A$148,0))</f>
        <v>LPD</v>
      </c>
      <c r="F111" s="31" t="n">
        <v>1</v>
      </c>
      <c r="G111" s="13" t="n">
        <f aca="false">IF(INDEX(Articles!$G$2:$G$148,MATCH(C111,Articles!$A$2:$A$148,0))="","",INDEX(Articles!$G$2:$G$148,MATCH(C111,Articles!$A$2:$A$148,0)))</f>
        <v>250</v>
      </c>
      <c r="H111" s="13" t="n">
        <f aca="false">IF(G111="",0,F111*G111)</f>
        <v>250</v>
      </c>
      <c r="I111" s="13" t="n">
        <f aca="false">IF(INDEX(Articles!$E$2:$E$148,MATCH(C111,Articles!$A$2:$A$148,0))="","",INDEX(Articles!$E$2:$E$148,MATCH(C111,Articles!$A$2:$A$148,0)))</f>
        <v>110</v>
      </c>
      <c r="J111" s="13" t="n">
        <f aca="false">IF(I111="","",F111*I111)</f>
        <v>110</v>
      </c>
      <c r="K111" s="9" t="str">
        <f aca="false">INDEX(Articles!$H$2:$H$148,MATCH(C111,Articles!$A$2:$A$148,0))</f>
        <v>Fixé</v>
      </c>
      <c r="L111" s="9" t="str">
        <f aca="false">INDEX(Articles!$F$2:$F$148,MATCH(C111,Articles!$A$2:$A$148,0))</f>
        <v>Estimé</v>
      </c>
      <c r="M111" s="17"/>
      <c r="N111" s="9" t="s">
        <v>167</v>
      </c>
    </row>
    <row r="112" customFormat="false" ht="15" hidden="false" customHeight="false" outlineLevel="0" collapsed="false">
      <c r="A112" s="9" t="s">
        <v>675</v>
      </c>
      <c r="B112" s="9" t="s">
        <v>751</v>
      </c>
      <c r="C112" s="31" t="s">
        <v>183</v>
      </c>
      <c r="D112" s="9" t="str">
        <f aca="false">INDEX(Articles!$C$2:$C$148,MATCH(C112,Articles!$A$2:$A$148,0))</f>
        <v>Taille-crayon avec réservoir Maped</v>
      </c>
      <c r="E112" s="9" t="str">
        <f aca="false">INDEX(Articles!$B$2:$B$148,MATCH(C112,Articles!$A$2:$A$148,0))</f>
        <v>Papex</v>
      </c>
      <c r="F112" s="31" t="n">
        <v>1</v>
      </c>
      <c r="G112" s="13" t="n">
        <f aca="false">IF(INDEX(Articles!$G$2:$G$148,MATCH(C112,Articles!$A$2:$A$148,0))="","",INDEX(Articles!$G$2:$G$148,MATCH(C112,Articles!$A$2:$A$148,0)))</f>
        <v>500</v>
      </c>
      <c r="H112" s="13" t="n">
        <f aca="false">IF(G112="",0,F112*G112)</f>
        <v>500</v>
      </c>
      <c r="I112" s="13" t="n">
        <f aca="false">IF(INDEX(Articles!$E$2:$E$148,MATCH(C112,Articles!$A$2:$A$148,0))="","",INDEX(Articles!$E$2:$E$148,MATCH(C112,Articles!$A$2:$A$148,0)))</f>
        <v>350</v>
      </c>
      <c r="J112" s="13" t="n">
        <f aca="false">IF(I112="","",F112*I112)</f>
        <v>350</v>
      </c>
      <c r="K112" s="9" t="str">
        <f aca="false">INDEX(Articles!$H$2:$H$148,MATCH(C112,Articles!$A$2:$A$148,0))</f>
        <v>Estimé</v>
      </c>
      <c r="L112" s="9" t="str">
        <f aca="false">INDEX(Articles!$F$2:$F$148,MATCH(C112,Articles!$A$2:$A$148,0))</f>
        <v>Estimé</v>
      </c>
      <c r="M112" s="17" t="s">
        <v>765</v>
      </c>
      <c r="N112" s="9" t="s">
        <v>167</v>
      </c>
    </row>
    <row r="113" customFormat="false" ht="15" hidden="false" customHeight="false" outlineLevel="0" collapsed="false">
      <c r="A113" s="9" t="s">
        <v>675</v>
      </c>
      <c r="B113" s="9" t="s">
        <v>753</v>
      </c>
      <c r="C113" s="31" t="s">
        <v>248</v>
      </c>
      <c r="D113" s="9" t="str">
        <f aca="false">INDEX(Articles!$C$2:$C$148,MATCH(C113,Articles!$A$2:$A$148,0))</f>
        <v>Bâton de colle Giotto 20 g</v>
      </c>
      <c r="E113" s="9" t="str">
        <f aca="false">INDEX(Articles!$B$2:$B$148,MATCH(C113,Articles!$A$2:$A$148,0))</f>
        <v>Papex</v>
      </c>
      <c r="F113" s="31" t="n">
        <v>1</v>
      </c>
      <c r="G113" s="13" t="n">
        <f aca="false">IF(INDEX(Articles!$G$2:$G$148,MATCH(C113,Articles!$A$2:$A$148,0))="","",INDEX(Articles!$G$2:$G$148,MATCH(C113,Articles!$A$2:$A$148,0)))</f>
        <v>900</v>
      </c>
      <c r="H113" s="13" t="n">
        <f aca="false">IF(G113="",0,F113*G113)</f>
        <v>900</v>
      </c>
      <c r="I113" s="13" t="n">
        <f aca="false">IF(INDEX(Articles!$E$2:$E$148,MATCH(C113,Articles!$A$2:$A$148,0))="","",INDEX(Articles!$E$2:$E$148,MATCH(C113,Articles!$A$2:$A$148,0)))</f>
        <v>650</v>
      </c>
      <c r="J113" s="13" t="n">
        <f aca="false">IF(I113="","",F113*I113)</f>
        <v>650</v>
      </c>
      <c r="K113" s="9" t="str">
        <f aca="false">INDEX(Articles!$H$2:$H$148,MATCH(C113,Articles!$A$2:$A$148,0))</f>
        <v>Estimé</v>
      </c>
      <c r="L113" s="9" t="str">
        <f aca="false">INDEX(Articles!$F$2:$F$148,MATCH(C113,Articles!$A$2:$A$148,0))</f>
        <v>Estimé</v>
      </c>
      <c r="M113" s="17"/>
      <c r="N113" s="9" t="s">
        <v>167</v>
      </c>
    </row>
    <row r="114" customFormat="false" ht="15" hidden="false" customHeight="false" outlineLevel="0" collapsed="false">
      <c r="A114" s="9" t="s">
        <v>675</v>
      </c>
      <c r="B114" s="9" t="s">
        <v>754</v>
      </c>
      <c r="C114" s="31" t="s">
        <v>189</v>
      </c>
      <c r="D114" s="9" t="str">
        <f aca="false">INDEX(Articles!$C$2:$C$148,MATCH(C114,Articles!$A$2:$A$148,0))</f>
        <v>Ciseaux Maped 13 cm Security</v>
      </c>
      <c r="E114" s="9" t="str">
        <f aca="false">INDEX(Articles!$B$2:$B$148,MATCH(C114,Articles!$A$2:$A$148,0))</f>
        <v>Papex</v>
      </c>
      <c r="F114" s="31" t="n">
        <v>1</v>
      </c>
      <c r="G114" s="13" t="n">
        <f aca="false">IF(INDEX(Articles!$G$2:$G$148,MATCH(C114,Articles!$A$2:$A$148,0))="","",INDEX(Articles!$G$2:$G$148,MATCH(C114,Articles!$A$2:$A$148,0)))</f>
        <v>900</v>
      </c>
      <c r="H114" s="13" t="n">
        <f aca="false">IF(G114="",0,F114*G114)</f>
        <v>900</v>
      </c>
      <c r="I114" s="13" t="n">
        <f aca="false">IF(INDEX(Articles!$E$2:$E$148,MATCH(C114,Articles!$A$2:$A$148,0))="","",INDEX(Articles!$E$2:$E$148,MATCH(C114,Articles!$A$2:$A$148,0)))</f>
        <v>650</v>
      </c>
      <c r="J114" s="13" t="n">
        <f aca="false">IF(I114="","",F114*I114)</f>
        <v>650</v>
      </c>
      <c r="K114" s="9" t="str">
        <f aca="false">INDEX(Articles!$H$2:$H$148,MATCH(C114,Articles!$A$2:$A$148,0))</f>
        <v>Estimé</v>
      </c>
      <c r="L114" s="9" t="str">
        <f aca="false">INDEX(Articles!$F$2:$F$148,MATCH(C114,Articles!$A$2:$A$148,0))</f>
        <v>Estimé</v>
      </c>
      <c r="M114" s="17"/>
      <c r="N114" s="9" t="s">
        <v>167</v>
      </c>
    </row>
    <row r="115" customFormat="false" ht="15" hidden="false" customHeight="false" outlineLevel="0" collapsed="false">
      <c r="A115" s="9" t="s">
        <v>676</v>
      </c>
      <c r="B115" s="9" t="s">
        <v>755</v>
      </c>
      <c r="C115" s="31" t="s">
        <v>215</v>
      </c>
      <c r="D115" s="9" t="str">
        <f aca="false">INDEX(Articles!$C$2:$C$148,MATCH(C115,Articles!$A$2:$A$148,0))</f>
        <v>Kit géométrie Maped 30 cm (réf. 1930)</v>
      </c>
      <c r="E115" s="9" t="str">
        <f aca="false">INDEX(Articles!$B$2:$B$148,MATCH(C115,Articles!$A$2:$A$148,0))</f>
        <v>LPD</v>
      </c>
      <c r="F115" s="31" t="n">
        <v>1</v>
      </c>
      <c r="G115" s="13" t="n">
        <f aca="false">IF(INDEX(Articles!$G$2:$G$148,MATCH(C115,Articles!$A$2:$A$148,0))="","",INDEX(Articles!$G$2:$G$148,MATCH(C115,Articles!$A$2:$A$148,0)))</f>
        <v>1800</v>
      </c>
      <c r="H115" s="13" t="n">
        <f aca="false">IF(G115="",0,F115*G115)</f>
        <v>1800</v>
      </c>
      <c r="I115" s="13" t="n">
        <f aca="false">IF(INDEX(Articles!$E$2:$E$148,MATCH(C115,Articles!$A$2:$A$148,0))="","",INDEX(Articles!$E$2:$E$148,MATCH(C115,Articles!$A$2:$A$148,0)))</f>
        <v>1500</v>
      </c>
      <c r="J115" s="13" t="n">
        <f aca="false">IF(I115="","",F115*I115)</f>
        <v>1500</v>
      </c>
      <c r="K115" s="9" t="str">
        <f aca="false">INDEX(Articles!$H$2:$H$148,MATCH(C115,Articles!$A$2:$A$148,0))</f>
        <v>À trancher</v>
      </c>
      <c r="L115" s="9" t="str">
        <f aca="false">INDEX(Articles!$F$2:$F$148,MATCH(C115,Articles!$A$2:$A$148,0))</f>
        <v>Confirmé</v>
      </c>
      <c r="M115" s="17"/>
      <c r="N115" s="9" t="s">
        <v>167</v>
      </c>
    </row>
    <row r="116" customFormat="false" ht="15" hidden="false" customHeight="false" outlineLevel="0" collapsed="false">
      <c r="A116" s="9" t="s">
        <v>676</v>
      </c>
      <c r="B116" s="9" t="s">
        <v>756</v>
      </c>
      <c r="C116" s="31" t="s">
        <v>171</v>
      </c>
      <c r="D116" s="9" t="str">
        <f aca="false">INDEX(Articles!$C$2:$C$148,MATCH(C116,Articles!$A$2:$A$148,0))</f>
        <v>Compas Maped</v>
      </c>
      <c r="E116" s="9" t="str">
        <f aca="false">INDEX(Articles!$B$2:$B$148,MATCH(C116,Articles!$A$2:$A$148,0))</f>
        <v>Papex</v>
      </c>
      <c r="F116" s="31" t="n">
        <v>1</v>
      </c>
      <c r="G116" s="13" t="n">
        <f aca="false">IF(INDEX(Articles!$G$2:$G$148,MATCH(C116,Articles!$A$2:$A$148,0))="","",INDEX(Articles!$G$2:$G$148,MATCH(C116,Articles!$A$2:$A$148,0)))</f>
        <v>2000</v>
      </c>
      <c r="H116" s="13" t="n">
        <f aca="false">IF(G116="",0,F116*G116)</f>
        <v>2000</v>
      </c>
      <c r="I116" s="13" t="n">
        <f aca="false">IF(INDEX(Articles!$E$2:$E$148,MATCH(C116,Articles!$A$2:$A$148,0))="","",INDEX(Articles!$E$2:$E$148,MATCH(C116,Articles!$A$2:$A$148,0)))</f>
        <v>1750</v>
      </c>
      <c r="J116" s="13" t="n">
        <f aca="false">IF(I116="","",F116*I116)</f>
        <v>1750</v>
      </c>
      <c r="K116" s="9" t="str">
        <f aca="false">INDEX(Articles!$H$2:$H$148,MATCH(C116,Articles!$A$2:$A$148,0))</f>
        <v>Fixé</v>
      </c>
      <c r="L116" s="9" t="str">
        <f aca="false">INDEX(Articles!$F$2:$F$148,MATCH(C116,Articles!$A$2:$A$148,0))</f>
        <v>Confirmé</v>
      </c>
      <c r="M116" s="17"/>
      <c r="N116" s="9" t="s">
        <v>167</v>
      </c>
    </row>
    <row r="117" customFormat="false" ht="15" hidden="false" customHeight="false" outlineLevel="0" collapsed="false">
      <c r="A117" s="9" t="s">
        <v>681</v>
      </c>
      <c r="B117" s="9" t="s">
        <v>757</v>
      </c>
      <c r="C117" s="31" t="s">
        <v>198</v>
      </c>
      <c r="D117" s="9" t="str">
        <f aca="false">INDEX(Articles!$C$2:$C$148,MATCH(C117,Articles!$A$2:$A$148,0))</f>
        <v>Crayons de couleur Maped, boîte de 12</v>
      </c>
      <c r="E117" s="9" t="str">
        <f aca="false">INDEX(Articles!$B$2:$B$148,MATCH(C117,Articles!$A$2:$A$148,0))</f>
        <v>Papex</v>
      </c>
      <c r="F117" s="31" t="n">
        <v>1</v>
      </c>
      <c r="G117" s="13" t="n">
        <f aca="false">IF(INDEX(Articles!$G$2:$G$148,MATCH(C117,Articles!$A$2:$A$148,0))="","",INDEX(Articles!$G$2:$G$148,MATCH(C117,Articles!$A$2:$A$148,0)))</f>
        <v>900</v>
      </c>
      <c r="H117" s="13" t="n">
        <f aca="false">IF(G117="",0,F117*G117)</f>
        <v>900</v>
      </c>
      <c r="I117" s="13" t="n">
        <f aca="false">IF(INDEX(Articles!$E$2:$E$148,MATCH(C117,Articles!$A$2:$A$148,0))="","",INDEX(Articles!$E$2:$E$148,MATCH(C117,Articles!$A$2:$A$148,0)))</f>
        <v>650</v>
      </c>
      <c r="J117" s="13" t="n">
        <f aca="false">IF(I117="","",F117*I117)</f>
        <v>650</v>
      </c>
      <c r="K117" s="9" t="str">
        <f aca="false">INDEX(Articles!$H$2:$H$148,MATCH(C117,Articles!$A$2:$A$148,0))</f>
        <v>Estimé</v>
      </c>
      <c r="L117" s="9" t="str">
        <f aca="false">INDEX(Articles!$F$2:$F$148,MATCH(C117,Articles!$A$2:$A$148,0))</f>
        <v>Estimé</v>
      </c>
      <c r="M117" s="17"/>
      <c r="N117" s="9" t="s">
        <v>167</v>
      </c>
    </row>
    <row r="118" customFormat="false" ht="15" hidden="false" customHeight="false" outlineLevel="0" collapsed="false">
      <c r="A118" s="9" t="s">
        <v>678</v>
      </c>
      <c r="B118" s="9" t="s">
        <v>766</v>
      </c>
      <c r="C118" s="31" t="s">
        <v>200</v>
      </c>
      <c r="D118" s="9" t="str">
        <f aca="false">INDEX(Articles!$C$2:$C$148,MATCH(C118,Articles!$A$2:$A$148,0))</f>
        <v>Surligneurs Maped Fluo Peps, pochette de 4</v>
      </c>
      <c r="E118" s="9" t="str">
        <f aca="false">INDEX(Articles!$B$2:$B$148,MATCH(C118,Articles!$A$2:$A$148,0))</f>
        <v>Papex</v>
      </c>
      <c r="F118" s="31" t="n">
        <v>1</v>
      </c>
      <c r="G118" s="13" t="n">
        <f aca="false">IF(INDEX(Articles!$G$2:$G$148,MATCH(C118,Articles!$A$2:$A$148,0))="","",INDEX(Articles!$G$2:$G$148,MATCH(C118,Articles!$A$2:$A$148,0)))</f>
        <v>2500</v>
      </c>
      <c r="H118" s="13" t="n">
        <f aca="false">IF(G118="",0,F118*G118)</f>
        <v>2500</v>
      </c>
      <c r="I118" s="13" t="n">
        <f aca="false">IF(INDEX(Articles!$E$2:$E$148,MATCH(C118,Articles!$A$2:$A$148,0))="","",INDEX(Articles!$E$2:$E$148,MATCH(C118,Articles!$A$2:$A$148,0)))</f>
        <v>2000</v>
      </c>
      <c r="J118" s="13" t="n">
        <f aca="false">IF(I118="","",F118*I118)</f>
        <v>2000</v>
      </c>
      <c r="K118" s="9" t="str">
        <f aca="false">INDEX(Articles!$H$2:$H$148,MATCH(C118,Articles!$A$2:$A$148,0))</f>
        <v>Estimé</v>
      </c>
      <c r="L118" s="9" t="str">
        <f aca="false">INDEX(Articles!$F$2:$F$148,MATCH(C118,Articles!$A$2:$A$148,0))</f>
        <v>Confirmé</v>
      </c>
      <c r="M118" s="17" t="s">
        <v>767</v>
      </c>
      <c r="N118" s="9" t="s">
        <v>167</v>
      </c>
    </row>
    <row r="119" customFormat="false" ht="15" hidden="false" customHeight="false" outlineLevel="0" collapsed="false">
      <c r="A119" s="9" t="s">
        <v>768</v>
      </c>
      <c r="B119" s="9" t="s">
        <v>769</v>
      </c>
      <c r="C119" s="31" t="s">
        <v>446</v>
      </c>
      <c r="D119" s="9" t="str">
        <f aca="false">INDEX(Articles!$C$2:$C$148,MATCH(C119,Articles!$A$2:$A$148,0))</f>
        <v>Chemise 3 rabats à élastique</v>
      </c>
      <c r="E119" s="9" t="str">
        <f aca="false">INDEX(Articles!$B$2:$B$148,MATCH(C119,Articles!$A$2:$A$148,0))</f>
        <v>Papex</v>
      </c>
      <c r="F119" s="31" t="n">
        <v>1</v>
      </c>
      <c r="G119" s="13" t="n">
        <f aca="false">IF(INDEX(Articles!$G$2:$G$148,MATCH(C119,Articles!$A$2:$A$148,0))="","",INDEX(Articles!$G$2:$G$148,MATCH(C119,Articles!$A$2:$A$148,0)))</f>
        <v>500</v>
      </c>
      <c r="H119" s="13" t="n">
        <f aca="false">IF(G119="",0,F119*G119)</f>
        <v>500</v>
      </c>
      <c r="I119" s="13" t="str">
        <f aca="false">IF(INDEX(Articles!$E$2:$E$148,MATCH(C119,Articles!$A$2:$A$148,0))="","",INDEX(Articles!$E$2:$E$148,MATCH(C119,Articles!$A$2:$A$148,0)))</f>
        <v/>
      </c>
      <c r="J119" s="13" t="str">
        <f aca="false">IF(I119="","",F119*I119)</f>
        <v/>
      </c>
      <c r="K119" s="9" t="str">
        <f aca="false">INDEX(Articles!$H$2:$H$148,MATCH(C119,Articles!$A$2:$A$148,0))</f>
        <v>Estimé</v>
      </c>
      <c r="L119" s="9" t="str">
        <f aca="false">INDEX(Articles!$F$2:$F$148,MATCH(C119,Articles!$A$2:$A$148,0))</f>
        <v>Inconnu</v>
      </c>
      <c r="M119" s="17" t="s">
        <v>770</v>
      </c>
      <c r="N119" s="9" t="s">
        <v>167</v>
      </c>
    </row>
    <row r="120" customFormat="false" ht="15" hidden="false" customHeight="false" outlineLevel="0" collapsed="false">
      <c r="A120" s="9" t="s">
        <v>676</v>
      </c>
      <c r="B120" s="9" t="s">
        <v>812</v>
      </c>
      <c r="C120" s="31" t="s">
        <v>205</v>
      </c>
      <c r="D120" s="9" t="str">
        <f aca="false">INDEX(Articles!$C$2:$C$148,MATCH(C120,Articles!$A$2:$A$148,0))</f>
        <v>Calculatrice Casio fx-92 Collège</v>
      </c>
      <c r="E120" s="9" t="str">
        <f aca="false">INDEX(Articles!$B$2:$B$148,MATCH(C120,Articles!$A$2:$A$148,0))</f>
        <v>Papex</v>
      </c>
      <c r="F120" s="31" t="n">
        <v>1</v>
      </c>
      <c r="G120" s="13" t="n">
        <f aca="false">IF(INDEX(Articles!$G$2:$G$148,MATCH(C120,Articles!$A$2:$A$148,0))="","",INDEX(Articles!$G$2:$G$148,MATCH(C120,Articles!$A$2:$A$148,0)))</f>
        <v>8000</v>
      </c>
      <c r="H120" s="13" t="n">
        <f aca="false">IF(G120="",0,F120*G120)</f>
        <v>8000</v>
      </c>
      <c r="I120" s="13" t="n">
        <f aca="false">IF(INDEX(Articles!$E$2:$E$148,MATCH(C120,Articles!$A$2:$A$148,0))="","",INDEX(Articles!$E$2:$E$148,MATCH(C120,Articles!$A$2:$A$148,0)))</f>
        <v>7000</v>
      </c>
      <c r="J120" s="13" t="n">
        <f aca="false">IF(I120="","",F120*I120)</f>
        <v>7000</v>
      </c>
      <c r="K120" s="9" t="str">
        <f aca="false">INDEX(Articles!$H$2:$H$148,MATCH(C120,Articles!$A$2:$A$148,0))</f>
        <v>Fixé</v>
      </c>
      <c r="L120" s="9" t="str">
        <f aca="false">INDEX(Articles!$F$2:$F$148,MATCH(C120,Articles!$A$2:$A$148,0))</f>
        <v>Confirmé</v>
      </c>
      <c r="M120" s="17" t="s">
        <v>820</v>
      </c>
      <c r="N120" s="9" t="s">
        <v>167</v>
      </c>
    </row>
    <row r="121" customFormat="false" ht="15" hidden="false" customHeight="false" outlineLevel="0" collapsed="false">
      <c r="A121" s="9" t="s">
        <v>768</v>
      </c>
      <c r="B121" s="9" t="s">
        <v>861</v>
      </c>
      <c r="C121" s="31" t="s">
        <v>246</v>
      </c>
      <c r="D121" s="9" t="str">
        <f aca="false">INDEX(Articles!$C$2:$C$148,MATCH(C121,Articles!$A$2:$A$148,0))</f>
        <v>Protège-documents porte-vues</v>
      </c>
      <c r="E121" s="9" t="str">
        <f aca="false">INDEX(Articles!$B$2:$B$148,MATCH(C121,Articles!$A$2:$A$148,0))</f>
        <v>LPD</v>
      </c>
      <c r="F121" s="31" t="n">
        <v>1</v>
      </c>
      <c r="G121" s="13" t="n">
        <f aca="false">IF(INDEX(Articles!$G$2:$G$148,MATCH(C121,Articles!$A$2:$A$148,0))="","",INDEX(Articles!$G$2:$G$148,MATCH(C121,Articles!$A$2:$A$148,0)))</f>
        <v>1150</v>
      </c>
      <c r="H121" s="13" t="n">
        <f aca="false">IF(G121="",0,F121*G121)</f>
        <v>1150</v>
      </c>
      <c r="I121" s="13" t="n">
        <f aca="false">IF(INDEX(Articles!$E$2:$E$148,MATCH(C121,Articles!$A$2:$A$148,0))="","",INDEX(Articles!$E$2:$E$148,MATCH(C121,Articles!$A$2:$A$148,0)))</f>
        <v>850</v>
      </c>
      <c r="J121" s="13" t="n">
        <f aca="false">IF(I121="","",F121*I121)</f>
        <v>850</v>
      </c>
      <c r="K121" s="9" t="str">
        <f aca="false">INDEX(Articles!$H$2:$H$148,MATCH(C121,Articles!$A$2:$A$148,0))</f>
        <v>Fixé</v>
      </c>
      <c r="L121" s="9" t="str">
        <f aca="false">INDEX(Articles!$F$2:$F$148,MATCH(C121,Articles!$A$2:$A$148,0))</f>
        <v>Estimé</v>
      </c>
      <c r="M121" s="17"/>
      <c r="N121" s="9" t="s">
        <v>167</v>
      </c>
    </row>
    <row r="122" customFormat="false" ht="15" hidden="false" customHeight="false" outlineLevel="0" collapsed="false">
      <c r="A122" s="9" t="s">
        <v>758</v>
      </c>
      <c r="B122" s="9" t="s">
        <v>759</v>
      </c>
      <c r="C122" s="31" t="s">
        <v>376</v>
      </c>
      <c r="D122" s="9" t="str">
        <f aca="false">INDEX(Articles!$C$2:$C$148,MATCH(C122,Articles!$A$2:$A$148,0))</f>
        <v>Paquet de copies doubles grand format</v>
      </c>
      <c r="E122" s="9" t="str">
        <f aca="false">INDEX(Articles!$B$2:$B$148,MATCH(C122,Articles!$A$2:$A$148,0))</f>
        <v>À préciser</v>
      </c>
      <c r="F122" s="31" t="n">
        <v>1</v>
      </c>
      <c r="G122" s="45" t="n">
        <f aca="false">IF(INDEX(Articles!$G$2:$G$148,MATCH(C122,Articles!$A$2:$A$148,0))="","",INDEX(Articles!$G$2:$G$148,MATCH(C122,Articles!$A$2:$A$148,0)))</f>
        <v>1800</v>
      </c>
      <c r="H122" s="13" t="n">
        <f aca="false">IF(G122="",0,F122*G122)</f>
        <v>1800</v>
      </c>
      <c r="I122" s="13" t="n">
        <f aca="false">IF(INDEX(Articles!$E$2:$E$148,MATCH(C122,Articles!$A$2:$A$148,0))="","",INDEX(Articles!$E$2:$E$148,MATCH(C122,Articles!$A$2:$A$148,0)))</f>
        <v>1300</v>
      </c>
      <c r="J122" s="13" t="n">
        <f aca="false">IF(I122="","",F122*I122)</f>
        <v>1300</v>
      </c>
      <c r="K122" s="9" t="str">
        <f aca="false">INDEX(Articles!$H$2:$H$148,MATCH(C122,Articles!$A$2:$A$148,0))</f>
        <v>Fixé</v>
      </c>
      <c r="L122" s="9" t="str">
        <f aca="false">INDEX(Articles!$F$2:$F$148,MATCH(C122,Articles!$A$2:$A$148,0))</f>
        <v>Confirmé</v>
      </c>
      <c r="M122" s="17"/>
      <c r="N122" s="9" t="s">
        <v>167</v>
      </c>
    </row>
    <row r="123" customFormat="false" ht="15" hidden="false" customHeight="false" outlineLevel="0" collapsed="false">
      <c r="A123" s="9" t="s">
        <v>771</v>
      </c>
      <c r="B123" s="9" t="s">
        <v>772</v>
      </c>
      <c r="C123" s="31" t="s">
        <v>160</v>
      </c>
      <c r="D123" s="9" t="str">
        <f aca="false">INDEX(Articles!$C$2:$C$148,MATCH(C123,Articles!$A$2:$A$148,0))</f>
        <v>Protège-cahier couleur petit format (à l'unité)</v>
      </c>
      <c r="E123" s="9" t="str">
        <f aca="false">INDEX(Articles!$B$2:$B$148,MATCH(C123,Articles!$A$2:$A$148,0))</f>
        <v>LPD</v>
      </c>
      <c r="F123" s="31" t="n">
        <v>6</v>
      </c>
      <c r="G123" s="13" t="n">
        <f aca="false">IF(INDEX(Articles!$G$2:$G$148,MATCH(C123,Articles!$A$2:$A$148,0))="","",INDEX(Articles!$G$2:$G$148,MATCH(C123,Articles!$A$2:$A$148,0)))</f>
        <v>150</v>
      </c>
      <c r="H123" s="13" t="n">
        <f aca="false">IF(G123="",0,F123*G123)</f>
        <v>900</v>
      </c>
      <c r="I123" s="13" t="str">
        <f aca="false">IF(INDEX(Articles!$E$2:$E$148,MATCH(C123,Articles!$A$2:$A$148,0))="","",INDEX(Articles!$E$2:$E$148,MATCH(C123,Articles!$A$2:$A$148,0)))</f>
        <v/>
      </c>
      <c r="J123" s="13" t="str">
        <f aca="false">IF(I123="","",F123*I123)</f>
        <v/>
      </c>
      <c r="K123" s="9" t="str">
        <f aca="false">INDEX(Articles!$H$2:$H$148,MATCH(C123,Articles!$A$2:$A$148,0))</f>
        <v>Fixé</v>
      </c>
      <c r="L123" s="9" t="str">
        <f aca="false">INDEX(Articles!$F$2:$F$148,MATCH(C123,Articles!$A$2:$A$148,0))</f>
        <v>Inconnu</v>
      </c>
      <c r="M123" s="17"/>
      <c r="N123" s="9" t="s">
        <v>167</v>
      </c>
    </row>
    <row r="124" customFormat="false" ht="15" hidden="false" customHeight="false" outlineLevel="0" collapsed="false">
      <c r="A124" s="9" t="s">
        <v>771</v>
      </c>
      <c r="B124" s="9" t="s">
        <v>773</v>
      </c>
      <c r="C124" s="31" t="s">
        <v>419</v>
      </c>
      <c r="D124" s="9" t="str">
        <f aca="false">INDEX(Articles!$C$2:$C$148,MATCH(C124,Articles!$A$2:$A$148,0))</f>
        <v>Protège-cahier grand format (à l'unité)</v>
      </c>
      <c r="E124" s="9" t="str">
        <f aca="false">INDEX(Articles!$B$2:$B$148,MATCH(C124,Articles!$A$2:$A$148,0))</f>
        <v>À préciser</v>
      </c>
      <c r="F124" s="31" t="n">
        <v>8</v>
      </c>
      <c r="G124" s="13" t="str">
        <f aca="false">IF(INDEX(Articles!$G$2:$G$148,MATCH(C124,Articles!$A$2:$A$148,0))="","",INDEX(Articles!$G$2:$G$148,MATCH(C124,Articles!$A$2:$A$148,0)))</f>
        <v/>
      </c>
      <c r="H124" s="13" t="n">
        <f aca="false">IF(G124="",0,F124*G124)</f>
        <v>0</v>
      </c>
      <c r="I124" s="13" t="str">
        <f aca="false">IF(INDEX(Articles!$E$2:$E$148,MATCH(C124,Articles!$A$2:$A$148,0))="","",INDEX(Articles!$E$2:$E$148,MATCH(C124,Articles!$A$2:$A$148,0)))</f>
        <v/>
      </c>
      <c r="J124" s="13" t="str">
        <f aca="false">IF(I124="","",F124*I124)</f>
        <v/>
      </c>
      <c r="K124" s="9" t="str">
        <f aca="false">INDEX(Articles!$H$2:$H$148,MATCH(C124,Articles!$A$2:$A$148,0))</f>
        <v>À fournir</v>
      </c>
      <c r="L124" s="9" t="str">
        <f aca="false">INDEX(Articles!$F$2:$F$148,MATCH(C124,Articles!$A$2:$A$148,0))</f>
        <v>Inconnu</v>
      </c>
      <c r="M124" s="17"/>
      <c r="N124" s="9" t="s">
        <v>167</v>
      </c>
    </row>
    <row r="125" customFormat="false" ht="26.85" hidden="false" customHeight="false" outlineLevel="0" collapsed="false">
      <c r="A125" s="9" t="s">
        <v>760</v>
      </c>
      <c r="B125" s="9" t="s">
        <v>945</v>
      </c>
      <c r="C125" s="31" t="s">
        <v>497</v>
      </c>
      <c r="D125" s="9" t="str">
        <f aca="false">INDEX(Articles!$C$2:$C$148,MATCH(C125,Articles!$A$2:$A$148,0))</f>
        <v>Les Nouveaux Contes d'Amadou Koumba (Birago Diop)</v>
      </c>
      <c r="E125" s="9" t="str">
        <f aca="false">INDEX(Articles!$B$2:$B$148,MATCH(C125,Articles!$A$2:$A$148,0))</f>
        <v>LPD</v>
      </c>
      <c r="F125" s="31" t="n">
        <v>1</v>
      </c>
      <c r="G125" s="13" t="n">
        <f aca="false">IF(INDEX(Articles!$G$2:$G$148,MATCH(C125,Articles!$A$2:$A$148,0))="","",INDEX(Articles!$G$2:$G$148,MATCH(C125,Articles!$A$2:$A$148,0)))</f>
        <v>3900</v>
      </c>
      <c r="H125" s="13" t="n">
        <f aca="false">IF(G125="",0,F125*G125)</f>
        <v>3900</v>
      </c>
      <c r="I125" s="13" t="n">
        <f aca="false">IF(INDEX(Articles!$E$2:$E$148,MATCH(C125,Articles!$A$2:$A$148,0))="","",INDEX(Articles!$E$2:$E$148,MATCH(C125,Articles!$A$2:$A$148,0)))</f>
        <v>2900</v>
      </c>
      <c r="J125" s="13" t="n">
        <f aca="false">IF(I125="","",F125*I125)</f>
        <v>2900</v>
      </c>
      <c r="K125" s="9" t="str">
        <f aca="false">INDEX(Articles!$H$2:$H$148,MATCH(C125,Articles!$A$2:$A$148,0))</f>
        <v>Fixé</v>
      </c>
      <c r="L125" s="9" t="str">
        <f aca="false">INDEX(Articles!$F$2:$F$148,MATCH(C125,Articles!$A$2:$A$148,0))</f>
        <v>Estimé</v>
      </c>
      <c r="M125" s="17" t="s">
        <v>947</v>
      </c>
      <c r="N125" s="9" t="s">
        <v>167</v>
      </c>
    </row>
    <row r="126" customFormat="false" ht="15" hidden="false" customHeight="false" outlineLevel="0" collapsed="false">
      <c r="A126" s="9" t="s">
        <v>678</v>
      </c>
      <c r="B126" s="9" t="s">
        <v>781</v>
      </c>
      <c r="C126" s="31" t="s">
        <v>434</v>
      </c>
      <c r="D126" s="9" t="str">
        <f aca="false">INDEX(Articles!$C$2:$C$148,MATCH(C126,Articles!$A$2:$A$148,0))</f>
        <v>Stylo 4 couleurs Schneider</v>
      </c>
      <c r="E126" s="9" t="str">
        <f aca="false">INDEX(Articles!$B$2:$B$148,MATCH(C126,Articles!$A$2:$A$148,0))</f>
        <v>Papex</v>
      </c>
      <c r="F126" s="31" t="n">
        <v>1</v>
      </c>
      <c r="G126" s="13" t="n">
        <f aca="false">IF(INDEX(Articles!$G$2:$G$148,MATCH(C126,Articles!$A$2:$A$148,0))="","",INDEX(Articles!$G$2:$G$148,MATCH(C126,Articles!$A$2:$A$148,0)))</f>
        <v>1750</v>
      </c>
      <c r="H126" s="13" t="n">
        <f aca="false">IF(G126="",0,F126*G126)</f>
        <v>1750</v>
      </c>
      <c r="I126" s="13" t="n">
        <f aca="false">IF(INDEX(Articles!$E$2:$E$148,MATCH(C126,Articles!$A$2:$A$148,0))="","",INDEX(Articles!$E$2:$E$148,MATCH(C126,Articles!$A$2:$A$148,0)))</f>
        <v>1500</v>
      </c>
      <c r="J126" s="13" t="n">
        <f aca="false">IF(I126="","",F126*I126)</f>
        <v>1500</v>
      </c>
      <c r="K126" s="9" t="str">
        <f aca="false">INDEX(Articles!$H$2:$H$148,MATCH(C126,Articles!$A$2:$A$148,0))</f>
        <v>Fixé</v>
      </c>
      <c r="L126" s="9" t="str">
        <f aca="false">INDEX(Articles!$F$2:$F$148,MATCH(C126,Articles!$A$2:$A$148,0))</f>
        <v>Confirmé</v>
      </c>
      <c r="M126" s="17"/>
      <c r="N126" s="9" t="s">
        <v>167</v>
      </c>
    </row>
    <row r="127" customFormat="false" ht="15" hidden="false" customHeight="false" outlineLevel="0" collapsed="false">
      <c r="A127" s="9" t="s">
        <v>678</v>
      </c>
      <c r="B127" s="9" t="s">
        <v>782</v>
      </c>
      <c r="C127" s="31" t="s">
        <v>174</v>
      </c>
      <c r="D127" s="9" t="str">
        <f aca="false">INDEX(Articles!$C$2:$C$148,MATCH(C127,Articles!$A$2:$A$148,0))</f>
        <v>Correcteur souris ARK</v>
      </c>
      <c r="E127" s="9" t="str">
        <f aca="false">INDEX(Articles!$B$2:$B$148,MATCH(C127,Articles!$A$2:$A$148,0))</f>
        <v>Papex</v>
      </c>
      <c r="F127" s="31" t="n">
        <v>1</v>
      </c>
      <c r="G127" s="13" t="n">
        <f aca="false">IF(INDEX(Articles!$G$2:$G$148,MATCH(C127,Articles!$A$2:$A$148,0))="","",INDEX(Articles!$G$2:$G$148,MATCH(C127,Articles!$A$2:$A$148,0)))</f>
        <v>1000</v>
      </c>
      <c r="H127" s="13" t="n">
        <f aca="false">IF(G127="",0,F127*G127)</f>
        <v>1000</v>
      </c>
      <c r="I127" s="13" t="n">
        <f aca="false">IF(INDEX(Articles!$E$2:$E$148,MATCH(C127,Articles!$A$2:$A$148,0))="","",INDEX(Articles!$E$2:$E$148,MATCH(C127,Articles!$A$2:$A$148,0)))</f>
        <v>700</v>
      </c>
      <c r="J127" s="13" t="n">
        <f aca="false">IF(I127="","",F127*I127)</f>
        <v>700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783</v>
      </c>
      <c r="B128" s="9" t="s">
        <v>866</v>
      </c>
      <c r="C128" s="31" t="s">
        <v>499</v>
      </c>
      <c r="D128" s="9" t="str">
        <f aca="false">INDEX(Articles!$C$2:$C$148,MATCH(C128,Articles!$A$2:$A$148,0))</f>
        <v>Le Marabout de la sécheresse (Cheik Aliou Ndao)</v>
      </c>
      <c r="E128" s="9" t="str">
        <f aca="false">INDEX(Articles!$B$2:$B$148,MATCH(C128,Articles!$A$2:$A$148,0))</f>
        <v>LPD</v>
      </c>
      <c r="F128" s="31" t="n">
        <v>1</v>
      </c>
      <c r="G128" s="13" t="n">
        <f aca="false">IF(INDEX(Articles!$G$2:$G$148,MATCH(C128,Articles!$A$2:$A$148,0))="","",INDEX(Articles!$G$2:$G$148,MATCH(C128,Articles!$A$2:$A$148,0)))</f>
        <v>2800</v>
      </c>
      <c r="H128" s="13" t="n">
        <f aca="false">IF(G128="",0,F128*G128)</f>
        <v>2800</v>
      </c>
      <c r="I128" s="13" t="n">
        <f aca="false">IF(INDEX(Articles!$E$2:$E$148,MATCH(C128,Articles!$A$2:$A$148,0))="","",INDEX(Articles!$E$2:$E$148,MATCH(C128,Articles!$A$2:$A$148,0)))</f>
        <v>1800</v>
      </c>
      <c r="J128" s="13" t="n">
        <f aca="false">IF(I128="","",F128*I128)</f>
        <v>1800</v>
      </c>
      <c r="K128" s="9" t="str">
        <f aca="false">INDEX(Articles!$H$2:$H$148,MATCH(C128,Articles!$A$2:$A$148,0))</f>
        <v>Fixé</v>
      </c>
      <c r="L128" s="9" t="str">
        <f aca="false">INDEX(Articles!$F$2:$F$148,MATCH(C128,Articles!$A$2:$A$148,0))</f>
        <v>Confirmé</v>
      </c>
      <c r="M128" s="17"/>
      <c r="N128" s="9" t="s">
        <v>167</v>
      </c>
    </row>
    <row r="129" customFormat="false" ht="15" hidden="false" customHeight="false" outlineLevel="0" collapsed="false">
      <c r="A129" s="9" t="s">
        <v>783</v>
      </c>
      <c r="B129" s="9" t="s">
        <v>784</v>
      </c>
      <c r="C129" s="31" t="s">
        <v>502</v>
      </c>
      <c r="D129" s="9" t="str">
        <f aca="false">INDEX(Articles!$C$2:$C$148,MATCH(C129,Articles!$A$2:$A$148,0))</f>
        <v>L'Enfant noir (Camara Laye)</v>
      </c>
      <c r="E129" s="9" t="str">
        <f aca="false">INDEX(Articles!$B$2:$B$148,MATCH(C129,Articles!$A$2:$A$148,0))</f>
        <v>LPD</v>
      </c>
      <c r="F129" s="31" t="n">
        <v>1</v>
      </c>
      <c r="G129" s="13" t="n">
        <f aca="false">IF(INDEX(Articles!$G$2:$G$148,MATCH(C129,Articles!$A$2:$A$148,0))="","",INDEX(Articles!$G$2:$G$148,MATCH(C129,Articles!$A$2:$A$148,0)))</f>
        <v>2800</v>
      </c>
      <c r="H129" s="13" t="n">
        <f aca="false">IF(G129="",0,F129*G129)</f>
        <v>2800</v>
      </c>
      <c r="I129" s="13" t="n">
        <f aca="false">IF(INDEX(Articles!$E$2:$E$148,MATCH(C129,Articles!$A$2:$A$148,0))="","",INDEX(Articles!$E$2:$E$148,MATCH(C129,Articles!$A$2:$A$148,0)))</f>
        <v>1800</v>
      </c>
      <c r="J129" s="13" t="n">
        <f aca="false">IF(I129="","",F129*I129)</f>
        <v>1800</v>
      </c>
      <c r="K129" s="9" t="str">
        <f aca="false">INDEX(Articles!$H$2:$H$148,MATCH(C129,Articles!$A$2:$A$148,0))</f>
        <v>Fixé</v>
      </c>
      <c r="L129" s="9" t="str">
        <f aca="false">INDEX(Articles!$F$2:$F$148,MATCH(C129,Articles!$A$2:$A$148,0))</f>
        <v>Estimé</v>
      </c>
      <c r="M129" s="17"/>
      <c r="N129" s="9" t="s">
        <v>167</v>
      </c>
    </row>
    <row r="130" customFormat="false" ht="15" hidden="false" customHeight="false" outlineLevel="0" collapsed="false">
      <c r="D130" s="32" t="s">
        <v>683</v>
      </c>
      <c r="E130" s="32"/>
      <c r="F130" s="32"/>
      <c r="G130" s="32"/>
      <c r="H130" s="33" t="n">
        <f aca="false">COUNTIF(G95:G129,"")</f>
        <v>1</v>
      </c>
    </row>
    <row r="131" customFormat="false" ht="15" hidden="false" customHeight="false" outlineLevel="0" collapsed="false">
      <c r="D131" s="32" t="s">
        <v>684</v>
      </c>
      <c r="E131" s="32"/>
      <c r="F131" s="32"/>
      <c r="G131" s="32"/>
      <c r="H131" s="33" t="n">
        <f aca="false">SUM(H95:H129)</f>
        <v>52675</v>
      </c>
    </row>
    <row r="132" customFormat="false" ht="15" hidden="false" customHeight="false" outlineLevel="0" collapsed="false">
      <c r="D132" s="32" t="s">
        <v>28</v>
      </c>
      <c r="E132" s="32"/>
      <c r="F132" s="32"/>
      <c r="G132" s="32"/>
      <c r="H132" s="33" t="n">
        <f aca="false">SUM(J95:J129)</f>
        <v>41360</v>
      </c>
    </row>
    <row r="133" customFormat="false" ht="15" hidden="false" customHeight="false" outlineLevel="0" collapsed="false">
      <c r="D133" s="32" t="s">
        <v>685</v>
      </c>
      <c r="E133" s="32"/>
      <c r="F133" s="32"/>
      <c r="G133" s="32"/>
      <c r="H133" s="33" t="n">
        <f aca="false">COUNTIF(I95:I129,"")</f>
        <v>5</v>
      </c>
    </row>
    <row r="134" customFormat="false" ht="15" hidden="false" customHeight="false" outlineLevel="0" collapsed="false">
      <c r="D134" s="32" t="s">
        <v>686</v>
      </c>
      <c r="E134" s="32"/>
      <c r="F134" s="32"/>
      <c r="G134" s="32"/>
      <c r="H134" s="33" t="n">
        <f aca="false">SUMPRODUCT((I95:I129&lt;&gt;"")*H95:H129)-H132</f>
        <v>9440</v>
      </c>
    </row>
    <row r="135" customFormat="false" ht="15" hidden="false" customHeight="false" outlineLevel="0" collapsed="false">
      <c r="D135" s="32" t="s">
        <v>687</v>
      </c>
      <c r="E135" s="32"/>
      <c r="F135" s="32"/>
      <c r="G135" s="32"/>
      <c r="H135" s="33" t="n">
        <f aca="false">SUMIF(A95:A129,"Cahiers",F95:F129)</f>
        <v>14</v>
      </c>
    </row>
    <row r="136" customFormat="false" ht="15" hidden="false" customHeight="false" outlineLevel="0" collapsed="false">
      <c r="D136" s="32" t="s">
        <v>688</v>
      </c>
      <c r="E136" s="32"/>
      <c r="F136" s="32"/>
      <c r="G136" s="32"/>
      <c r="H136" s="34" t="n">
        <f aca="false">IF(H131=0,0,SUMIF(K95:K129,"&lt;&gt;Fixé",H95:H129)/H131)</f>
        <v>0.15187470336972</v>
      </c>
    </row>
    <row r="137" customFormat="false" ht="15" hidden="false" customHeight="false" outlineLevel="0" collapsed="false">
      <c r="D137" s="32" t="s">
        <v>689</v>
      </c>
      <c r="E137" s="32"/>
      <c r="F137" s="32"/>
      <c r="G137" s="32"/>
      <c r="H137" s="33" t="str">
        <f aca="false">IF(H130&gt;0,"Total incomplet : "&amp;H130&amp;" prix de vente à fournir",IF(H133&gt;0,"Coût incomplet : "&amp;H133&amp;" ligne(s) sans prix d'achat","Complet"))</f>
        <v>Total incomplet : 1 prix de vente à fournir</v>
      </c>
    </row>
    <row r="138" customFormat="false" ht="15" hidden="false" customHeight="false" outlineLevel="0" collapsed="false">
      <c r="D138" s="21" t="s">
        <v>696</v>
      </c>
      <c r="E138" s="21" t="str">
        <f aca="false">INDEX(Articles!$C$2:$C$148,MATCH("S020",Articles!$A$2:$A$148,0))</f>
        <v>Sac à dos bleu marine</v>
      </c>
      <c r="H138" s="41" t="n">
        <f aca="false">INDEX(Articles!$G$2:$G$148,MATCH("S020",Articles!$A$2:$A$148,0))</f>
        <v>7000</v>
      </c>
    </row>
    <row r="139" customFormat="false" ht="15" hidden="false" customHeight="false" outlineLevel="0" collapsed="false">
      <c r="D139" s="42" t="s">
        <v>697</v>
      </c>
      <c r="E139" s="43" t="s">
        <v>948</v>
      </c>
    </row>
    <row r="140" customFormat="false" ht="15" hidden="false" customHeight="false" outlineLevel="0" collapsed="false">
      <c r="E140" s="43" t="s">
        <v>81</v>
      </c>
    </row>
  </sheetData>
  <mergeCells count="24">
    <mergeCell ref="D31:G31"/>
    <mergeCell ref="D32:G32"/>
    <mergeCell ref="D33:G33"/>
    <mergeCell ref="D34:G34"/>
    <mergeCell ref="D35:G35"/>
    <mergeCell ref="D36:G36"/>
    <mergeCell ref="D37:G37"/>
    <mergeCell ref="D38:G38"/>
    <mergeCell ref="D80:G80"/>
    <mergeCell ref="D81:G81"/>
    <mergeCell ref="D82:G82"/>
    <mergeCell ref="D83:G83"/>
    <mergeCell ref="D84:G84"/>
    <mergeCell ref="D85:G85"/>
    <mergeCell ref="D86:G86"/>
    <mergeCell ref="D87:G87"/>
    <mergeCell ref="D130:G130"/>
    <mergeCell ref="D131:G131"/>
    <mergeCell ref="D132:G132"/>
    <mergeCell ref="D133:G133"/>
    <mergeCell ref="D134:G134"/>
    <mergeCell ref="D135:G135"/>
    <mergeCell ref="D136:G136"/>
    <mergeCell ref="D137:G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950</v>
      </c>
    </row>
    <row r="2" customFormat="false" ht="15" hidden="false" customHeight="false" outlineLevel="0" collapsed="false">
      <c r="A2" s="21" t="s">
        <v>937</v>
      </c>
    </row>
    <row r="4" customFormat="false" ht="15" hidden="false" customHeight="false" outlineLevel="0" collapsed="false">
      <c r="A4" s="28" t="s">
        <v>951</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939</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940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856</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857</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853</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744</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854</v>
      </c>
      <c r="C14" s="31" t="s">
        <v>195</v>
      </c>
      <c r="D14" s="9" t="str">
        <f aca="false">INDEX(Articles!$C$2:$C$148,MATCH(C14,Articles!$A$2:$A$148,0))</f>
        <v>Cahier Calligraphe 96 pages 17x22 56 g seyès</v>
      </c>
      <c r="E14" s="9" t="str">
        <f aca="false">INDEX(Articles!$B$2:$B$148,MATCH(C14,Articles!$A$2:$A$148,0))</f>
        <v>Papex</v>
      </c>
      <c r="F14" s="31" t="n">
        <v>1</v>
      </c>
      <c r="G14" s="13" t="n">
        <f aca="false">IF(INDEX(Articles!$G$2:$G$148,MATCH(C14,Articles!$A$2:$A$148,0))="","",INDEX(Articles!$G$2:$G$148,MATCH(C14,Articles!$A$2:$A$148,0)))</f>
        <v>450</v>
      </c>
      <c r="H14" s="13" t="n">
        <f aca="false">IF(G14="",0,F14*G14)</f>
        <v>450</v>
      </c>
      <c r="I14" s="13" t="n">
        <f aca="false">IF(INDEX(Articles!$E$2:$E$148,MATCH(C14,Articles!$A$2:$A$148,0))="","",INDEX(Articles!$E$2:$E$148,MATCH(C14,Articles!$A$2:$A$148,0)))</f>
        <v>350</v>
      </c>
      <c r="J14" s="13" t="n">
        <f aca="false">IF(I14="","",F14*I14)</f>
        <v>350</v>
      </c>
      <c r="K14" s="9" t="str">
        <f aca="false">INDEX(Articles!$H$2:$H$148,MATCH(C14,Articles!$A$2:$A$148,0))</f>
        <v>Fixé</v>
      </c>
      <c r="L14" s="9" t="str">
        <f aca="false">INDEX(Articles!$F$2:$F$148,MATCH(C14,Articles!$A$2:$A$148,0))</f>
        <v>Confirmé</v>
      </c>
      <c r="M14" s="17"/>
      <c r="N14" s="9" t="s">
        <v>167</v>
      </c>
    </row>
    <row r="15" customFormat="false" ht="15" hidden="false" customHeight="false" outlineLevel="0" collapsed="false">
      <c r="A15" s="9" t="s">
        <v>671</v>
      </c>
      <c r="B15" s="9" t="s">
        <v>850</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941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942</v>
      </c>
      <c r="C17" s="31" t="s">
        <v>210</v>
      </c>
      <c r="D17" s="9" t="str">
        <f aca="false">INDEX(Articles!$C$2:$C$148,MATCH(C17,Articles!$A$2:$A$148,0))</f>
        <v>Cahier L'écolier 192 pages</v>
      </c>
      <c r="E17" s="9" t="str">
        <f aca="false">INDEX(Articles!$B$2:$B$148,MATCH(C17,Articles!$A$2:$A$148,0))</f>
        <v>Papex</v>
      </c>
      <c r="F17" s="31" t="n">
        <v>1</v>
      </c>
      <c r="G17" s="13" t="n">
        <f aca="false">IF(INDEX(Articles!$G$2:$G$148,MATCH(C17,Articles!$A$2:$A$148,0))="","",INDEX(Articles!$G$2:$G$148,MATCH(C17,Articles!$A$2:$A$148,0)))</f>
        <v>500</v>
      </c>
      <c r="H17" s="13" t="n">
        <f aca="false">IF(G17="",0,F17*G17)</f>
        <v>500</v>
      </c>
      <c r="I17" s="13" t="n">
        <f aca="false">IF(INDEX(Articles!$E$2:$E$148,MATCH(C17,Articles!$A$2:$A$148,0))="","",INDEX(Articles!$E$2:$E$148,MATCH(C17,Articles!$A$2:$A$148,0)))</f>
        <v>400</v>
      </c>
      <c r="J17" s="13" t="n">
        <f aca="false">IF(I17="","",F17*I17)</f>
        <v>400</v>
      </c>
      <c r="K17" s="9" t="str">
        <f aca="false">INDEX(Articles!$H$2:$H$148,MATCH(C17,Articles!$A$2:$A$148,0))</f>
        <v>Estimé</v>
      </c>
      <c r="L17" s="9" t="str">
        <f aca="false">INDEX(Articles!$F$2:$F$148,MATCH(C17,Articles!$A$2:$A$148,0))</f>
        <v>Confirmé</v>
      </c>
      <c r="M17" s="17" t="s">
        <v>738</v>
      </c>
      <c r="N17" s="9" t="s">
        <v>167</v>
      </c>
    </row>
    <row r="18" customFormat="false" ht="15" hidden="false" customHeight="false" outlineLevel="0" collapsed="false">
      <c r="A18" s="9" t="s">
        <v>671</v>
      </c>
      <c r="B18" s="9" t="s">
        <v>943</v>
      </c>
      <c r="C18" s="31" t="s">
        <v>210</v>
      </c>
      <c r="D18" s="9" t="str">
        <f aca="false">INDEX(Articles!$C$2:$C$148,MATCH(C18,Articles!$A$2:$A$148,0))</f>
        <v>Cahier L'écolier 192 pages</v>
      </c>
      <c r="E18" s="9" t="str">
        <f aca="false">INDEX(Articles!$B$2:$B$148,MATCH(C18,Articles!$A$2:$A$148,0))</f>
        <v>Papex</v>
      </c>
      <c r="F18" s="31" t="n">
        <v>1</v>
      </c>
      <c r="G18" s="13" t="n">
        <f aca="false">IF(INDEX(Articles!$G$2:$G$148,MATCH(C18,Articles!$A$2:$A$148,0))="","",INDEX(Articles!$G$2:$G$148,MATCH(C18,Articles!$A$2:$A$148,0)))</f>
        <v>500</v>
      </c>
      <c r="H18" s="13" t="n">
        <f aca="false">IF(G18="",0,F18*G18)</f>
        <v>500</v>
      </c>
      <c r="I18" s="13" t="n">
        <f aca="false">IF(INDEX(Articles!$E$2:$E$148,MATCH(C18,Articles!$A$2:$A$148,0))="","",INDEX(Articles!$E$2:$E$148,MATCH(C18,Articles!$A$2:$A$148,0)))</f>
        <v>400</v>
      </c>
      <c r="J18" s="13" t="n">
        <f aca="false">IF(I18="","",F18*I18)</f>
        <v>400</v>
      </c>
      <c r="K18" s="9" t="str">
        <f aca="false">INDEX(Articles!$H$2:$H$148,MATCH(C18,Articles!$A$2:$A$148,0))</f>
        <v>Estimé</v>
      </c>
      <c r="L18" s="9" t="str">
        <f aca="false">INDEX(Articles!$F$2:$F$148,MATCH(C18,Articles!$A$2:$A$148,0))</f>
        <v>Confirmé</v>
      </c>
      <c r="M18" s="17" t="s">
        <v>738</v>
      </c>
      <c r="N18" s="9" t="s">
        <v>167</v>
      </c>
    </row>
    <row r="19" customFormat="false" ht="15" hidden="false" customHeight="false" outlineLevel="0" collapsed="false">
      <c r="A19" s="9" t="s">
        <v>671</v>
      </c>
      <c r="B19" s="9" t="s">
        <v>944</v>
      </c>
      <c r="C19" s="31" t="s">
        <v>195</v>
      </c>
      <c r="D19" s="9" t="str">
        <f aca="false">INDEX(Articles!$C$2:$C$148,MATCH(C19,Articles!$A$2:$A$148,0))</f>
        <v>Cahier Calligraphe 96 pages 17x22 56 g seyès</v>
      </c>
      <c r="E19" s="9" t="str">
        <f aca="false">INDEX(Articles!$B$2:$B$148,MATCH(C19,Articles!$A$2:$A$148,0))</f>
        <v>Papex</v>
      </c>
      <c r="F19" s="31" t="n">
        <v>1</v>
      </c>
      <c r="G19" s="13" t="n">
        <f aca="false">IF(INDEX(Articles!$G$2:$G$148,MATCH(C19,Articles!$A$2:$A$148,0))="","",INDEX(Articles!$G$2:$G$148,MATCH(C19,Articles!$A$2:$A$148,0)))</f>
        <v>450</v>
      </c>
      <c r="H19" s="13" t="n">
        <f aca="false">IF(G19="",0,F19*G19)</f>
        <v>450</v>
      </c>
      <c r="I19" s="13" t="n">
        <f aca="false">IF(INDEX(Articles!$E$2:$E$148,MATCH(C19,Articles!$A$2:$A$148,0))="","",INDEX(Articles!$E$2:$E$148,MATCH(C19,Articles!$A$2:$A$148,0)))</f>
        <v>350</v>
      </c>
      <c r="J19" s="13" t="n">
        <f aca="false">IF(I19="","",F19*I19)</f>
        <v>350</v>
      </c>
      <c r="K19" s="9" t="str">
        <f aca="false">INDEX(Articles!$H$2:$H$148,MATCH(C19,Articles!$A$2:$A$148,0))</f>
        <v>Fixé</v>
      </c>
      <c r="L19" s="9" t="str">
        <f aca="false">INDEX(Articles!$F$2:$F$148,MATCH(C19,Articles!$A$2:$A$148,0))</f>
        <v>Confirmé</v>
      </c>
      <c r="M19" s="17"/>
      <c r="N19" s="9" t="s">
        <v>167</v>
      </c>
    </row>
    <row r="20" customFormat="false" ht="15" hidden="false" customHeight="false" outlineLevel="0" collapsed="false">
      <c r="A20" s="9" t="s">
        <v>678</v>
      </c>
      <c r="B20" s="9" t="s">
        <v>749</v>
      </c>
      <c r="C20" s="31" t="s">
        <v>222</v>
      </c>
      <c r="D20" s="9" t="str">
        <f aca="false">INDEX(Articles!$C$2:$C$148,MATCH(C20,Articles!$A$2:$A$148,0))</f>
        <v>Pack de 4 stylos Schneider Tops 505 M (bleu, noir, rouge, vert)</v>
      </c>
      <c r="E20" s="9" t="str">
        <f aca="false">INDEX(Articles!$B$2:$B$148,MATCH(C20,Articles!$A$2:$A$148,0))</f>
        <v>Papex</v>
      </c>
      <c r="F20" s="31" t="n">
        <v>1</v>
      </c>
      <c r="G20" s="13" t="n">
        <f aca="false">IF(INDEX(Articles!$G$2:$G$148,MATCH(C20,Articles!$A$2:$A$148,0))="","",INDEX(Articles!$G$2:$G$148,MATCH(C20,Articles!$A$2:$A$148,0)))</f>
        <v>400</v>
      </c>
      <c r="H20" s="13" t="n">
        <f aca="false">IF(G20="",0,F20*G20)</f>
        <v>400</v>
      </c>
      <c r="I20" s="13" t="str">
        <f aca="false">IF(INDEX(Articles!$E$2:$E$148,MATCH(C20,Articles!$A$2:$A$148,0))="","",INDEX(Articles!$E$2:$E$148,MATCH(C20,Articles!$A$2:$A$148,0)))</f>
        <v/>
      </c>
      <c r="J20" s="13" t="str">
        <f aca="false">IF(I20="","",F20*I20)</f>
        <v/>
      </c>
      <c r="K20" s="9" t="str">
        <f aca="false">INDEX(Articles!$H$2:$H$148,MATCH(C20,Articles!$A$2:$A$148,0))</f>
        <v>Fixé</v>
      </c>
      <c r="L20" s="9" t="str">
        <f aca="false">INDEX(Articles!$F$2:$F$148,MATCH(C20,Articles!$A$2:$A$148,0))</f>
        <v>Inconnu</v>
      </c>
      <c r="M20" s="17" t="s">
        <v>432</v>
      </c>
      <c r="N20" s="9" t="s">
        <v>167</v>
      </c>
    </row>
    <row r="21" customFormat="false" ht="15" hidden="false" customHeight="false" outlineLevel="0" collapsed="false">
      <c r="A21" s="9" t="s">
        <v>678</v>
      </c>
      <c r="B21" s="9" t="s">
        <v>750</v>
      </c>
      <c r="C21" s="31" t="s">
        <v>235</v>
      </c>
      <c r="D21" s="9" t="str">
        <f aca="false">INDEX(Articles!$C$2:$C$148,MATCH(C21,Articles!$A$2:$A$148,0))</f>
        <v>Crayon papier (vendu à l'unité)</v>
      </c>
      <c r="E21" s="9" t="str">
        <f aca="false">INDEX(Articles!$B$2:$B$148,MATCH(C21,Articles!$A$2:$A$148,0))</f>
        <v>LPD</v>
      </c>
      <c r="F21" s="31" t="n">
        <v>1</v>
      </c>
      <c r="G21" s="13" t="n">
        <f aca="false">IF(INDEX(Articles!$G$2:$G$148,MATCH(C21,Articles!$A$2:$A$148,0))="","",INDEX(Articles!$G$2:$G$148,MATCH(C21,Articles!$A$2:$A$148,0)))</f>
        <v>75</v>
      </c>
      <c r="H21" s="13" t="n">
        <f aca="false">IF(G21="",0,F21*G21)</f>
        <v>75</v>
      </c>
      <c r="I21" s="13" t="str">
        <f aca="false">IF(INDEX(Articles!$E$2:$E$148,MATCH(C21,Articles!$A$2:$A$148,0))="","",INDEX(Articles!$E$2:$E$148,MATCH(C21,Articles!$A$2:$A$148,0)))</f>
        <v/>
      </c>
      <c r="J21" s="13" t="str">
        <f aca="false">IF(I21="","",F21*I21)</f>
        <v/>
      </c>
      <c r="K21" s="9" t="str">
        <f aca="false">INDEX(Articles!$H$2:$H$148,MATCH(C21,Articles!$A$2:$A$148,0))</f>
        <v>Fixé</v>
      </c>
      <c r="L21" s="9" t="str">
        <f aca="false">INDEX(Articles!$F$2:$F$148,MATCH(C21,Articles!$A$2:$A$148,0))</f>
        <v>Inconnu</v>
      </c>
      <c r="M21" s="17"/>
      <c r="N21" s="9" t="s">
        <v>167</v>
      </c>
    </row>
    <row r="22" customFormat="false" ht="15" hidden="false" customHeight="false" outlineLevel="0" collapsed="false">
      <c r="A22" s="9" t="s">
        <v>675</v>
      </c>
      <c r="B22" s="9" t="s">
        <v>717</v>
      </c>
      <c r="C22" s="31" t="s">
        <v>180</v>
      </c>
      <c r="D22" s="9" t="str">
        <f aca="false">INDEX(Articles!$C$2:$C$148,MATCH(C22,Articles!$A$2:$A$148,0))</f>
        <v>Gomme Staedtler Mars Plastic</v>
      </c>
      <c r="E22" s="9" t="str">
        <f aca="false">INDEX(Articles!$B$2:$B$148,MATCH(C22,Articles!$A$2:$A$148,0))</f>
        <v>LPD</v>
      </c>
      <c r="F22" s="31" t="n">
        <v>1</v>
      </c>
      <c r="G22" s="13" t="n">
        <f aca="false">IF(INDEX(Articles!$G$2:$G$148,MATCH(C22,Articles!$A$2:$A$148,0))="","",INDEX(Articles!$G$2:$G$148,MATCH(C22,Articles!$A$2:$A$148,0)))</f>
        <v>250</v>
      </c>
      <c r="H22" s="13" t="n">
        <f aca="false">IF(G22="",0,F22*G22)</f>
        <v>250</v>
      </c>
      <c r="I22" s="13" t="n">
        <f aca="false">IF(INDEX(Articles!$E$2:$E$148,MATCH(C22,Articles!$A$2:$A$148,0))="","",INDEX(Articles!$E$2:$E$148,MATCH(C22,Articles!$A$2:$A$148,0)))</f>
        <v>110</v>
      </c>
      <c r="J22" s="13" t="n">
        <f aca="false">IF(I22="","",F22*I22)</f>
        <v>110</v>
      </c>
      <c r="K22" s="9" t="str">
        <f aca="false">INDEX(Articles!$H$2:$H$148,MATCH(C22,Articles!$A$2:$A$148,0))</f>
        <v>Fixé</v>
      </c>
      <c r="L22" s="9" t="str">
        <f aca="false">INDEX(Articles!$F$2:$F$148,MATCH(C22,Articles!$A$2:$A$148,0))</f>
        <v>Estimé</v>
      </c>
      <c r="M22" s="17"/>
      <c r="N22" s="9" t="s">
        <v>167</v>
      </c>
    </row>
    <row r="23" customFormat="false" ht="15" hidden="false" customHeight="false" outlineLevel="0" collapsed="false">
      <c r="A23" s="9" t="s">
        <v>675</v>
      </c>
      <c r="B23" s="9" t="s">
        <v>751</v>
      </c>
      <c r="C23" s="31" t="s">
        <v>183</v>
      </c>
      <c r="D23" s="9" t="str">
        <f aca="false">INDEX(Articles!$C$2:$C$148,MATCH(C23,Articles!$A$2:$A$148,0))</f>
        <v>Taille-crayon avec réservoir Maped</v>
      </c>
      <c r="E23" s="9" t="str">
        <f aca="false">INDEX(Articles!$B$2:$B$148,MATCH(C23,Articles!$A$2:$A$148,0))</f>
        <v>Papex</v>
      </c>
      <c r="F23" s="31" t="n">
        <v>1</v>
      </c>
      <c r="G23" s="13" t="n">
        <f aca="false">IF(INDEX(Articles!$G$2:$G$148,MATCH(C23,Articles!$A$2:$A$148,0))="","",INDEX(Articles!$G$2:$G$148,MATCH(C23,Articles!$A$2:$A$148,0)))</f>
        <v>500</v>
      </c>
      <c r="H23" s="13" t="n">
        <f aca="false">IF(G23="",0,F23*G23)</f>
        <v>500</v>
      </c>
      <c r="I23" s="13" t="n">
        <f aca="false">IF(INDEX(Articles!$E$2:$E$148,MATCH(C23,Articles!$A$2:$A$148,0))="","",INDEX(Articles!$E$2:$E$148,MATCH(C23,Articles!$A$2:$A$148,0)))</f>
        <v>350</v>
      </c>
      <c r="J23" s="13" t="n">
        <f aca="false">IF(I23="","",F23*I23)</f>
        <v>350</v>
      </c>
      <c r="K23" s="9" t="str">
        <f aca="false">INDEX(Articles!$H$2:$H$148,MATCH(C23,Articles!$A$2:$A$148,0))</f>
        <v>Estimé</v>
      </c>
      <c r="L23" s="9" t="str">
        <f aca="false">INDEX(Articles!$F$2:$F$148,MATCH(C23,Articles!$A$2:$A$148,0))</f>
        <v>Estimé</v>
      </c>
      <c r="M23" s="17" t="s">
        <v>752</v>
      </c>
      <c r="N23" s="9" t="s">
        <v>167</v>
      </c>
    </row>
    <row r="24" customFormat="false" ht="15" hidden="false" customHeight="false" outlineLevel="0" collapsed="false">
      <c r="A24" s="9" t="s">
        <v>675</v>
      </c>
      <c r="B24" s="9" t="s">
        <v>753</v>
      </c>
      <c r="C24" s="31" t="s">
        <v>250</v>
      </c>
      <c r="D24" s="9" t="str">
        <f aca="false">INDEX(Articles!$C$2:$C$148,MATCH(C24,Articles!$A$2:$A$148,0))</f>
        <v>Bâton de colle Giotto 10 g</v>
      </c>
      <c r="E24" s="9" t="str">
        <f aca="false">INDEX(Articles!$B$2:$B$148,MATCH(C24,Articles!$A$2:$A$148,0))</f>
        <v>Papex</v>
      </c>
      <c r="F24" s="31" t="n">
        <v>1</v>
      </c>
      <c r="G24" s="13" t="n">
        <f aca="false">IF(INDEX(Articles!$G$2:$G$148,MATCH(C24,Articles!$A$2:$A$148,0))="","",INDEX(Articles!$G$2:$G$148,MATCH(C24,Articles!$A$2:$A$148,0)))</f>
        <v>500</v>
      </c>
      <c r="H24" s="13" t="n">
        <f aca="false">IF(G24="",0,F24*G24)</f>
        <v>500</v>
      </c>
      <c r="I24" s="13" t="n">
        <f aca="false">IF(INDEX(Articles!$E$2:$E$148,MATCH(C24,Articles!$A$2:$A$148,0))="","",INDEX(Articles!$E$2:$E$148,MATCH(C24,Articles!$A$2:$A$148,0)))</f>
        <v>350</v>
      </c>
      <c r="J24" s="13" t="n">
        <f aca="false">IF(I24="","",F24*I24)</f>
        <v>350</v>
      </c>
      <c r="K24" s="9" t="str">
        <f aca="false">INDEX(Articles!$H$2:$H$148,MATCH(C24,Articles!$A$2:$A$148,0))</f>
        <v>Estimé</v>
      </c>
      <c r="L24" s="9" t="str">
        <f aca="false">INDEX(Articles!$F$2:$F$148,MATCH(C24,Articles!$A$2:$A$148,0))</f>
        <v>Estimé</v>
      </c>
      <c r="M24" s="17"/>
      <c r="N24" s="9" t="s">
        <v>167</v>
      </c>
    </row>
    <row r="25" customFormat="false" ht="15" hidden="false" customHeight="false" outlineLevel="0" collapsed="false">
      <c r="A25" s="9" t="s">
        <v>675</v>
      </c>
      <c r="B25" s="9" t="s">
        <v>754</v>
      </c>
      <c r="C25" s="31" t="s">
        <v>233</v>
      </c>
      <c r="D25" s="9" t="str">
        <f aca="false">INDEX(Articles!$C$2:$C$148,MATCH(C25,Articles!$A$2:$A$148,0))</f>
        <v>Ciseaux scolaires bouts ronds</v>
      </c>
      <c r="E25" s="9" t="str">
        <f aca="false">INDEX(Articles!$B$2:$B$148,MATCH(C25,Articles!$A$2:$A$148,0))</f>
        <v>LPD</v>
      </c>
      <c r="F25" s="31" t="n">
        <v>1</v>
      </c>
      <c r="G25" s="13" t="n">
        <f aca="false">IF(INDEX(Articles!$G$2:$G$148,MATCH(C25,Articles!$A$2:$A$148,0))="","",INDEX(Articles!$G$2:$G$148,MATCH(C25,Articles!$A$2:$A$148,0)))</f>
        <v>250</v>
      </c>
      <c r="H25" s="13" t="n">
        <f aca="false">IF(G25="",0,F25*G25)</f>
        <v>250</v>
      </c>
      <c r="I25" s="13" t="n">
        <f aca="false">IF(INDEX(Articles!$E$2:$E$148,MATCH(C25,Articles!$A$2:$A$148,0))="","",INDEX(Articles!$E$2:$E$148,MATCH(C25,Articles!$A$2:$A$148,0)))</f>
        <v>100</v>
      </c>
      <c r="J25" s="13" t="n">
        <f aca="false">IF(I25="","",F25*I25)</f>
        <v>100</v>
      </c>
      <c r="K25" s="9" t="str">
        <f aca="false">INDEX(Articles!$H$2:$H$148,MATCH(C25,Articles!$A$2:$A$148,0))</f>
        <v>Fixé</v>
      </c>
      <c r="L25" s="9" t="str">
        <f aca="false">INDEX(Articles!$F$2:$F$148,MATCH(C25,Articles!$A$2:$A$148,0))</f>
        <v>Estimé</v>
      </c>
      <c r="M25" s="17"/>
      <c r="N25" s="9" t="s">
        <v>167</v>
      </c>
    </row>
    <row r="26" customFormat="false" ht="15" hidden="false" customHeight="false" outlineLevel="0" collapsed="false">
      <c r="A26" s="9" t="s">
        <v>676</v>
      </c>
      <c r="B26" s="9" t="s">
        <v>755</v>
      </c>
      <c r="C26" s="31" t="s">
        <v>239</v>
      </c>
      <c r="D26" s="9" t="str">
        <f aca="false">INDEX(Articles!$C$2:$C$148,MATCH(C26,Articles!$A$2:$A$148,0))</f>
        <v>Kit de traçage 30 cm, 4 pièces L'écolier</v>
      </c>
      <c r="E26" s="9" t="str">
        <f aca="false">INDEX(Articles!$B$2:$B$148,MATCH(C26,Articles!$A$2:$A$148,0))</f>
        <v>Papex</v>
      </c>
      <c r="F26" s="31" t="n">
        <v>1</v>
      </c>
      <c r="G26" s="13" t="n">
        <f aca="false">IF(INDEX(Articles!$G$2:$G$148,MATCH(C26,Articles!$A$2:$A$148,0))="","",INDEX(Articles!$G$2:$G$148,MATCH(C26,Articles!$A$2:$A$148,0)))</f>
        <v>900</v>
      </c>
      <c r="H26" s="13" t="n">
        <f aca="false">IF(G26="",0,F26*G26)</f>
        <v>900</v>
      </c>
      <c r="I26" s="13" t="n">
        <f aca="false">IF(INDEX(Articles!$E$2:$E$148,MATCH(C26,Articles!$A$2:$A$148,0))="","",INDEX(Articles!$E$2:$E$148,MATCH(C26,Articles!$A$2:$A$148,0)))</f>
        <v>650</v>
      </c>
      <c r="J26" s="13" t="n">
        <f aca="false">IF(I26="","",F26*I26)</f>
        <v>650</v>
      </c>
      <c r="K26" s="9" t="str">
        <f aca="false">INDEX(Articles!$H$2:$H$148,MATCH(C26,Articles!$A$2:$A$148,0))</f>
        <v>Estimé</v>
      </c>
      <c r="L26" s="9" t="str">
        <f aca="false">INDEX(Articles!$F$2:$F$148,MATCH(C26,Articles!$A$2:$A$148,0))</f>
        <v>Confirmé</v>
      </c>
      <c r="M26" s="17"/>
      <c r="N26" s="9" t="s">
        <v>167</v>
      </c>
    </row>
    <row r="27" customFormat="false" ht="15" hidden="false" customHeight="false" outlineLevel="0" collapsed="false">
      <c r="A27" s="9" t="s">
        <v>676</v>
      </c>
      <c r="B27" s="9" t="s">
        <v>756</v>
      </c>
      <c r="C27" s="31" t="s">
        <v>217</v>
      </c>
      <c r="D27" s="9" t="str">
        <f aca="false">INDEX(Articles!$C$2:$C$148,MATCH(C27,Articles!$A$2:$A$148,0))</f>
        <v>Compas de précision avec étui</v>
      </c>
      <c r="E27" s="9" t="str">
        <f aca="false">INDEX(Articles!$B$2:$B$148,MATCH(C27,Articles!$A$2:$A$148,0))</f>
        <v>LPD</v>
      </c>
      <c r="F27" s="31" t="n">
        <v>1</v>
      </c>
      <c r="G27" s="13" t="n">
        <f aca="false">IF(INDEX(Articles!$G$2:$G$148,MATCH(C27,Articles!$A$2:$A$148,0))="","",INDEX(Articles!$G$2:$G$148,MATCH(C27,Articles!$A$2:$A$148,0)))</f>
        <v>600</v>
      </c>
      <c r="H27" s="13" t="n">
        <f aca="false">IF(G27="",0,F27*G27)</f>
        <v>600</v>
      </c>
      <c r="I27" s="13" t="n">
        <f aca="false">IF(INDEX(Articles!$E$2:$E$148,MATCH(C27,Articles!$A$2:$A$148,0))="","",INDEX(Articles!$E$2:$E$148,MATCH(C27,Articles!$A$2:$A$148,0)))</f>
        <v>450</v>
      </c>
      <c r="J27" s="13" t="n">
        <f aca="false">IF(I27="","",F27*I27)</f>
        <v>450</v>
      </c>
      <c r="K27" s="9" t="str">
        <f aca="false">INDEX(Articles!$H$2:$H$148,MATCH(C27,Articles!$A$2:$A$148,0))</f>
        <v>Fixé</v>
      </c>
      <c r="L27" s="9" t="str">
        <f aca="false">INDEX(Articles!$F$2:$F$148,MATCH(C27,Articles!$A$2:$A$148,0))</f>
        <v>Estimé</v>
      </c>
      <c r="M27" s="17"/>
      <c r="N27" s="9" t="s">
        <v>167</v>
      </c>
    </row>
    <row r="28" customFormat="false" ht="15" hidden="false" customHeight="false" outlineLevel="0" collapsed="false">
      <c r="A28" s="9" t="s">
        <v>681</v>
      </c>
      <c r="B28" s="9" t="s">
        <v>757</v>
      </c>
      <c r="C28" s="31" t="s">
        <v>198</v>
      </c>
      <c r="D28" s="9" t="str">
        <f aca="false">INDEX(Articles!$C$2:$C$148,MATCH(C28,Articles!$A$2:$A$148,0))</f>
        <v>Crayons de couleur Maped, boîte de 12</v>
      </c>
      <c r="E28" s="9" t="str">
        <f aca="false">INDEX(Articles!$B$2:$B$148,MATCH(C28,Articles!$A$2:$A$148,0))</f>
        <v>Papex</v>
      </c>
      <c r="F28" s="31" t="n">
        <v>1</v>
      </c>
      <c r="G28" s="13" t="n">
        <f aca="false">IF(INDEX(Articles!$G$2:$G$148,MATCH(C28,Articles!$A$2:$A$148,0))="","",INDEX(Articles!$G$2:$G$148,MATCH(C28,Articles!$A$2:$A$148,0)))</f>
        <v>900</v>
      </c>
      <c r="H28" s="13" t="n">
        <f aca="false">IF(G28="",0,F28*G28)</f>
        <v>900</v>
      </c>
      <c r="I28" s="13" t="n">
        <f aca="false">IF(INDEX(Articles!$E$2:$E$148,MATCH(C28,Articles!$A$2:$A$148,0))="","",INDEX(Articles!$E$2:$E$148,MATCH(C28,Articles!$A$2:$A$148,0)))</f>
        <v>650</v>
      </c>
      <c r="J28" s="13" t="n">
        <f aca="false">IF(I28="","",F28*I28)</f>
        <v>650</v>
      </c>
      <c r="K28" s="9" t="str">
        <f aca="false">INDEX(Articles!$H$2:$H$148,MATCH(C28,Articles!$A$2:$A$148,0))</f>
        <v>Estimé</v>
      </c>
      <c r="L28" s="9" t="str">
        <f aca="false">INDEX(Articles!$F$2:$F$148,MATCH(C28,Articles!$A$2:$A$148,0))</f>
        <v>Estimé</v>
      </c>
      <c r="M28" s="17"/>
      <c r="N28" s="9" t="s">
        <v>167</v>
      </c>
    </row>
    <row r="29" customFormat="false" ht="15" hidden="false" customHeight="false" outlineLevel="0" collapsed="false">
      <c r="A29" s="9" t="s">
        <v>676</v>
      </c>
      <c r="B29" s="9" t="s">
        <v>812</v>
      </c>
      <c r="C29" s="31" t="s">
        <v>242</v>
      </c>
      <c r="D29" s="9" t="str">
        <f aca="false">INDEX(Articles!$C$2:$C$148,MATCH(C29,Articles!$A$2:$A$148,0))</f>
        <v>Calculatrice scientifique Parpn YH-2000</v>
      </c>
      <c r="E29" s="9" t="str">
        <f aca="false">INDEX(Articles!$B$2:$B$148,MATCH(C29,Articles!$A$2:$A$148,0))</f>
        <v>LPD</v>
      </c>
      <c r="F29" s="31" t="n">
        <v>1</v>
      </c>
      <c r="G29" s="13" t="n">
        <f aca="false">IF(INDEX(Articles!$G$2:$G$148,MATCH(C29,Articles!$A$2:$A$148,0))="","",INDEX(Articles!$G$2:$G$148,MATCH(C29,Articles!$A$2:$A$148,0)))</f>
        <v>1400</v>
      </c>
      <c r="H29" s="13" t="n">
        <f aca="false">IF(G29="",0,F29*G29)</f>
        <v>1400</v>
      </c>
      <c r="I29" s="13" t="n">
        <f aca="false">IF(INDEX(Articles!$E$2:$E$148,MATCH(C29,Articles!$A$2:$A$148,0))="","",INDEX(Articles!$E$2:$E$148,MATCH(C29,Articles!$A$2:$A$148,0)))</f>
        <v>1100</v>
      </c>
      <c r="J29" s="13" t="n">
        <f aca="false">IF(I29="","",F29*I29)</f>
        <v>1100</v>
      </c>
      <c r="K29" s="9" t="str">
        <f aca="false">INDEX(Articles!$H$2:$H$148,MATCH(C29,Articles!$A$2:$A$148,0))</f>
        <v>Fixé</v>
      </c>
      <c r="L29" s="9" t="str">
        <f aca="false">INDEX(Articles!$F$2:$F$148,MATCH(C29,Articles!$A$2:$A$148,0))</f>
        <v>Confirmé</v>
      </c>
      <c r="M29" s="17" t="s">
        <v>813</v>
      </c>
      <c r="N29" s="9" t="s">
        <v>167</v>
      </c>
    </row>
    <row r="30" customFormat="false" ht="15" hidden="false" customHeight="false" outlineLevel="0" collapsed="false">
      <c r="A30" s="9" t="s">
        <v>758</v>
      </c>
      <c r="B30" s="9" t="s">
        <v>759</v>
      </c>
      <c r="C30" s="31" t="s">
        <v>376</v>
      </c>
      <c r="D30" s="9" t="str">
        <f aca="false">INDEX(Articles!$C$2:$C$148,MATCH(C30,Articles!$A$2:$A$148,0))</f>
        <v>Paquet de copies doubles grand format</v>
      </c>
      <c r="E30" s="9" t="str">
        <f aca="false">INDEX(Articles!$B$2:$B$148,MATCH(C30,Articles!$A$2:$A$148,0))</f>
        <v>À préciser</v>
      </c>
      <c r="F30" s="31" t="n">
        <v>1</v>
      </c>
      <c r="G30" s="45" t="n">
        <f aca="false">IF(INDEX(Articles!$G$2:$G$148,MATCH(C30,Articles!$A$2:$A$148,0))="","",INDEX(Articles!$G$2:$G$148,MATCH(C30,Articles!$A$2:$A$148,0)))</f>
        <v>1800</v>
      </c>
      <c r="H30" s="13" t="n">
        <f aca="false">IF(G30="",0,F30*G30)</f>
        <v>1800</v>
      </c>
      <c r="I30" s="13" t="n">
        <f aca="false">IF(INDEX(Articles!$E$2:$E$148,MATCH(C30,Articles!$A$2:$A$148,0))="","",INDEX(Articles!$E$2:$E$148,MATCH(C30,Articles!$A$2:$A$148,0)))</f>
        <v>1300</v>
      </c>
      <c r="J30" s="13" t="n">
        <f aca="false">IF(I30="","",F30*I30)</f>
        <v>1300</v>
      </c>
      <c r="K30" s="9" t="str">
        <f aca="false">INDEX(Articles!$H$2:$H$148,MATCH(C30,Articles!$A$2:$A$148,0))</f>
        <v>Fixé</v>
      </c>
      <c r="L30" s="9" t="str">
        <f aca="false">INDEX(Articles!$F$2:$F$148,MATCH(C30,Articles!$A$2:$A$148,0))</f>
        <v>Confirmé</v>
      </c>
      <c r="M30" s="17"/>
      <c r="N30" s="9" t="s">
        <v>167</v>
      </c>
    </row>
    <row r="31" customFormat="false" ht="15" hidden="false" customHeight="false" outlineLevel="0" collapsed="false">
      <c r="D31" s="32" t="s">
        <v>683</v>
      </c>
      <c r="E31" s="32"/>
      <c r="F31" s="32"/>
      <c r="G31" s="32"/>
      <c r="H31" s="33" t="n">
        <f aca="false">COUNTIF(G6:G30,"")</f>
        <v>0</v>
      </c>
    </row>
    <row r="32" customFormat="false" ht="15" hidden="false" customHeight="false" outlineLevel="0" collapsed="false">
      <c r="D32" s="32" t="s">
        <v>684</v>
      </c>
      <c r="E32" s="32"/>
      <c r="F32" s="32"/>
      <c r="G32" s="32"/>
      <c r="H32" s="33" t="n">
        <f aca="false">SUM(H6:H30)</f>
        <v>14425</v>
      </c>
    </row>
    <row r="33" customFormat="false" ht="15" hidden="false" customHeight="false" outlineLevel="0" collapsed="false">
      <c r="D33" s="32" t="s">
        <v>28</v>
      </c>
      <c r="E33" s="32"/>
      <c r="F33" s="32"/>
      <c r="G33" s="32"/>
      <c r="H33" s="33" t="n">
        <f aca="false">SUM(J6:J30)</f>
        <v>10510</v>
      </c>
    </row>
    <row r="34" customFormat="false" ht="15" hidden="false" customHeight="false" outlineLevel="0" collapsed="false">
      <c r="D34" s="32" t="s">
        <v>685</v>
      </c>
      <c r="E34" s="32"/>
      <c r="F34" s="32"/>
      <c r="G34" s="32"/>
      <c r="H34" s="33" t="n">
        <f aca="false">COUNTIF(I6:I30,"")</f>
        <v>2</v>
      </c>
    </row>
    <row r="35" customFormat="false" ht="15" hidden="false" customHeight="false" outlineLevel="0" collapsed="false">
      <c r="D35" s="32" t="s">
        <v>686</v>
      </c>
      <c r="E35" s="32"/>
      <c r="F35" s="32"/>
      <c r="G35" s="32"/>
      <c r="H35" s="33" t="n">
        <f aca="false">SUMPRODUCT((I6:I30&lt;&gt;"")*H6:H30)-H33</f>
        <v>3440</v>
      </c>
    </row>
    <row r="36" customFormat="false" ht="15" hidden="false" customHeight="false" outlineLevel="0" collapsed="false">
      <c r="D36" s="32" t="s">
        <v>687</v>
      </c>
      <c r="E36" s="32"/>
      <c r="F36" s="32"/>
      <c r="G36" s="32"/>
      <c r="H36" s="33" t="n">
        <f aca="false">SUMIF(A6:A30,"Cahiers",F6:F30)</f>
        <v>14</v>
      </c>
    </row>
    <row r="37" customFormat="false" ht="15" hidden="false" customHeight="false" outlineLevel="0" collapsed="false">
      <c r="D37" s="32" t="s">
        <v>688</v>
      </c>
      <c r="E37" s="32"/>
      <c r="F37" s="32"/>
      <c r="G37" s="32"/>
      <c r="H37" s="34" t="n">
        <f aca="false">IF(H32=0,0,SUMIF(K6:K30,"&lt;&gt;Fixé",H6:H30)/H32)</f>
        <v>0.575389948006932</v>
      </c>
    </row>
    <row r="38" customFormat="false" ht="15" hidden="false" customHeight="false" outlineLevel="0" collapsed="false">
      <c r="D38" s="32" t="s">
        <v>689</v>
      </c>
      <c r="E38" s="32"/>
      <c r="F38" s="32"/>
      <c r="G38" s="32"/>
      <c r="H38" s="33" t="str">
        <f aca="false">IF(H31&gt;0,"Total incomplet : "&amp;H31&amp;" prix de vente à fournir",IF(H34&gt;0,"Coût incomplet : "&amp;H34&amp;" ligne(s) sans prix d'achat","Complet"))</f>
        <v>Coût incomplet : 2 ligne(s) sans prix d'achat</v>
      </c>
    </row>
    <row r="40" customFormat="false" ht="15" hidden="false" customHeight="false" outlineLevel="0" collapsed="false">
      <c r="D40" s="35" t="s">
        <v>690</v>
      </c>
    </row>
    <row r="41" customFormat="false" ht="15" hidden="false" customHeight="false" outlineLevel="0" collapsed="false">
      <c r="A41" s="36" t="s">
        <v>760</v>
      </c>
      <c r="B41" s="36" t="s">
        <v>883</v>
      </c>
      <c r="C41" s="31" t="s">
        <v>504</v>
      </c>
      <c r="D41" s="36" t="str">
        <f aca="false">INDEX(Articles!$C$2:$C$148,MATCH(C41,Articles!$A$2:$A$148,0))</f>
        <v>Une vie de boy (Ferdinand Oyono)</v>
      </c>
      <c r="E41" s="37"/>
      <c r="F41" s="37"/>
      <c r="G41" s="38" t="n">
        <f aca="false">INDEX(Articles!$G$2:$G$148,MATCH(C41,Articles!$A$2:$A$148,0))</f>
        <v>2800</v>
      </c>
      <c r="H41" s="37"/>
      <c r="I41" s="37"/>
      <c r="J41" s="37"/>
      <c r="K41" s="37"/>
      <c r="L41" s="37"/>
      <c r="M41" s="37"/>
      <c r="N41" s="39" t="s">
        <v>271</v>
      </c>
    </row>
    <row r="42" customFormat="false" ht="15" hidden="false" customHeight="false" outlineLevel="0" collapsed="false">
      <c r="A42" s="36" t="s">
        <v>760</v>
      </c>
      <c r="B42" s="36" t="s">
        <v>884</v>
      </c>
      <c r="C42" s="31" t="s">
        <v>506</v>
      </c>
      <c r="D42" s="36" t="str">
        <f aca="false">INDEX(Articles!$C$2:$C$148,MATCH(C42,Articles!$A$2:$A$148,0))</f>
        <v>Le Père Goriot (Balzac)</v>
      </c>
      <c r="E42" s="37"/>
      <c r="F42" s="37"/>
      <c r="G42" s="38" t="n">
        <f aca="false">INDEX(Articles!$G$2:$G$148,MATCH(C42,Articles!$A$2:$A$148,0))</f>
        <v>2800</v>
      </c>
      <c r="H42" s="37"/>
      <c r="I42" s="37"/>
      <c r="J42" s="37"/>
      <c r="K42" s="37"/>
      <c r="L42" s="37"/>
      <c r="M42" s="37"/>
      <c r="N42" s="39" t="s">
        <v>271</v>
      </c>
    </row>
    <row r="43" customFormat="false" ht="15" hidden="false" customHeight="false" outlineLevel="0" collapsed="false">
      <c r="A43" s="36" t="s">
        <v>760</v>
      </c>
      <c r="B43" s="36" t="s">
        <v>884</v>
      </c>
      <c r="C43" s="31" t="s">
        <v>508</v>
      </c>
      <c r="D43" s="36" t="str">
        <f aca="false">INDEX(Articles!$C$2:$C$148,MATCH(C43,Articles!$A$2:$A$148,0))</f>
        <v>Madame Bovary (Flaubert)</v>
      </c>
      <c r="E43" s="37"/>
      <c r="F43" s="37"/>
      <c r="G43" s="38" t="n">
        <f aca="false">INDEX(Articles!$G$2:$G$148,MATCH(C43,Articles!$A$2:$A$148,0))</f>
        <v>2800</v>
      </c>
      <c r="H43" s="37"/>
      <c r="I43" s="37"/>
      <c r="J43" s="37"/>
      <c r="K43" s="37"/>
      <c r="L43" s="37"/>
      <c r="M43" s="37"/>
      <c r="N43" s="39" t="s">
        <v>271</v>
      </c>
    </row>
    <row r="44" customFormat="false" ht="15" hidden="false" customHeight="false" outlineLevel="0" collapsed="false">
      <c r="D44" s="40" t="s">
        <v>695</v>
      </c>
      <c r="H44" s="33" t="n">
        <f aca="false">H32+SUM(G41:G43)</f>
        <v>22825</v>
      </c>
    </row>
    <row r="45" customFormat="false" ht="15" hidden="false" customHeight="false" outlineLevel="0" collapsed="false">
      <c r="D45" s="21" t="s">
        <v>696</v>
      </c>
      <c r="E45" s="21" t="str">
        <f aca="false">INDEX(Articles!$C$2:$C$148,MATCH("S020",Articles!$A$2:$A$148,0))</f>
        <v>Sac à dos bleu marine</v>
      </c>
      <c r="H45" s="41" t="n">
        <f aca="false">INDEX(Articles!$G$2:$G$148,MATCH("S020",Articles!$A$2:$A$148,0))</f>
        <v>7000</v>
      </c>
    </row>
    <row r="46" customFormat="false" ht="15" hidden="false" customHeight="false" outlineLevel="0" collapsed="false">
      <c r="D46" s="42" t="s">
        <v>697</v>
      </c>
      <c r="E46" s="44" t="s">
        <v>711</v>
      </c>
    </row>
    <row r="49" customFormat="false" ht="15" hidden="false" customHeight="false" outlineLevel="0" collapsed="false">
      <c r="A49" s="28" t="s">
        <v>952</v>
      </c>
      <c r="B49" s="29"/>
      <c r="C49" s="29"/>
      <c r="D49" s="29"/>
      <c r="E49" s="29"/>
      <c r="F49" s="29"/>
      <c r="G49" s="29"/>
      <c r="H49" s="29"/>
      <c r="I49" s="29"/>
      <c r="J49" s="29"/>
      <c r="K49" s="29"/>
      <c r="L49" s="29"/>
      <c r="M49" s="29"/>
      <c r="N49" s="29"/>
    </row>
    <row r="50" customFormat="false" ht="39.55" hidden="false" customHeight="false" outlineLevel="0" collapsed="false">
      <c r="A50" s="30" t="s">
        <v>663</v>
      </c>
      <c r="B50" s="30" t="s">
        <v>664</v>
      </c>
      <c r="C50" s="30" t="s">
        <v>348</v>
      </c>
      <c r="D50" s="30" t="s">
        <v>350</v>
      </c>
      <c r="E50" s="30" t="s">
        <v>349</v>
      </c>
      <c r="F50" s="30" t="s">
        <v>665</v>
      </c>
      <c r="G50" s="30" t="s">
        <v>666</v>
      </c>
      <c r="H50" s="30" t="s">
        <v>667</v>
      </c>
      <c r="I50" s="30" t="s">
        <v>668</v>
      </c>
      <c r="J50" s="30" t="s">
        <v>669</v>
      </c>
      <c r="K50" s="30" t="s">
        <v>355</v>
      </c>
      <c r="L50" s="30" t="s">
        <v>353</v>
      </c>
      <c r="M50" s="30" t="s">
        <v>356</v>
      </c>
      <c r="N50" s="30" t="s">
        <v>670</v>
      </c>
    </row>
    <row r="51" customFormat="false" ht="15" hidden="false" customHeight="false" outlineLevel="0" collapsed="false">
      <c r="A51" s="9" t="s">
        <v>671</v>
      </c>
      <c r="B51" s="9" t="s">
        <v>939</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940</v>
      </c>
      <c r="C52" s="31" t="s">
        <v>213</v>
      </c>
      <c r="D52" s="9" t="str">
        <f aca="false">INDEX(Articles!$C$2:$C$148,MATCH(C52,Articles!$A$2:$A$148,0))</f>
        <v>Cahier Calligraphe 192 pages 24x32 (grand format)</v>
      </c>
      <c r="E52" s="9" t="str">
        <f aca="false">INDEX(Articles!$B$2:$B$148,MATCH(C52,Articles!$A$2:$A$148,0))</f>
        <v>Papex</v>
      </c>
      <c r="F52" s="31" t="n">
        <v>1</v>
      </c>
      <c r="G52" s="13" t="n">
        <f aca="false">IF(INDEX(Articles!$G$2:$G$148,MATCH(C52,Articles!$A$2:$A$148,0))="","",INDEX(Articles!$G$2:$G$148,MATCH(C52,Articles!$A$2:$A$148,0)))</f>
        <v>1650</v>
      </c>
      <c r="H52" s="13" t="n">
        <f aca="false">IF(G52="",0,F52*G52)</f>
        <v>1650</v>
      </c>
      <c r="I52" s="13" t="n">
        <f aca="false">IF(INDEX(Articles!$E$2:$E$148,MATCH(C52,Articles!$A$2:$A$148,0))="","",INDEX(Articles!$E$2:$E$148,MATCH(C52,Articles!$A$2:$A$148,0)))</f>
        <v>1500</v>
      </c>
      <c r="J52" s="13" t="n">
        <f aca="false">IF(I52="","",F52*I52)</f>
        <v>1500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856</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857</v>
      </c>
      <c r="C54" s="31" t="s">
        <v>366</v>
      </c>
      <c r="D54" s="9" t="str">
        <f aca="false">INDEX(Articles!$C$2:$C$148,MATCH(C54,Articles!$A$2:$A$148,0))</f>
        <v>Cahier Calligraphe 140 pages 17x22 90 g seyès</v>
      </c>
      <c r="E54" s="9" t="str">
        <f aca="false">INDEX(Articles!$B$2:$B$148,MATCH(C54,Articles!$A$2:$A$148,0))</f>
        <v>Papex</v>
      </c>
      <c r="F54" s="31" t="n">
        <v>1</v>
      </c>
      <c r="G54" s="13" t="n">
        <f aca="false">IF(INDEX(Articles!$G$2:$G$148,MATCH(C54,Articles!$A$2:$A$148,0))="","",INDEX(Articles!$G$2:$G$148,MATCH(C54,Articles!$A$2:$A$148,0)))</f>
        <v>750</v>
      </c>
      <c r="H54" s="13" t="n">
        <f aca="false">IF(G54="",0,F54*G54)</f>
        <v>750</v>
      </c>
      <c r="I54" s="13" t="n">
        <f aca="false">IF(INDEX(Articles!$E$2:$E$148,MATCH(C54,Articles!$A$2:$A$148,0))="","",INDEX(Articles!$E$2:$E$148,MATCH(C54,Articles!$A$2:$A$148,0)))</f>
        <v>650</v>
      </c>
      <c r="J54" s="13" t="n">
        <f aca="false">IF(I54="","",F54*I54)</f>
        <v>650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671</v>
      </c>
      <c r="B55" s="9" t="s">
        <v>737</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739</v>
      </c>
      <c r="C56" s="31" t="s">
        <v>192</v>
      </c>
      <c r="D56" s="9" t="str">
        <f aca="false">INDEX(Articles!$C$2:$C$148,MATCH(C56,Articles!$A$2:$A$148,0))</f>
        <v>Cahier Calligraphe 192 pages 17x22 90 g seyès</v>
      </c>
      <c r="E56" s="9" t="str">
        <f aca="false">INDEX(Articles!$B$2:$B$148,MATCH(C56,Articles!$A$2:$A$148,0))</f>
        <v>Papex</v>
      </c>
      <c r="F56" s="31" t="n">
        <v>1</v>
      </c>
      <c r="G56" s="13" t="n">
        <f aca="false">IF(INDEX(Articles!$G$2:$G$148,MATCH(C56,Articles!$A$2:$A$148,0))="","",INDEX(Articles!$G$2:$G$148,MATCH(C56,Articles!$A$2:$A$148,0)))</f>
        <v>900</v>
      </c>
      <c r="H56" s="13" t="n">
        <f aca="false">IF(G56="",0,F56*G56)</f>
        <v>900</v>
      </c>
      <c r="I56" s="13" t="n">
        <f aca="false">IF(INDEX(Articles!$E$2:$E$148,MATCH(C56,Articles!$A$2:$A$148,0))="","",INDEX(Articles!$E$2:$E$148,MATCH(C56,Articles!$A$2:$A$148,0)))</f>
        <v>800</v>
      </c>
      <c r="J56" s="13" t="n">
        <f aca="false">IF(I56="","",F56*I56)</f>
        <v>800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853</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744</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854</v>
      </c>
      <c r="C59" s="31" t="s">
        <v>366</v>
      </c>
      <c r="D59" s="9" t="str">
        <f aca="false">INDEX(Articles!$C$2:$C$148,MATCH(C59,Articles!$A$2:$A$148,0))</f>
        <v>Cahier Calligraphe 140 pages 17x22 90 g seyès</v>
      </c>
      <c r="E59" s="9" t="str">
        <f aca="false">INDEX(Articles!$B$2:$B$148,MATCH(C59,Articles!$A$2:$A$148,0))</f>
        <v>Papex</v>
      </c>
      <c r="F59" s="31" t="n">
        <v>1</v>
      </c>
      <c r="G59" s="13" t="n">
        <f aca="false">IF(INDEX(Articles!$G$2:$G$148,MATCH(C59,Articles!$A$2:$A$148,0))="","",INDEX(Articles!$G$2:$G$148,MATCH(C59,Articles!$A$2:$A$148,0)))</f>
        <v>750</v>
      </c>
      <c r="H59" s="13" t="n">
        <f aca="false">IF(G59="",0,F59*G59)</f>
        <v>750</v>
      </c>
      <c r="I59" s="13" t="n">
        <f aca="false">IF(INDEX(Articles!$E$2:$E$148,MATCH(C59,Articles!$A$2:$A$148,0))="","",INDEX(Articles!$E$2:$E$148,MATCH(C59,Articles!$A$2:$A$148,0)))</f>
        <v>650</v>
      </c>
      <c r="J59" s="13" t="n">
        <f aca="false">IF(I59="","",F59*I59)</f>
        <v>650</v>
      </c>
      <c r="K59" s="9" t="str">
        <f aca="false">INDEX(Articles!$H$2:$H$148,MATCH(C59,Articles!$A$2:$A$148,0))</f>
        <v>Fixé</v>
      </c>
      <c r="L59" s="9" t="str">
        <f aca="false">INDEX(Articles!$F$2:$F$148,MATCH(C59,Articles!$A$2:$A$148,0))</f>
        <v>Estimé</v>
      </c>
      <c r="M59" s="17" t="s">
        <v>763</v>
      </c>
      <c r="N59" s="9" t="s">
        <v>167</v>
      </c>
    </row>
    <row r="60" customFormat="false" ht="15" hidden="false" customHeight="false" outlineLevel="0" collapsed="false">
      <c r="A60" s="9" t="s">
        <v>671</v>
      </c>
      <c r="B60" s="9" t="s">
        <v>850</v>
      </c>
      <c r="C60" s="31" t="s">
        <v>208</v>
      </c>
      <c r="D60" s="9" t="str">
        <f aca="false">INDEX(Articles!$C$2:$C$148,MATCH(C60,Articles!$A$2:$A$148,0))</f>
        <v>Cahier Calligraphe 96 pages 24x32 (grand format)</v>
      </c>
      <c r="E60" s="9" t="str">
        <f aca="false">INDEX(Articles!$B$2:$B$148,MATCH(C60,Articles!$A$2:$A$148,0))</f>
        <v>Papex</v>
      </c>
      <c r="F60" s="31" t="n">
        <v>1</v>
      </c>
      <c r="G60" s="13" t="n">
        <f aca="false">IF(INDEX(Articles!$G$2:$G$148,MATCH(C60,Articles!$A$2:$A$148,0))="","",INDEX(Articles!$G$2:$G$148,MATCH(C60,Articles!$A$2:$A$148,0)))</f>
        <v>1350</v>
      </c>
      <c r="H60" s="13" t="n">
        <f aca="false">IF(G60="",0,F60*G60)</f>
        <v>1350</v>
      </c>
      <c r="I60" s="13" t="n">
        <f aca="false">IF(INDEX(Articles!$E$2:$E$148,MATCH(C60,Articles!$A$2:$A$148,0))="","",INDEX(Articles!$E$2:$E$148,MATCH(C60,Articles!$A$2:$A$148,0)))</f>
        <v>1000</v>
      </c>
      <c r="J60" s="13" t="n">
        <f aca="false">IF(I60="","",F60*I60)</f>
        <v>1000</v>
      </c>
      <c r="K60" s="9" t="str">
        <f aca="false">INDEX(Articles!$H$2:$H$148,MATCH(C60,Articles!$A$2:$A$148,0))</f>
        <v>Fixé</v>
      </c>
      <c r="L60" s="9" t="str">
        <f aca="false">INDEX(Articles!$F$2:$F$148,MATCH(C60,Articles!$A$2:$A$148,0))</f>
        <v>Confirmé</v>
      </c>
      <c r="M60" s="17"/>
      <c r="N60" s="9" t="s">
        <v>167</v>
      </c>
    </row>
    <row r="61" customFormat="false" ht="15" hidden="false" customHeight="false" outlineLevel="0" collapsed="false">
      <c r="A61" s="9" t="s">
        <v>671</v>
      </c>
      <c r="B61" s="9" t="s">
        <v>941</v>
      </c>
      <c r="C61" s="31" t="s">
        <v>213</v>
      </c>
      <c r="D61" s="9" t="str">
        <f aca="false">INDEX(Articles!$C$2:$C$148,MATCH(C61,Articles!$A$2:$A$148,0))</f>
        <v>Cahier Calligraphe 192 pages 24x32 (grand format)</v>
      </c>
      <c r="E61" s="9" t="str">
        <f aca="false">INDEX(Articles!$B$2:$B$148,MATCH(C61,Articles!$A$2:$A$148,0))</f>
        <v>Papex</v>
      </c>
      <c r="F61" s="31" t="n">
        <v>1</v>
      </c>
      <c r="G61" s="13" t="n">
        <f aca="false">IF(INDEX(Articles!$G$2:$G$148,MATCH(C61,Articles!$A$2:$A$148,0))="","",INDEX(Articles!$G$2:$G$148,MATCH(C61,Articles!$A$2:$A$148,0)))</f>
        <v>1650</v>
      </c>
      <c r="H61" s="13" t="n">
        <f aca="false">IF(G61="",0,F61*G61)</f>
        <v>1650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671</v>
      </c>
      <c r="B62" s="9" t="s">
        <v>942</v>
      </c>
      <c r="C62" s="31" t="s">
        <v>192</v>
      </c>
      <c r="D62" s="9" t="str">
        <f aca="false">INDEX(Articles!$C$2:$C$148,MATCH(C62,Articles!$A$2:$A$148,0))</f>
        <v>Cahier Calligraphe 192 pages 17x22 90 g seyès</v>
      </c>
      <c r="E62" s="9" t="str">
        <f aca="false">INDEX(Articles!$B$2:$B$148,MATCH(C62,Articles!$A$2:$A$148,0))</f>
        <v>Papex</v>
      </c>
      <c r="F62" s="31" t="n">
        <v>1</v>
      </c>
      <c r="G62" s="13" t="n">
        <f aca="false">IF(INDEX(Articles!$G$2:$G$148,MATCH(C62,Articles!$A$2:$A$148,0))="","",INDEX(Articles!$G$2:$G$148,MATCH(C62,Articles!$A$2:$A$148,0)))</f>
        <v>900</v>
      </c>
      <c r="H62" s="13" t="n">
        <f aca="false">IF(G62="",0,F62*G62)</f>
        <v>900</v>
      </c>
      <c r="I62" s="13" t="n">
        <f aca="false">IF(INDEX(Articles!$E$2:$E$148,MATCH(C62,Articles!$A$2:$A$148,0))="","",INDEX(Articles!$E$2:$E$148,MATCH(C62,Articles!$A$2:$A$148,0)))</f>
        <v>800</v>
      </c>
      <c r="J62" s="13" t="n">
        <f aca="false">IF(I62="","",F62*I62)</f>
        <v>800</v>
      </c>
      <c r="K62" s="9" t="str">
        <f aca="false">INDEX(Articles!$H$2:$H$148,MATCH(C62,Articles!$A$2:$A$148,0))</f>
        <v>Fixé</v>
      </c>
      <c r="L62" s="9" t="str">
        <f aca="false">INDEX(Articles!$F$2:$F$148,MATCH(C62,Articles!$A$2:$A$148,0))</f>
        <v>Confirmé</v>
      </c>
      <c r="M62" s="17"/>
      <c r="N62" s="9" t="s">
        <v>167</v>
      </c>
    </row>
    <row r="63" customFormat="false" ht="15" hidden="false" customHeight="false" outlineLevel="0" collapsed="false">
      <c r="A63" s="9" t="s">
        <v>671</v>
      </c>
      <c r="B63" s="9" t="s">
        <v>943</v>
      </c>
      <c r="C63" s="31" t="s">
        <v>192</v>
      </c>
      <c r="D63" s="9" t="str">
        <f aca="false">INDEX(Articles!$C$2:$C$148,MATCH(C63,Articles!$A$2:$A$148,0))</f>
        <v>Cahier Calligraphe 192 pages 17x22 90 g seyès</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800</v>
      </c>
      <c r="J63" s="13" t="n">
        <f aca="false">IF(I63="","",F63*I63)</f>
        <v>800</v>
      </c>
      <c r="K63" s="9" t="str">
        <f aca="false">INDEX(Articles!$H$2:$H$148,MATCH(C63,Articles!$A$2:$A$148,0))</f>
        <v>Fixé</v>
      </c>
      <c r="L63" s="9" t="str">
        <f aca="false">INDEX(Articles!$F$2:$F$148,MATCH(C63,Articles!$A$2:$A$148,0))</f>
        <v>Confirmé</v>
      </c>
      <c r="M63" s="17"/>
      <c r="N63" s="9" t="s">
        <v>167</v>
      </c>
    </row>
    <row r="64" customFormat="false" ht="15" hidden="false" customHeight="false" outlineLevel="0" collapsed="false">
      <c r="A64" s="9" t="s">
        <v>671</v>
      </c>
      <c r="B64" s="9" t="s">
        <v>944</v>
      </c>
      <c r="C64" s="31" t="s">
        <v>366</v>
      </c>
      <c r="D64" s="9" t="str">
        <f aca="false">INDEX(Articles!$C$2:$C$148,MATCH(C64,Articles!$A$2:$A$148,0))</f>
        <v>Cahier Calligraphe 140 pages 17x22 90 g seyès</v>
      </c>
      <c r="E64" s="9" t="str">
        <f aca="false">INDEX(Articles!$B$2:$B$148,MATCH(C64,Articles!$A$2:$A$148,0))</f>
        <v>Papex</v>
      </c>
      <c r="F64" s="31" t="n">
        <v>1</v>
      </c>
      <c r="G64" s="13" t="n">
        <f aca="false">IF(INDEX(Articles!$G$2:$G$148,MATCH(C64,Articles!$A$2:$A$148,0))="","",INDEX(Articles!$G$2:$G$148,MATCH(C64,Articles!$A$2:$A$148,0)))</f>
        <v>750</v>
      </c>
      <c r="H64" s="13" t="n">
        <f aca="false">IF(G64="",0,F64*G64)</f>
        <v>750</v>
      </c>
      <c r="I64" s="13" t="n">
        <f aca="false">IF(INDEX(Articles!$E$2:$E$148,MATCH(C64,Articles!$A$2:$A$148,0))="","",INDEX(Articles!$E$2:$E$148,MATCH(C64,Articles!$A$2:$A$148,0)))</f>
        <v>650</v>
      </c>
      <c r="J64" s="13" t="n">
        <f aca="false">IF(I64="","",F64*I64)</f>
        <v>650</v>
      </c>
      <c r="K64" s="9" t="str">
        <f aca="false">INDEX(Articles!$H$2:$H$148,MATCH(C64,Articles!$A$2:$A$148,0))</f>
        <v>Fixé</v>
      </c>
      <c r="L64" s="9" t="str">
        <f aca="false">INDEX(Articles!$F$2:$F$148,MATCH(C64,Articles!$A$2:$A$148,0))</f>
        <v>Estimé</v>
      </c>
      <c r="M64" s="17" t="s">
        <v>763</v>
      </c>
      <c r="N64" s="9" t="s">
        <v>167</v>
      </c>
    </row>
    <row r="65" customFormat="false" ht="15" hidden="false" customHeight="false" outlineLevel="0" collapsed="false">
      <c r="A65" s="9" t="s">
        <v>678</v>
      </c>
      <c r="B65" s="9" t="s">
        <v>749</v>
      </c>
      <c r="C65" s="31" t="s">
        <v>222</v>
      </c>
      <c r="D65" s="9" t="str">
        <f aca="false">INDEX(Articles!$C$2:$C$148,MATCH(C65,Articles!$A$2:$A$148,0))</f>
        <v>Pack de 4 stylos Schneider Tops 505 M (bleu, noir, rouge, vert)</v>
      </c>
      <c r="E65" s="9" t="str">
        <f aca="false">INDEX(Articles!$B$2:$B$148,MATCH(C65,Articles!$A$2:$A$148,0))</f>
        <v>Papex</v>
      </c>
      <c r="F65" s="31" t="n">
        <v>1</v>
      </c>
      <c r="G65" s="13" t="n">
        <f aca="false">IF(INDEX(Articles!$G$2:$G$148,MATCH(C65,Articles!$A$2:$A$148,0))="","",INDEX(Articles!$G$2:$G$148,MATCH(C65,Articles!$A$2:$A$148,0)))</f>
        <v>400</v>
      </c>
      <c r="H65" s="13" t="n">
        <f aca="false">IF(G65="",0,F65*G65)</f>
        <v>400</v>
      </c>
      <c r="I65" s="13" t="str">
        <f aca="false">IF(INDEX(Articles!$E$2:$E$148,MATCH(C65,Articles!$A$2:$A$148,0))="","",INDEX(Articles!$E$2:$E$148,MATCH(C65,Articles!$A$2:$A$148,0)))</f>
        <v/>
      </c>
      <c r="J65" s="13" t="str">
        <f aca="false">IF(I65="","",F65*I65)</f>
        <v/>
      </c>
      <c r="K65" s="9" t="str">
        <f aca="false">INDEX(Articles!$H$2:$H$148,MATCH(C65,Articles!$A$2:$A$148,0))</f>
        <v>Fixé</v>
      </c>
      <c r="L65" s="9" t="str">
        <f aca="false">INDEX(Articles!$F$2:$F$148,MATCH(C65,Articles!$A$2:$A$148,0))</f>
        <v>Inconnu</v>
      </c>
      <c r="M65" s="17" t="s">
        <v>432</v>
      </c>
      <c r="N65" s="9" t="s">
        <v>167</v>
      </c>
    </row>
    <row r="66" customFormat="false" ht="15" hidden="false" customHeight="false" outlineLevel="0" collapsed="false">
      <c r="A66" s="9" t="s">
        <v>678</v>
      </c>
      <c r="B66" s="9" t="s">
        <v>750</v>
      </c>
      <c r="C66" s="31" t="s">
        <v>235</v>
      </c>
      <c r="D66" s="9" t="str">
        <f aca="false">INDEX(Articles!$C$2:$C$148,MATCH(C66,Articles!$A$2:$A$148,0))</f>
        <v>Crayon papier (vendu à l'unité)</v>
      </c>
      <c r="E66" s="9" t="str">
        <f aca="false">INDEX(Articles!$B$2:$B$148,MATCH(C66,Articles!$A$2:$A$148,0))</f>
        <v>LPD</v>
      </c>
      <c r="F66" s="31" t="n">
        <v>1</v>
      </c>
      <c r="G66" s="13" t="n">
        <f aca="false">IF(INDEX(Articles!$G$2:$G$148,MATCH(C66,Articles!$A$2:$A$148,0))="","",INDEX(Articles!$G$2:$G$148,MATCH(C66,Articles!$A$2:$A$148,0)))</f>
        <v>75</v>
      </c>
      <c r="H66" s="13" t="n">
        <f aca="false">IF(G66="",0,F66*G66)</f>
        <v>75</v>
      </c>
      <c r="I66" s="13" t="str">
        <f aca="false">IF(INDEX(Articles!$E$2:$E$148,MATCH(C66,Articles!$A$2:$A$148,0))="","",INDEX(Articles!$E$2:$E$148,MATCH(C66,Articles!$A$2:$A$148,0)))</f>
        <v/>
      </c>
      <c r="J66" s="13" t="str">
        <f aca="false">IF(I66="","",F66*I66)</f>
        <v/>
      </c>
      <c r="K66" s="9" t="str">
        <f aca="false">INDEX(Articles!$H$2:$H$148,MATCH(C66,Articles!$A$2:$A$148,0))</f>
        <v>Fixé</v>
      </c>
      <c r="L66" s="9" t="str">
        <f aca="false">INDEX(Articles!$F$2:$F$148,MATCH(C66,Articles!$A$2:$A$148,0))</f>
        <v>Inconnu</v>
      </c>
      <c r="M66" s="17"/>
      <c r="N66" s="9" t="s">
        <v>167</v>
      </c>
    </row>
    <row r="67" customFormat="false" ht="15" hidden="false" customHeight="false" outlineLevel="0" collapsed="false">
      <c r="A67" s="9" t="s">
        <v>675</v>
      </c>
      <c r="B67" s="9" t="s">
        <v>717</v>
      </c>
      <c r="C67" s="31" t="s">
        <v>180</v>
      </c>
      <c r="D67" s="9" t="str">
        <f aca="false">INDEX(Articles!$C$2:$C$148,MATCH(C67,Articles!$A$2:$A$148,0))</f>
        <v>Gomme Staedtler Mars Plastic</v>
      </c>
      <c r="E67" s="9" t="str">
        <f aca="false">INDEX(Articles!$B$2:$B$148,MATCH(C67,Articles!$A$2:$A$148,0))</f>
        <v>LPD</v>
      </c>
      <c r="F67" s="31" t="n">
        <v>1</v>
      </c>
      <c r="G67" s="13" t="n">
        <f aca="false">IF(INDEX(Articles!$G$2:$G$148,MATCH(C67,Articles!$A$2:$A$148,0))="","",INDEX(Articles!$G$2:$G$148,MATCH(C67,Articles!$A$2:$A$148,0)))</f>
        <v>250</v>
      </c>
      <c r="H67" s="13" t="n">
        <f aca="false">IF(G67="",0,F67*G67)</f>
        <v>250</v>
      </c>
      <c r="I67" s="13" t="n">
        <f aca="false">IF(INDEX(Articles!$E$2:$E$148,MATCH(C67,Articles!$A$2:$A$148,0))="","",INDEX(Articles!$E$2:$E$148,MATCH(C67,Articles!$A$2:$A$148,0)))</f>
        <v>110</v>
      </c>
      <c r="J67" s="13" t="n">
        <f aca="false">IF(I67="","",F67*I67)</f>
        <v>110</v>
      </c>
      <c r="K67" s="9" t="str">
        <f aca="false">INDEX(Articles!$H$2:$H$148,MATCH(C67,Articles!$A$2:$A$148,0))</f>
        <v>Fixé</v>
      </c>
      <c r="L67" s="9" t="str">
        <f aca="false">INDEX(Articles!$F$2:$F$148,MATCH(C67,Articles!$A$2:$A$148,0))</f>
        <v>Estimé</v>
      </c>
      <c r="M67" s="17"/>
      <c r="N67" s="9" t="s">
        <v>167</v>
      </c>
    </row>
    <row r="68" customFormat="false" ht="15" hidden="false" customHeight="false" outlineLevel="0" collapsed="false">
      <c r="A68" s="9" t="s">
        <v>675</v>
      </c>
      <c r="B68" s="9" t="s">
        <v>751</v>
      </c>
      <c r="C68" s="31" t="s">
        <v>183</v>
      </c>
      <c r="D68" s="9" t="str">
        <f aca="false">INDEX(Articles!$C$2:$C$148,MATCH(C68,Articles!$A$2:$A$148,0))</f>
        <v>Taille-crayon avec réservoir Maped</v>
      </c>
      <c r="E68" s="9" t="str">
        <f aca="false">INDEX(Articles!$B$2:$B$148,MATCH(C68,Articles!$A$2:$A$148,0))</f>
        <v>Papex</v>
      </c>
      <c r="F68" s="31" t="n">
        <v>1</v>
      </c>
      <c r="G68" s="13" t="n">
        <f aca="false">IF(INDEX(Articles!$G$2:$G$148,MATCH(C68,Articles!$A$2:$A$148,0))="","",INDEX(Articles!$G$2:$G$148,MATCH(C68,Articles!$A$2:$A$148,0)))</f>
        <v>500</v>
      </c>
      <c r="H68" s="13" t="n">
        <f aca="false">IF(G68="",0,F68*G68)</f>
        <v>500</v>
      </c>
      <c r="I68" s="13" t="n">
        <f aca="false">IF(INDEX(Articles!$E$2:$E$148,MATCH(C68,Articles!$A$2:$A$148,0))="","",INDEX(Articles!$E$2:$E$148,MATCH(C68,Articles!$A$2:$A$148,0)))</f>
        <v>350</v>
      </c>
      <c r="J68" s="13" t="n">
        <f aca="false">IF(I68="","",F68*I68)</f>
        <v>350</v>
      </c>
      <c r="K68" s="9" t="str">
        <f aca="false">INDEX(Articles!$H$2:$H$148,MATCH(C68,Articles!$A$2:$A$148,0))</f>
        <v>Estimé</v>
      </c>
      <c r="L68" s="9" t="str">
        <f aca="false">INDEX(Articles!$F$2:$F$148,MATCH(C68,Articles!$A$2:$A$148,0))</f>
        <v>Estimé</v>
      </c>
      <c r="M68" s="17" t="s">
        <v>765</v>
      </c>
      <c r="N68" s="9" t="s">
        <v>167</v>
      </c>
    </row>
    <row r="69" customFormat="false" ht="15" hidden="false" customHeight="false" outlineLevel="0" collapsed="false">
      <c r="A69" s="9" t="s">
        <v>675</v>
      </c>
      <c r="B69" s="9" t="s">
        <v>753</v>
      </c>
      <c r="C69" s="31" t="s">
        <v>248</v>
      </c>
      <c r="D69" s="9" t="str">
        <f aca="false">INDEX(Articles!$C$2:$C$148,MATCH(C69,Articles!$A$2:$A$148,0))</f>
        <v>Bâton de colle Giotto 20 g</v>
      </c>
      <c r="E69" s="9" t="str">
        <f aca="false">INDEX(Articles!$B$2:$B$148,MATCH(C69,Articles!$A$2:$A$148,0))</f>
        <v>Papex</v>
      </c>
      <c r="F69" s="31" t="n">
        <v>1</v>
      </c>
      <c r="G69" s="13" t="n">
        <f aca="false">IF(INDEX(Articles!$G$2:$G$148,MATCH(C69,Articles!$A$2:$A$148,0))="","",INDEX(Articles!$G$2:$G$148,MATCH(C69,Articles!$A$2:$A$148,0)))</f>
        <v>900</v>
      </c>
      <c r="H69" s="13" t="n">
        <f aca="false">IF(G69="",0,F69*G69)</f>
        <v>900</v>
      </c>
      <c r="I69" s="13" t="n">
        <f aca="false">IF(INDEX(Articles!$E$2:$E$148,MATCH(C69,Articles!$A$2:$A$148,0))="","",INDEX(Articles!$E$2:$E$148,MATCH(C69,Articles!$A$2:$A$148,0)))</f>
        <v>650</v>
      </c>
      <c r="J69" s="13" t="n">
        <f aca="false">IF(I69="","",F69*I69)</f>
        <v>650</v>
      </c>
      <c r="K69" s="9" t="str">
        <f aca="false">INDEX(Articles!$H$2:$H$148,MATCH(C69,Articles!$A$2:$A$148,0))</f>
        <v>Estimé</v>
      </c>
      <c r="L69" s="9" t="str">
        <f aca="false">INDEX(Articles!$F$2:$F$148,MATCH(C69,Articles!$A$2:$A$148,0))</f>
        <v>Estimé</v>
      </c>
      <c r="M69" s="17"/>
      <c r="N69" s="9" t="s">
        <v>167</v>
      </c>
    </row>
    <row r="70" customFormat="false" ht="15" hidden="false" customHeight="false" outlineLevel="0" collapsed="false">
      <c r="A70" s="9" t="s">
        <v>675</v>
      </c>
      <c r="B70" s="9" t="s">
        <v>754</v>
      </c>
      <c r="C70" s="31" t="s">
        <v>189</v>
      </c>
      <c r="D70" s="9" t="str">
        <f aca="false">INDEX(Articles!$C$2:$C$148,MATCH(C70,Articles!$A$2:$A$148,0))</f>
        <v>Ciseaux Maped 13 cm Security</v>
      </c>
      <c r="E70" s="9" t="str">
        <f aca="false">INDEX(Articles!$B$2:$B$148,MATCH(C70,Articles!$A$2:$A$148,0))</f>
        <v>Papex</v>
      </c>
      <c r="F70" s="31" t="n">
        <v>1</v>
      </c>
      <c r="G70" s="13" t="n">
        <f aca="false">IF(INDEX(Articles!$G$2:$G$148,MATCH(C70,Articles!$A$2:$A$148,0))="","",INDEX(Articles!$G$2:$G$148,MATCH(C70,Articles!$A$2:$A$148,0)))</f>
        <v>900</v>
      </c>
      <c r="H70" s="13" t="n">
        <f aca="false">IF(G70="",0,F70*G70)</f>
        <v>900</v>
      </c>
      <c r="I70" s="13" t="n">
        <f aca="false">IF(INDEX(Articles!$E$2:$E$148,MATCH(C70,Articles!$A$2:$A$148,0))="","",INDEX(Articles!$E$2:$E$148,MATCH(C70,Articles!$A$2:$A$148,0)))</f>
        <v>650</v>
      </c>
      <c r="J70" s="13" t="n">
        <f aca="false">IF(I70="","",F70*I70)</f>
        <v>650</v>
      </c>
      <c r="K70" s="9" t="str">
        <f aca="false">INDEX(Articles!$H$2:$H$148,MATCH(C70,Articles!$A$2:$A$148,0))</f>
        <v>Estimé</v>
      </c>
      <c r="L70" s="9" t="str">
        <f aca="false">INDEX(Articles!$F$2:$F$148,MATCH(C70,Articles!$A$2:$A$148,0))</f>
        <v>Estimé</v>
      </c>
      <c r="M70" s="17"/>
      <c r="N70" s="9" t="s">
        <v>167</v>
      </c>
    </row>
    <row r="71" customFormat="false" ht="15" hidden="false" customHeight="false" outlineLevel="0" collapsed="false">
      <c r="A71" s="9" t="s">
        <v>676</v>
      </c>
      <c r="B71" s="9" t="s">
        <v>755</v>
      </c>
      <c r="C71" s="31" t="s">
        <v>215</v>
      </c>
      <c r="D71" s="9" t="str">
        <f aca="false">INDEX(Articles!$C$2:$C$148,MATCH(C71,Articles!$A$2:$A$148,0))</f>
        <v>Kit géométrie Maped 30 cm (réf. 1930)</v>
      </c>
      <c r="E71" s="9" t="str">
        <f aca="false">INDEX(Articles!$B$2:$B$148,MATCH(C71,Articles!$A$2:$A$148,0))</f>
        <v>LPD</v>
      </c>
      <c r="F71" s="31" t="n">
        <v>1</v>
      </c>
      <c r="G71" s="13" t="n">
        <f aca="false">IF(INDEX(Articles!$G$2:$G$148,MATCH(C71,Articles!$A$2:$A$148,0))="","",INDEX(Articles!$G$2:$G$148,MATCH(C71,Articles!$A$2:$A$148,0)))</f>
        <v>1800</v>
      </c>
      <c r="H71" s="13" t="n">
        <f aca="false">IF(G71="",0,F71*G71)</f>
        <v>1800</v>
      </c>
      <c r="I71" s="13" t="n">
        <f aca="false">IF(INDEX(Articles!$E$2:$E$148,MATCH(C71,Articles!$A$2:$A$148,0))="","",INDEX(Articles!$E$2:$E$148,MATCH(C71,Articles!$A$2:$A$148,0)))</f>
        <v>1500</v>
      </c>
      <c r="J71" s="13" t="n">
        <f aca="false">IF(I71="","",F71*I71)</f>
        <v>1500</v>
      </c>
      <c r="K71" s="9" t="str">
        <f aca="false">INDEX(Articles!$H$2:$H$148,MATCH(C71,Articles!$A$2:$A$148,0))</f>
        <v>À trancher</v>
      </c>
      <c r="L71" s="9" t="str">
        <f aca="false">INDEX(Articles!$F$2:$F$148,MATCH(C71,Articles!$A$2:$A$148,0))</f>
        <v>Confirmé</v>
      </c>
      <c r="M71" s="17"/>
      <c r="N71" s="9" t="s">
        <v>167</v>
      </c>
    </row>
    <row r="72" customFormat="false" ht="15" hidden="false" customHeight="false" outlineLevel="0" collapsed="false">
      <c r="A72" s="9" t="s">
        <v>676</v>
      </c>
      <c r="B72" s="9" t="s">
        <v>756</v>
      </c>
      <c r="C72" s="31" t="s">
        <v>171</v>
      </c>
      <c r="D72" s="9" t="str">
        <f aca="false">INDEX(Articles!$C$2:$C$148,MATCH(C72,Articles!$A$2:$A$148,0))</f>
        <v>Compas Maped</v>
      </c>
      <c r="E72" s="9" t="str">
        <f aca="false">INDEX(Articles!$B$2:$B$148,MATCH(C72,Articles!$A$2:$A$148,0))</f>
        <v>Papex</v>
      </c>
      <c r="F72" s="31" t="n">
        <v>1</v>
      </c>
      <c r="G72" s="13" t="n">
        <f aca="false">IF(INDEX(Articles!$G$2:$G$148,MATCH(C72,Articles!$A$2:$A$148,0))="","",INDEX(Articles!$G$2:$G$148,MATCH(C72,Articles!$A$2:$A$148,0)))</f>
        <v>2000</v>
      </c>
      <c r="H72" s="13" t="n">
        <f aca="false">IF(G72="",0,F72*G72)</f>
        <v>2000</v>
      </c>
      <c r="I72" s="13" t="n">
        <f aca="false">IF(INDEX(Articles!$E$2:$E$148,MATCH(C72,Articles!$A$2:$A$148,0))="","",INDEX(Articles!$E$2:$E$148,MATCH(C72,Articles!$A$2:$A$148,0)))</f>
        <v>1750</v>
      </c>
      <c r="J72" s="13" t="n">
        <f aca="false">IF(I72="","",F72*I72)</f>
        <v>1750</v>
      </c>
      <c r="K72" s="9" t="str">
        <f aca="false">INDEX(Articles!$H$2:$H$148,MATCH(C72,Articles!$A$2:$A$148,0))</f>
        <v>Fixé</v>
      </c>
      <c r="L72" s="9" t="str">
        <f aca="false">INDEX(Articles!$F$2:$F$148,MATCH(C72,Articles!$A$2:$A$148,0))</f>
        <v>Confirmé</v>
      </c>
      <c r="M72" s="17"/>
      <c r="N72" s="9" t="s">
        <v>167</v>
      </c>
    </row>
    <row r="73" customFormat="false" ht="15" hidden="false" customHeight="false" outlineLevel="0" collapsed="false">
      <c r="A73" s="9" t="s">
        <v>681</v>
      </c>
      <c r="B73" s="9" t="s">
        <v>757</v>
      </c>
      <c r="C73" s="31" t="s">
        <v>198</v>
      </c>
      <c r="D73" s="9" t="str">
        <f aca="false">INDEX(Articles!$C$2:$C$148,MATCH(C73,Articles!$A$2:$A$148,0))</f>
        <v>Crayons de couleur Maped, boîte de 12</v>
      </c>
      <c r="E73" s="9" t="str">
        <f aca="false">INDEX(Articles!$B$2:$B$148,MATCH(C73,Articles!$A$2:$A$148,0))</f>
        <v>Papex</v>
      </c>
      <c r="F73" s="31" t="n">
        <v>1</v>
      </c>
      <c r="G73" s="13" t="n">
        <f aca="false">IF(INDEX(Articles!$G$2:$G$148,MATCH(C73,Articles!$A$2:$A$148,0))="","",INDEX(Articles!$G$2:$G$148,MATCH(C73,Articles!$A$2:$A$148,0)))</f>
        <v>900</v>
      </c>
      <c r="H73" s="13" t="n">
        <f aca="false">IF(G73="",0,F73*G73)</f>
        <v>900</v>
      </c>
      <c r="I73" s="13" t="n">
        <f aca="false">IF(INDEX(Articles!$E$2:$E$148,MATCH(C73,Articles!$A$2:$A$148,0))="","",INDEX(Articles!$E$2:$E$148,MATCH(C73,Articles!$A$2:$A$148,0)))</f>
        <v>650</v>
      </c>
      <c r="J73" s="13" t="n">
        <f aca="false">IF(I73="","",F73*I73)</f>
        <v>650</v>
      </c>
      <c r="K73" s="9" t="str">
        <f aca="false">INDEX(Articles!$H$2:$H$148,MATCH(C73,Articles!$A$2:$A$148,0))</f>
        <v>Estimé</v>
      </c>
      <c r="L73" s="9" t="str">
        <f aca="false">INDEX(Articles!$F$2:$F$148,MATCH(C73,Articles!$A$2:$A$148,0))</f>
        <v>Estimé</v>
      </c>
      <c r="M73" s="17"/>
      <c r="N73" s="9" t="s">
        <v>167</v>
      </c>
    </row>
    <row r="74" customFormat="false" ht="15" hidden="false" customHeight="false" outlineLevel="0" collapsed="false">
      <c r="A74" s="9" t="s">
        <v>678</v>
      </c>
      <c r="B74" s="9" t="s">
        <v>766</v>
      </c>
      <c r="C74" s="31" t="s">
        <v>200</v>
      </c>
      <c r="D74" s="9" t="str">
        <f aca="false">INDEX(Articles!$C$2:$C$148,MATCH(C74,Articles!$A$2:$A$148,0))</f>
        <v>Surligneurs Maped Fluo Peps, pochette de 4</v>
      </c>
      <c r="E74" s="9" t="str">
        <f aca="false">INDEX(Articles!$B$2:$B$148,MATCH(C74,Articles!$A$2:$A$148,0))</f>
        <v>Papex</v>
      </c>
      <c r="F74" s="31" t="n">
        <v>1</v>
      </c>
      <c r="G74" s="13" t="n">
        <f aca="false">IF(INDEX(Articles!$G$2:$G$148,MATCH(C74,Articles!$A$2:$A$148,0))="","",INDEX(Articles!$G$2:$G$148,MATCH(C74,Articles!$A$2:$A$148,0)))</f>
        <v>2500</v>
      </c>
      <c r="H74" s="13" t="n">
        <f aca="false">IF(G74="",0,F74*G74)</f>
        <v>2500</v>
      </c>
      <c r="I74" s="13" t="n">
        <f aca="false">IF(INDEX(Articles!$E$2:$E$148,MATCH(C74,Articles!$A$2:$A$148,0))="","",INDEX(Articles!$E$2:$E$148,MATCH(C74,Articles!$A$2:$A$148,0)))</f>
        <v>2000</v>
      </c>
      <c r="J74" s="13" t="n">
        <f aca="false">IF(I74="","",F74*I74)</f>
        <v>2000</v>
      </c>
      <c r="K74" s="9" t="str">
        <f aca="false">INDEX(Articles!$H$2:$H$148,MATCH(C74,Articles!$A$2:$A$148,0))</f>
        <v>Estimé</v>
      </c>
      <c r="L74" s="9" t="str">
        <f aca="false">INDEX(Articles!$F$2:$F$148,MATCH(C74,Articles!$A$2:$A$148,0))</f>
        <v>Confirmé</v>
      </c>
      <c r="M74" s="17" t="s">
        <v>767</v>
      </c>
      <c r="N74" s="9" t="s">
        <v>167</v>
      </c>
    </row>
    <row r="75" customFormat="false" ht="15" hidden="false" customHeight="false" outlineLevel="0" collapsed="false">
      <c r="A75" s="9" t="s">
        <v>768</v>
      </c>
      <c r="B75" s="9" t="s">
        <v>769</v>
      </c>
      <c r="C75" s="31" t="s">
        <v>446</v>
      </c>
      <c r="D75" s="9" t="str">
        <f aca="false">INDEX(Articles!$C$2:$C$148,MATCH(C75,Articles!$A$2:$A$148,0))</f>
        <v>Chemise 3 rabats à élastique</v>
      </c>
      <c r="E75" s="9" t="str">
        <f aca="false">INDEX(Articles!$B$2:$B$148,MATCH(C75,Articles!$A$2:$A$148,0))</f>
        <v>Papex</v>
      </c>
      <c r="F75" s="31" t="n">
        <v>1</v>
      </c>
      <c r="G75" s="13" t="n">
        <f aca="false">IF(INDEX(Articles!$G$2:$G$148,MATCH(C75,Articles!$A$2:$A$148,0))="","",INDEX(Articles!$G$2:$G$148,MATCH(C75,Articles!$A$2:$A$148,0)))</f>
        <v>500</v>
      </c>
      <c r="H75" s="13" t="n">
        <f aca="false">IF(G75="",0,F75*G75)</f>
        <v>500</v>
      </c>
      <c r="I75" s="13" t="str">
        <f aca="false">IF(INDEX(Articles!$E$2:$E$148,MATCH(C75,Articles!$A$2:$A$148,0))="","",INDEX(Articles!$E$2:$E$148,MATCH(C75,Articles!$A$2:$A$148,0)))</f>
        <v/>
      </c>
      <c r="J75" s="13" t="str">
        <f aca="false">IF(I75="","",F75*I75)</f>
        <v/>
      </c>
      <c r="K75" s="9" t="str">
        <f aca="false">INDEX(Articles!$H$2:$H$148,MATCH(C75,Articles!$A$2:$A$148,0))</f>
        <v>Estimé</v>
      </c>
      <c r="L75" s="9" t="str">
        <f aca="false">INDEX(Articles!$F$2:$F$148,MATCH(C75,Articles!$A$2:$A$148,0))</f>
        <v>Inconnu</v>
      </c>
      <c r="M75" s="17" t="s">
        <v>770</v>
      </c>
      <c r="N75" s="9" t="s">
        <v>167</v>
      </c>
    </row>
    <row r="76" customFormat="false" ht="26.85" hidden="false" customHeight="false" outlineLevel="0" collapsed="false">
      <c r="A76" s="9" t="s">
        <v>676</v>
      </c>
      <c r="B76" s="9" t="s">
        <v>812</v>
      </c>
      <c r="C76" s="31" t="s">
        <v>242</v>
      </c>
      <c r="D76" s="9" t="str">
        <f aca="false">INDEX(Articles!$C$2:$C$148,MATCH(C76,Articles!$A$2:$A$148,0))</f>
        <v>Calculatrice scientifique Parpn YH-2000</v>
      </c>
      <c r="E76" s="9" t="str">
        <f aca="false">INDEX(Articles!$B$2:$B$148,MATCH(C76,Articles!$A$2:$A$148,0))</f>
        <v>LPD</v>
      </c>
      <c r="F76" s="31" t="n">
        <v>1</v>
      </c>
      <c r="G76" s="13" t="n">
        <f aca="false">IF(INDEX(Articles!$G$2:$G$148,MATCH(C76,Articles!$A$2:$A$148,0))="","",INDEX(Articles!$G$2:$G$148,MATCH(C76,Articles!$A$2:$A$148,0)))</f>
        <v>1400</v>
      </c>
      <c r="H76" s="13" t="n">
        <f aca="false">IF(G76="",0,F76*G76)</f>
        <v>1400</v>
      </c>
      <c r="I76" s="13" t="n">
        <f aca="false">IF(INDEX(Articles!$E$2:$E$148,MATCH(C76,Articles!$A$2:$A$148,0))="","",INDEX(Articles!$E$2:$E$148,MATCH(C76,Articles!$A$2:$A$148,0)))</f>
        <v>1100</v>
      </c>
      <c r="J76" s="13" t="n">
        <f aca="false">IF(I76="","",F76*I76)</f>
        <v>1100</v>
      </c>
      <c r="K76" s="9" t="str">
        <f aca="false">INDEX(Articles!$H$2:$H$148,MATCH(C76,Articles!$A$2:$A$148,0))</f>
        <v>Fixé</v>
      </c>
      <c r="L76" s="9" t="str">
        <f aca="false">INDEX(Articles!$F$2:$F$148,MATCH(C76,Articles!$A$2:$A$148,0))</f>
        <v>Confirmé</v>
      </c>
      <c r="M76" s="17" t="s">
        <v>816</v>
      </c>
      <c r="N76" s="9" t="s">
        <v>167</v>
      </c>
    </row>
    <row r="77" customFormat="false" ht="15" hidden="false" customHeight="false" outlineLevel="0" collapsed="false">
      <c r="A77" s="9" t="s">
        <v>768</v>
      </c>
      <c r="B77" s="9" t="s">
        <v>861</v>
      </c>
      <c r="C77" s="31" t="s">
        <v>246</v>
      </c>
      <c r="D77" s="9" t="str">
        <f aca="false">INDEX(Articles!$C$2:$C$148,MATCH(C77,Articles!$A$2:$A$148,0))</f>
        <v>Protège-documents porte-vues</v>
      </c>
      <c r="E77" s="9" t="str">
        <f aca="false">INDEX(Articles!$B$2:$B$148,MATCH(C77,Articles!$A$2:$A$148,0))</f>
        <v>LPD</v>
      </c>
      <c r="F77" s="31" t="n">
        <v>1</v>
      </c>
      <c r="G77" s="13" t="n">
        <f aca="false">IF(INDEX(Articles!$G$2:$G$148,MATCH(C77,Articles!$A$2:$A$148,0))="","",INDEX(Articles!$G$2:$G$148,MATCH(C77,Articles!$A$2:$A$148,0)))</f>
        <v>1150</v>
      </c>
      <c r="H77" s="13" t="n">
        <f aca="false">IF(G77="",0,F77*G77)</f>
        <v>1150</v>
      </c>
      <c r="I77" s="13" t="n">
        <f aca="false">IF(INDEX(Articles!$E$2:$E$148,MATCH(C77,Articles!$A$2:$A$148,0))="","",INDEX(Articles!$E$2:$E$148,MATCH(C77,Articles!$A$2:$A$148,0)))</f>
        <v>850</v>
      </c>
      <c r="J77" s="13" t="n">
        <f aca="false">IF(I77="","",F77*I77)</f>
        <v>850</v>
      </c>
      <c r="K77" s="9" t="str">
        <f aca="false">INDEX(Articles!$H$2:$H$148,MATCH(C77,Articles!$A$2:$A$148,0))</f>
        <v>Fixé</v>
      </c>
      <c r="L77" s="9" t="str">
        <f aca="false">INDEX(Articles!$F$2:$F$148,MATCH(C77,Articles!$A$2:$A$148,0))</f>
        <v>Estimé</v>
      </c>
      <c r="M77" s="17"/>
      <c r="N77" s="9" t="s">
        <v>167</v>
      </c>
    </row>
    <row r="78" customFormat="false" ht="15" hidden="false" customHeight="false" outlineLevel="0" collapsed="false">
      <c r="A78" s="9" t="s">
        <v>758</v>
      </c>
      <c r="B78" s="9" t="s">
        <v>759</v>
      </c>
      <c r="C78" s="31" t="s">
        <v>376</v>
      </c>
      <c r="D78" s="9" t="str">
        <f aca="false">INDEX(Articles!$C$2:$C$148,MATCH(C78,Articles!$A$2:$A$148,0))</f>
        <v>Paquet de copies doubles grand format</v>
      </c>
      <c r="E78" s="9" t="str">
        <f aca="false">INDEX(Articles!$B$2:$B$148,MATCH(C78,Articles!$A$2:$A$148,0))</f>
        <v>À préciser</v>
      </c>
      <c r="F78" s="31" t="n">
        <v>1</v>
      </c>
      <c r="G78" s="45" t="n">
        <f aca="false">IF(INDEX(Articles!$G$2:$G$148,MATCH(C78,Articles!$A$2:$A$148,0))="","",INDEX(Articles!$G$2:$G$148,MATCH(C78,Articles!$A$2:$A$148,0)))</f>
        <v>1800</v>
      </c>
      <c r="H78" s="13" t="n">
        <f aca="false">IF(G78="",0,F78*G78)</f>
        <v>1800</v>
      </c>
      <c r="I78" s="13" t="n">
        <f aca="false">IF(INDEX(Articles!$E$2:$E$148,MATCH(C78,Articles!$A$2:$A$148,0))="","",INDEX(Articles!$E$2:$E$148,MATCH(C78,Articles!$A$2:$A$148,0)))</f>
        <v>1300</v>
      </c>
      <c r="J78" s="13" t="n">
        <f aca="false">IF(I78="","",F78*I78)</f>
        <v>1300</v>
      </c>
      <c r="K78" s="9" t="str">
        <f aca="false">INDEX(Articles!$H$2:$H$148,MATCH(C78,Articles!$A$2:$A$148,0))</f>
        <v>Fixé</v>
      </c>
      <c r="L78" s="9" t="str">
        <f aca="false">INDEX(Articles!$F$2:$F$148,MATCH(C78,Articles!$A$2:$A$148,0))</f>
        <v>Confirmé</v>
      </c>
      <c r="M78" s="17"/>
      <c r="N78" s="9" t="s">
        <v>167</v>
      </c>
    </row>
    <row r="79" customFormat="false" ht="15" hidden="false" customHeight="false" outlineLevel="0" collapsed="false">
      <c r="A79" s="9" t="s">
        <v>771</v>
      </c>
      <c r="B79" s="9" t="s">
        <v>772</v>
      </c>
      <c r="C79" s="31" t="s">
        <v>160</v>
      </c>
      <c r="D79" s="9" t="str">
        <f aca="false">INDEX(Articles!$C$2:$C$148,MATCH(C79,Articles!$A$2:$A$148,0))</f>
        <v>Protège-cahier couleur petit format (à l'unité)</v>
      </c>
      <c r="E79" s="9" t="str">
        <f aca="false">INDEX(Articles!$B$2:$B$148,MATCH(C79,Articles!$A$2:$A$148,0))</f>
        <v>LPD</v>
      </c>
      <c r="F79" s="31" t="n">
        <v>6</v>
      </c>
      <c r="G79" s="13" t="n">
        <f aca="false">IF(INDEX(Articles!$G$2:$G$148,MATCH(C79,Articles!$A$2:$A$148,0))="","",INDEX(Articles!$G$2:$G$148,MATCH(C79,Articles!$A$2:$A$148,0)))</f>
        <v>150</v>
      </c>
      <c r="H79" s="13" t="n">
        <f aca="false">IF(G79="",0,F79*G79)</f>
        <v>900</v>
      </c>
      <c r="I79" s="13" t="str">
        <f aca="false">IF(INDEX(Articles!$E$2:$E$148,MATCH(C79,Articles!$A$2:$A$148,0))="","",INDEX(Articles!$E$2:$E$148,MATCH(C79,Articles!$A$2:$A$148,0)))</f>
        <v/>
      </c>
      <c r="J79" s="13" t="str">
        <f aca="false">IF(I79="","",F79*I79)</f>
        <v/>
      </c>
      <c r="K79" s="9" t="str">
        <f aca="false">INDEX(Articles!$H$2:$H$148,MATCH(C79,Articles!$A$2:$A$148,0))</f>
        <v>Fixé</v>
      </c>
      <c r="L79" s="9" t="str">
        <f aca="false">INDEX(Articles!$F$2:$F$148,MATCH(C79,Articles!$A$2:$A$148,0))</f>
        <v>Inconnu</v>
      </c>
      <c r="M79" s="17"/>
      <c r="N79" s="9" t="s">
        <v>167</v>
      </c>
    </row>
    <row r="80" customFormat="false" ht="15" hidden="false" customHeight="false" outlineLevel="0" collapsed="false">
      <c r="A80" s="9" t="s">
        <v>771</v>
      </c>
      <c r="B80" s="9" t="s">
        <v>773</v>
      </c>
      <c r="C80" s="31" t="s">
        <v>419</v>
      </c>
      <c r="D80" s="9" t="str">
        <f aca="false">INDEX(Articles!$C$2:$C$148,MATCH(C80,Articles!$A$2:$A$148,0))</f>
        <v>Protège-cahier grand format (à l'unité)</v>
      </c>
      <c r="E80" s="9" t="str">
        <f aca="false">INDEX(Articles!$B$2:$B$148,MATCH(C80,Articles!$A$2:$A$148,0))</f>
        <v>À préciser</v>
      </c>
      <c r="F80" s="31" t="n">
        <v>8</v>
      </c>
      <c r="G80" s="13" t="str">
        <f aca="false">IF(INDEX(Articles!$G$2:$G$148,MATCH(C80,Articles!$A$2:$A$148,0))="","",INDEX(Articles!$G$2:$G$148,MATCH(C80,Articles!$A$2:$A$148,0)))</f>
        <v/>
      </c>
      <c r="H80" s="13" t="n">
        <f aca="false">IF(G80="",0,F80*G80)</f>
        <v>0</v>
      </c>
      <c r="I80" s="13" t="str">
        <f aca="false">IF(INDEX(Articles!$E$2:$E$148,MATCH(C80,Articles!$A$2:$A$148,0))="","",INDEX(Articles!$E$2:$E$148,MATCH(C80,Articles!$A$2:$A$148,0)))</f>
        <v/>
      </c>
      <c r="J80" s="13" t="str">
        <f aca="false">IF(I80="","",F80*I80)</f>
        <v/>
      </c>
      <c r="K80" s="9" t="str">
        <f aca="false">INDEX(Articles!$H$2:$H$148,MATCH(C80,Articles!$A$2:$A$148,0))</f>
        <v>À fournir</v>
      </c>
      <c r="L80" s="9" t="str">
        <f aca="false">INDEX(Articles!$F$2:$F$148,MATCH(C80,Articles!$A$2:$A$148,0))</f>
        <v>Inconnu</v>
      </c>
      <c r="M80" s="17"/>
      <c r="N80" s="9" t="s">
        <v>167</v>
      </c>
    </row>
    <row r="81" customFormat="false" ht="26.85" hidden="false" customHeight="false" outlineLevel="0" collapsed="false">
      <c r="A81" s="9" t="s">
        <v>760</v>
      </c>
      <c r="B81" s="9" t="s">
        <v>883</v>
      </c>
      <c r="C81" s="31" t="s">
        <v>504</v>
      </c>
      <c r="D81" s="9" t="str">
        <f aca="false">INDEX(Articles!$C$2:$C$148,MATCH(C81,Articles!$A$2:$A$148,0))</f>
        <v>Une vie de boy (Ferdinand Oyono)</v>
      </c>
      <c r="E81" s="9" t="str">
        <f aca="false">INDEX(Articles!$B$2:$B$148,MATCH(C81,Articles!$A$2:$A$148,0))</f>
        <v>LPD</v>
      </c>
      <c r="F81" s="31" t="n">
        <v>1</v>
      </c>
      <c r="G81" s="13" t="n">
        <f aca="false">IF(INDEX(Articles!$G$2:$G$148,MATCH(C81,Articles!$A$2:$A$148,0))="","",INDEX(Articles!$G$2:$G$148,MATCH(C81,Articles!$A$2:$A$148,0)))</f>
        <v>2800</v>
      </c>
      <c r="H81" s="13" t="n">
        <f aca="false">IF(G81="",0,F81*G81)</f>
        <v>2800</v>
      </c>
      <c r="I81" s="13" t="n">
        <f aca="false">IF(INDEX(Articles!$E$2:$E$148,MATCH(C81,Articles!$A$2:$A$148,0))="","",INDEX(Articles!$E$2:$E$148,MATCH(C81,Articles!$A$2:$A$148,0)))</f>
        <v>1800</v>
      </c>
      <c r="J81" s="13" t="n">
        <f aca="false">IF(I81="","",F81*I81)</f>
        <v>1800</v>
      </c>
      <c r="K81" s="9" t="str">
        <f aca="false">INDEX(Articles!$H$2:$H$148,MATCH(C81,Articles!$A$2:$A$148,0))</f>
        <v>Fixé</v>
      </c>
      <c r="L81" s="9" t="str">
        <f aca="false">INDEX(Articles!$F$2:$F$148,MATCH(C81,Articles!$A$2:$A$148,0))</f>
        <v>Estimé</v>
      </c>
      <c r="M81" s="17" t="s">
        <v>947</v>
      </c>
      <c r="N81" s="9" t="s">
        <v>167</v>
      </c>
    </row>
    <row r="82" customFormat="false" ht="26.85" hidden="false" customHeight="false" outlineLevel="0" collapsed="false">
      <c r="A82" s="9" t="s">
        <v>760</v>
      </c>
      <c r="B82" s="9" t="s">
        <v>884</v>
      </c>
      <c r="C82" s="31" t="s">
        <v>506</v>
      </c>
      <c r="D82" s="9" t="str">
        <f aca="false">INDEX(Articles!$C$2:$C$148,MATCH(C82,Articles!$A$2:$A$148,0))</f>
        <v>Le Père Goriot (Balzac)</v>
      </c>
      <c r="E82" s="9" t="str">
        <f aca="false">INDEX(Articles!$B$2:$B$148,MATCH(C82,Articles!$A$2:$A$148,0))</f>
        <v>LPD</v>
      </c>
      <c r="F82" s="31" t="n">
        <v>1</v>
      </c>
      <c r="G82" s="13" t="n">
        <f aca="false">IF(INDEX(Articles!$G$2:$G$148,MATCH(C82,Articles!$A$2:$A$148,0))="","",INDEX(Articles!$G$2:$G$148,MATCH(C82,Articles!$A$2:$A$148,0)))</f>
        <v>2800</v>
      </c>
      <c r="H82" s="13" t="n">
        <f aca="false">IF(G82="",0,F82*G82)</f>
        <v>2800</v>
      </c>
      <c r="I82" s="13" t="n">
        <f aca="false">IF(INDEX(Articles!$E$2:$E$148,MATCH(C82,Articles!$A$2:$A$148,0))="","",INDEX(Articles!$E$2:$E$148,MATCH(C82,Articles!$A$2:$A$148,0)))</f>
        <v>1800</v>
      </c>
      <c r="J82" s="13" t="n">
        <f aca="false">IF(I82="","",F82*I82)</f>
        <v>1800</v>
      </c>
      <c r="K82" s="9" t="str">
        <f aca="false">INDEX(Articles!$H$2:$H$148,MATCH(C82,Articles!$A$2:$A$148,0))</f>
        <v>Fixé</v>
      </c>
      <c r="L82" s="9" t="str">
        <f aca="false">INDEX(Articles!$F$2:$F$148,MATCH(C82,Articles!$A$2:$A$148,0))</f>
        <v>Estimé</v>
      </c>
      <c r="M82" s="17" t="s">
        <v>947</v>
      </c>
      <c r="N82" s="9" t="s">
        <v>167</v>
      </c>
    </row>
    <row r="83" customFormat="false" ht="26.85" hidden="false" customHeight="false" outlineLevel="0" collapsed="false">
      <c r="A83" s="9" t="s">
        <v>760</v>
      </c>
      <c r="B83" s="9" t="s">
        <v>884</v>
      </c>
      <c r="C83" s="31" t="s">
        <v>508</v>
      </c>
      <c r="D83" s="9" t="str">
        <f aca="false">INDEX(Articles!$C$2:$C$148,MATCH(C83,Articles!$A$2:$A$148,0))</f>
        <v>Madame Bovary (Flaubert)</v>
      </c>
      <c r="E83" s="9" t="str">
        <f aca="false">INDEX(Articles!$B$2:$B$148,MATCH(C83,Articles!$A$2:$A$148,0))</f>
        <v>LPD</v>
      </c>
      <c r="F83" s="31" t="n">
        <v>1</v>
      </c>
      <c r="G83" s="13" t="n">
        <f aca="false">IF(INDEX(Articles!$G$2:$G$148,MATCH(C83,Articles!$A$2:$A$148,0))="","",INDEX(Articles!$G$2:$G$148,MATCH(C83,Articles!$A$2:$A$148,0)))</f>
        <v>2800</v>
      </c>
      <c r="H83" s="13" t="n">
        <f aca="false">IF(G83="",0,F83*G83)</f>
        <v>2800</v>
      </c>
      <c r="I83" s="13" t="n">
        <f aca="false">IF(INDEX(Articles!$E$2:$E$148,MATCH(C83,Articles!$A$2:$A$148,0))="","",INDEX(Articles!$E$2:$E$148,MATCH(C83,Articles!$A$2:$A$148,0)))</f>
        <v>1800</v>
      </c>
      <c r="J83" s="13" t="n">
        <f aca="false">IF(I83="","",F83*I83)</f>
        <v>1800</v>
      </c>
      <c r="K83" s="9" t="str">
        <f aca="false">INDEX(Articles!$H$2:$H$148,MATCH(C83,Articles!$A$2:$A$148,0))</f>
        <v>Fixé</v>
      </c>
      <c r="L83" s="9" t="str">
        <f aca="false">INDEX(Articles!$F$2:$F$148,MATCH(C83,Articles!$A$2:$A$148,0))</f>
        <v>Estimé</v>
      </c>
      <c r="M83" s="17" t="s">
        <v>947</v>
      </c>
      <c r="N83" s="9" t="s">
        <v>167</v>
      </c>
    </row>
    <row r="84" customFormat="false" ht="15" hidden="false" customHeight="false" outlineLevel="0" collapsed="false">
      <c r="D84" s="32" t="s">
        <v>683</v>
      </c>
      <c r="E84" s="32"/>
      <c r="F84" s="32"/>
      <c r="G84" s="32"/>
      <c r="H84" s="33" t="n">
        <f aca="false">COUNTIF(G51:G83,"")</f>
        <v>1</v>
      </c>
    </row>
    <row r="85" customFormat="false" ht="15" hidden="false" customHeight="false" outlineLevel="0" collapsed="false">
      <c r="D85" s="32" t="s">
        <v>684</v>
      </c>
      <c r="E85" s="32"/>
      <c r="F85" s="32"/>
      <c r="G85" s="32"/>
      <c r="H85" s="33" t="n">
        <f aca="false">SUM(H51:H83)</f>
        <v>42225</v>
      </c>
    </row>
    <row r="86" customFormat="false" ht="15" hidden="false" customHeight="false" outlineLevel="0" collapsed="false">
      <c r="D86" s="32" t="s">
        <v>28</v>
      </c>
      <c r="E86" s="32"/>
      <c r="F86" s="32"/>
      <c r="G86" s="32"/>
      <c r="H86" s="33" t="n">
        <f aca="false">SUM(J51:J83)</f>
        <v>32160</v>
      </c>
    </row>
    <row r="87" customFormat="false" ht="15" hidden="false" customHeight="false" outlineLevel="0" collapsed="false">
      <c r="D87" s="32" t="s">
        <v>685</v>
      </c>
      <c r="E87" s="32"/>
      <c r="F87" s="32"/>
      <c r="G87" s="32"/>
      <c r="H87" s="33" t="n">
        <f aca="false">COUNTIF(I51:I83,"")</f>
        <v>5</v>
      </c>
    </row>
    <row r="88" customFormat="false" ht="15" hidden="false" customHeight="false" outlineLevel="0" collapsed="false">
      <c r="D88" s="32" t="s">
        <v>686</v>
      </c>
      <c r="E88" s="32"/>
      <c r="F88" s="32"/>
      <c r="G88" s="32"/>
      <c r="H88" s="33" t="n">
        <f aca="false">SUMPRODUCT((I51:I83&lt;&gt;"")*H51:H83)-H86</f>
        <v>8190</v>
      </c>
    </row>
    <row r="89" customFormat="false" ht="15" hidden="false" customHeight="false" outlineLevel="0" collapsed="false">
      <c r="D89" s="32" t="s">
        <v>687</v>
      </c>
      <c r="E89" s="32"/>
      <c r="F89" s="32"/>
      <c r="G89" s="32"/>
      <c r="H89" s="33" t="n">
        <f aca="false">SUMIF(A51:A83,"Cahiers",F51:F83)</f>
        <v>14</v>
      </c>
    </row>
    <row r="90" customFormat="false" ht="15" hidden="false" customHeight="false" outlineLevel="0" collapsed="false">
      <c r="D90" s="32" t="s">
        <v>688</v>
      </c>
      <c r="E90" s="32"/>
      <c r="F90" s="32"/>
      <c r="G90" s="32"/>
      <c r="H90" s="34" t="n">
        <f aca="false">IF(H85=0,0,SUMIF(K51:K83,"&lt;&gt;Fixé",H51:H83)/H85)</f>
        <v>0.189461219656602</v>
      </c>
    </row>
    <row r="91" customFormat="false" ht="15" hidden="false" customHeight="false" outlineLevel="0" collapsed="false">
      <c r="D91" s="32" t="s">
        <v>689</v>
      </c>
      <c r="E91" s="32"/>
      <c r="F91" s="32"/>
      <c r="G91" s="32"/>
      <c r="H91" s="33" t="str">
        <f aca="false">IF(H84&gt;0,"Total incomplet : "&amp;H84&amp;" prix de vente à fournir",IF(H87&gt;0,"Coût incomplet : "&amp;H87&amp;" ligne(s) sans prix d'achat","Complet"))</f>
        <v>Total incomplet : 1 prix de vente à fournir</v>
      </c>
    </row>
    <row r="92" customFormat="false" ht="15" hidden="false" customHeight="false" outlineLevel="0" collapsed="false">
      <c r="D92" s="21" t="s">
        <v>696</v>
      </c>
      <c r="E92" s="21" t="str">
        <f aca="false">INDEX(Articles!$C$2:$C$148,MATCH("S020",Articles!$A$2:$A$148,0))</f>
        <v>Sac à dos bleu marine</v>
      </c>
      <c r="H92" s="41" t="n">
        <f aca="false">INDEX(Articles!$G$2:$G$148,MATCH("S020",Articles!$A$2:$A$148,0))</f>
        <v>7000</v>
      </c>
    </row>
    <row r="93" customFormat="false" ht="15" hidden="false" customHeight="false" outlineLevel="0" collapsed="false">
      <c r="D93" s="42" t="s">
        <v>697</v>
      </c>
      <c r="E93" s="43" t="s">
        <v>948</v>
      </c>
    </row>
    <row r="94" customFormat="false" ht="15" hidden="false" customHeight="false" outlineLevel="0" collapsed="false">
      <c r="E94" s="43" t="s">
        <v>324</v>
      </c>
    </row>
    <row r="97" customFormat="false" ht="15" hidden="false" customHeight="false" outlineLevel="0" collapsed="false">
      <c r="A97" s="28" t="s">
        <v>953</v>
      </c>
      <c r="B97" s="29"/>
      <c r="C97" s="29"/>
      <c r="D97" s="29"/>
      <c r="E97" s="29"/>
      <c r="F97" s="29"/>
      <c r="G97" s="29"/>
      <c r="H97" s="29"/>
      <c r="I97" s="29"/>
      <c r="J97" s="29"/>
      <c r="K97" s="29"/>
      <c r="L97" s="29"/>
      <c r="M97" s="29"/>
      <c r="N97" s="29"/>
    </row>
    <row r="98" customFormat="false" ht="39.55" hidden="false" customHeight="false" outlineLevel="0" collapsed="false">
      <c r="A98" s="30" t="s">
        <v>663</v>
      </c>
      <c r="B98" s="30" t="s">
        <v>664</v>
      </c>
      <c r="C98" s="30" t="s">
        <v>348</v>
      </c>
      <c r="D98" s="30" t="s">
        <v>350</v>
      </c>
      <c r="E98" s="30" t="s">
        <v>349</v>
      </c>
      <c r="F98" s="30" t="s">
        <v>665</v>
      </c>
      <c r="G98" s="30" t="s">
        <v>666</v>
      </c>
      <c r="H98" s="30" t="s">
        <v>667</v>
      </c>
      <c r="I98" s="30" t="s">
        <v>668</v>
      </c>
      <c r="J98" s="30" t="s">
        <v>669</v>
      </c>
      <c r="K98" s="30" t="s">
        <v>355</v>
      </c>
      <c r="L98" s="30" t="s">
        <v>353</v>
      </c>
      <c r="M98" s="30" t="s">
        <v>356</v>
      </c>
      <c r="N98" s="30" t="s">
        <v>670</v>
      </c>
    </row>
    <row r="99" customFormat="false" ht="15" hidden="false" customHeight="false" outlineLevel="0" collapsed="false">
      <c r="A99" s="9" t="s">
        <v>671</v>
      </c>
      <c r="B99" s="9" t="s">
        <v>939</v>
      </c>
      <c r="C99" s="31" t="s">
        <v>213</v>
      </c>
      <c r="D99" s="9" t="str">
        <f aca="false">INDEX(Articles!$C$2:$C$148,MATCH(C99,Articles!$A$2:$A$148,0))</f>
        <v>Cahier Calligraphe 192 pages 24x32 (grand format)</v>
      </c>
      <c r="E99" s="9" t="str">
        <f aca="false">INDEX(Articles!$B$2:$B$148,MATCH(C99,Articles!$A$2:$A$148,0))</f>
        <v>Papex</v>
      </c>
      <c r="F99" s="31" t="n">
        <v>1</v>
      </c>
      <c r="G99" s="13" t="n">
        <f aca="false">IF(INDEX(Articles!$G$2:$G$148,MATCH(C99,Articles!$A$2:$A$148,0))="","",INDEX(Articles!$G$2:$G$148,MATCH(C99,Articles!$A$2:$A$148,0)))</f>
        <v>1650</v>
      </c>
      <c r="H99" s="13" t="n">
        <f aca="false">IF(G99="",0,F99*G99)</f>
        <v>1650</v>
      </c>
      <c r="I99" s="13" t="n">
        <f aca="false">IF(INDEX(Articles!$E$2:$E$148,MATCH(C99,Articles!$A$2:$A$148,0))="","",INDEX(Articles!$E$2:$E$148,MATCH(C99,Articles!$A$2:$A$148,0)))</f>
        <v>1500</v>
      </c>
      <c r="J99" s="13" t="n">
        <f aca="false">IF(I99="","",F99*I99)</f>
        <v>1500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940</v>
      </c>
      <c r="C100" s="31" t="s">
        <v>213</v>
      </c>
      <c r="D100" s="9" t="str">
        <f aca="false">INDEX(Articles!$C$2:$C$148,MATCH(C100,Articles!$A$2:$A$148,0))</f>
        <v>Cahier Calligraphe 192 pages 24x32 (grand format)</v>
      </c>
      <c r="E100" s="9" t="str">
        <f aca="false">INDEX(Articles!$B$2:$B$148,MATCH(C100,Articles!$A$2:$A$148,0))</f>
        <v>Papex</v>
      </c>
      <c r="F100" s="31" t="n">
        <v>1</v>
      </c>
      <c r="G100" s="13" t="n">
        <f aca="false">IF(INDEX(Articles!$G$2:$G$148,MATCH(C100,Articles!$A$2:$A$148,0))="","",INDEX(Articles!$G$2:$G$148,MATCH(C100,Articles!$A$2:$A$148,0)))</f>
        <v>1650</v>
      </c>
      <c r="H100" s="13" t="n">
        <f aca="false">IF(G100="",0,F100*G100)</f>
        <v>1650</v>
      </c>
      <c r="I100" s="13" t="n">
        <f aca="false">IF(INDEX(Articles!$E$2:$E$148,MATCH(C100,Articles!$A$2:$A$148,0))="","",INDEX(Articles!$E$2:$E$148,MATCH(C100,Articles!$A$2:$A$148,0)))</f>
        <v>1500</v>
      </c>
      <c r="J100" s="13" t="n">
        <f aca="false">IF(I100="","",F100*I100)</f>
        <v>1500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856</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857</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671</v>
      </c>
      <c r="B103" s="9" t="s">
        <v>737</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739</v>
      </c>
      <c r="C104" s="31" t="s">
        <v>192</v>
      </c>
      <c r="D104" s="9" t="str">
        <f aca="false">INDEX(Articles!$C$2:$C$148,MATCH(C104,Articles!$A$2:$A$148,0))</f>
        <v>Cahier Calligraphe 192 pages 17x22 90 g seyès</v>
      </c>
      <c r="E104" s="9" t="str">
        <f aca="false">INDEX(Articles!$B$2:$B$148,MATCH(C104,Articles!$A$2:$A$148,0))</f>
        <v>Papex</v>
      </c>
      <c r="F104" s="31" t="n">
        <v>1</v>
      </c>
      <c r="G104" s="13" t="n">
        <f aca="false">IF(INDEX(Articles!$G$2:$G$148,MATCH(C104,Articles!$A$2:$A$148,0))="","",INDEX(Articles!$G$2:$G$148,MATCH(C104,Articles!$A$2:$A$148,0)))</f>
        <v>900</v>
      </c>
      <c r="H104" s="13" t="n">
        <f aca="false">IF(G104="",0,F104*G104)</f>
        <v>900</v>
      </c>
      <c r="I104" s="13" t="n">
        <f aca="false">IF(INDEX(Articles!$E$2:$E$148,MATCH(C104,Articles!$A$2:$A$148,0))="","",INDEX(Articles!$E$2:$E$148,MATCH(C104,Articles!$A$2:$A$148,0)))</f>
        <v>800</v>
      </c>
      <c r="J104" s="13" t="n">
        <f aca="false">IF(I104="","",F104*I104)</f>
        <v>800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853</v>
      </c>
      <c r="C105" s="31" t="s">
        <v>213</v>
      </c>
      <c r="D105" s="9" t="str">
        <f aca="false">INDEX(Articles!$C$2:$C$148,MATCH(C105,Articles!$A$2:$A$148,0))</f>
        <v>Cahier Calligraphe 192 pages 24x32 (grand format)</v>
      </c>
      <c r="E105" s="9" t="str">
        <f aca="false">INDEX(Articles!$B$2:$B$148,MATCH(C105,Articles!$A$2:$A$148,0))</f>
        <v>Papex</v>
      </c>
      <c r="F105" s="31" t="n">
        <v>1</v>
      </c>
      <c r="G105" s="13" t="n">
        <f aca="false">IF(INDEX(Articles!$G$2:$G$148,MATCH(C105,Articles!$A$2:$A$148,0))="","",INDEX(Articles!$G$2:$G$148,MATCH(C105,Articles!$A$2:$A$148,0)))</f>
        <v>1650</v>
      </c>
      <c r="H105" s="13" t="n">
        <f aca="false">IF(G105="",0,F105*G105)</f>
        <v>1650</v>
      </c>
      <c r="I105" s="13" t="n">
        <f aca="false">IF(INDEX(Articles!$E$2:$E$148,MATCH(C105,Articles!$A$2:$A$148,0))="","",INDEX(Articles!$E$2:$E$148,MATCH(C105,Articles!$A$2:$A$148,0)))</f>
        <v>1500</v>
      </c>
      <c r="J105" s="13" t="n">
        <f aca="false">IF(I105="","",F105*I105)</f>
        <v>1500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744</v>
      </c>
      <c r="C106" s="31" t="s">
        <v>213</v>
      </c>
      <c r="D106" s="9" t="str">
        <f aca="false">INDEX(Articles!$C$2:$C$148,MATCH(C106,Articles!$A$2:$A$148,0))</f>
        <v>Cahier Calligraphe 192 pages 24x32 (grand format)</v>
      </c>
      <c r="E106" s="9" t="str">
        <f aca="false">INDEX(Articles!$B$2:$B$148,MATCH(C106,Articles!$A$2:$A$148,0))</f>
        <v>Papex</v>
      </c>
      <c r="F106" s="31" t="n">
        <v>1</v>
      </c>
      <c r="G106" s="13" t="n">
        <f aca="false">IF(INDEX(Articles!$G$2:$G$148,MATCH(C106,Articles!$A$2:$A$148,0))="","",INDEX(Articles!$G$2:$G$148,MATCH(C106,Articles!$A$2:$A$148,0)))</f>
        <v>1650</v>
      </c>
      <c r="H106" s="13" t="n">
        <f aca="false">IF(G106="",0,F106*G106)</f>
        <v>1650</v>
      </c>
      <c r="I106" s="13" t="n">
        <f aca="false">IF(INDEX(Articles!$E$2:$E$148,MATCH(C106,Articles!$A$2:$A$148,0))="","",INDEX(Articles!$E$2:$E$148,MATCH(C106,Articles!$A$2:$A$148,0)))</f>
        <v>1500</v>
      </c>
      <c r="J106" s="13" t="n">
        <f aca="false">IF(I106="","",F106*I106)</f>
        <v>1500</v>
      </c>
      <c r="K106" s="9" t="str">
        <f aca="false">INDEX(Articles!$H$2:$H$148,MATCH(C106,Articles!$A$2:$A$148,0))</f>
        <v>Fixé</v>
      </c>
      <c r="L106" s="9" t="str">
        <f aca="false">INDEX(Articles!$F$2:$F$148,MATCH(C106,Articles!$A$2:$A$148,0))</f>
        <v>Confirmé</v>
      </c>
      <c r="M106" s="17"/>
      <c r="N106" s="9" t="s">
        <v>167</v>
      </c>
    </row>
    <row r="107" customFormat="false" ht="15" hidden="false" customHeight="false" outlineLevel="0" collapsed="false">
      <c r="A107" s="9" t="s">
        <v>671</v>
      </c>
      <c r="B107" s="9" t="s">
        <v>854</v>
      </c>
      <c r="C107" s="31" t="s">
        <v>366</v>
      </c>
      <c r="D107" s="9" t="str">
        <f aca="false">INDEX(Articles!$C$2:$C$148,MATCH(C107,Articles!$A$2:$A$148,0))</f>
        <v>Cahier Calligraphe 140 pages 17x22 90 g seyès</v>
      </c>
      <c r="E107" s="9" t="str">
        <f aca="false">INDEX(Articles!$B$2:$B$148,MATCH(C107,Articles!$A$2:$A$148,0))</f>
        <v>Papex</v>
      </c>
      <c r="F107" s="31" t="n">
        <v>1</v>
      </c>
      <c r="G107" s="13" t="n">
        <f aca="false">IF(INDEX(Articles!$G$2:$G$148,MATCH(C107,Articles!$A$2:$A$148,0))="","",INDEX(Articles!$G$2:$G$148,MATCH(C107,Articles!$A$2:$A$148,0)))</f>
        <v>750</v>
      </c>
      <c r="H107" s="13" t="n">
        <f aca="false">IF(G107="",0,F107*G107)</f>
        <v>750</v>
      </c>
      <c r="I107" s="13" t="n">
        <f aca="false">IF(INDEX(Articles!$E$2:$E$148,MATCH(C107,Articles!$A$2:$A$148,0))="","",INDEX(Articles!$E$2:$E$148,MATCH(C107,Articles!$A$2:$A$148,0)))</f>
        <v>650</v>
      </c>
      <c r="J107" s="13" t="n">
        <f aca="false">IF(I107="","",F107*I107)</f>
        <v>650</v>
      </c>
      <c r="K107" s="9" t="str">
        <f aca="false">INDEX(Articles!$H$2:$H$148,MATCH(C107,Articles!$A$2:$A$148,0))</f>
        <v>Fixé</v>
      </c>
      <c r="L107" s="9" t="str">
        <f aca="false">INDEX(Articles!$F$2:$F$148,MATCH(C107,Articles!$A$2:$A$148,0))</f>
        <v>Estimé</v>
      </c>
      <c r="M107" s="17" t="s">
        <v>763</v>
      </c>
      <c r="N107" s="9" t="s">
        <v>167</v>
      </c>
    </row>
    <row r="108" customFormat="false" ht="15" hidden="false" customHeight="false" outlineLevel="0" collapsed="false">
      <c r="A108" s="9" t="s">
        <v>671</v>
      </c>
      <c r="B108" s="9" t="s">
        <v>850</v>
      </c>
      <c r="C108" s="31" t="s">
        <v>208</v>
      </c>
      <c r="D108" s="9" t="str">
        <f aca="false">INDEX(Articles!$C$2:$C$148,MATCH(C108,Articles!$A$2:$A$148,0))</f>
        <v>Cahier Calligraphe 96 pages 24x32 (grand format)</v>
      </c>
      <c r="E108" s="9" t="str">
        <f aca="false">INDEX(Articles!$B$2:$B$148,MATCH(C108,Articles!$A$2:$A$148,0))</f>
        <v>Papex</v>
      </c>
      <c r="F108" s="31" t="n">
        <v>1</v>
      </c>
      <c r="G108" s="13" t="n">
        <f aca="false">IF(INDEX(Articles!$G$2:$G$148,MATCH(C108,Articles!$A$2:$A$148,0))="","",INDEX(Articles!$G$2:$G$148,MATCH(C108,Articles!$A$2:$A$148,0)))</f>
        <v>1350</v>
      </c>
      <c r="H108" s="13" t="n">
        <f aca="false">IF(G108="",0,F108*G108)</f>
        <v>1350</v>
      </c>
      <c r="I108" s="13" t="n">
        <f aca="false">IF(INDEX(Articles!$E$2:$E$148,MATCH(C108,Articles!$A$2:$A$148,0))="","",INDEX(Articles!$E$2:$E$148,MATCH(C108,Articles!$A$2:$A$148,0)))</f>
        <v>1000</v>
      </c>
      <c r="J108" s="13" t="n">
        <f aca="false">IF(I108="","",F108*I108)</f>
        <v>1000</v>
      </c>
      <c r="K108" s="9" t="str">
        <f aca="false">INDEX(Articles!$H$2:$H$148,MATCH(C108,Articles!$A$2:$A$148,0))</f>
        <v>Fixé</v>
      </c>
      <c r="L108" s="9" t="str">
        <f aca="false">INDEX(Articles!$F$2:$F$148,MATCH(C108,Articles!$A$2:$A$148,0))</f>
        <v>Confirmé</v>
      </c>
      <c r="M108" s="17"/>
      <c r="N108" s="9" t="s">
        <v>167</v>
      </c>
    </row>
    <row r="109" customFormat="false" ht="15" hidden="false" customHeight="false" outlineLevel="0" collapsed="false">
      <c r="A109" s="9" t="s">
        <v>671</v>
      </c>
      <c r="B109" s="9" t="s">
        <v>941</v>
      </c>
      <c r="C109" s="31" t="s">
        <v>213</v>
      </c>
      <c r="D109" s="9" t="str">
        <f aca="false">INDEX(Articles!$C$2:$C$148,MATCH(C109,Articles!$A$2:$A$148,0))</f>
        <v>Cahier Calligraphe 192 pages 24x32 (grand format)</v>
      </c>
      <c r="E109" s="9" t="str">
        <f aca="false">INDEX(Articles!$B$2:$B$148,MATCH(C109,Articles!$A$2:$A$148,0))</f>
        <v>Papex</v>
      </c>
      <c r="F109" s="31" t="n">
        <v>1</v>
      </c>
      <c r="G109" s="13" t="n">
        <f aca="false">IF(INDEX(Articles!$G$2:$G$148,MATCH(C109,Articles!$A$2:$A$148,0))="","",INDEX(Articles!$G$2:$G$148,MATCH(C109,Articles!$A$2:$A$148,0)))</f>
        <v>1650</v>
      </c>
      <c r="H109" s="13" t="n">
        <f aca="false">IF(G109="",0,F109*G109)</f>
        <v>1650</v>
      </c>
      <c r="I109" s="13" t="n">
        <f aca="false">IF(INDEX(Articles!$E$2:$E$148,MATCH(C109,Articles!$A$2:$A$148,0))="","",INDEX(Articles!$E$2:$E$148,MATCH(C109,Articles!$A$2:$A$148,0)))</f>
        <v>1500</v>
      </c>
      <c r="J109" s="13" t="n">
        <f aca="false">IF(I109="","",F109*I109)</f>
        <v>1500</v>
      </c>
      <c r="K109" s="9" t="str">
        <f aca="false">INDEX(Articles!$H$2:$H$148,MATCH(C109,Articles!$A$2:$A$148,0))</f>
        <v>Fixé</v>
      </c>
      <c r="L109" s="9" t="str">
        <f aca="false">INDEX(Articles!$F$2:$F$148,MATCH(C109,Articles!$A$2:$A$148,0))</f>
        <v>Confirmé</v>
      </c>
      <c r="M109" s="17"/>
      <c r="N109" s="9" t="s">
        <v>167</v>
      </c>
    </row>
    <row r="110" customFormat="false" ht="15" hidden="false" customHeight="false" outlineLevel="0" collapsed="false">
      <c r="A110" s="9" t="s">
        <v>671</v>
      </c>
      <c r="B110" s="9" t="s">
        <v>942</v>
      </c>
      <c r="C110" s="31" t="s">
        <v>192</v>
      </c>
      <c r="D110" s="9" t="str">
        <f aca="false">INDEX(Articles!$C$2:$C$148,MATCH(C110,Articles!$A$2:$A$148,0))</f>
        <v>Cahier Calligraphe 192 pages 17x22 90 g seyès</v>
      </c>
      <c r="E110" s="9" t="str">
        <f aca="false">INDEX(Articles!$B$2:$B$148,MATCH(C110,Articles!$A$2:$A$148,0))</f>
        <v>Papex</v>
      </c>
      <c r="F110" s="31" t="n">
        <v>1</v>
      </c>
      <c r="G110" s="13" t="n">
        <f aca="false">IF(INDEX(Articles!$G$2:$G$148,MATCH(C110,Articles!$A$2:$A$148,0))="","",INDEX(Articles!$G$2:$G$148,MATCH(C110,Articles!$A$2:$A$148,0)))</f>
        <v>900</v>
      </c>
      <c r="H110" s="13" t="n">
        <f aca="false">IF(G110="",0,F110*G110)</f>
        <v>900</v>
      </c>
      <c r="I110" s="13" t="n">
        <f aca="false">IF(INDEX(Articles!$E$2:$E$148,MATCH(C110,Articles!$A$2:$A$148,0))="","",INDEX(Articles!$E$2:$E$148,MATCH(C110,Articles!$A$2:$A$148,0)))</f>
        <v>800</v>
      </c>
      <c r="J110" s="13" t="n">
        <f aca="false">IF(I110="","",F110*I110)</f>
        <v>800</v>
      </c>
      <c r="K110" s="9" t="str">
        <f aca="false">INDEX(Articles!$H$2:$H$148,MATCH(C110,Articles!$A$2:$A$148,0))</f>
        <v>Fixé</v>
      </c>
      <c r="L110" s="9" t="str">
        <f aca="false">INDEX(Articles!$F$2:$F$148,MATCH(C110,Articles!$A$2:$A$148,0))</f>
        <v>Confirmé</v>
      </c>
      <c r="M110" s="17"/>
      <c r="N110" s="9" t="s">
        <v>167</v>
      </c>
    </row>
    <row r="111" customFormat="false" ht="15" hidden="false" customHeight="false" outlineLevel="0" collapsed="false">
      <c r="A111" s="9" t="s">
        <v>671</v>
      </c>
      <c r="B111" s="9" t="s">
        <v>943</v>
      </c>
      <c r="C111" s="31" t="s">
        <v>192</v>
      </c>
      <c r="D111" s="9" t="str">
        <f aca="false">INDEX(Articles!$C$2:$C$148,MATCH(C111,Articles!$A$2:$A$148,0))</f>
        <v>Cahier Calligraphe 192 pages 17x22 90 g seyès</v>
      </c>
      <c r="E111" s="9" t="str">
        <f aca="false">INDEX(Articles!$B$2:$B$148,MATCH(C111,Articles!$A$2:$A$148,0))</f>
        <v>Papex</v>
      </c>
      <c r="F111" s="31" t="n">
        <v>1</v>
      </c>
      <c r="G111" s="13" t="n">
        <f aca="false">IF(INDEX(Articles!$G$2:$G$148,MATCH(C111,Articles!$A$2:$A$148,0))="","",INDEX(Articles!$G$2:$G$148,MATCH(C111,Articles!$A$2:$A$148,0)))</f>
        <v>900</v>
      </c>
      <c r="H111" s="13" t="n">
        <f aca="false">IF(G111="",0,F111*G111)</f>
        <v>900</v>
      </c>
      <c r="I111" s="13" t="n">
        <f aca="false">IF(INDEX(Articles!$E$2:$E$148,MATCH(C111,Articles!$A$2:$A$148,0))="","",INDEX(Articles!$E$2:$E$148,MATCH(C111,Articles!$A$2:$A$148,0)))</f>
        <v>800</v>
      </c>
      <c r="J111" s="13" t="n">
        <f aca="false">IF(I111="","",F111*I111)</f>
        <v>800</v>
      </c>
      <c r="K111" s="9" t="str">
        <f aca="false">INDEX(Articles!$H$2:$H$148,MATCH(C111,Articles!$A$2:$A$148,0))</f>
        <v>Fixé</v>
      </c>
      <c r="L111" s="9" t="str">
        <f aca="false">INDEX(Articles!$F$2:$F$148,MATCH(C111,Articles!$A$2:$A$148,0))</f>
        <v>Confirmé</v>
      </c>
      <c r="M111" s="17"/>
      <c r="N111" s="9" t="s">
        <v>167</v>
      </c>
    </row>
    <row r="112" customFormat="false" ht="15" hidden="false" customHeight="false" outlineLevel="0" collapsed="false">
      <c r="A112" s="9" t="s">
        <v>671</v>
      </c>
      <c r="B112" s="9" t="s">
        <v>944</v>
      </c>
      <c r="C112" s="31" t="s">
        <v>366</v>
      </c>
      <c r="D112" s="9" t="str">
        <f aca="false">INDEX(Articles!$C$2:$C$148,MATCH(C112,Articles!$A$2:$A$148,0))</f>
        <v>Cahier Calligraphe 140 pages 17x22 90 g seyès</v>
      </c>
      <c r="E112" s="9" t="str">
        <f aca="false">INDEX(Articles!$B$2:$B$148,MATCH(C112,Articles!$A$2:$A$148,0))</f>
        <v>Papex</v>
      </c>
      <c r="F112" s="31" t="n">
        <v>1</v>
      </c>
      <c r="G112" s="13" t="n">
        <f aca="false">IF(INDEX(Articles!$G$2:$G$148,MATCH(C112,Articles!$A$2:$A$148,0))="","",INDEX(Articles!$G$2:$G$148,MATCH(C112,Articles!$A$2:$A$148,0)))</f>
        <v>750</v>
      </c>
      <c r="H112" s="13" t="n">
        <f aca="false">IF(G112="",0,F112*G112)</f>
        <v>750</v>
      </c>
      <c r="I112" s="13" t="n">
        <f aca="false">IF(INDEX(Articles!$E$2:$E$148,MATCH(C112,Articles!$A$2:$A$148,0))="","",INDEX(Articles!$E$2:$E$148,MATCH(C112,Articles!$A$2:$A$148,0)))</f>
        <v>650</v>
      </c>
      <c r="J112" s="13" t="n">
        <f aca="false">IF(I112="","",F112*I112)</f>
        <v>650</v>
      </c>
      <c r="K112" s="9" t="str">
        <f aca="false">INDEX(Articles!$H$2:$H$148,MATCH(C112,Articles!$A$2:$A$148,0))</f>
        <v>Fixé</v>
      </c>
      <c r="L112" s="9" t="str">
        <f aca="false">INDEX(Articles!$F$2:$F$148,MATCH(C112,Articles!$A$2:$A$148,0))</f>
        <v>Estimé</v>
      </c>
      <c r="M112" s="17" t="s">
        <v>763</v>
      </c>
      <c r="N112" s="9" t="s">
        <v>167</v>
      </c>
    </row>
    <row r="113" customFormat="false" ht="15" hidden="false" customHeight="false" outlineLevel="0" collapsed="false">
      <c r="A113" s="9" t="s">
        <v>678</v>
      </c>
      <c r="B113" s="9" t="s">
        <v>749</v>
      </c>
      <c r="C113" s="31" t="s">
        <v>222</v>
      </c>
      <c r="D113" s="9" t="str">
        <f aca="false">INDEX(Articles!$C$2:$C$148,MATCH(C113,Articles!$A$2:$A$148,0))</f>
        <v>Pack de 4 stylos Schneider Tops 505 M (bleu, noir, rouge, vert)</v>
      </c>
      <c r="E113" s="9" t="str">
        <f aca="false">INDEX(Articles!$B$2:$B$148,MATCH(C113,Articles!$A$2:$A$148,0))</f>
        <v>Papex</v>
      </c>
      <c r="F113" s="31" t="n">
        <v>1</v>
      </c>
      <c r="G113" s="13" t="n">
        <f aca="false">IF(INDEX(Articles!$G$2:$G$148,MATCH(C113,Articles!$A$2:$A$148,0))="","",INDEX(Articles!$G$2:$G$148,MATCH(C113,Articles!$A$2:$A$148,0)))</f>
        <v>400</v>
      </c>
      <c r="H113" s="13" t="n">
        <f aca="false">IF(G113="",0,F113*G113)</f>
        <v>400</v>
      </c>
      <c r="I113" s="13" t="str">
        <f aca="false">IF(INDEX(Articles!$E$2:$E$148,MATCH(C113,Articles!$A$2:$A$148,0))="","",INDEX(Articles!$E$2:$E$148,MATCH(C113,Articles!$A$2:$A$148,0)))</f>
        <v/>
      </c>
      <c r="J113" s="13" t="str">
        <f aca="false">IF(I113="","",F113*I113)</f>
        <v/>
      </c>
      <c r="K113" s="9" t="str">
        <f aca="false">INDEX(Articles!$H$2:$H$148,MATCH(C113,Articles!$A$2:$A$148,0))</f>
        <v>Fixé</v>
      </c>
      <c r="L113" s="9" t="str">
        <f aca="false">INDEX(Articles!$F$2:$F$148,MATCH(C113,Articles!$A$2:$A$148,0))</f>
        <v>Inconnu</v>
      </c>
      <c r="M113" s="17" t="s">
        <v>432</v>
      </c>
      <c r="N113" s="9" t="s">
        <v>167</v>
      </c>
    </row>
    <row r="114" customFormat="false" ht="15" hidden="false" customHeight="false" outlineLevel="0" collapsed="false">
      <c r="A114" s="9" t="s">
        <v>678</v>
      </c>
      <c r="B114" s="9" t="s">
        <v>750</v>
      </c>
      <c r="C114" s="31" t="s">
        <v>235</v>
      </c>
      <c r="D114" s="9" t="str">
        <f aca="false">INDEX(Articles!$C$2:$C$148,MATCH(C114,Articles!$A$2:$A$148,0))</f>
        <v>Crayon papier (vendu à l'unité)</v>
      </c>
      <c r="E114" s="9" t="str">
        <f aca="false">INDEX(Articles!$B$2:$B$148,MATCH(C114,Articles!$A$2:$A$148,0))</f>
        <v>LPD</v>
      </c>
      <c r="F114" s="31" t="n">
        <v>1</v>
      </c>
      <c r="G114" s="13" t="n">
        <f aca="false">IF(INDEX(Articles!$G$2:$G$148,MATCH(C114,Articles!$A$2:$A$148,0))="","",INDEX(Articles!$G$2:$G$148,MATCH(C114,Articles!$A$2:$A$148,0)))</f>
        <v>75</v>
      </c>
      <c r="H114" s="13" t="n">
        <f aca="false">IF(G114="",0,F114*G114)</f>
        <v>75</v>
      </c>
      <c r="I114" s="13" t="str">
        <f aca="false">IF(INDEX(Articles!$E$2:$E$148,MATCH(C114,Articles!$A$2:$A$148,0))="","",INDEX(Articles!$E$2:$E$148,MATCH(C114,Articles!$A$2:$A$148,0)))</f>
        <v/>
      </c>
      <c r="J114" s="13" t="str">
        <f aca="false">IF(I114="","",F114*I114)</f>
        <v/>
      </c>
      <c r="K114" s="9" t="str">
        <f aca="false">INDEX(Articles!$H$2:$H$148,MATCH(C114,Articles!$A$2:$A$148,0))</f>
        <v>Fixé</v>
      </c>
      <c r="L114" s="9" t="str">
        <f aca="false">INDEX(Articles!$F$2:$F$148,MATCH(C114,Articles!$A$2:$A$148,0))</f>
        <v>Inconnu</v>
      </c>
      <c r="M114" s="17"/>
      <c r="N114" s="9" t="s">
        <v>167</v>
      </c>
    </row>
    <row r="115" customFormat="false" ht="15" hidden="false" customHeight="false" outlineLevel="0" collapsed="false">
      <c r="A115" s="9" t="s">
        <v>675</v>
      </c>
      <c r="B115" s="9" t="s">
        <v>717</v>
      </c>
      <c r="C115" s="31" t="s">
        <v>180</v>
      </c>
      <c r="D115" s="9" t="str">
        <f aca="false">INDEX(Articles!$C$2:$C$148,MATCH(C115,Articles!$A$2:$A$148,0))</f>
        <v>Gomme Staedtler Mars Plastic</v>
      </c>
      <c r="E115" s="9" t="str">
        <f aca="false">INDEX(Articles!$B$2:$B$148,MATCH(C115,Articles!$A$2:$A$148,0))</f>
        <v>LPD</v>
      </c>
      <c r="F115" s="31" t="n">
        <v>1</v>
      </c>
      <c r="G115" s="13" t="n">
        <f aca="false">IF(INDEX(Articles!$G$2:$G$148,MATCH(C115,Articles!$A$2:$A$148,0))="","",INDEX(Articles!$G$2:$G$148,MATCH(C115,Articles!$A$2:$A$148,0)))</f>
        <v>250</v>
      </c>
      <c r="H115" s="13" t="n">
        <f aca="false">IF(G115="",0,F115*G115)</f>
        <v>250</v>
      </c>
      <c r="I115" s="13" t="n">
        <f aca="false">IF(INDEX(Articles!$E$2:$E$148,MATCH(C115,Articles!$A$2:$A$148,0))="","",INDEX(Articles!$E$2:$E$148,MATCH(C115,Articles!$A$2:$A$148,0)))</f>
        <v>110</v>
      </c>
      <c r="J115" s="13" t="n">
        <f aca="false">IF(I115="","",F115*I115)</f>
        <v>110</v>
      </c>
      <c r="K115" s="9" t="str">
        <f aca="false">INDEX(Articles!$H$2:$H$148,MATCH(C115,Articles!$A$2:$A$148,0))</f>
        <v>Fixé</v>
      </c>
      <c r="L115" s="9" t="str">
        <f aca="false">INDEX(Articles!$F$2:$F$148,MATCH(C115,Articles!$A$2:$A$148,0))</f>
        <v>Estimé</v>
      </c>
      <c r="M115" s="17"/>
      <c r="N115" s="9" t="s">
        <v>167</v>
      </c>
    </row>
    <row r="116" customFormat="false" ht="15" hidden="false" customHeight="false" outlineLevel="0" collapsed="false">
      <c r="A116" s="9" t="s">
        <v>675</v>
      </c>
      <c r="B116" s="9" t="s">
        <v>751</v>
      </c>
      <c r="C116" s="31" t="s">
        <v>183</v>
      </c>
      <c r="D116" s="9" t="str">
        <f aca="false">INDEX(Articles!$C$2:$C$148,MATCH(C116,Articles!$A$2:$A$148,0))</f>
        <v>Taille-crayon avec réservoir Maped</v>
      </c>
      <c r="E116" s="9" t="str">
        <f aca="false">INDEX(Articles!$B$2:$B$148,MATCH(C116,Articles!$A$2:$A$148,0))</f>
        <v>Papex</v>
      </c>
      <c r="F116" s="31" t="n">
        <v>1</v>
      </c>
      <c r="G116" s="13" t="n">
        <f aca="false">IF(INDEX(Articles!$G$2:$G$148,MATCH(C116,Articles!$A$2:$A$148,0))="","",INDEX(Articles!$G$2:$G$148,MATCH(C116,Articles!$A$2:$A$148,0)))</f>
        <v>500</v>
      </c>
      <c r="H116" s="13" t="n">
        <f aca="false">IF(G116="",0,F116*G116)</f>
        <v>500</v>
      </c>
      <c r="I116" s="13" t="n">
        <f aca="false">IF(INDEX(Articles!$E$2:$E$148,MATCH(C116,Articles!$A$2:$A$148,0))="","",INDEX(Articles!$E$2:$E$148,MATCH(C116,Articles!$A$2:$A$148,0)))</f>
        <v>350</v>
      </c>
      <c r="J116" s="13" t="n">
        <f aca="false">IF(I116="","",F116*I116)</f>
        <v>350</v>
      </c>
      <c r="K116" s="9" t="str">
        <f aca="false">INDEX(Articles!$H$2:$H$148,MATCH(C116,Articles!$A$2:$A$148,0))</f>
        <v>Estimé</v>
      </c>
      <c r="L116" s="9" t="str">
        <f aca="false">INDEX(Articles!$F$2:$F$148,MATCH(C116,Articles!$A$2:$A$148,0))</f>
        <v>Estimé</v>
      </c>
      <c r="M116" s="17" t="s">
        <v>765</v>
      </c>
      <c r="N116" s="9" t="s">
        <v>167</v>
      </c>
    </row>
    <row r="117" customFormat="false" ht="15" hidden="false" customHeight="false" outlineLevel="0" collapsed="false">
      <c r="A117" s="9" t="s">
        <v>675</v>
      </c>
      <c r="B117" s="9" t="s">
        <v>753</v>
      </c>
      <c r="C117" s="31" t="s">
        <v>248</v>
      </c>
      <c r="D117" s="9" t="str">
        <f aca="false">INDEX(Articles!$C$2:$C$148,MATCH(C117,Articles!$A$2:$A$148,0))</f>
        <v>Bâton de colle Giotto 20 g</v>
      </c>
      <c r="E117" s="9" t="str">
        <f aca="false">INDEX(Articles!$B$2:$B$148,MATCH(C117,Articles!$A$2:$A$148,0))</f>
        <v>Papex</v>
      </c>
      <c r="F117" s="31" t="n">
        <v>1</v>
      </c>
      <c r="G117" s="13" t="n">
        <f aca="false">IF(INDEX(Articles!$G$2:$G$148,MATCH(C117,Articles!$A$2:$A$148,0))="","",INDEX(Articles!$G$2:$G$148,MATCH(C117,Articles!$A$2:$A$148,0)))</f>
        <v>900</v>
      </c>
      <c r="H117" s="13" t="n">
        <f aca="false">IF(G117="",0,F117*G117)</f>
        <v>900</v>
      </c>
      <c r="I117" s="13" t="n">
        <f aca="false">IF(INDEX(Articles!$E$2:$E$148,MATCH(C117,Articles!$A$2:$A$148,0))="","",INDEX(Articles!$E$2:$E$148,MATCH(C117,Articles!$A$2:$A$148,0)))</f>
        <v>650</v>
      </c>
      <c r="J117" s="13" t="n">
        <f aca="false">IF(I117="","",F117*I117)</f>
        <v>650</v>
      </c>
      <c r="K117" s="9" t="str">
        <f aca="false">INDEX(Articles!$H$2:$H$148,MATCH(C117,Articles!$A$2:$A$148,0))</f>
        <v>Estimé</v>
      </c>
      <c r="L117" s="9" t="str">
        <f aca="false">INDEX(Articles!$F$2:$F$148,MATCH(C117,Articles!$A$2:$A$148,0))</f>
        <v>Estimé</v>
      </c>
      <c r="M117" s="17"/>
      <c r="N117" s="9" t="s">
        <v>167</v>
      </c>
    </row>
    <row r="118" customFormat="false" ht="15" hidden="false" customHeight="false" outlineLevel="0" collapsed="false">
      <c r="A118" s="9" t="s">
        <v>675</v>
      </c>
      <c r="B118" s="9" t="s">
        <v>754</v>
      </c>
      <c r="C118" s="31" t="s">
        <v>189</v>
      </c>
      <c r="D118" s="9" t="str">
        <f aca="false">INDEX(Articles!$C$2:$C$148,MATCH(C118,Articles!$A$2:$A$148,0))</f>
        <v>Ciseaux Maped 13 cm Security</v>
      </c>
      <c r="E118" s="9" t="str">
        <f aca="false">INDEX(Articles!$B$2:$B$148,MATCH(C118,Articles!$A$2:$A$148,0))</f>
        <v>Papex</v>
      </c>
      <c r="F118" s="31" t="n">
        <v>1</v>
      </c>
      <c r="G118" s="13" t="n">
        <f aca="false">IF(INDEX(Articles!$G$2:$G$148,MATCH(C118,Articles!$A$2:$A$148,0))="","",INDEX(Articles!$G$2:$G$148,MATCH(C118,Articles!$A$2:$A$148,0)))</f>
        <v>900</v>
      </c>
      <c r="H118" s="13" t="n">
        <f aca="false">IF(G118="",0,F118*G118)</f>
        <v>900</v>
      </c>
      <c r="I118" s="13" t="n">
        <f aca="false">IF(INDEX(Articles!$E$2:$E$148,MATCH(C118,Articles!$A$2:$A$148,0))="","",INDEX(Articles!$E$2:$E$148,MATCH(C118,Articles!$A$2:$A$148,0)))</f>
        <v>650</v>
      </c>
      <c r="J118" s="13" t="n">
        <f aca="false">IF(I118="","",F118*I118)</f>
        <v>650</v>
      </c>
      <c r="K118" s="9" t="str">
        <f aca="false">INDEX(Articles!$H$2:$H$148,MATCH(C118,Articles!$A$2:$A$148,0))</f>
        <v>Estimé</v>
      </c>
      <c r="L118" s="9" t="str">
        <f aca="false">INDEX(Articles!$F$2:$F$148,MATCH(C118,Articles!$A$2:$A$148,0))</f>
        <v>Estimé</v>
      </c>
      <c r="M118" s="17"/>
      <c r="N118" s="9" t="s">
        <v>167</v>
      </c>
    </row>
    <row r="119" customFormat="false" ht="15" hidden="false" customHeight="false" outlineLevel="0" collapsed="false">
      <c r="A119" s="9" t="s">
        <v>676</v>
      </c>
      <c r="B119" s="9" t="s">
        <v>755</v>
      </c>
      <c r="C119" s="31" t="s">
        <v>215</v>
      </c>
      <c r="D119" s="9" t="str">
        <f aca="false">INDEX(Articles!$C$2:$C$148,MATCH(C119,Articles!$A$2:$A$148,0))</f>
        <v>Kit géométrie Maped 30 cm (réf. 1930)</v>
      </c>
      <c r="E119" s="9" t="str">
        <f aca="false">INDEX(Articles!$B$2:$B$148,MATCH(C119,Articles!$A$2:$A$148,0))</f>
        <v>LPD</v>
      </c>
      <c r="F119" s="31" t="n">
        <v>1</v>
      </c>
      <c r="G119" s="13" t="n">
        <f aca="false">IF(INDEX(Articles!$G$2:$G$148,MATCH(C119,Articles!$A$2:$A$148,0))="","",INDEX(Articles!$G$2:$G$148,MATCH(C119,Articles!$A$2:$A$148,0)))</f>
        <v>1800</v>
      </c>
      <c r="H119" s="13" t="n">
        <f aca="false">IF(G119="",0,F119*G119)</f>
        <v>1800</v>
      </c>
      <c r="I119" s="13" t="n">
        <f aca="false">IF(INDEX(Articles!$E$2:$E$148,MATCH(C119,Articles!$A$2:$A$148,0))="","",INDEX(Articles!$E$2:$E$148,MATCH(C119,Articles!$A$2:$A$148,0)))</f>
        <v>1500</v>
      </c>
      <c r="J119" s="13" t="n">
        <f aca="false">IF(I119="","",F119*I119)</f>
        <v>1500</v>
      </c>
      <c r="K119" s="9" t="str">
        <f aca="false">INDEX(Articles!$H$2:$H$148,MATCH(C119,Articles!$A$2:$A$148,0))</f>
        <v>À trancher</v>
      </c>
      <c r="L119" s="9" t="str">
        <f aca="false">INDEX(Articles!$F$2:$F$148,MATCH(C119,Articles!$A$2:$A$148,0))</f>
        <v>Confirmé</v>
      </c>
      <c r="M119" s="17"/>
      <c r="N119" s="9" t="s">
        <v>167</v>
      </c>
    </row>
    <row r="120" customFormat="false" ht="15" hidden="false" customHeight="false" outlineLevel="0" collapsed="false">
      <c r="A120" s="9" t="s">
        <v>676</v>
      </c>
      <c r="B120" s="9" t="s">
        <v>756</v>
      </c>
      <c r="C120" s="31" t="s">
        <v>171</v>
      </c>
      <c r="D120" s="9" t="str">
        <f aca="false">INDEX(Articles!$C$2:$C$148,MATCH(C120,Articles!$A$2:$A$148,0))</f>
        <v>Compas Maped</v>
      </c>
      <c r="E120" s="9" t="str">
        <f aca="false">INDEX(Articles!$B$2:$B$148,MATCH(C120,Articles!$A$2:$A$148,0))</f>
        <v>Papex</v>
      </c>
      <c r="F120" s="31" t="n">
        <v>1</v>
      </c>
      <c r="G120" s="13" t="n">
        <f aca="false">IF(INDEX(Articles!$G$2:$G$148,MATCH(C120,Articles!$A$2:$A$148,0))="","",INDEX(Articles!$G$2:$G$148,MATCH(C120,Articles!$A$2:$A$148,0)))</f>
        <v>2000</v>
      </c>
      <c r="H120" s="13" t="n">
        <f aca="false">IF(G120="",0,F120*G120)</f>
        <v>2000</v>
      </c>
      <c r="I120" s="13" t="n">
        <f aca="false">IF(INDEX(Articles!$E$2:$E$148,MATCH(C120,Articles!$A$2:$A$148,0))="","",INDEX(Articles!$E$2:$E$148,MATCH(C120,Articles!$A$2:$A$148,0)))</f>
        <v>1750</v>
      </c>
      <c r="J120" s="13" t="n">
        <f aca="false">IF(I120="","",F120*I120)</f>
        <v>1750</v>
      </c>
      <c r="K120" s="9" t="str">
        <f aca="false">INDEX(Articles!$H$2:$H$148,MATCH(C120,Articles!$A$2:$A$148,0))</f>
        <v>Fixé</v>
      </c>
      <c r="L120" s="9" t="str">
        <f aca="false">INDEX(Articles!$F$2:$F$148,MATCH(C120,Articles!$A$2:$A$148,0))</f>
        <v>Confirmé</v>
      </c>
      <c r="M120" s="17"/>
      <c r="N120" s="9" t="s">
        <v>167</v>
      </c>
    </row>
    <row r="121" customFormat="false" ht="15" hidden="false" customHeight="false" outlineLevel="0" collapsed="false">
      <c r="A121" s="9" t="s">
        <v>681</v>
      </c>
      <c r="B121" s="9" t="s">
        <v>757</v>
      </c>
      <c r="C121" s="31" t="s">
        <v>198</v>
      </c>
      <c r="D121" s="9" t="str">
        <f aca="false">INDEX(Articles!$C$2:$C$148,MATCH(C121,Articles!$A$2:$A$148,0))</f>
        <v>Crayons de couleur Maped, boîte de 12</v>
      </c>
      <c r="E121" s="9" t="str">
        <f aca="false">INDEX(Articles!$B$2:$B$148,MATCH(C121,Articles!$A$2:$A$148,0))</f>
        <v>Papex</v>
      </c>
      <c r="F121" s="31" t="n">
        <v>1</v>
      </c>
      <c r="G121" s="13" t="n">
        <f aca="false">IF(INDEX(Articles!$G$2:$G$148,MATCH(C121,Articles!$A$2:$A$148,0))="","",INDEX(Articles!$G$2:$G$148,MATCH(C121,Articles!$A$2:$A$148,0)))</f>
        <v>900</v>
      </c>
      <c r="H121" s="13" t="n">
        <f aca="false">IF(G121="",0,F121*G121)</f>
        <v>900</v>
      </c>
      <c r="I121" s="13" t="n">
        <f aca="false">IF(INDEX(Articles!$E$2:$E$148,MATCH(C121,Articles!$A$2:$A$148,0))="","",INDEX(Articles!$E$2:$E$148,MATCH(C121,Articles!$A$2:$A$148,0)))</f>
        <v>650</v>
      </c>
      <c r="J121" s="13" t="n">
        <f aca="false">IF(I121="","",F121*I121)</f>
        <v>650</v>
      </c>
      <c r="K121" s="9" t="str">
        <f aca="false">INDEX(Articles!$H$2:$H$148,MATCH(C121,Articles!$A$2:$A$148,0))</f>
        <v>Estimé</v>
      </c>
      <c r="L121" s="9" t="str">
        <f aca="false">INDEX(Articles!$F$2:$F$148,MATCH(C121,Articles!$A$2:$A$148,0))</f>
        <v>Estimé</v>
      </c>
      <c r="M121" s="17"/>
      <c r="N121" s="9" t="s">
        <v>167</v>
      </c>
    </row>
    <row r="122" customFormat="false" ht="15" hidden="false" customHeight="false" outlineLevel="0" collapsed="false">
      <c r="A122" s="9" t="s">
        <v>678</v>
      </c>
      <c r="B122" s="9" t="s">
        <v>766</v>
      </c>
      <c r="C122" s="31" t="s">
        <v>200</v>
      </c>
      <c r="D122" s="9" t="str">
        <f aca="false">INDEX(Articles!$C$2:$C$148,MATCH(C122,Articles!$A$2:$A$148,0))</f>
        <v>Surligneurs Maped Fluo Peps, pochette de 4</v>
      </c>
      <c r="E122" s="9" t="str">
        <f aca="false">INDEX(Articles!$B$2:$B$148,MATCH(C122,Articles!$A$2:$A$148,0))</f>
        <v>Papex</v>
      </c>
      <c r="F122" s="31" t="n">
        <v>1</v>
      </c>
      <c r="G122" s="13" t="n">
        <f aca="false">IF(INDEX(Articles!$G$2:$G$148,MATCH(C122,Articles!$A$2:$A$148,0))="","",INDEX(Articles!$G$2:$G$148,MATCH(C122,Articles!$A$2:$A$148,0)))</f>
        <v>2500</v>
      </c>
      <c r="H122" s="13" t="n">
        <f aca="false">IF(G122="",0,F122*G122)</f>
        <v>2500</v>
      </c>
      <c r="I122" s="13" t="n">
        <f aca="false">IF(INDEX(Articles!$E$2:$E$148,MATCH(C122,Articles!$A$2:$A$148,0))="","",INDEX(Articles!$E$2:$E$148,MATCH(C122,Articles!$A$2:$A$148,0)))</f>
        <v>2000</v>
      </c>
      <c r="J122" s="13" t="n">
        <f aca="false">IF(I122="","",F122*I122)</f>
        <v>2000</v>
      </c>
      <c r="K122" s="9" t="str">
        <f aca="false">INDEX(Articles!$H$2:$H$148,MATCH(C122,Articles!$A$2:$A$148,0))</f>
        <v>Estimé</v>
      </c>
      <c r="L122" s="9" t="str">
        <f aca="false">INDEX(Articles!$F$2:$F$148,MATCH(C122,Articles!$A$2:$A$148,0))</f>
        <v>Confirmé</v>
      </c>
      <c r="M122" s="17" t="s">
        <v>767</v>
      </c>
      <c r="N122" s="9" t="s">
        <v>167</v>
      </c>
    </row>
    <row r="123" customFormat="false" ht="15" hidden="false" customHeight="false" outlineLevel="0" collapsed="false">
      <c r="A123" s="9" t="s">
        <v>768</v>
      </c>
      <c r="B123" s="9" t="s">
        <v>769</v>
      </c>
      <c r="C123" s="31" t="s">
        <v>446</v>
      </c>
      <c r="D123" s="9" t="str">
        <f aca="false">INDEX(Articles!$C$2:$C$148,MATCH(C123,Articles!$A$2:$A$148,0))</f>
        <v>Chemise 3 rabats à élastique</v>
      </c>
      <c r="E123" s="9" t="str">
        <f aca="false">INDEX(Articles!$B$2:$B$148,MATCH(C123,Articles!$A$2:$A$148,0))</f>
        <v>Papex</v>
      </c>
      <c r="F123" s="31" t="n">
        <v>1</v>
      </c>
      <c r="G123" s="13" t="n">
        <f aca="false">IF(INDEX(Articles!$G$2:$G$148,MATCH(C123,Articles!$A$2:$A$148,0))="","",INDEX(Articles!$G$2:$G$148,MATCH(C123,Articles!$A$2:$A$148,0)))</f>
        <v>500</v>
      </c>
      <c r="H123" s="13" t="n">
        <f aca="false">IF(G123="",0,F123*G123)</f>
        <v>500</v>
      </c>
      <c r="I123" s="13" t="str">
        <f aca="false">IF(INDEX(Articles!$E$2:$E$148,MATCH(C123,Articles!$A$2:$A$148,0))="","",INDEX(Articles!$E$2:$E$148,MATCH(C123,Articles!$A$2:$A$148,0)))</f>
        <v/>
      </c>
      <c r="J123" s="13" t="str">
        <f aca="false">IF(I123="","",F123*I123)</f>
        <v/>
      </c>
      <c r="K123" s="9" t="str">
        <f aca="false">INDEX(Articles!$H$2:$H$148,MATCH(C123,Articles!$A$2:$A$148,0))</f>
        <v>Estimé</v>
      </c>
      <c r="L123" s="9" t="str">
        <f aca="false">INDEX(Articles!$F$2:$F$148,MATCH(C123,Articles!$A$2:$A$148,0))</f>
        <v>Inconnu</v>
      </c>
      <c r="M123" s="17" t="s">
        <v>770</v>
      </c>
      <c r="N123" s="9" t="s">
        <v>167</v>
      </c>
    </row>
    <row r="124" customFormat="false" ht="15" hidden="false" customHeight="false" outlineLevel="0" collapsed="false">
      <c r="A124" s="9" t="s">
        <v>676</v>
      </c>
      <c r="B124" s="9" t="s">
        <v>812</v>
      </c>
      <c r="C124" s="31" t="s">
        <v>205</v>
      </c>
      <c r="D124" s="9" t="str">
        <f aca="false">INDEX(Articles!$C$2:$C$148,MATCH(C124,Articles!$A$2:$A$148,0))</f>
        <v>Calculatrice Casio fx-92 Collège</v>
      </c>
      <c r="E124" s="9" t="str">
        <f aca="false">INDEX(Articles!$B$2:$B$148,MATCH(C124,Articles!$A$2:$A$148,0))</f>
        <v>Papex</v>
      </c>
      <c r="F124" s="31" t="n">
        <v>1</v>
      </c>
      <c r="G124" s="13" t="n">
        <f aca="false">IF(INDEX(Articles!$G$2:$G$148,MATCH(C124,Articles!$A$2:$A$148,0))="","",INDEX(Articles!$G$2:$G$148,MATCH(C124,Articles!$A$2:$A$148,0)))</f>
        <v>8000</v>
      </c>
      <c r="H124" s="13" t="n">
        <f aca="false">IF(G124="",0,F124*G124)</f>
        <v>8000</v>
      </c>
      <c r="I124" s="13" t="n">
        <f aca="false">IF(INDEX(Articles!$E$2:$E$148,MATCH(C124,Articles!$A$2:$A$148,0))="","",INDEX(Articles!$E$2:$E$148,MATCH(C124,Articles!$A$2:$A$148,0)))</f>
        <v>7000</v>
      </c>
      <c r="J124" s="13" t="n">
        <f aca="false">IF(I124="","",F124*I124)</f>
        <v>7000</v>
      </c>
      <c r="K124" s="9" t="str">
        <f aca="false">INDEX(Articles!$H$2:$H$148,MATCH(C124,Articles!$A$2:$A$148,0))</f>
        <v>Fixé</v>
      </c>
      <c r="L124" s="9" t="str">
        <f aca="false">INDEX(Articles!$F$2:$F$148,MATCH(C124,Articles!$A$2:$A$148,0))</f>
        <v>Confirmé</v>
      </c>
      <c r="M124" s="17" t="s">
        <v>820</v>
      </c>
      <c r="N124" s="9" t="s">
        <v>167</v>
      </c>
    </row>
    <row r="125" customFormat="false" ht="15" hidden="false" customHeight="false" outlineLevel="0" collapsed="false">
      <c r="A125" s="9" t="s">
        <v>768</v>
      </c>
      <c r="B125" s="9" t="s">
        <v>861</v>
      </c>
      <c r="C125" s="31" t="s">
        <v>246</v>
      </c>
      <c r="D125" s="9" t="str">
        <f aca="false">INDEX(Articles!$C$2:$C$148,MATCH(C125,Articles!$A$2:$A$148,0))</f>
        <v>Protège-documents porte-vues</v>
      </c>
      <c r="E125" s="9" t="str">
        <f aca="false">INDEX(Articles!$B$2:$B$148,MATCH(C125,Articles!$A$2:$A$148,0))</f>
        <v>LPD</v>
      </c>
      <c r="F125" s="31" t="n">
        <v>1</v>
      </c>
      <c r="G125" s="13" t="n">
        <f aca="false">IF(INDEX(Articles!$G$2:$G$148,MATCH(C125,Articles!$A$2:$A$148,0))="","",INDEX(Articles!$G$2:$G$148,MATCH(C125,Articles!$A$2:$A$148,0)))</f>
        <v>1150</v>
      </c>
      <c r="H125" s="13" t="n">
        <f aca="false">IF(G125="",0,F125*G125)</f>
        <v>1150</v>
      </c>
      <c r="I125" s="13" t="n">
        <f aca="false">IF(INDEX(Articles!$E$2:$E$148,MATCH(C125,Articles!$A$2:$A$148,0))="","",INDEX(Articles!$E$2:$E$148,MATCH(C125,Articles!$A$2:$A$148,0)))</f>
        <v>850</v>
      </c>
      <c r="J125" s="13" t="n">
        <f aca="false">IF(I125="","",F125*I125)</f>
        <v>850</v>
      </c>
      <c r="K125" s="9" t="str">
        <f aca="false">INDEX(Articles!$H$2:$H$148,MATCH(C125,Articles!$A$2:$A$148,0))</f>
        <v>Fixé</v>
      </c>
      <c r="L125" s="9" t="str">
        <f aca="false">INDEX(Articles!$F$2:$F$148,MATCH(C125,Articles!$A$2:$A$148,0))</f>
        <v>Estimé</v>
      </c>
      <c r="M125" s="17"/>
      <c r="N125" s="9" t="s">
        <v>167</v>
      </c>
    </row>
    <row r="126" customFormat="false" ht="15" hidden="false" customHeight="false" outlineLevel="0" collapsed="false">
      <c r="A126" s="9" t="s">
        <v>758</v>
      </c>
      <c r="B126" s="9" t="s">
        <v>759</v>
      </c>
      <c r="C126" s="31" t="s">
        <v>376</v>
      </c>
      <c r="D126" s="9" t="str">
        <f aca="false">INDEX(Articles!$C$2:$C$148,MATCH(C126,Articles!$A$2:$A$148,0))</f>
        <v>Paquet de copies doubles grand format</v>
      </c>
      <c r="E126" s="9" t="str">
        <f aca="false">INDEX(Articles!$B$2:$B$148,MATCH(C126,Articles!$A$2:$A$148,0))</f>
        <v>À préciser</v>
      </c>
      <c r="F126" s="31" t="n">
        <v>1</v>
      </c>
      <c r="G126" s="45" t="n">
        <f aca="false">IF(INDEX(Articles!$G$2:$G$148,MATCH(C126,Articles!$A$2:$A$148,0))="","",INDEX(Articles!$G$2:$G$148,MATCH(C126,Articles!$A$2:$A$148,0)))</f>
        <v>1800</v>
      </c>
      <c r="H126" s="13" t="n">
        <f aca="false">IF(G126="",0,F126*G126)</f>
        <v>1800</v>
      </c>
      <c r="I126" s="13" t="n">
        <f aca="false">IF(INDEX(Articles!$E$2:$E$148,MATCH(C126,Articles!$A$2:$A$148,0))="","",INDEX(Articles!$E$2:$E$148,MATCH(C126,Articles!$A$2:$A$148,0)))</f>
        <v>1300</v>
      </c>
      <c r="J126" s="13" t="n">
        <f aca="false">IF(I126="","",F126*I126)</f>
        <v>1300</v>
      </c>
      <c r="K126" s="9" t="str">
        <f aca="false">INDEX(Articles!$H$2:$H$148,MATCH(C126,Articles!$A$2:$A$148,0))</f>
        <v>Fixé</v>
      </c>
      <c r="L126" s="9" t="str">
        <f aca="false">INDEX(Articles!$F$2:$F$148,MATCH(C126,Articles!$A$2:$A$148,0))</f>
        <v>Confirmé</v>
      </c>
      <c r="M126" s="17"/>
      <c r="N126" s="9" t="s">
        <v>167</v>
      </c>
    </row>
    <row r="127" customFormat="false" ht="15" hidden="false" customHeight="false" outlineLevel="0" collapsed="false">
      <c r="A127" s="9" t="s">
        <v>771</v>
      </c>
      <c r="B127" s="9" t="s">
        <v>772</v>
      </c>
      <c r="C127" s="31" t="s">
        <v>160</v>
      </c>
      <c r="D127" s="9" t="str">
        <f aca="false">INDEX(Articles!$C$2:$C$148,MATCH(C127,Articles!$A$2:$A$148,0))</f>
        <v>Protège-cahier couleur petit format (à l'unité)</v>
      </c>
      <c r="E127" s="9" t="str">
        <f aca="false">INDEX(Articles!$B$2:$B$148,MATCH(C127,Articles!$A$2:$A$148,0))</f>
        <v>LPD</v>
      </c>
      <c r="F127" s="31" t="n">
        <v>6</v>
      </c>
      <c r="G127" s="13" t="n">
        <f aca="false">IF(INDEX(Articles!$G$2:$G$148,MATCH(C127,Articles!$A$2:$A$148,0))="","",INDEX(Articles!$G$2:$G$148,MATCH(C127,Articles!$A$2:$A$148,0)))</f>
        <v>150</v>
      </c>
      <c r="H127" s="13" t="n">
        <f aca="false">IF(G127="",0,F127*G127)</f>
        <v>900</v>
      </c>
      <c r="I127" s="13" t="str">
        <f aca="false">IF(INDEX(Articles!$E$2:$E$148,MATCH(C127,Articles!$A$2:$A$148,0))="","",INDEX(Articles!$E$2:$E$148,MATCH(C127,Articles!$A$2:$A$148,0)))</f>
        <v/>
      </c>
      <c r="J127" s="13" t="str">
        <f aca="false">IF(I127="","",F127*I127)</f>
        <v/>
      </c>
      <c r="K127" s="9" t="str">
        <f aca="false">INDEX(Articles!$H$2:$H$148,MATCH(C127,Articles!$A$2:$A$148,0))</f>
        <v>Fixé</v>
      </c>
      <c r="L127" s="9" t="str">
        <f aca="false">INDEX(Articles!$F$2:$F$148,MATCH(C127,Articles!$A$2:$A$148,0))</f>
        <v>Inconnu</v>
      </c>
      <c r="M127" s="17"/>
      <c r="N127" s="9" t="s">
        <v>167</v>
      </c>
    </row>
    <row r="128" customFormat="false" ht="15" hidden="false" customHeight="false" outlineLevel="0" collapsed="false">
      <c r="A128" s="9" t="s">
        <v>771</v>
      </c>
      <c r="B128" s="9" t="s">
        <v>773</v>
      </c>
      <c r="C128" s="31" t="s">
        <v>419</v>
      </c>
      <c r="D128" s="9" t="str">
        <f aca="false">INDEX(Articles!$C$2:$C$148,MATCH(C128,Articles!$A$2:$A$148,0))</f>
        <v>Protège-cahier grand format (à l'unité)</v>
      </c>
      <c r="E128" s="9" t="str">
        <f aca="false">INDEX(Articles!$B$2:$B$148,MATCH(C128,Articles!$A$2:$A$148,0))</f>
        <v>À préciser</v>
      </c>
      <c r="F128" s="31" t="n">
        <v>8</v>
      </c>
      <c r="G128" s="13" t="str">
        <f aca="false">IF(INDEX(Articles!$G$2:$G$148,MATCH(C128,Articles!$A$2:$A$148,0))="","",INDEX(Articles!$G$2:$G$148,MATCH(C128,Articles!$A$2:$A$148,0)))</f>
        <v/>
      </c>
      <c r="H128" s="13" t="n">
        <f aca="false">IF(G128="",0,F128*G128)</f>
        <v>0</v>
      </c>
      <c r="I128" s="13" t="str">
        <f aca="false">IF(INDEX(Articles!$E$2:$E$148,MATCH(C128,Articles!$A$2:$A$148,0))="","",INDEX(Articles!$E$2:$E$148,MATCH(C128,Articles!$A$2:$A$148,0)))</f>
        <v/>
      </c>
      <c r="J128" s="13" t="str">
        <f aca="false">IF(I128="","",F128*I128)</f>
        <v/>
      </c>
      <c r="K128" s="9" t="str">
        <f aca="false">INDEX(Articles!$H$2:$H$148,MATCH(C128,Articles!$A$2:$A$148,0))</f>
        <v>À fournir</v>
      </c>
      <c r="L128" s="9" t="str">
        <f aca="false">INDEX(Articles!$F$2:$F$148,MATCH(C128,Articles!$A$2:$A$148,0))</f>
        <v>Inconnu</v>
      </c>
      <c r="M128" s="17"/>
      <c r="N128" s="9" t="s">
        <v>167</v>
      </c>
    </row>
    <row r="129" customFormat="false" ht="26.85" hidden="false" customHeight="false" outlineLevel="0" collapsed="false">
      <c r="A129" s="9" t="s">
        <v>760</v>
      </c>
      <c r="B129" s="9" t="s">
        <v>883</v>
      </c>
      <c r="C129" s="31" t="s">
        <v>504</v>
      </c>
      <c r="D129" s="9" t="str">
        <f aca="false">INDEX(Articles!$C$2:$C$148,MATCH(C129,Articles!$A$2:$A$148,0))</f>
        <v>Une vie de boy (Ferdinand Oyono)</v>
      </c>
      <c r="E129" s="9" t="str">
        <f aca="false">INDEX(Articles!$B$2:$B$148,MATCH(C129,Articles!$A$2:$A$148,0))</f>
        <v>LPD</v>
      </c>
      <c r="F129" s="31" t="n">
        <v>1</v>
      </c>
      <c r="G129" s="13" t="n">
        <f aca="false">IF(INDEX(Articles!$G$2:$G$148,MATCH(C129,Articles!$A$2:$A$148,0))="","",INDEX(Articles!$G$2:$G$148,MATCH(C129,Articles!$A$2:$A$148,0)))</f>
        <v>2800</v>
      </c>
      <c r="H129" s="13" t="n">
        <f aca="false">IF(G129="",0,F129*G129)</f>
        <v>2800</v>
      </c>
      <c r="I129" s="13" t="n">
        <f aca="false">IF(INDEX(Articles!$E$2:$E$148,MATCH(C129,Articles!$A$2:$A$148,0))="","",INDEX(Articles!$E$2:$E$148,MATCH(C129,Articles!$A$2:$A$148,0)))</f>
        <v>1800</v>
      </c>
      <c r="J129" s="13" t="n">
        <f aca="false">IF(I129="","",F129*I129)</f>
        <v>1800</v>
      </c>
      <c r="K129" s="9" t="str">
        <f aca="false">INDEX(Articles!$H$2:$H$148,MATCH(C129,Articles!$A$2:$A$148,0))</f>
        <v>Fixé</v>
      </c>
      <c r="L129" s="9" t="str">
        <f aca="false">INDEX(Articles!$F$2:$F$148,MATCH(C129,Articles!$A$2:$A$148,0))</f>
        <v>Estimé</v>
      </c>
      <c r="M129" s="17" t="s">
        <v>947</v>
      </c>
      <c r="N129" s="9" t="s">
        <v>167</v>
      </c>
    </row>
    <row r="130" customFormat="false" ht="26.85" hidden="false" customHeight="false" outlineLevel="0" collapsed="false">
      <c r="A130" s="9" t="s">
        <v>760</v>
      </c>
      <c r="B130" s="9" t="s">
        <v>884</v>
      </c>
      <c r="C130" s="31" t="s">
        <v>506</v>
      </c>
      <c r="D130" s="9" t="str">
        <f aca="false">INDEX(Articles!$C$2:$C$148,MATCH(C130,Articles!$A$2:$A$148,0))</f>
        <v>Le Père Goriot (Balzac)</v>
      </c>
      <c r="E130" s="9" t="str">
        <f aca="false">INDEX(Articles!$B$2:$B$148,MATCH(C130,Articles!$A$2:$A$148,0))</f>
        <v>LPD</v>
      </c>
      <c r="F130" s="31" t="n">
        <v>1</v>
      </c>
      <c r="G130" s="13" t="n">
        <f aca="false">IF(INDEX(Articles!$G$2:$G$148,MATCH(C130,Articles!$A$2:$A$148,0))="","",INDEX(Articles!$G$2:$G$148,MATCH(C130,Articles!$A$2:$A$148,0)))</f>
        <v>2800</v>
      </c>
      <c r="H130" s="13" t="n">
        <f aca="false">IF(G130="",0,F130*G130)</f>
        <v>2800</v>
      </c>
      <c r="I130" s="13" t="n">
        <f aca="false">IF(INDEX(Articles!$E$2:$E$148,MATCH(C130,Articles!$A$2:$A$148,0))="","",INDEX(Articles!$E$2:$E$148,MATCH(C130,Articles!$A$2:$A$148,0)))</f>
        <v>1800</v>
      </c>
      <c r="J130" s="13" t="n">
        <f aca="false">IF(I130="","",F130*I130)</f>
        <v>1800</v>
      </c>
      <c r="K130" s="9" t="str">
        <f aca="false">INDEX(Articles!$H$2:$H$148,MATCH(C130,Articles!$A$2:$A$148,0))</f>
        <v>Fixé</v>
      </c>
      <c r="L130" s="9" t="str">
        <f aca="false">INDEX(Articles!$F$2:$F$148,MATCH(C130,Articles!$A$2:$A$148,0))</f>
        <v>Estimé</v>
      </c>
      <c r="M130" s="17" t="s">
        <v>947</v>
      </c>
      <c r="N130" s="9" t="s">
        <v>167</v>
      </c>
    </row>
    <row r="131" customFormat="false" ht="26.85" hidden="false" customHeight="false" outlineLevel="0" collapsed="false">
      <c r="A131" s="9" t="s">
        <v>760</v>
      </c>
      <c r="B131" s="9" t="s">
        <v>884</v>
      </c>
      <c r="C131" s="31" t="s">
        <v>508</v>
      </c>
      <c r="D131" s="9" t="str">
        <f aca="false">INDEX(Articles!$C$2:$C$148,MATCH(C131,Articles!$A$2:$A$148,0))</f>
        <v>Madame Bovary (Flaubert)</v>
      </c>
      <c r="E131" s="9" t="str">
        <f aca="false">INDEX(Articles!$B$2:$B$148,MATCH(C131,Articles!$A$2:$A$148,0))</f>
        <v>LPD</v>
      </c>
      <c r="F131" s="31" t="n">
        <v>1</v>
      </c>
      <c r="G131" s="13" t="n">
        <f aca="false">IF(INDEX(Articles!$G$2:$G$148,MATCH(C131,Articles!$A$2:$A$148,0))="","",INDEX(Articles!$G$2:$G$148,MATCH(C131,Articles!$A$2:$A$148,0)))</f>
        <v>2800</v>
      </c>
      <c r="H131" s="13" t="n">
        <f aca="false">IF(G131="",0,F131*G131)</f>
        <v>2800</v>
      </c>
      <c r="I131" s="13" t="n">
        <f aca="false">IF(INDEX(Articles!$E$2:$E$148,MATCH(C131,Articles!$A$2:$A$148,0))="","",INDEX(Articles!$E$2:$E$148,MATCH(C131,Articles!$A$2:$A$148,0)))</f>
        <v>1800</v>
      </c>
      <c r="J131" s="13" t="n">
        <f aca="false">IF(I131="","",F131*I131)</f>
        <v>1800</v>
      </c>
      <c r="K131" s="9" t="str">
        <f aca="false">INDEX(Articles!$H$2:$H$148,MATCH(C131,Articles!$A$2:$A$148,0))</f>
        <v>Fixé</v>
      </c>
      <c r="L131" s="9" t="str">
        <f aca="false">INDEX(Articles!$F$2:$F$148,MATCH(C131,Articles!$A$2:$A$148,0))</f>
        <v>Estimé</v>
      </c>
      <c r="M131" s="17" t="s">
        <v>947</v>
      </c>
      <c r="N131" s="9" t="s">
        <v>167</v>
      </c>
    </row>
    <row r="132" customFormat="false" ht="15" hidden="false" customHeight="false" outlineLevel="0" collapsed="false">
      <c r="A132" s="9" t="s">
        <v>678</v>
      </c>
      <c r="B132" s="9" t="s">
        <v>781</v>
      </c>
      <c r="C132" s="31" t="s">
        <v>434</v>
      </c>
      <c r="D132" s="9" t="str">
        <f aca="false">INDEX(Articles!$C$2:$C$148,MATCH(C132,Articles!$A$2:$A$148,0))</f>
        <v>Stylo 4 couleurs Schneider</v>
      </c>
      <c r="E132" s="9" t="str">
        <f aca="false">INDEX(Articles!$B$2:$B$148,MATCH(C132,Articles!$A$2:$A$148,0))</f>
        <v>Papex</v>
      </c>
      <c r="F132" s="31" t="n">
        <v>1</v>
      </c>
      <c r="G132" s="13" t="n">
        <f aca="false">IF(INDEX(Articles!$G$2:$G$148,MATCH(C132,Articles!$A$2:$A$148,0))="","",INDEX(Articles!$G$2:$G$148,MATCH(C132,Articles!$A$2:$A$148,0)))</f>
        <v>1750</v>
      </c>
      <c r="H132" s="13" t="n">
        <f aca="false">IF(G132="",0,F132*G132)</f>
        <v>1750</v>
      </c>
      <c r="I132" s="13" t="n">
        <f aca="false">IF(INDEX(Articles!$E$2:$E$148,MATCH(C132,Articles!$A$2:$A$148,0))="","",INDEX(Articles!$E$2:$E$148,MATCH(C132,Articles!$A$2:$A$148,0)))</f>
        <v>1500</v>
      </c>
      <c r="J132" s="13" t="n">
        <f aca="false">IF(I132="","",F132*I132)</f>
        <v>1500</v>
      </c>
      <c r="K132" s="9" t="str">
        <f aca="false">INDEX(Articles!$H$2:$H$148,MATCH(C132,Articles!$A$2:$A$148,0))</f>
        <v>Fixé</v>
      </c>
      <c r="L132" s="9" t="str">
        <f aca="false">INDEX(Articles!$F$2:$F$148,MATCH(C132,Articles!$A$2:$A$148,0))</f>
        <v>Confirmé</v>
      </c>
      <c r="M132" s="17"/>
      <c r="N132" s="9" t="s">
        <v>167</v>
      </c>
    </row>
    <row r="133" customFormat="false" ht="15" hidden="false" customHeight="false" outlineLevel="0" collapsed="false">
      <c r="A133" s="9" t="s">
        <v>678</v>
      </c>
      <c r="B133" s="9" t="s">
        <v>782</v>
      </c>
      <c r="C133" s="31" t="s">
        <v>174</v>
      </c>
      <c r="D133" s="9" t="str">
        <f aca="false">INDEX(Articles!$C$2:$C$148,MATCH(C133,Articles!$A$2:$A$148,0))</f>
        <v>Correcteur souris ARK</v>
      </c>
      <c r="E133" s="9" t="str">
        <f aca="false">INDEX(Articles!$B$2:$B$148,MATCH(C133,Articles!$A$2:$A$148,0))</f>
        <v>Papex</v>
      </c>
      <c r="F133" s="31" t="n">
        <v>1</v>
      </c>
      <c r="G133" s="13" t="n">
        <f aca="false">IF(INDEX(Articles!$G$2:$G$148,MATCH(C133,Articles!$A$2:$A$148,0))="","",INDEX(Articles!$G$2:$G$148,MATCH(C133,Articles!$A$2:$A$148,0)))</f>
        <v>1000</v>
      </c>
      <c r="H133" s="13" t="n">
        <f aca="false">IF(G133="",0,F133*G133)</f>
        <v>1000</v>
      </c>
      <c r="I133" s="13" t="n">
        <f aca="false">IF(INDEX(Articles!$E$2:$E$148,MATCH(C133,Articles!$A$2:$A$148,0))="","",INDEX(Articles!$E$2:$E$148,MATCH(C133,Articles!$A$2:$A$148,0)))</f>
        <v>700</v>
      </c>
      <c r="J133" s="13" t="n">
        <f aca="false">IF(I133="","",F133*I133)</f>
        <v>700</v>
      </c>
      <c r="K133" s="9" t="str">
        <f aca="false">INDEX(Articles!$H$2:$H$148,MATCH(C133,Articles!$A$2:$A$148,0))</f>
        <v>Fixé</v>
      </c>
      <c r="L133" s="9" t="str">
        <f aca="false">INDEX(Articles!$F$2:$F$148,MATCH(C133,Articles!$A$2:$A$148,0))</f>
        <v>Confirmé</v>
      </c>
      <c r="M133" s="17"/>
      <c r="N133" s="9" t="s">
        <v>167</v>
      </c>
    </row>
    <row r="134" customFormat="false" ht="15" hidden="false" customHeight="false" outlineLevel="0" collapsed="false">
      <c r="A134" s="9" t="s">
        <v>783</v>
      </c>
      <c r="B134" s="9" t="s">
        <v>784</v>
      </c>
      <c r="C134" s="31" t="s">
        <v>510</v>
      </c>
      <c r="D134" s="9" t="str">
        <f aca="false">INDEX(Articles!$C$2:$C$148,MATCH(C134,Articles!$A$2:$A$148,0))</f>
        <v>Les Bouts de bois de Dieu (Ousmane Sembène)</v>
      </c>
      <c r="E134" s="9" t="str">
        <f aca="false">INDEX(Articles!$B$2:$B$148,MATCH(C134,Articles!$A$2:$A$148,0))</f>
        <v>LPD</v>
      </c>
      <c r="F134" s="31" t="n">
        <v>1</v>
      </c>
      <c r="G134" s="13" t="n">
        <f aca="false">IF(INDEX(Articles!$G$2:$G$148,MATCH(C134,Articles!$A$2:$A$148,0))="","",INDEX(Articles!$G$2:$G$148,MATCH(C134,Articles!$A$2:$A$148,0)))</f>
        <v>3500</v>
      </c>
      <c r="H134" s="13" t="n">
        <f aca="false">IF(G134="",0,F134*G134)</f>
        <v>3500</v>
      </c>
      <c r="I134" s="13" t="n">
        <f aca="false">IF(INDEX(Articles!$E$2:$E$148,MATCH(C134,Articles!$A$2:$A$148,0))="","",INDEX(Articles!$E$2:$E$148,MATCH(C134,Articles!$A$2:$A$148,0)))</f>
        <v>2500</v>
      </c>
      <c r="J134" s="13" t="n">
        <f aca="false">IF(I134="","",F134*I134)</f>
        <v>2500</v>
      </c>
      <c r="K134" s="9" t="str">
        <f aca="false">INDEX(Articles!$H$2:$H$148,MATCH(C134,Articles!$A$2:$A$148,0))</f>
        <v>Fixé</v>
      </c>
      <c r="L134" s="9" t="str">
        <f aca="false">INDEX(Articles!$F$2:$F$148,MATCH(C134,Articles!$A$2:$A$148,0))</f>
        <v>Estimé</v>
      </c>
      <c r="M134" s="17"/>
      <c r="N134" s="9" t="s">
        <v>167</v>
      </c>
    </row>
    <row r="135" customFormat="false" ht="15" hidden="false" customHeight="false" outlineLevel="0" collapsed="false">
      <c r="A135" s="9" t="s">
        <v>783</v>
      </c>
      <c r="B135" s="9" t="s">
        <v>890</v>
      </c>
      <c r="C135" s="31" t="s">
        <v>512</v>
      </c>
      <c r="D135" s="9" t="str">
        <f aca="false">INDEX(Articles!$C$2:$C$148,MATCH(C135,Articles!$A$2:$A$148,0))</f>
        <v>Nini, mulâtresse du Sénégal (Abdoulaye Sadji)</v>
      </c>
      <c r="E135" s="9" t="str">
        <f aca="false">INDEX(Articles!$B$2:$B$148,MATCH(C135,Articles!$A$2:$A$148,0))</f>
        <v>LPD</v>
      </c>
      <c r="F135" s="31" t="n">
        <v>1</v>
      </c>
      <c r="G135" s="13" t="n">
        <f aca="false">IF(INDEX(Articles!$G$2:$G$148,MATCH(C135,Articles!$A$2:$A$148,0))="","",INDEX(Articles!$G$2:$G$148,MATCH(C135,Articles!$A$2:$A$148,0)))</f>
        <v>3500</v>
      </c>
      <c r="H135" s="13" t="n">
        <f aca="false">IF(G135="",0,F135*G135)</f>
        <v>3500</v>
      </c>
      <c r="I135" s="13" t="n">
        <f aca="false">IF(INDEX(Articles!$E$2:$E$148,MATCH(C135,Articles!$A$2:$A$148,0))="","",INDEX(Articles!$E$2:$E$148,MATCH(C135,Articles!$A$2:$A$148,0)))</f>
        <v>2500</v>
      </c>
      <c r="J135" s="13" t="n">
        <f aca="false">IF(I135="","",F135*I135)</f>
        <v>2500</v>
      </c>
      <c r="K135" s="9" t="str">
        <f aca="false">INDEX(Articles!$H$2:$H$148,MATCH(C135,Articles!$A$2:$A$148,0))</f>
        <v>Fixé</v>
      </c>
      <c r="L135" s="9" t="str">
        <f aca="false">INDEX(Articles!$F$2:$F$148,MATCH(C135,Articles!$A$2:$A$148,0))</f>
        <v>Estimé</v>
      </c>
      <c r="M135" s="17"/>
      <c r="N135" s="9" t="s">
        <v>167</v>
      </c>
    </row>
    <row r="136" customFormat="false" ht="15" hidden="false" customHeight="false" outlineLevel="0" collapsed="false">
      <c r="D136" s="32" t="s">
        <v>683</v>
      </c>
      <c r="E136" s="32"/>
      <c r="F136" s="32"/>
      <c r="G136" s="32"/>
      <c r="H136" s="33" t="n">
        <f aca="false">COUNTIF(G99:G135,"")</f>
        <v>1</v>
      </c>
    </row>
    <row r="137" customFormat="false" ht="15" hidden="false" customHeight="false" outlineLevel="0" collapsed="false">
      <c r="D137" s="32" t="s">
        <v>684</v>
      </c>
      <c r="E137" s="32"/>
      <c r="F137" s="32"/>
      <c r="G137" s="32"/>
      <c r="H137" s="33" t="n">
        <f aca="false">SUM(H99:H135)</f>
        <v>58575</v>
      </c>
    </row>
    <row r="138" customFormat="false" ht="15" hidden="false" customHeight="false" outlineLevel="0" collapsed="false">
      <c r="D138" s="32" t="s">
        <v>28</v>
      </c>
      <c r="E138" s="32"/>
      <c r="F138" s="32"/>
      <c r="G138" s="32"/>
      <c r="H138" s="33" t="n">
        <f aca="false">SUM(J99:J135)</f>
        <v>45260</v>
      </c>
    </row>
    <row r="139" customFormat="false" ht="15" hidden="false" customHeight="false" outlineLevel="0" collapsed="false">
      <c r="D139" s="32" t="s">
        <v>685</v>
      </c>
      <c r="E139" s="32"/>
      <c r="F139" s="32"/>
      <c r="G139" s="32"/>
      <c r="H139" s="33" t="n">
        <f aca="false">COUNTIF(I99:I135,"")</f>
        <v>5</v>
      </c>
    </row>
    <row r="140" customFormat="false" ht="15" hidden="false" customHeight="false" outlineLevel="0" collapsed="false">
      <c r="D140" s="32" t="s">
        <v>686</v>
      </c>
      <c r="E140" s="32"/>
      <c r="F140" s="32"/>
      <c r="G140" s="32"/>
      <c r="H140" s="33" t="n">
        <f aca="false">SUMPRODUCT((I99:I135&lt;&gt;"")*H99:H135)-H138</f>
        <v>11440</v>
      </c>
    </row>
    <row r="141" customFormat="false" ht="15" hidden="false" customHeight="false" outlineLevel="0" collapsed="false">
      <c r="D141" s="32" t="s">
        <v>687</v>
      </c>
      <c r="E141" s="32"/>
      <c r="F141" s="32"/>
      <c r="G141" s="32"/>
      <c r="H141" s="33" t="n">
        <f aca="false">SUMIF(A99:A135,"Cahiers",F99:F135)</f>
        <v>14</v>
      </c>
    </row>
    <row r="142" customFormat="false" ht="15" hidden="false" customHeight="false" outlineLevel="0" collapsed="false">
      <c r="D142" s="32" t="s">
        <v>688</v>
      </c>
      <c r="E142" s="32"/>
      <c r="F142" s="32"/>
      <c r="G142" s="32"/>
      <c r="H142" s="34" t="n">
        <f aca="false">IF(H137=0,0,SUMIF(K99:K135,"&lt;&gt;Fixé",H99:H135)/H137)</f>
        <v>0.136577037985489</v>
      </c>
    </row>
    <row r="143" customFormat="false" ht="15" hidden="false" customHeight="false" outlineLevel="0" collapsed="false">
      <c r="D143" s="32" t="s">
        <v>689</v>
      </c>
      <c r="E143" s="32"/>
      <c r="F143" s="32"/>
      <c r="G143" s="32"/>
      <c r="H143" s="33" t="str">
        <f aca="false">IF(H136&gt;0,"Total incomplet : "&amp;H136&amp;" prix de vente à fournir",IF(H139&gt;0,"Coût incomplet : "&amp;H139&amp;" ligne(s) sans prix d'achat","Complet"))</f>
        <v>Total incomplet : 1 prix de vente à fournir</v>
      </c>
    </row>
    <row r="144" customFormat="false" ht="15" hidden="false" customHeight="false" outlineLevel="0" collapsed="false">
      <c r="D144" s="21" t="s">
        <v>696</v>
      </c>
      <c r="E144" s="21" t="str">
        <f aca="false">INDEX(Articles!$C$2:$C$148,MATCH("S020",Articles!$A$2:$A$148,0))</f>
        <v>Sac à dos bleu marine</v>
      </c>
      <c r="H144" s="41" t="n">
        <f aca="false">INDEX(Articles!$G$2:$G$148,MATCH("S020",Articles!$A$2:$A$148,0))</f>
        <v>7000</v>
      </c>
    </row>
    <row r="145" customFormat="false" ht="15" hidden="false" customHeight="false" outlineLevel="0" collapsed="false">
      <c r="D145" s="42" t="s">
        <v>697</v>
      </c>
      <c r="E145" s="43" t="s">
        <v>948</v>
      </c>
    </row>
    <row r="146" customFormat="false" ht="15" hidden="false" customHeight="false" outlineLevel="0" collapsed="false">
      <c r="E146" s="43" t="s">
        <v>324</v>
      </c>
    </row>
  </sheetData>
  <mergeCells count="24">
    <mergeCell ref="D31:G31"/>
    <mergeCell ref="D32:G32"/>
    <mergeCell ref="D33:G33"/>
    <mergeCell ref="D34:G34"/>
    <mergeCell ref="D35:G35"/>
    <mergeCell ref="D36:G36"/>
    <mergeCell ref="D37:G37"/>
    <mergeCell ref="D38:G38"/>
    <mergeCell ref="D84:G84"/>
    <mergeCell ref="D85:G85"/>
    <mergeCell ref="D86:G86"/>
    <mergeCell ref="D87:G87"/>
    <mergeCell ref="D88:G88"/>
    <mergeCell ref="D89:G89"/>
    <mergeCell ref="D90:G90"/>
    <mergeCell ref="D91:G91"/>
    <mergeCell ref="D136:G136"/>
    <mergeCell ref="D137:G137"/>
    <mergeCell ref="D138:G138"/>
    <mergeCell ref="D139:G139"/>
    <mergeCell ref="D140:G140"/>
    <mergeCell ref="D141:G141"/>
    <mergeCell ref="D142:G142"/>
    <mergeCell ref="D143:G1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954</v>
      </c>
    </row>
    <row r="2" customFormat="false" ht="15" hidden="false" customHeight="false" outlineLevel="0" collapsed="false">
      <c r="A2" s="21" t="s">
        <v>937</v>
      </c>
    </row>
    <row r="4" customFormat="false" ht="15" hidden="false" customHeight="false" outlineLevel="0" collapsed="false">
      <c r="A4" s="28" t="s">
        <v>955</v>
      </c>
      <c r="B4" s="29"/>
      <c r="C4" s="29"/>
      <c r="D4" s="29"/>
      <c r="E4" s="29"/>
      <c r="F4" s="29"/>
      <c r="G4" s="29"/>
      <c r="H4" s="29"/>
      <c r="I4" s="29"/>
      <c r="J4" s="29"/>
      <c r="K4" s="29"/>
      <c r="L4" s="29"/>
      <c r="M4" s="29"/>
      <c r="N4" s="29"/>
    </row>
    <row r="5" customFormat="false" ht="39.55" hidden="false" customHeight="false" outlineLevel="0" collapsed="false">
      <c r="A5" s="30" t="s">
        <v>663</v>
      </c>
      <c r="B5" s="30" t="s">
        <v>664</v>
      </c>
      <c r="C5" s="30" t="s">
        <v>348</v>
      </c>
      <c r="D5" s="30" t="s">
        <v>350</v>
      </c>
      <c r="E5" s="30" t="s">
        <v>349</v>
      </c>
      <c r="F5" s="30" t="s">
        <v>665</v>
      </c>
      <c r="G5" s="30" t="s">
        <v>666</v>
      </c>
      <c r="H5" s="30" t="s">
        <v>667</v>
      </c>
      <c r="I5" s="30" t="s">
        <v>668</v>
      </c>
      <c r="J5" s="30" t="s">
        <v>669</v>
      </c>
      <c r="K5" s="30" t="s">
        <v>355</v>
      </c>
      <c r="L5" s="30" t="s">
        <v>353</v>
      </c>
      <c r="M5" s="30" t="s">
        <v>356</v>
      </c>
      <c r="N5" s="30" t="s">
        <v>670</v>
      </c>
    </row>
    <row r="6" customFormat="false" ht="15" hidden="false" customHeight="false" outlineLevel="0" collapsed="false">
      <c r="A6" s="9" t="s">
        <v>671</v>
      </c>
      <c r="B6" s="9" t="s">
        <v>939</v>
      </c>
      <c r="C6" s="31" t="s">
        <v>210</v>
      </c>
      <c r="D6" s="9" t="str">
        <f aca="false">INDEX(Articles!$C$2:$C$148,MATCH(C6,Articles!$A$2:$A$148,0))</f>
        <v>Cahier L'écolier 192 pages</v>
      </c>
      <c r="E6" s="9" t="str">
        <f aca="false">INDEX(Articles!$B$2:$B$148,MATCH(C6,Articles!$A$2:$A$148,0))</f>
        <v>Papex</v>
      </c>
      <c r="F6" s="31" t="n">
        <v>1</v>
      </c>
      <c r="G6" s="13" t="n">
        <f aca="false">IF(INDEX(Articles!$G$2:$G$148,MATCH(C6,Articles!$A$2:$A$148,0))="","",INDEX(Articles!$G$2:$G$148,MATCH(C6,Articles!$A$2:$A$148,0)))</f>
        <v>500</v>
      </c>
      <c r="H6" s="13" t="n">
        <f aca="false">IF(G6="",0,F6*G6)</f>
        <v>500</v>
      </c>
      <c r="I6" s="13" t="n">
        <f aca="false">IF(INDEX(Articles!$E$2:$E$148,MATCH(C6,Articles!$A$2:$A$148,0))="","",INDEX(Articles!$E$2:$E$148,MATCH(C6,Articles!$A$2:$A$148,0)))</f>
        <v>400</v>
      </c>
      <c r="J6" s="13" t="n">
        <f aca="false">IF(I6="","",F6*I6)</f>
        <v>400</v>
      </c>
      <c r="K6" s="9" t="str">
        <f aca="false">INDEX(Articles!$H$2:$H$148,MATCH(C6,Articles!$A$2:$A$148,0))</f>
        <v>Estimé</v>
      </c>
      <c r="L6" s="9" t="str">
        <f aca="false">INDEX(Articles!$F$2:$F$148,MATCH(C6,Articles!$A$2:$A$148,0))</f>
        <v>Confirmé</v>
      </c>
      <c r="M6" s="17" t="s">
        <v>738</v>
      </c>
      <c r="N6" s="9" t="s">
        <v>167</v>
      </c>
    </row>
    <row r="7" customFormat="false" ht="15" hidden="false" customHeight="false" outlineLevel="0" collapsed="false">
      <c r="A7" s="9" t="s">
        <v>671</v>
      </c>
      <c r="B7" s="9" t="s">
        <v>940</v>
      </c>
      <c r="C7" s="31" t="s">
        <v>210</v>
      </c>
      <c r="D7" s="9" t="str">
        <f aca="false">INDEX(Articles!$C$2:$C$148,MATCH(C7,Articles!$A$2:$A$148,0))</f>
        <v>Cahier L'écolier 192 pages</v>
      </c>
      <c r="E7" s="9" t="str">
        <f aca="false">INDEX(Articles!$B$2:$B$148,MATCH(C7,Articles!$A$2:$A$148,0))</f>
        <v>Papex</v>
      </c>
      <c r="F7" s="31" t="n">
        <v>1</v>
      </c>
      <c r="G7" s="13" t="n">
        <f aca="false">IF(INDEX(Articles!$G$2:$G$148,MATCH(C7,Articles!$A$2:$A$148,0))="","",INDEX(Articles!$G$2:$G$148,MATCH(C7,Articles!$A$2:$A$148,0)))</f>
        <v>500</v>
      </c>
      <c r="H7" s="13" t="n">
        <f aca="false">IF(G7="",0,F7*G7)</f>
        <v>500</v>
      </c>
      <c r="I7" s="13" t="n">
        <f aca="false">IF(INDEX(Articles!$E$2:$E$148,MATCH(C7,Articles!$A$2:$A$148,0))="","",INDEX(Articles!$E$2:$E$148,MATCH(C7,Articles!$A$2:$A$148,0)))</f>
        <v>400</v>
      </c>
      <c r="J7" s="13" t="n">
        <f aca="false">IF(I7="","",F7*I7)</f>
        <v>400</v>
      </c>
      <c r="K7" s="9" t="str">
        <f aca="false">INDEX(Articles!$H$2:$H$148,MATCH(C7,Articles!$A$2:$A$148,0))</f>
        <v>Estimé</v>
      </c>
      <c r="L7" s="9" t="str">
        <f aca="false">INDEX(Articles!$F$2:$F$148,MATCH(C7,Articles!$A$2:$A$148,0))</f>
        <v>Confirmé</v>
      </c>
      <c r="M7" s="17" t="s">
        <v>738</v>
      </c>
      <c r="N7" s="9" t="s">
        <v>167</v>
      </c>
    </row>
    <row r="8" customFormat="false" ht="15" hidden="false" customHeight="false" outlineLevel="0" collapsed="false">
      <c r="A8" s="9" t="s">
        <v>671</v>
      </c>
      <c r="B8" s="9" t="s">
        <v>856</v>
      </c>
      <c r="C8" s="31" t="s">
        <v>210</v>
      </c>
      <c r="D8" s="9" t="str">
        <f aca="false">INDEX(Articles!$C$2:$C$148,MATCH(C8,Articles!$A$2:$A$148,0))</f>
        <v>Cahier L'écolier 192 pages</v>
      </c>
      <c r="E8" s="9" t="str">
        <f aca="false">INDEX(Articles!$B$2:$B$148,MATCH(C8,Articles!$A$2:$A$148,0))</f>
        <v>Papex</v>
      </c>
      <c r="F8" s="31" t="n">
        <v>1</v>
      </c>
      <c r="G8" s="13" t="n">
        <f aca="false">IF(INDEX(Articles!$G$2:$G$148,MATCH(C8,Articles!$A$2:$A$148,0))="","",INDEX(Articles!$G$2:$G$148,MATCH(C8,Articles!$A$2:$A$148,0)))</f>
        <v>500</v>
      </c>
      <c r="H8" s="13" t="n">
        <f aca="false">IF(G8="",0,F8*G8)</f>
        <v>500</v>
      </c>
      <c r="I8" s="13" t="n">
        <f aca="false">IF(INDEX(Articles!$E$2:$E$148,MATCH(C8,Articles!$A$2:$A$148,0))="","",INDEX(Articles!$E$2:$E$148,MATCH(C8,Articles!$A$2:$A$148,0)))</f>
        <v>400</v>
      </c>
      <c r="J8" s="13" t="n">
        <f aca="false">IF(I8="","",F8*I8)</f>
        <v>400</v>
      </c>
      <c r="K8" s="9" t="str">
        <f aca="false">INDEX(Articles!$H$2:$H$148,MATCH(C8,Articles!$A$2:$A$148,0))</f>
        <v>Estimé</v>
      </c>
      <c r="L8" s="9" t="str">
        <f aca="false">INDEX(Articles!$F$2:$F$148,MATCH(C8,Articles!$A$2:$A$148,0))</f>
        <v>Confirmé</v>
      </c>
      <c r="M8" s="17" t="s">
        <v>738</v>
      </c>
      <c r="N8" s="9" t="s">
        <v>167</v>
      </c>
    </row>
    <row r="9" customFormat="false" ht="15" hidden="false" customHeight="false" outlineLevel="0" collapsed="false">
      <c r="A9" s="9" t="s">
        <v>671</v>
      </c>
      <c r="B9" s="9" t="s">
        <v>857</v>
      </c>
      <c r="C9" s="31" t="s">
        <v>195</v>
      </c>
      <c r="D9" s="9" t="str">
        <f aca="false">INDEX(Articles!$C$2:$C$148,MATCH(C9,Articles!$A$2:$A$148,0))</f>
        <v>Cahier Calligraphe 96 pages 17x22 56 g seyès</v>
      </c>
      <c r="E9" s="9" t="str">
        <f aca="false">INDEX(Articles!$B$2:$B$148,MATCH(C9,Articles!$A$2:$A$148,0))</f>
        <v>Papex</v>
      </c>
      <c r="F9" s="31" t="n">
        <v>1</v>
      </c>
      <c r="G9" s="13" t="n">
        <f aca="false">IF(INDEX(Articles!$G$2:$G$148,MATCH(C9,Articles!$A$2:$A$148,0))="","",INDEX(Articles!$G$2:$G$148,MATCH(C9,Articles!$A$2:$A$148,0)))</f>
        <v>450</v>
      </c>
      <c r="H9" s="13" t="n">
        <f aca="false">IF(G9="",0,F9*G9)</f>
        <v>450</v>
      </c>
      <c r="I9" s="13" t="n">
        <f aca="false">IF(INDEX(Articles!$E$2:$E$148,MATCH(C9,Articles!$A$2:$A$148,0))="","",INDEX(Articles!$E$2:$E$148,MATCH(C9,Articles!$A$2:$A$148,0)))</f>
        <v>350</v>
      </c>
      <c r="J9" s="13" t="n">
        <f aca="false">IF(I9="","",F9*I9)</f>
        <v>350</v>
      </c>
      <c r="K9" s="9" t="str">
        <f aca="false">INDEX(Articles!$H$2:$H$148,MATCH(C9,Articles!$A$2:$A$148,0))</f>
        <v>Fixé</v>
      </c>
      <c r="L9" s="9" t="str">
        <f aca="false">INDEX(Articles!$F$2:$F$148,MATCH(C9,Articles!$A$2:$A$148,0))</f>
        <v>Confirmé</v>
      </c>
      <c r="M9" s="17"/>
      <c r="N9" s="9" t="s">
        <v>167</v>
      </c>
    </row>
    <row r="10" customFormat="false" ht="15" hidden="false" customHeight="false" outlineLevel="0" collapsed="false">
      <c r="A10" s="9" t="s">
        <v>671</v>
      </c>
      <c r="B10" s="9" t="s">
        <v>737</v>
      </c>
      <c r="C10" s="31" t="s">
        <v>210</v>
      </c>
      <c r="D10" s="9" t="str">
        <f aca="false">INDEX(Articles!$C$2:$C$148,MATCH(C10,Articles!$A$2:$A$148,0))</f>
        <v>Cahier L'écolier 192 pages</v>
      </c>
      <c r="E10" s="9" t="str">
        <f aca="false">INDEX(Articles!$B$2:$B$148,MATCH(C10,Articles!$A$2:$A$148,0))</f>
        <v>Papex</v>
      </c>
      <c r="F10" s="31" t="n">
        <v>1</v>
      </c>
      <c r="G10" s="13" t="n">
        <f aca="false">IF(INDEX(Articles!$G$2:$G$148,MATCH(C10,Articles!$A$2:$A$148,0))="","",INDEX(Articles!$G$2:$G$148,MATCH(C10,Articles!$A$2:$A$148,0)))</f>
        <v>500</v>
      </c>
      <c r="H10" s="13" t="n">
        <f aca="false">IF(G10="",0,F10*G10)</f>
        <v>500</v>
      </c>
      <c r="I10" s="13" t="n">
        <f aca="false">IF(INDEX(Articles!$E$2:$E$148,MATCH(C10,Articles!$A$2:$A$148,0))="","",INDEX(Articles!$E$2:$E$148,MATCH(C10,Articles!$A$2:$A$148,0)))</f>
        <v>400</v>
      </c>
      <c r="J10" s="13" t="n">
        <f aca="false">IF(I10="","",F10*I10)</f>
        <v>400</v>
      </c>
      <c r="K10" s="9" t="str">
        <f aca="false">INDEX(Articles!$H$2:$H$148,MATCH(C10,Articles!$A$2:$A$148,0))</f>
        <v>Estimé</v>
      </c>
      <c r="L10" s="9" t="str">
        <f aca="false">INDEX(Articles!$F$2:$F$148,MATCH(C10,Articles!$A$2:$A$148,0))</f>
        <v>Confirmé</v>
      </c>
      <c r="M10" s="17" t="s">
        <v>738</v>
      </c>
      <c r="N10" s="9" t="s">
        <v>167</v>
      </c>
    </row>
    <row r="11" customFormat="false" ht="15" hidden="false" customHeight="false" outlineLevel="0" collapsed="false">
      <c r="A11" s="9" t="s">
        <v>671</v>
      </c>
      <c r="B11" s="9" t="s">
        <v>739</v>
      </c>
      <c r="C11" s="31" t="s">
        <v>210</v>
      </c>
      <c r="D11" s="9" t="str">
        <f aca="false">INDEX(Articles!$C$2:$C$148,MATCH(C11,Articles!$A$2:$A$148,0))</f>
        <v>Cahier L'écolier 192 pages</v>
      </c>
      <c r="E11" s="9" t="str">
        <f aca="false">INDEX(Articles!$B$2:$B$148,MATCH(C11,Articles!$A$2:$A$148,0))</f>
        <v>Papex</v>
      </c>
      <c r="F11" s="31" t="n">
        <v>1</v>
      </c>
      <c r="G11" s="13" t="n">
        <f aca="false">IF(INDEX(Articles!$G$2:$G$148,MATCH(C11,Articles!$A$2:$A$148,0))="","",INDEX(Articles!$G$2:$G$148,MATCH(C11,Articles!$A$2:$A$148,0)))</f>
        <v>500</v>
      </c>
      <c r="H11" s="13" t="n">
        <f aca="false">IF(G11="",0,F11*G11)</f>
        <v>500</v>
      </c>
      <c r="I11" s="13" t="n">
        <f aca="false">IF(INDEX(Articles!$E$2:$E$148,MATCH(C11,Articles!$A$2:$A$148,0))="","",INDEX(Articles!$E$2:$E$148,MATCH(C11,Articles!$A$2:$A$148,0)))</f>
        <v>400</v>
      </c>
      <c r="J11" s="13" t="n">
        <f aca="false">IF(I11="","",F11*I11)</f>
        <v>400</v>
      </c>
      <c r="K11" s="9" t="str">
        <f aca="false">INDEX(Articles!$H$2:$H$148,MATCH(C11,Articles!$A$2:$A$148,0))</f>
        <v>Estimé</v>
      </c>
      <c r="L11" s="9" t="str">
        <f aca="false">INDEX(Articles!$F$2:$F$148,MATCH(C11,Articles!$A$2:$A$148,0))</f>
        <v>Confirmé</v>
      </c>
      <c r="M11" s="17" t="s">
        <v>738</v>
      </c>
      <c r="N11" s="9" t="s">
        <v>167</v>
      </c>
    </row>
    <row r="12" customFormat="false" ht="15" hidden="false" customHeight="false" outlineLevel="0" collapsed="false">
      <c r="A12" s="9" t="s">
        <v>671</v>
      </c>
      <c r="B12" s="9" t="s">
        <v>853</v>
      </c>
      <c r="C12" s="31" t="s">
        <v>210</v>
      </c>
      <c r="D12" s="9" t="str">
        <f aca="false">INDEX(Articles!$C$2:$C$148,MATCH(C12,Articles!$A$2:$A$148,0))</f>
        <v>Cahier L'écolier 192 pages</v>
      </c>
      <c r="E12" s="9" t="str">
        <f aca="false">INDEX(Articles!$B$2:$B$148,MATCH(C12,Articles!$A$2:$A$148,0))</f>
        <v>Papex</v>
      </c>
      <c r="F12" s="31" t="n">
        <v>1</v>
      </c>
      <c r="G12" s="13" t="n">
        <f aca="false">IF(INDEX(Articles!$G$2:$G$148,MATCH(C12,Articles!$A$2:$A$148,0))="","",INDEX(Articles!$G$2:$G$148,MATCH(C12,Articles!$A$2:$A$148,0)))</f>
        <v>500</v>
      </c>
      <c r="H12" s="13" t="n">
        <f aca="false">IF(G12="",0,F12*G12)</f>
        <v>500</v>
      </c>
      <c r="I12" s="13" t="n">
        <f aca="false">IF(INDEX(Articles!$E$2:$E$148,MATCH(C12,Articles!$A$2:$A$148,0))="","",INDEX(Articles!$E$2:$E$148,MATCH(C12,Articles!$A$2:$A$148,0)))</f>
        <v>400</v>
      </c>
      <c r="J12" s="13" t="n">
        <f aca="false">IF(I12="","",F12*I12)</f>
        <v>400</v>
      </c>
      <c r="K12" s="9" t="str">
        <f aca="false">INDEX(Articles!$H$2:$H$148,MATCH(C12,Articles!$A$2:$A$148,0))</f>
        <v>Estimé</v>
      </c>
      <c r="L12" s="9" t="str">
        <f aca="false">INDEX(Articles!$F$2:$F$148,MATCH(C12,Articles!$A$2:$A$148,0))</f>
        <v>Confirmé</v>
      </c>
      <c r="M12" s="17" t="s">
        <v>738</v>
      </c>
      <c r="N12" s="9" t="s">
        <v>167</v>
      </c>
    </row>
    <row r="13" customFormat="false" ht="15" hidden="false" customHeight="false" outlineLevel="0" collapsed="false">
      <c r="A13" s="9" t="s">
        <v>671</v>
      </c>
      <c r="B13" s="9" t="s">
        <v>744</v>
      </c>
      <c r="C13" s="31" t="s">
        <v>210</v>
      </c>
      <c r="D13" s="9" t="str">
        <f aca="false">INDEX(Articles!$C$2:$C$148,MATCH(C13,Articles!$A$2:$A$148,0))</f>
        <v>Cahier L'écolier 192 pages</v>
      </c>
      <c r="E13" s="9" t="str">
        <f aca="false">INDEX(Articles!$B$2:$B$148,MATCH(C13,Articles!$A$2:$A$148,0))</f>
        <v>Papex</v>
      </c>
      <c r="F13" s="31" t="n">
        <v>1</v>
      </c>
      <c r="G13" s="13" t="n">
        <f aca="false">IF(INDEX(Articles!$G$2:$G$148,MATCH(C13,Articles!$A$2:$A$148,0))="","",INDEX(Articles!$G$2:$G$148,MATCH(C13,Articles!$A$2:$A$148,0)))</f>
        <v>500</v>
      </c>
      <c r="H13" s="13" t="n">
        <f aca="false">IF(G13="",0,F13*G13)</f>
        <v>500</v>
      </c>
      <c r="I13" s="13" t="n">
        <f aca="false">IF(INDEX(Articles!$E$2:$E$148,MATCH(C13,Articles!$A$2:$A$148,0))="","",INDEX(Articles!$E$2:$E$148,MATCH(C13,Articles!$A$2:$A$148,0)))</f>
        <v>400</v>
      </c>
      <c r="J13" s="13" t="n">
        <f aca="false">IF(I13="","",F13*I13)</f>
        <v>400</v>
      </c>
      <c r="K13" s="9" t="str">
        <f aca="false">INDEX(Articles!$H$2:$H$148,MATCH(C13,Articles!$A$2:$A$148,0))</f>
        <v>Estimé</v>
      </c>
      <c r="L13" s="9" t="str">
        <f aca="false">INDEX(Articles!$F$2:$F$148,MATCH(C13,Articles!$A$2:$A$148,0))</f>
        <v>Confirmé</v>
      </c>
      <c r="M13" s="17" t="s">
        <v>738</v>
      </c>
      <c r="N13" s="9" t="s">
        <v>167</v>
      </c>
    </row>
    <row r="14" customFormat="false" ht="15" hidden="false" customHeight="false" outlineLevel="0" collapsed="false">
      <c r="A14" s="9" t="s">
        <v>671</v>
      </c>
      <c r="B14" s="9" t="s">
        <v>854</v>
      </c>
      <c r="C14" s="31" t="s">
        <v>195</v>
      </c>
      <c r="D14" s="9" t="str">
        <f aca="false">INDEX(Articles!$C$2:$C$148,MATCH(C14,Articles!$A$2:$A$148,0))</f>
        <v>Cahier Calligraphe 96 pages 17x22 56 g seyès</v>
      </c>
      <c r="E14" s="9" t="str">
        <f aca="false">INDEX(Articles!$B$2:$B$148,MATCH(C14,Articles!$A$2:$A$148,0))</f>
        <v>Papex</v>
      </c>
      <c r="F14" s="31" t="n">
        <v>1</v>
      </c>
      <c r="G14" s="13" t="n">
        <f aca="false">IF(INDEX(Articles!$G$2:$G$148,MATCH(C14,Articles!$A$2:$A$148,0))="","",INDEX(Articles!$G$2:$G$148,MATCH(C14,Articles!$A$2:$A$148,0)))</f>
        <v>450</v>
      </c>
      <c r="H14" s="13" t="n">
        <f aca="false">IF(G14="",0,F14*G14)</f>
        <v>450</v>
      </c>
      <c r="I14" s="13" t="n">
        <f aca="false">IF(INDEX(Articles!$E$2:$E$148,MATCH(C14,Articles!$A$2:$A$148,0))="","",INDEX(Articles!$E$2:$E$148,MATCH(C14,Articles!$A$2:$A$148,0)))</f>
        <v>350</v>
      </c>
      <c r="J14" s="13" t="n">
        <f aca="false">IF(I14="","",F14*I14)</f>
        <v>350</v>
      </c>
      <c r="K14" s="9" t="str">
        <f aca="false">INDEX(Articles!$H$2:$H$148,MATCH(C14,Articles!$A$2:$A$148,0))</f>
        <v>Fixé</v>
      </c>
      <c r="L14" s="9" t="str">
        <f aca="false">INDEX(Articles!$F$2:$F$148,MATCH(C14,Articles!$A$2:$A$148,0))</f>
        <v>Confirmé</v>
      </c>
      <c r="M14" s="17"/>
      <c r="N14" s="9" t="s">
        <v>167</v>
      </c>
    </row>
    <row r="15" customFormat="false" ht="15" hidden="false" customHeight="false" outlineLevel="0" collapsed="false">
      <c r="A15" s="9" t="s">
        <v>671</v>
      </c>
      <c r="B15" s="9" t="s">
        <v>850</v>
      </c>
      <c r="C15" s="31" t="s">
        <v>210</v>
      </c>
      <c r="D15" s="9" t="str">
        <f aca="false">INDEX(Articles!$C$2:$C$148,MATCH(C15,Articles!$A$2:$A$148,0))</f>
        <v>Cahier L'écolier 192 pages</v>
      </c>
      <c r="E15" s="9" t="str">
        <f aca="false">INDEX(Articles!$B$2:$B$148,MATCH(C15,Articles!$A$2:$A$148,0))</f>
        <v>Papex</v>
      </c>
      <c r="F15" s="31" t="n">
        <v>1</v>
      </c>
      <c r="G15" s="13" t="n">
        <f aca="false">IF(INDEX(Articles!$G$2:$G$148,MATCH(C15,Articles!$A$2:$A$148,0))="","",INDEX(Articles!$G$2:$G$148,MATCH(C15,Articles!$A$2:$A$148,0)))</f>
        <v>500</v>
      </c>
      <c r="H15" s="13" t="n">
        <f aca="false">IF(G15="",0,F15*G15)</f>
        <v>500</v>
      </c>
      <c r="I15" s="13" t="n">
        <f aca="false">IF(INDEX(Articles!$E$2:$E$148,MATCH(C15,Articles!$A$2:$A$148,0))="","",INDEX(Articles!$E$2:$E$148,MATCH(C15,Articles!$A$2:$A$148,0)))</f>
        <v>400</v>
      </c>
      <c r="J15" s="13" t="n">
        <f aca="false">IF(I15="","",F15*I15)</f>
        <v>400</v>
      </c>
      <c r="K15" s="9" t="str">
        <f aca="false">INDEX(Articles!$H$2:$H$148,MATCH(C15,Articles!$A$2:$A$148,0))</f>
        <v>Estimé</v>
      </c>
      <c r="L15" s="9" t="str">
        <f aca="false">INDEX(Articles!$F$2:$F$148,MATCH(C15,Articles!$A$2:$A$148,0))</f>
        <v>Confirmé</v>
      </c>
      <c r="M15" s="17" t="s">
        <v>738</v>
      </c>
      <c r="N15" s="9" t="s">
        <v>167</v>
      </c>
    </row>
    <row r="16" customFormat="false" ht="15" hidden="false" customHeight="false" outlineLevel="0" collapsed="false">
      <c r="A16" s="9" t="s">
        <v>671</v>
      </c>
      <c r="B16" s="9" t="s">
        <v>941</v>
      </c>
      <c r="C16" s="31" t="s">
        <v>210</v>
      </c>
      <c r="D16" s="9" t="str">
        <f aca="false">INDEX(Articles!$C$2:$C$148,MATCH(C16,Articles!$A$2:$A$148,0))</f>
        <v>Cahier L'écolier 192 pages</v>
      </c>
      <c r="E16" s="9" t="str">
        <f aca="false">INDEX(Articles!$B$2:$B$148,MATCH(C16,Articles!$A$2:$A$148,0))</f>
        <v>Papex</v>
      </c>
      <c r="F16" s="31" t="n">
        <v>1</v>
      </c>
      <c r="G16" s="13" t="n">
        <f aca="false">IF(INDEX(Articles!$G$2:$G$148,MATCH(C16,Articles!$A$2:$A$148,0))="","",INDEX(Articles!$G$2:$G$148,MATCH(C16,Articles!$A$2:$A$148,0)))</f>
        <v>500</v>
      </c>
      <c r="H16" s="13" t="n">
        <f aca="false">IF(G16="",0,F16*G16)</f>
        <v>500</v>
      </c>
      <c r="I16" s="13" t="n">
        <f aca="false">IF(INDEX(Articles!$E$2:$E$148,MATCH(C16,Articles!$A$2:$A$148,0))="","",INDEX(Articles!$E$2:$E$148,MATCH(C16,Articles!$A$2:$A$148,0)))</f>
        <v>400</v>
      </c>
      <c r="J16" s="13" t="n">
        <f aca="false">IF(I16="","",F16*I16)</f>
        <v>400</v>
      </c>
      <c r="K16" s="9" t="str">
        <f aca="false">INDEX(Articles!$H$2:$H$148,MATCH(C16,Articles!$A$2:$A$148,0))</f>
        <v>Estimé</v>
      </c>
      <c r="L16" s="9" t="str">
        <f aca="false">INDEX(Articles!$F$2:$F$148,MATCH(C16,Articles!$A$2:$A$148,0))</f>
        <v>Confirmé</v>
      </c>
      <c r="M16" s="17" t="s">
        <v>738</v>
      </c>
      <c r="N16" s="9" t="s">
        <v>167</v>
      </c>
    </row>
    <row r="17" customFormat="false" ht="15" hidden="false" customHeight="false" outlineLevel="0" collapsed="false">
      <c r="A17" s="9" t="s">
        <v>671</v>
      </c>
      <c r="B17" s="9" t="s">
        <v>942</v>
      </c>
      <c r="C17" s="31" t="s">
        <v>210</v>
      </c>
      <c r="D17" s="9" t="str">
        <f aca="false">INDEX(Articles!$C$2:$C$148,MATCH(C17,Articles!$A$2:$A$148,0))</f>
        <v>Cahier L'écolier 192 pages</v>
      </c>
      <c r="E17" s="9" t="str">
        <f aca="false">INDEX(Articles!$B$2:$B$148,MATCH(C17,Articles!$A$2:$A$148,0))</f>
        <v>Papex</v>
      </c>
      <c r="F17" s="31" t="n">
        <v>1</v>
      </c>
      <c r="G17" s="13" t="n">
        <f aca="false">IF(INDEX(Articles!$G$2:$G$148,MATCH(C17,Articles!$A$2:$A$148,0))="","",INDEX(Articles!$G$2:$G$148,MATCH(C17,Articles!$A$2:$A$148,0)))</f>
        <v>500</v>
      </c>
      <c r="H17" s="13" t="n">
        <f aca="false">IF(G17="",0,F17*G17)</f>
        <v>500</v>
      </c>
      <c r="I17" s="13" t="n">
        <f aca="false">IF(INDEX(Articles!$E$2:$E$148,MATCH(C17,Articles!$A$2:$A$148,0))="","",INDEX(Articles!$E$2:$E$148,MATCH(C17,Articles!$A$2:$A$148,0)))</f>
        <v>400</v>
      </c>
      <c r="J17" s="13" t="n">
        <f aca="false">IF(I17="","",F17*I17)</f>
        <v>400</v>
      </c>
      <c r="K17" s="9" t="str">
        <f aca="false">INDEX(Articles!$H$2:$H$148,MATCH(C17,Articles!$A$2:$A$148,0))</f>
        <v>Estimé</v>
      </c>
      <c r="L17" s="9" t="str">
        <f aca="false">INDEX(Articles!$F$2:$F$148,MATCH(C17,Articles!$A$2:$A$148,0))</f>
        <v>Confirmé</v>
      </c>
      <c r="M17" s="17" t="s">
        <v>738</v>
      </c>
      <c r="N17" s="9" t="s">
        <v>167</v>
      </c>
    </row>
    <row r="18" customFormat="false" ht="15" hidden="false" customHeight="false" outlineLevel="0" collapsed="false">
      <c r="A18" s="9" t="s">
        <v>671</v>
      </c>
      <c r="B18" s="9" t="s">
        <v>943</v>
      </c>
      <c r="C18" s="31" t="s">
        <v>210</v>
      </c>
      <c r="D18" s="9" t="str">
        <f aca="false">INDEX(Articles!$C$2:$C$148,MATCH(C18,Articles!$A$2:$A$148,0))</f>
        <v>Cahier L'écolier 192 pages</v>
      </c>
      <c r="E18" s="9" t="str">
        <f aca="false">INDEX(Articles!$B$2:$B$148,MATCH(C18,Articles!$A$2:$A$148,0))</f>
        <v>Papex</v>
      </c>
      <c r="F18" s="31" t="n">
        <v>1</v>
      </c>
      <c r="G18" s="13" t="n">
        <f aca="false">IF(INDEX(Articles!$G$2:$G$148,MATCH(C18,Articles!$A$2:$A$148,0))="","",INDEX(Articles!$G$2:$G$148,MATCH(C18,Articles!$A$2:$A$148,0)))</f>
        <v>500</v>
      </c>
      <c r="H18" s="13" t="n">
        <f aca="false">IF(G18="",0,F18*G18)</f>
        <v>500</v>
      </c>
      <c r="I18" s="13" t="n">
        <f aca="false">IF(INDEX(Articles!$E$2:$E$148,MATCH(C18,Articles!$A$2:$A$148,0))="","",INDEX(Articles!$E$2:$E$148,MATCH(C18,Articles!$A$2:$A$148,0)))</f>
        <v>400</v>
      </c>
      <c r="J18" s="13" t="n">
        <f aca="false">IF(I18="","",F18*I18)</f>
        <v>400</v>
      </c>
      <c r="K18" s="9" t="str">
        <f aca="false">INDEX(Articles!$H$2:$H$148,MATCH(C18,Articles!$A$2:$A$148,0))</f>
        <v>Estimé</v>
      </c>
      <c r="L18" s="9" t="str">
        <f aca="false">INDEX(Articles!$F$2:$F$148,MATCH(C18,Articles!$A$2:$A$148,0))</f>
        <v>Confirmé</v>
      </c>
      <c r="M18" s="17" t="s">
        <v>738</v>
      </c>
      <c r="N18" s="9" t="s">
        <v>167</v>
      </c>
    </row>
    <row r="19" customFormat="false" ht="15" hidden="false" customHeight="false" outlineLevel="0" collapsed="false">
      <c r="A19" s="9" t="s">
        <v>671</v>
      </c>
      <c r="B19" s="9" t="s">
        <v>944</v>
      </c>
      <c r="C19" s="31" t="s">
        <v>195</v>
      </c>
      <c r="D19" s="9" t="str">
        <f aca="false">INDEX(Articles!$C$2:$C$148,MATCH(C19,Articles!$A$2:$A$148,0))</f>
        <v>Cahier Calligraphe 96 pages 17x22 56 g seyès</v>
      </c>
      <c r="E19" s="9" t="str">
        <f aca="false">INDEX(Articles!$B$2:$B$148,MATCH(C19,Articles!$A$2:$A$148,0))</f>
        <v>Papex</v>
      </c>
      <c r="F19" s="31" t="n">
        <v>1</v>
      </c>
      <c r="G19" s="13" t="n">
        <f aca="false">IF(INDEX(Articles!$G$2:$G$148,MATCH(C19,Articles!$A$2:$A$148,0))="","",INDEX(Articles!$G$2:$G$148,MATCH(C19,Articles!$A$2:$A$148,0)))</f>
        <v>450</v>
      </c>
      <c r="H19" s="13" t="n">
        <f aca="false">IF(G19="",0,F19*G19)</f>
        <v>450</v>
      </c>
      <c r="I19" s="13" t="n">
        <f aca="false">IF(INDEX(Articles!$E$2:$E$148,MATCH(C19,Articles!$A$2:$A$148,0))="","",INDEX(Articles!$E$2:$E$148,MATCH(C19,Articles!$A$2:$A$148,0)))</f>
        <v>350</v>
      </c>
      <c r="J19" s="13" t="n">
        <f aca="false">IF(I19="","",F19*I19)</f>
        <v>350</v>
      </c>
      <c r="K19" s="9" t="str">
        <f aca="false">INDEX(Articles!$H$2:$H$148,MATCH(C19,Articles!$A$2:$A$148,0))</f>
        <v>Fixé</v>
      </c>
      <c r="L19" s="9" t="str">
        <f aca="false">INDEX(Articles!$F$2:$F$148,MATCH(C19,Articles!$A$2:$A$148,0))</f>
        <v>Confirmé</v>
      </c>
      <c r="M19" s="17"/>
      <c r="N19" s="9" t="s">
        <v>167</v>
      </c>
    </row>
    <row r="20" customFormat="false" ht="15" hidden="false" customHeight="false" outlineLevel="0" collapsed="false">
      <c r="A20" s="9" t="s">
        <v>671</v>
      </c>
      <c r="B20" s="9" t="s">
        <v>909</v>
      </c>
      <c r="C20" s="31" t="s">
        <v>210</v>
      </c>
      <c r="D20" s="9" t="str">
        <f aca="false">INDEX(Articles!$C$2:$C$148,MATCH(C20,Articles!$A$2:$A$148,0))</f>
        <v>Cahier L'écolier 192 pages</v>
      </c>
      <c r="E20" s="9" t="str">
        <f aca="false">INDEX(Articles!$B$2:$B$148,MATCH(C20,Articles!$A$2:$A$148,0))</f>
        <v>Papex</v>
      </c>
      <c r="F20" s="31" t="n">
        <v>1</v>
      </c>
      <c r="G20" s="13" t="n">
        <f aca="false">IF(INDEX(Articles!$G$2:$G$148,MATCH(C20,Articles!$A$2:$A$148,0))="","",INDEX(Articles!$G$2:$G$148,MATCH(C20,Articles!$A$2:$A$148,0)))</f>
        <v>500</v>
      </c>
      <c r="H20" s="13" t="n">
        <f aca="false">IF(G20="",0,F20*G20)</f>
        <v>500</v>
      </c>
      <c r="I20" s="13" t="n">
        <f aca="false">IF(INDEX(Articles!$E$2:$E$148,MATCH(C20,Articles!$A$2:$A$148,0))="","",INDEX(Articles!$E$2:$E$148,MATCH(C20,Articles!$A$2:$A$148,0)))</f>
        <v>400</v>
      </c>
      <c r="J20" s="13" t="n">
        <f aca="false">IF(I20="","",F20*I20)</f>
        <v>400</v>
      </c>
      <c r="K20" s="9" t="str">
        <f aca="false">INDEX(Articles!$H$2:$H$148,MATCH(C20,Articles!$A$2:$A$148,0))</f>
        <v>Estimé</v>
      </c>
      <c r="L20" s="9" t="str">
        <f aca="false">INDEX(Articles!$F$2:$F$148,MATCH(C20,Articles!$A$2:$A$148,0))</f>
        <v>Confirmé</v>
      </c>
      <c r="M20" s="17" t="s">
        <v>738</v>
      </c>
      <c r="N20" s="9" t="s">
        <v>167</v>
      </c>
    </row>
    <row r="21" customFormat="false" ht="15" hidden="false" customHeight="false" outlineLevel="0" collapsed="false">
      <c r="A21" s="9" t="s">
        <v>678</v>
      </c>
      <c r="B21" s="9" t="s">
        <v>749</v>
      </c>
      <c r="C21" s="31" t="s">
        <v>222</v>
      </c>
      <c r="D21" s="9" t="str">
        <f aca="false">INDEX(Articles!$C$2:$C$148,MATCH(C21,Articles!$A$2:$A$148,0))</f>
        <v>Pack de 4 stylos Schneider Tops 505 M (bleu, noir, rouge, vert)</v>
      </c>
      <c r="E21" s="9" t="str">
        <f aca="false">INDEX(Articles!$B$2:$B$148,MATCH(C21,Articles!$A$2:$A$148,0))</f>
        <v>Papex</v>
      </c>
      <c r="F21" s="31" t="n">
        <v>1</v>
      </c>
      <c r="G21" s="13" t="n">
        <f aca="false">IF(INDEX(Articles!$G$2:$G$148,MATCH(C21,Articles!$A$2:$A$148,0))="","",INDEX(Articles!$G$2:$G$148,MATCH(C21,Articles!$A$2:$A$148,0)))</f>
        <v>400</v>
      </c>
      <c r="H21" s="13" t="n">
        <f aca="false">IF(G21="",0,F21*G21)</f>
        <v>400</v>
      </c>
      <c r="I21" s="13" t="str">
        <f aca="false">IF(INDEX(Articles!$E$2:$E$148,MATCH(C21,Articles!$A$2:$A$148,0))="","",INDEX(Articles!$E$2:$E$148,MATCH(C21,Articles!$A$2:$A$148,0)))</f>
        <v/>
      </c>
      <c r="J21" s="13" t="str">
        <f aca="false">IF(I21="","",F21*I21)</f>
        <v/>
      </c>
      <c r="K21" s="9" t="str">
        <f aca="false">INDEX(Articles!$H$2:$H$148,MATCH(C21,Articles!$A$2:$A$148,0))</f>
        <v>Fixé</v>
      </c>
      <c r="L21" s="9" t="str">
        <f aca="false">INDEX(Articles!$F$2:$F$148,MATCH(C21,Articles!$A$2:$A$148,0))</f>
        <v>Inconnu</v>
      </c>
      <c r="M21" s="17" t="s">
        <v>432</v>
      </c>
      <c r="N21" s="9" t="s">
        <v>167</v>
      </c>
    </row>
    <row r="22" customFormat="false" ht="15" hidden="false" customHeight="false" outlineLevel="0" collapsed="false">
      <c r="A22" s="9" t="s">
        <v>678</v>
      </c>
      <c r="B22" s="9" t="s">
        <v>750</v>
      </c>
      <c r="C22" s="31" t="s">
        <v>235</v>
      </c>
      <c r="D22" s="9" t="str">
        <f aca="false">INDEX(Articles!$C$2:$C$148,MATCH(C22,Articles!$A$2:$A$148,0))</f>
        <v>Crayon papier (vendu à l'unité)</v>
      </c>
      <c r="E22" s="9" t="str">
        <f aca="false">INDEX(Articles!$B$2:$B$148,MATCH(C22,Articles!$A$2:$A$148,0))</f>
        <v>LPD</v>
      </c>
      <c r="F22" s="31" t="n">
        <v>1</v>
      </c>
      <c r="G22" s="13" t="n">
        <f aca="false">IF(INDEX(Articles!$G$2:$G$148,MATCH(C22,Articles!$A$2:$A$148,0))="","",INDEX(Articles!$G$2:$G$148,MATCH(C22,Articles!$A$2:$A$148,0)))</f>
        <v>75</v>
      </c>
      <c r="H22" s="13" t="n">
        <f aca="false">IF(G22="",0,F22*G22)</f>
        <v>75</v>
      </c>
      <c r="I22" s="13" t="str">
        <f aca="false">IF(INDEX(Articles!$E$2:$E$148,MATCH(C22,Articles!$A$2:$A$148,0))="","",INDEX(Articles!$E$2:$E$148,MATCH(C22,Articles!$A$2:$A$148,0)))</f>
        <v/>
      </c>
      <c r="J22" s="13" t="str">
        <f aca="false">IF(I22="","",F22*I22)</f>
        <v/>
      </c>
      <c r="K22" s="9" t="str">
        <f aca="false">INDEX(Articles!$H$2:$H$148,MATCH(C22,Articles!$A$2:$A$148,0))</f>
        <v>Fixé</v>
      </c>
      <c r="L22" s="9" t="str">
        <f aca="false">INDEX(Articles!$F$2:$F$148,MATCH(C22,Articles!$A$2:$A$148,0))</f>
        <v>Inconnu</v>
      </c>
      <c r="M22" s="17"/>
      <c r="N22" s="9" t="s">
        <v>167</v>
      </c>
    </row>
    <row r="23" customFormat="false" ht="15" hidden="false" customHeight="false" outlineLevel="0" collapsed="false">
      <c r="A23" s="9" t="s">
        <v>675</v>
      </c>
      <c r="B23" s="9" t="s">
        <v>717</v>
      </c>
      <c r="C23" s="31" t="s">
        <v>180</v>
      </c>
      <c r="D23" s="9" t="str">
        <f aca="false">INDEX(Articles!$C$2:$C$148,MATCH(C23,Articles!$A$2:$A$148,0))</f>
        <v>Gomme Staedtler Mars Plastic</v>
      </c>
      <c r="E23" s="9" t="str">
        <f aca="false">INDEX(Articles!$B$2:$B$148,MATCH(C23,Articles!$A$2:$A$148,0))</f>
        <v>LPD</v>
      </c>
      <c r="F23" s="31" t="n">
        <v>1</v>
      </c>
      <c r="G23" s="13" t="n">
        <f aca="false">IF(INDEX(Articles!$G$2:$G$148,MATCH(C23,Articles!$A$2:$A$148,0))="","",INDEX(Articles!$G$2:$G$148,MATCH(C23,Articles!$A$2:$A$148,0)))</f>
        <v>250</v>
      </c>
      <c r="H23" s="13" t="n">
        <f aca="false">IF(G23="",0,F23*G23)</f>
        <v>250</v>
      </c>
      <c r="I23" s="13" t="n">
        <f aca="false">IF(INDEX(Articles!$E$2:$E$148,MATCH(C23,Articles!$A$2:$A$148,0))="","",INDEX(Articles!$E$2:$E$148,MATCH(C23,Articles!$A$2:$A$148,0)))</f>
        <v>110</v>
      </c>
      <c r="J23" s="13" t="n">
        <f aca="false">IF(I23="","",F23*I23)</f>
        <v>110</v>
      </c>
      <c r="K23" s="9" t="str">
        <f aca="false">INDEX(Articles!$H$2:$H$148,MATCH(C23,Articles!$A$2:$A$148,0))</f>
        <v>Fixé</v>
      </c>
      <c r="L23" s="9" t="str">
        <f aca="false">INDEX(Articles!$F$2:$F$148,MATCH(C23,Articles!$A$2:$A$148,0))</f>
        <v>Estimé</v>
      </c>
      <c r="M23" s="17"/>
      <c r="N23" s="9" t="s">
        <v>167</v>
      </c>
    </row>
    <row r="24" customFormat="false" ht="15" hidden="false" customHeight="false" outlineLevel="0" collapsed="false">
      <c r="A24" s="9" t="s">
        <v>675</v>
      </c>
      <c r="B24" s="9" t="s">
        <v>751</v>
      </c>
      <c r="C24" s="31" t="s">
        <v>183</v>
      </c>
      <c r="D24" s="9" t="str">
        <f aca="false">INDEX(Articles!$C$2:$C$148,MATCH(C24,Articles!$A$2:$A$148,0))</f>
        <v>Taille-crayon avec réservoir Maped</v>
      </c>
      <c r="E24" s="9" t="str">
        <f aca="false">INDEX(Articles!$B$2:$B$148,MATCH(C24,Articles!$A$2:$A$148,0))</f>
        <v>Papex</v>
      </c>
      <c r="F24" s="31" t="n">
        <v>1</v>
      </c>
      <c r="G24" s="13" t="n">
        <f aca="false">IF(INDEX(Articles!$G$2:$G$148,MATCH(C24,Articles!$A$2:$A$148,0))="","",INDEX(Articles!$G$2:$G$148,MATCH(C24,Articles!$A$2:$A$148,0)))</f>
        <v>500</v>
      </c>
      <c r="H24" s="13" t="n">
        <f aca="false">IF(G24="",0,F24*G24)</f>
        <v>500</v>
      </c>
      <c r="I24" s="13" t="n">
        <f aca="false">IF(INDEX(Articles!$E$2:$E$148,MATCH(C24,Articles!$A$2:$A$148,0))="","",INDEX(Articles!$E$2:$E$148,MATCH(C24,Articles!$A$2:$A$148,0)))</f>
        <v>350</v>
      </c>
      <c r="J24" s="13" t="n">
        <f aca="false">IF(I24="","",F24*I24)</f>
        <v>350</v>
      </c>
      <c r="K24" s="9" t="str">
        <f aca="false">INDEX(Articles!$H$2:$H$148,MATCH(C24,Articles!$A$2:$A$148,0))</f>
        <v>Estimé</v>
      </c>
      <c r="L24" s="9" t="str">
        <f aca="false">INDEX(Articles!$F$2:$F$148,MATCH(C24,Articles!$A$2:$A$148,0))</f>
        <v>Estimé</v>
      </c>
      <c r="M24" s="17" t="s">
        <v>752</v>
      </c>
      <c r="N24" s="9" t="s">
        <v>167</v>
      </c>
    </row>
    <row r="25" customFormat="false" ht="15" hidden="false" customHeight="false" outlineLevel="0" collapsed="false">
      <c r="A25" s="9" t="s">
        <v>675</v>
      </c>
      <c r="B25" s="9" t="s">
        <v>753</v>
      </c>
      <c r="C25" s="31" t="s">
        <v>250</v>
      </c>
      <c r="D25" s="9" t="str">
        <f aca="false">INDEX(Articles!$C$2:$C$148,MATCH(C25,Articles!$A$2:$A$148,0))</f>
        <v>Bâton de colle Giotto 10 g</v>
      </c>
      <c r="E25" s="9" t="str">
        <f aca="false">INDEX(Articles!$B$2:$B$148,MATCH(C25,Articles!$A$2:$A$148,0))</f>
        <v>Papex</v>
      </c>
      <c r="F25" s="31" t="n">
        <v>1</v>
      </c>
      <c r="G25" s="13" t="n">
        <f aca="false">IF(INDEX(Articles!$G$2:$G$148,MATCH(C25,Articles!$A$2:$A$148,0))="","",INDEX(Articles!$G$2:$G$148,MATCH(C25,Articles!$A$2:$A$148,0)))</f>
        <v>500</v>
      </c>
      <c r="H25" s="13" t="n">
        <f aca="false">IF(G25="",0,F25*G25)</f>
        <v>500</v>
      </c>
      <c r="I25" s="13" t="n">
        <f aca="false">IF(INDEX(Articles!$E$2:$E$148,MATCH(C25,Articles!$A$2:$A$148,0))="","",INDEX(Articles!$E$2:$E$148,MATCH(C25,Articles!$A$2:$A$148,0)))</f>
        <v>350</v>
      </c>
      <c r="J25" s="13" t="n">
        <f aca="false">IF(I25="","",F25*I25)</f>
        <v>350</v>
      </c>
      <c r="K25" s="9" t="str">
        <f aca="false">INDEX(Articles!$H$2:$H$148,MATCH(C25,Articles!$A$2:$A$148,0))</f>
        <v>Estimé</v>
      </c>
      <c r="L25" s="9" t="str">
        <f aca="false">INDEX(Articles!$F$2:$F$148,MATCH(C25,Articles!$A$2:$A$148,0))</f>
        <v>Estimé</v>
      </c>
      <c r="M25" s="17"/>
      <c r="N25" s="9" t="s">
        <v>167</v>
      </c>
    </row>
    <row r="26" customFormat="false" ht="15" hidden="false" customHeight="false" outlineLevel="0" collapsed="false">
      <c r="A26" s="9" t="s">
        <v>675</v>
      </c>
      <c r="B26" s="9" t="s">
        <v>754</v>
      </c>
      <c r="C26" s="31" t="s">
        <v>233</v>
      </c>
      <c r="D26" s="9" t="str">
        <f aca="false">INDEX(Articles!$C$2:$C$148,MATCH(C26,Articles!$A$2:$A$148,0))</f>
        <v>Ciseaux scolaires bouts ronds</v>
      </c>
      <c r="E26" s="9" t="str">
        <f aca="false">INDEX(Articles!$B$2:$B$148,MATCH(C26,Articles!$A$2:$A$148,0))</f>
        <v>LPD</v>
      </c>
      <c r="F26" s="31" t="n">
        <v>1</v>
      </c>
      <c r="G26" s="13" t="n">
        <f aca="false">IF(INDEX(Articles!$G$2:$G$148,MATCH(C26,Articles!$A$2:$A$148,0))="","",INDEX(Articles!$G$2:$G$148,MATCH(C26,Articles!$A$2:$A$148,0)))</f>
        <v>250</v>
      </c>
      <c r="H26" s="13" t="n">
        <f aca="false">IF(G26="",0,F26*G26)</f>
        <v>250</v>
      </c>
      <c r="I26" s="13" t="n">
        <f aca="false">IF(INDEX(Articles!$E$2:$E$148,MATCH(C26,Articles!$A$2:$A$148,0))="","",INDEX(Articles!$E$2:$E$148,MATCH(C26,Articles!$A$2:$A$148,0)))</f>
        <v>100</v>
      </c>
      <c r="J26" s="13" t="n">
        <f aca="false">IF(I26="","",F26*I26)</f>
        <v>100</v>
      </c>
      <c r="K26" s="9" t="str">
        <f aca="false">INDEX(Articles!$H$2:$H$148,MATCH(C26,Articles!$A$2:$A$148,0))</f>
        <v>Fixé</v>
      </c>
      <c r="L26" s="9" t="str">
        <f aca="false">INDEX(Articles!$F$2:$F$148,MATCH(C26,Articles!$A$2:$A$148,0))</f>
        <v>Estimé</v>
      </c>
      <c r="M26" s="17"/>
      <c r="N26" s="9" t="s">
        <v>167</v>
      </c>
    </row>
    <row r="27" customFormat="false" ht="15" hidden="false" customHeight="false" outlineLevel="0" collapsed="false">
      <c r="A27" s="9" t="s">
        <v>676</v>
      </c>
      <c r="B27" s="9" t="s">
        <v>755</v>
      </c>
      <c r="C27" s="31" t="s">
        <v>239</v>
      </c>
      <c r="D27" s="9" t="str">
        <f aca="false">INDEX(Articles!$C$2:$C$148,MATCH(C27,Articles!$A$2:$A$148,0))</f>
        <v>Kit de traçage 30 cm, 4 pièces L'écolier</v>
      </c>
      <c r="E27" s="9" t="str">
        <f aca="false">INDEX(Articles!$B$2:$B$148,MATCH(C27,Articles!$A$2:$A$148,0))</f>
        <v>Papex</v>
      </c>
      <c r="F27" s="31" t="n">
        <v>1</v>
      </c>
      <c r="G27" s="13" t="n">
        <f aca="false">IF(INDEX(Articles!$G$2:$G$148,MATCH(C27,Articles!$A$2:$A$148,0))="","",INDEX(Articles!$G$2:$G$148,MATCH(C27,Articles!$A$2:$A$148,0)))</f>
        <v>900</v>
      </c>
      <c r="H27" s="13" t="n">
        <f aca="false">IF(G27="",0,F27*G27)</f>
        <v>900</v>
      </c>
      <c r="I27" s="13" t="n">
        <f aca="false">IF(INDEX(Articles!$E$2:$E$148,MATCH(C27,Articles!$A$2:$A$148,0))="","",INDEX(Articles!$E$2:$E$148,MATCH(C27,Articles!$A$2:$A$148,0)))</f>
        <v>650</v>
      </c>
      <c r="J27" s="13" t="n">
        <f aca="false">IF(I27="","",F27*I27)</f>
        <v>650</v>
      </c>
      <c r="K27" s="9" t="str">
        <f aca="false">INDEX(Articles!$H$2:$H$148,MATCH(C27,Articles!$A$2:$A$148,0))</f>
        <v>Estimé</v>
      </c>
      <c r="L27" s="9" t="str">
        <f aca="false">INDEX(Articles!$F$2:$F$148,MATCH(C27,Articles!$A$2:$A$148,0))</f>
        <v>Confirmé</v>
      </c>
      <c r="M27" s="17"/>
      <c r="N27" s="9" t="s">
        <v>167</v>
      </c>
    </row>
    <row r="28" customFormat="false" ht="15" hidden="false" customHeight="false" outlineLevel="0" collapsed="false">
      <c r="A28" s="9" t="s">
        <v>676</v>
      </c>
      <c r="B28" s="9" t="s">
        <v>756</v>
      </c>
      <c r="C28" s="31" t="s">
        <v>217</v>
      </c>
      <c r="D28" s="9" t="str">
        <f aca="false">INDEX(Articles!$C$2:$C$148,MATCH(C28,Articles!$A$2:$A$148,0))</f>
        <v>Compas de précision avec étui</v>
      </c>
      <c r="E28" s="9" t="str">
        <f aca="false">INDEX(Articles!$B$2:$B$148,MATCH(C28,Articles!$A$2:$A$148,0))</f>
        <v>LPD</v>
      </c>
      <c r="F28" s="31" t="n">
        <v>1</v>
      </c>
      <c r="G28" s="13" t="n">
        <f aca="false">IF(INDEX(Articles!$G$2:$G$148,MATCH(C28,Articles!$A$2:$A$148,0))="","",INDEX(Articles!$G$2:$G$148,MATCH(C28,Articles!$A$2:$A$148,0)))</f>
        <v>600</v>
      </c>
      <c r="H28" s="13" t="n">
        <f aca="false">IF(G28="",0,F28*G28)</f>
        <v>600</v>
      </c>
      <c r="I28" s="13" t="n">
        <f aca="false">IF(INDEX(Articles!$E$2:$E$148,MATCH(C28,Articles!$A$2:$A$148,0))="","",INDEX(Articles!$E$2:$E$148,MATCH(C28,Articles!$A$2:$A$148,0)))</f>
        <v>450</v>
      </c>
      <c r="J28" s="13" t="n">
        <f aca="false">IF(I28="","",F28*I28)</f>
        <v>450</v>
      </c>
      <c r="K28" s="9" t="str">
        <f aca="false">INDEX(Articles!$H$2:$H$148,MATCH(C28,Articles!$A$2:$A$148,0))</f>
        <v>Fixé</v>
      </c>
      <c r="L28" s="9" t="str">
        <f aca="false">INDEX(Articles!$F$2:$F$148,MATCH(C28,Articles!$A$2:$A$148,0))</f>
        <v>Estimé</v>
      </c>
      <c r="M28" s="17"/>
      <c r="N28" s="9" t="s">
        <v>167</v>
      </c>
    </row>
    <row r="29" customFormat="false" ht="15" hidden="false" customHeight="false" outlineLevel="0" collapsed="false">
      <c r="A29" s="9" t="s">
        <v>681</v>
      </c>
      <c r="B29" s="9" t="s">
        <v>757</v>
      </c>
      <c r="C29" s="31" t="s">
        <v>198</v>
      </c>
      <c r="D29" s="9" t="str">
        <f aca="false">INDEX(Articles!$C$2:$C$148,MATCH(C29,Articles!$A$2:$A$148,0))</f>
        <v>Crayons de couleur Maped, boîte de 12</v>
      </c>
      <c r="E29" s="9" t="str">
        <f aca="false">INDEX(Articles!$B$2:$B$148,MATCH(C29,Articles!$A$2:$A$148,0))</f>
        <v>Papex</v>
      </c>
      <c r="F29" s="31" t="n">
        <v>1</v>
      </c>
      <c r="G29" s="13" t="n">
        <f aca="false">IF(INDEX(Articles!$G$2:$G$148,MATCH(C29,Articles!$A$2:$A$148,0))="","",INDEX(Articles!$G$2:$G$148,MATCH(C29,Articles!$A$2:$A$148,0)))</f>
        <v>900</v>
      </c>
      <c r="H29" s="13" t="n">
        <f aca="false">IF(G29="",0,F29*G29)</f>
        <v>900</v>
      </c>
      <c r="I29" s="13" t="n">
        <f aca="false">IF(INDEX(Articles!$E$2:$E$148,MATCH(C29,Articles!$A$2:$A$148,0))="","",INDEX(Articles!$E$2:$E$148,MATCH(C29,Articles!$A$2:$A$148,0)))</f>
        <v>650</v>
      </c>
      <c r="J29" s="13" t="n">
        <f aca="false">IF(I29="","",F29*I29)</f>
        <v>650</v>
      </c>
      <c r="K29" s="9" t="str">
        <f aca="false">INDEX(Articles!$H$2:$H$148,MATCH(C29,Articles!$A$2:$A$148,0))</f>
        <v>Estimé</v>
      </c>
      <c r="L29" s="9" t="str">
        <f aca="false">INDEX(Articles!$F$2:$F$148,MATCH(C29,Articles!$A$2:$A$148,0))</f>
        <v>Estimé</v>
      </c>
      <c r="M29" s="17"/>
      <c r="N29" s="9" t="s">
        <v>167</v>
      </c>
    </row>
    <row r="30" customFormat="false" ht="15" hidden="false" customHeight="false" outlineLevel="0" collapsed="false">
      <c r="A30" s="9" t="s">
        <v>676</v>
      </c>
      <c r="B30" s="9" t="s">
        <v>812</v>
      </c>
      <c r="C30" s="31" t="s">
        <v>242</v>
      </c>
      <c r="D30" s="9" t="str">
        <f aca="false">INDEX(Articles!$C$2:$C$148,MATCH(C30,Articles!$A$2:$A$148,0))</f>
        <v>Calculatrice scientifique Parpn YH-2000</v>
      </c>
      <c r="E30" s="9" t="str">
        <f aca="false">INDEX(Articles!$B$2:$B$148,MATCH(C30,Articles!$A$2:$A$148,0))</f>
        <v>LPD</v>
      </c>
      <c r="F30" s="31" t="n">
        <v>1</v>
      </c>
      <c r="G30" s="13" t="n">
        <f aca="false">IF(INDEX(Articles!$G$2:$G$148,MATCH(C30,Articles!$A$2:$A$148,0))="","",INDEX(Articles!$G$2:$G$148,MATCH(C30,Articles!$A$2:$A$148,0)))</f>
        <v>1400</v>
      </c>
      <c r="H30" s="13" t="n">
        <f aca="false">IF(G30="",0,F30*G30)</f>
        <v>1400</v>
      </c>
      <c r="I30" s="13" t="n">
        <f aca="false">IF(INDEX(Articles!$E$2:$E$148,MATCH(C30,Articles!$A$2:$A$148,0))="","",INDEX(Articles!$E$2:$E$148,MATCH(C30,Articles!$A$2:$A$148,0)))</f>
        <v>1100</v>
      </c>
      <c r="J30" s="13" t="n">
        <f aca="false">IF(I30="","",F30*I30)</f>
        <v>1100</v>
      </c>
      <c r="K30" s="9" t="str">
        <f aca="false">INDEX(Articles!$H$2:$H$148,MATCH(C30,Articles!$A$2:$A$148,0))</f>
        <v>Fixé</v>
      </c>
      <c r="L30" s="9" t="str">
        <f aca="false">INDEX(Articles!$F$2:$F$148,MATCH(C30,Articles!$A$2:$A$148,0))</f>
        <v>Confirmé</v>
      </c>
      <c r="M30" s="17" t="s">
        <v>813</v>
      </c>
      <c r="N30" s="9" t="s">
        <v>167</v>
      </c>
    </row>
    <row r="31" customFormat="false" ht="15" hidden="false" customHeight="false" outlineLevel="0" collapsed="false">
      <c r="A31" s="9" t="s">
        <v>758</v>
      </c>
      <c r="B31" s="9" t="s">
        <v>759</v>
      </c>
      <c r="C31" s="31" t="s">
        <v>376</v>
      </c>
      <c r="D31" s="9" t="str">
        <f aca="false">INDEX(Articles!$C$2:$C$148,MATCH(C31,Articles!$A$2:$A$148,0))</f>
        <v>Paquet de copies doubles grand format</v>
      </c>
      <c r="E31" s="9" t="str">
        <f aca="false">INDEX(Articles!$B$2:$B$148,MATCH(C31,Articles!$A$2:$A$148,0))</f>
        <v>À préciser</v>
      </c>
      <c r="F31" s="31" t="n">
        <v>1</v>
      </c>
      <c r="G31" s="45" t="n">
        <f aca="false">IF(INDEX(Articles!$G$2:$G$148,MATCH(C31,Articles!$A$2:$A$148,0))="","",INDEX(Articles!$G$2:$G$148,MATCH(C31,Articles!$A$2:$A$148,0)))</f>
        <v>1800</v>
      </c>
      <c r="H31" s="13" t="n">
        <f aca="false">IF(G31="",0,F31*G31)</f>
        <v>1800</v>
      </c>
      <c r="I31" s="13" t="n">
        <f aca="false">IF(INDEX(Articles!$E$2:$E$148,MATCH(C31,Articles!$A$2:$A$148,0))="","",INDEX(Articles!$E$2:$E$148,MATCH(C31,Articles!$A$2:$A$148,0)))</f>
        <v>1300</v>
      </c>
      <c r="J31" s="13" t="n">
        <f aca="false">IF(I31="","",F31*I31)</f>
        <v>1300</v>
      </c>
      <c r="K31" s="9" t="str">
        <f aca="false">INDEX(Articles!$H$2:$H$148,MATCH(C31,Articles!$A$2:$A$148,0))</f>
        <v>Fixé</v>
      </c>
      <c r="L31" s="9" t="str">
        <f aca="false">INDEX(Articles!$F$2:$F$148,MATCH(C31,Articles!$A$2:$A$148,0))</f>
        <v>Confirmé</v>
      </c>
      <c r="M31" s="17"/>
      <c r="N31" s="9" t="s">
        <v>167</v>
      </c>
    </row>
    <row r="32" customFormat="false" ht="15" hidden="false" customHeight="false" outlineLevel="0" collapsed="false">
      <c r="D32" s="32" t="s">
        <v>683</v>
      </c>
      <c r="E32" s="32"/>
      <c r="F32" s="32"/>
      <c r="G32" s="32"/>
      <c r="H32" s="33" t="n">
        <f aca="false">COUNTIF(G6:G31,"")</f>
        <v>0</v>
      </c>
    </row>
    <row r="33" customFormat="false" ht="15" hidden="false" customHeight="false" outlineLevel="0" collapsed="false">
      <c r="D33" s="32" t="s">
        <v>684</v>
      </c>
      <c r="E33" s="32"/>
      <c r="F33" s="32"/>
      <c r="G33" s="32"/>
      <c r="H33" s="33" t="n">
        <f aca="false">SUM(H6:H31)</f>
        <v>14925</v>
      </c>
    </row>
    <row r="34" customFormat="false" ht="15" hidden="false" customHeight="false" outlineLevel="0" collapsed="false">
      <c r="D34" s="32" t="s">
        <v>28</v>
      </c>
      <c r="E34" s="32"/>
      <c r="F34" s="32"/>
      <c r="G34" s="32"/>
      <c r="H34" s="33" t="n">
        <f aca="false">SUM(J6:J31)</f>
        <v>10910</v>
      </c>
    </row>
    <row r="35" customFormat="false" ht="15" hidden="false" customHeight="false" outlineLevel="0" collapsed="false">
      <c r="D35" s="32" t="s">
        <v>685</v>
      </c>
      <c r="E35" s="32"/>
      <c r="F35" s="32"/>
      <c r="G35" s="32"/>
      <c r="H35" s="33" t="n">
        <f aca="false">COUNTIF(I6:I31,"")</f>
        <v>2</v>
      </c>
    </row>
    <row r="36" customFormat="false" ht="15" hidden="false" customHeight="false" outlineLevel="0" collapsed="false">
      <c r="D36" s="32" t="s">
        <v>686</v>
      </c>
      <c r="E36" s="32"/>
      <c r="F36" s="32"/>
      <c r="G36" s="32"/>
      <c r="H36" s="33" t="n">
        <f aca="false">SUMPRODUCT((I6:I31&lt;&gt;"")*H6:H31)-H34</f>
        <v>3540</v>
      </c>
    </row>
    <row r="37" customFormat="false" ht="15" hidden="false" customHeight="false" outlineLevel="0" collapsed="false">
      <c r="D37" s="32" t="s">
        <v>687</v>
      </c>
      <c r="E37" s="32"/>
      <c r="F37" s="32"/>
      <c r="G37" s="32"/>
      <c r="H37" s="33" t="n">
        <f aca="false">SUMIF(A6:A31,"Cahiers",F6:F31)</f>
        <v>15</v>
      </c>
    </row>
    <row r="38" customFormat="false" ht="15" hidden="false" customHeight="false" outlineLevel="0" collapsed="false">
      <c r="D38" s="32" t="s">
        <v>688</v>
      </c>
      <c r="E38" s="32"/>
      <c r="F38" s="32"/>
      <c r="G38" s="32"/>
      <c r="H38" s="34" t="n">
        <f aca="false">IF(H33=0,0,SUMIF(K6:K31,"&lt;&gt;Fixé",H6:H31)/H33)</f>
        <v>0.589614740368509</v>
      </c>
    </row>
    <row r="39" customFormat="false" ht="15" hidden="false" customHeight="false" outlineLevel="0" collapsed="false">
      <c r="D39" s="32" t="s">
        <v>689</v>
      </c>
      <c r="E39" s="32"/>
      <c r="F39" s="32"/>
      <c r="G39" s="32"/>
      <c r="H39" s="33" t="str">
        <f aca="false">IF(H32&gt;0,"Total incomplet : "&amp;H32&amp;" prix de vente à fournir",IF(H35&gt;0,"Coût incomplet : "&amp;H35&amp;" ligne(s) sans prix d'achat","Complet"))</f>
        <v>Coût incomplet : 2 ligne(s) sans prix d'achat</v>
      </c>
    </row>
    <row r="41" customFormat="false" ht="15" hidden="false" customHeight="false" outlineLevel="0" collapsed="false">
      <c r="D41" s="35" t="s">
        <v>690</v>
      </c>
    </row>
    <row r="42" customFormat="false" ht="15" hidden="false" customHeight="false" outlineLevel="0" collapsed="false">
      <c r="A42" s="36" t="s">
        <v>760</v>
      </c>
      <c r="B42" s="36" t="s">
        <v>883</v>
      </c>
      <c r="C42" s="31" t="s">
        <v>514</v>
      </c>
      <c r="D42" s="36" t="str">
        <f aca="false">INDEX(Articles!$C$2:$C$148,MATCH(C42,Articles!$A$2:$A$148,0))</f>
        <v>L'Étranger (Albert Camus)</v>
      </c>
      <c r="E42" s="37"/>
      <c r="F42" s="37"/>
      <c r="G42" s="38" t="n">
        <f aca="false">INDEX(Articles!$G$2:$G$148,MATCH(C42,Articles!$A$2:$A$148,0))</f>
        <v>2800</v>
      </c>
      <c r="H42" s="37"/>
      <c r="I42" s="37"/>
      <c r="J42" s="37"/>
      <c r="K42" s="37"/>
      <c r="L42" s="37"/>
      <c r="M42" s="37"/>
      <c r="N42" s="39" t="s">
        <v>271</v>
      </c>
    </row>
    <row r="43" customFormat="false" ht="15" hidden="false" customHeight="false" outlineLevel="0" collapsed="false">
      <c r="A43" s="36" t="s">
        <v>760</v>
      </c>
      <c r="B43" s="36" t="s">
        <v>883</v>
      </c>
      <c r="C43" s="31" t="s">
        <v>516</v>
      </c>
      <c r="D43" s="36" t="str">
        <f aca="false">INDEX(Articles!$C$2:$C$148,MATCH(C43,Articles!$A$2:$A$148,0))</f>
        <v>Les Contemplations (Victor Hugo)</v>
      </c>
      <c r="E43" s="37"/>
      <c r="F43" s="37"/>
      <c r="G43" s="38" t="n">
        <f aca="false">INDEX(Articles!$G$2:$G$148,MATCH(C43,Articles!$A$2:$A$148,0))</f>
        <v>2800</v>
      </c>
      <c r="H43" s="37"/>
      <c r="I43" s="37"/>
      <c r="J43" s="37"/>
      <c r="K43" s="37"/>
      <c r="L43" s="37"/>
      <c r="M43" s="37"/>
      <c r="N43" s="39" t="s">
        <v>271</v>
      </c>
    </row>
    <row r="44" customFormat="false" ht="15" hidden="false" customHeight="false" outlineLevel="0" collapsed="false">
      <c r="D44" s="40" t="s">
        <v>695</v>
      </c>
      <c r="H44" s="33" t="n">
        <f aca="false">H33+SUM(G42:G43)</f>
        <v>20525</v>
      </c>
    </row>
    <row r="45" customFormat="false" ht="15" hidden="false" customHeight="false" outlineLevel="0" collapsed="false">
      <c r="D45" s="21" t="s">
        <v>696</v>
      </c>
      <c r="E45" s="21" t="str">
        <f aca="false">INDEX(Articles!$C$2:$C$148,MATCH("S020",Articles!$A$2:$A$148,0))</f>
        <v>Sac à dos bleu marine</v>
      </c>
      <c r="H45" s="41" t="n">
        <f aca="false">INDEX(Articles!$G$2:$G$148,MATCH("S020",Articles!$A$2:$A$148,0))</f>
        <v>7000</v>
      </c>
    </row>
    <row r="46" customFormat="false" ht="15" hidden="false" customHeight="false" outlineLevel="0" collapsed="false">
      <c r="D46" s="42" t="s">
        <v>697</v>
      </c>
      <c r="E46" s="44" t="s">
        <v>711</v>
      </c>
    </row>
    <row r="49" customFormat="false" ht="15" hidden="false" customHeight="false" outlineLevel="0" collapsed="false">
      <c r="A49" s="28" t="s">
        <v>956</v>
      </c>
      <c r="B49" s="29"/>
      <c r="C49" s="29"/>
      <c r="D49" s="29"/>
      <c r="E49" s="29"/>
      <c r="F49" s="29"/>
      <c r="G49" s="29"/>
      <c r="H49" s="29"/>
      <c r="I49" s="29"/>
      <c r="J49" s="29"/>
      <c r="K49" s="29"/>
      <c r="L49" s="29"/>
      <c r="M49" s="29"/>
      <c r="N49" s="29"/>
    </row>
    <row r="50" customFormat="false" ht="39.55" hidden="false" customHeight="false" outlineLevel="0" collapsed="false">
      <c r="A50" s="30" t="s">
        <v>663</v>
      </c>
      <c r="B50" s="30" t="s">
        <v>664</v>
      </c>
      <c r="C50" s="30" t="s">
        <v>348</v>
      </c>
      <c r="D50" s="30" t="s">
        <v>350</v>
      </c>
      <c r="E50" s="30" t="s">
        <v>349</v>
      </c>
      <c r="F50" s="30" t="s">
        <v>665</v>
      </c>
      <c r="G50" s="30" t="s">
        <v>666</v>
      </c>
      <c r="H50" s="30" t="s">
        <v>667</v>
      </c>
      <c r="I50" s="30" t="s">
        <v>668</v>
      </c>
      <c r="J50" s="30" t="s">
        <v>669</v>
      </c>
      <c r="K50" s="30" t="s">
        <v>355</v>
      </c>
      <c r="L50" s="30" t="s">
        <v>353</v>
      </c>
      <c r="M50" s="30" t="s">
        <v>356</v>
      </c>
      <c r="N50" s="30" t="s">
        <v>670</v>
      </c>
    </row>
    <row r="51" customFormat="false" ht="15" hidden="false" customHeight="false" outlineLevel="0" collapsed="false">
      <c r="A51" s="9" t="s">
        <v>671</v>
      </c>
      <c r="B51" s="9" t="s">
        <v>939</v>
      </c>
      <c r="C51" s="31" t="s">
        <v>213</v>
      </c>
      <c r="D51" s="9" t="str">
        <f aca="false">INDEX(Articles!$C$2:$C$148,MATCH(C51,Articles!$A$2:$A$148,0))</f>
        <v>Cahier Calligraphe 192 pages 24x32 (grand format)</v>
      </c>
      <c r="E51" s="9" t="str">
        <f aca="false">INDEX(Articles!$B$2:$B$148,MATCH(C51,Articles!$A$2:$A$148,0))</f>
        <v>Papex</v>
      </c>
      <c r="F51" s="31" t="n">
        <v>1</v>
      </c>
      <c r="G51" s="13" t="n">
        <f aca="false">IF(INDEX(Articles!$G$2:$G$148,MATCH(C51,Articles!$A$2:$A$148,0))="","",INDEX(Articles!$G$2:$G$148,MATCH(C51,Articles!$A$2:$A$148,0)))</f>
        <v>1650</v>
      </c>
      <c r="H51" s="13" t="n">
        <f aca="false">IF(G51="",0,F51*G51)</f>
        <v>1650</v>
      </c>
      <c r="I51" s="13" t="n">
        <f aca="false">IF(INDEX(Articles!$E$2:$E$148,MATCH(C51,Articles!$A$2:$A$148,0))="","",INDEX(Articles!$E$2:$E$148,MATCH(C51,Articles!$A$2:$A$148,0)))</f>
        <v>1500</v>
      </c>
      <c r="J51" s="13" t="n">
        <f aca="false">IF(I51="","",F51*I51)</f>
        <v>1500</v>
      </c>
      <c r="K51" s="9" t="str">
        <f aca="false">INDEX(Articles!$H$2:$H$148,MATCH(C51,Articles!$A$2:$A$148,0))</f>
        <v>Fixé</v>
      </c>
      <c r="L51" s="9" t="str">
        <f aca="false">INDEX(Articles!$F$2:$F$148,MATCH(C51,Articles!$A$2:$A$148,0))</f>
        <v>Confirmé</v>
      </c>
      <c r="M51" s="17"/>
      <c r="N51" s="9" t="s">
        <v>167</v>
      </c>
    </row>
    <row r="52" customFormat="false" ht="15" hidden="false" customHeight="false" outlineLevel="0" collapsed="false">
      <c r="A52" s="9" t="s">
        <v>671</v>
      </c>
      <c r="B52" s="9" t="s">
        <v>940</v>
      </c>
      <c r="C52" s="31" t="s">
        <v>213</v>
      </c>
      <c r="D52" s="9" t="str">
        <f aca="false">INDEX(Articles!$C$2:$C$148,MATCH(C52,Articles!$A$2:$A$148,0))</f>
        <v>Cahier Calligraphe 192 pages 24x32 (grand format)</v>
      </c>
      <c r="E52" s="9" t="str">
        <f aca="false">INDEX(Articles!$B$2:$B$148,MATCH(C52,Articles!$A$2:$A$148,0))</f>
        <v>Papex</v>
      </c>
      <c r="F52" s="31" t="n">
        <v>1</v>
      </c>
      <c r="G52" s="13" t="n">
        <f aca="false">IF(INDEX(Articles!$G$2:$G$148,MATCH(C52,Articles!$A$2:$A$148,0))="","",INDEX(Articles!$G$2:$G$148,MATCH(C52,Articles!$A$2:$A$148,0)))</f>
        <v>1650</v>
      </c>
      <c r="H52" s="13" t="n">
        <f aca="false">IF(G52="",0,F52*G52)</f>
        <v>1650</v>
      </c>
      <c r="I52" s="13" t="n">
        <f aca="false">IF(INDEX(Articles!$E$2:$E$148,MATCH(C52,Articles!$A$2:$A$148,0))="","",INDEX(Articles!$E$2:$E$148,MATCH(C52,Articles!$A$2:$A$148,0)))</f>
        <v>1500</v>
      </c>
      <c r="J52" s="13" t="n">
        <f aca="false">IF(I52="","",F52*I52)</f>
        <v>1500</v>
      </c>
      <c r="K52" s="9" t="str">
        <f aca="false">INDEX(Articles!$H$2:$H$148,MATCH(C52,Articles!$A$2:$A$148,0))</f>
        <v>Fixé</v>
      </c>
      <c r="L52" s="9" t="str">
        <f aca="false">INDEX(Articles!$F$2:$F$148,MATCH(C52,Articles!$A$2:$A$148,0))</f>
        <v>Confirmé</v>
      </c>
      <c r="M52" s="17"/>
      <c r="N52" s="9" t="s">
        <v>167</v>
      </c>
    </row>
    <row r="53" customFormat="false" ht="15" hidden="false" customHeight="false" outlineLevel="0" collapsed="false">
      <c r="A53" s="9" t="s">
        <v>671</v>
      </c>
      <c r="B53" s="9" t="s">
        <v>856</v>
      </c>
      <c r="C53" s="31" t="s">
        <v>213</v>
      </c>
      <c r="D53" s="9" t="str">
        <f aca="false">INDEX(Articles!$C$2:$C$148,MATCH(C53,Articles!$A$2:$A$148,0))</f>
        <v>Cahier Calligraphe 192 pages 24x32 (grand format)</v>
      </c>
      <c r="E53" s="9" t="str">
        <f aca="false">INDEX(Articles!$B$2:$B$148,MATCH(C53,Articles!$A$2:$A$148,0))</f>
        <v>Papex</v>
      </c>
      <c r="F53" s="31" t="n">
        <v>1</v>
      </c>
      <c r="G53" s="13" t="n">
        <f aca="false">IF(INDEX(Articles!$G$2:$G$148,MATCH(C53,Articles!$A$2:$A$148,0))="","",INDEX(Articles!$G$2:$G$148,MATCH(C53,Articles!$A$2:$A$148,0)))</f>
        <v>1650</v>
      </c>
      <c r="H53" s="13" t="n">
        <f aca="false">IF(G53="",0,F53*G53)</f>
        <v>1650</v>
      </c>
      <c r="I53" s="13" t="n">
        <f aca="false">IF(INDEX(Articles!$E$2:$E$148,MATCH(C53,Articles!$A$2:$A$148,0))="","",INDEX(Articles!$E$2:$E$148,MATCH(C53,Articles!$A$2:$A$148,0)))</f>
        <v>1500</v>
      </c>
      <c r="J53" s="13" t="n">
        <f aca="false">IF(I53="","",F53*I53)</f>
        <v>1500</v>
      </c>
      <c r="K53" s="9" t="str">
        <f aca="false">INDEX(Articles!$H$2:$H$148,MATCH(C53,Articles!$A$2:$A$148,0))</f>
        <v>Fixé</v>
      </c>
      <c r="L53" s="9" t="str">
        <f aca="false">INDEX(Articles!$F$2:$F$148,MATCH(C53,Articles!$A$2:$A$148,0))</f>
        <v>Confirmé</v>
      </c>
      <c r="M53" s="17"/>
      <c r="N53" s="9" t="s">
        <v>167</v>
      </c>
    </row>
    <row r="54" customFormat="false" ht="15" hidden="false" customHeight="false" outlineLevel="0" collapsed="false">
      <c r="A54" s="9" t="s">
        <v>671</v>
      </c>
      <c r="B54" s="9" t="s">
        <v>857</v>
      </c>
      <c r="C54" s="31" t="s">
        <v>366</v>
      </c>
      <c r="D54" s="9" t="str">
        <f aca="false">INDEX(Articles!$C$2:$C$148,MATCH(C54,Articles!$A$2:$A$148,0))</f>
        <v>Cahier Calligraphe 140 pages 17x22 90 g seyès</v>
      </c>
      <c r="E54" s="9" t="str">
        <f aca="false">INDEX(Articles!$B$2:$B$148,MATCH(C54,Articles!$A$2:$A$148,0))</f>
        <v>Papex</v>
      </c>
      <c r="F54" s="31" t="n">
        <v>1</v>
      </c>
      <c r="G54" s="13" t="n">
        <f aca="false">IF(INDEX(Articles!$G$2:$G$148,MATCH(C54,Articles!$A$2:$A$148,0))="","",INDEX(Articles!$G$2:$G$148,MATCH(C54,Articles!$A$2:$A$148,0)))</f>
        <v>750</v>
      </c>
      <c r="H54" s="13" t="n">
        <f aca="false">IF(G54="",0,F54*G54)</f>
        <v>750</v>
      </c>
      <c r="I54" s="13" t="n">
        <f aca="false">IF(INDEX(Articles!$E$2:$E$148,MATCH(C54,Articles!$A$2:$A$148,0))="","",INDEX(Articles!$E$2:$E$148,MATCH(C54,Articles!$A$2:$A$148,0)))</f>
        <v>650</v>
      </c>
      <c r="J54" s="13" t="n">
        <f aca="false">IF(I54="","",F54*I54)</f>
        <v>650</v>
      </c>
      <c r="K54" s="9" t="str">
        <f aca="false">INDEX(Articles!$H$2:$H$148,MATCH(C54,Articles!$A$2:$A$148,0))</f>
        <v>Fixé</v>
      </c>
      <c r="L54" s="9" t="str">
        <f aca="false">INDEX(Articles!$F$2:$F$148,MATCH(C54,Articles!$A$2:$A$148,0))</f>
        <v>Estimé</v>
      </c>
      <c r="M54" s="17" t="s">
        <v>763</v>
      </c>
      <c r="N54" s="9" t="s">
        <v>167</v>
      </c>
    </row>
    <row r="55" customFormat="false" ht="15" hidden="false" customHeight="false" outlineLevel="0" collapsed="false">
      <c r="A55" s="9" t="s">
        <v>671</v>
      </c>
      <c r="B55" s="9" t="s">
        <v>737</v>
      </c>
      <c r="C55" s="31" t="s">
        <v>213</v>
      </c>
      <c r="D55" s="9" t="str">
        <f aca="false">INDEX(Articles!$C$2:$C$148,MATCH(C55,Articles!$A$2:$A$148,0))</f>
        <v>Cahier Calligraphe 192 pages 24x32 (grand format)</v>
      </c>
      <c r="E55" s="9" t="str">
        <f aca="false">INDEX(Articles!$B$2:$B$148,MATCH(C55,Articles!$A$2:$A$148,0))</f>
        <v>Papex</v>
      </c>
      <c r="F55" s="31" t="n">
        <v>1</v>
      </c>
      <c r="G55" s="13" t="n">
        <f aca="false">IF(INDEX(Articles!$G$2:$G$148,MATCH(C55,Articles!$A$2:$A$148,0))="","",INDEX(Articles!$G$2:$G$148,MATCH(C55,Articles!$A$2:$A$148,0)))</f>
        <v>1650</v>
      </c>
      <c r="H55" s="13" t="n">
        <f aca="false">IF(G55="",0,F55*G55)</f>
        <v>1650</v>
      </c>
      <c r="I55" s="13" t="n">
        <f aca="false">IF(INDEX(Articles!$E$2:$E$148,MATCH(C55,Articles!$A$2:$A$148,0))="","",INDEX(Articles!$E$2:$E$148,MATCH(C55,Articles!$A$2:$A$148,0)))</f>
        <v>1500</v>
      </c>
      <c r="J55" s="13" t="n">
        <f aca="false">IF(I55="","",F55*I55)</f>
        <v>1500</v>
      </c>
      <c r="K55" s="9" t="str">
        <f aca="false">INDEX(Articles!$H$2:$H$148,MATCH(C55,Articles!$A$2:$A$148,0))</f>
        <v>Fixé</v>
      </c>
      <c r="L55" s="9" t="str">
        <f aca="false">INDEX(Articles!$F$2:$F$148,MATCH(C55,Articles!$A$2:$A$148,0))</f>
        <v>Confirmé</v>
      </c>
      <c r="M55" s="17"/>
      <c r="N55" s="9" t="s">
        <v>167</v>
      </c>
    </row>
    <row r="56" customFormat="false" ht="15" hidden="false" customHeight="false" outlineLevel="0" collapsed="false">
      <c r="A56" s="9" t="s">
        <v>671</v>
      </c>
      <c r="B56" s="9" t="s">
        <v>739</v>
      </c>
      <c r="C56" s="31" t="s">
        <v>192</v>
      </c>
      <c r="D56" s="9" t="str">
        <f aca="false">INDEX(Articles!$C$2:$C$148,MATCH(C56,Articles!$A$2:$A$148,0))</f>
        <v>Cahier Calligraphe 192 pages 17x22 90 g seyès</v>
      </c>
      <c r="E56" s="9" t="str">
        <f aca="false">INDEX(Articles!$B$2:$B$148,MATCH(C56,Articles!$A$2:$A$148,0))</f>
        <v>Papex</v>
      </c>
      <c r="F56" s="31" t="n">
        <v>1</v>
      </c>
      <c r="G56" s="13" t="n">
        <f aca="false">IF(INDEX(Articles!$G$2:$G$148,MATCH(C56,Articles!$A$2:$A$148,0))="","",INDEX(Articles!$G$2:$G$148,MATCH(C56,Articles!$A$2:$A$148,0)))</f>
        <v>900</v>
      </c>
      <c r="H56" s="13" t="n">
        <f aca="false">IF(G56="",0,F56*G56)</f>
        <v>900</v>
      </c>
      <c r="I56" s="13" t="n">
        <f aca="false">IF(INDEX(Articles!$E$2:$E$148,MATCH(C56,Articles!$A$2:$A$148,0))="","",INDEX(Articles!$E$2:$E$148,MATCH(C56,Articles!$A$2:$A$148,0)))</f>
        <v>800</v>
      </c>
      <c r="J56" s="13" t="n">
        <f aca="false">IF(I56="","",F56*I56)</f>
        <v>800</v>
      </c>
      <c r="K56" s="9" t="str">
        <f aca="false">INDEX(Articles!$H$2:$H$148,MATCH(C56,Articles!$A$2:$A$148,0))</f>
        <v>Fixé</v>
      </c>
      <c r="L56" s="9" t="str">
        <f aca="false">INDEX(Articles!$F$2:$F$148,MATCH(C56,Articles!$A$2:$A$148,0))</f>
        <v>Confirmé</v>
      </c>
      <c r="M56" s="17"/>
      <c r="N56" s="9" t="s">
        <v>167</v>
      </c>
    </row>
    <row r="57" customFormat="false" ht="15" hidden="false" customHeight="false" outlineLevel="0" collapsed="false">
      <c r="A57" s="9" t="s">
        <v>671</v>
      </c>
      <c r="B57" s="9" t="s">
        <v>853</v>
      </c>
      <c r="C57" s="31" t="s">
        <v>213</v>
      </c>
      <c r="D57" s="9" t="str">
        <f aca="false">INDEX(Articles!$C$2:$C$148,MATCH(C57,Articles!$A$2:$A$148,0))</f>
        <v>Cahier Calligraphe 192 pages 24x32 (grand format)</v>
      </c>
      <c r="E57" s="9" t="str">
        <f aca="false">INDEX(Articles!$B$2:$B$148,MATCH(C57,Articles!$A$2:$A$148,0))</f>
        <v>Papex</v>
      </c>
      <c r="F57" s="31" t="n">
        <v>1</v>
      </c>
      <c r="G57" s="13" t="n">
        <f aca="false">IF(INDEX(Articles!$G$2:$G$148,MATCH(C57,Articles!$A$2:$A$148,0))="","",INDEX(Articles!$G$2:$G$148,MATCH(C57,Articles!$A$2:$A$148,0)))</f>
        <v>1650</v>
      </c>
      <c r="H57" s="13" t="n">
        <f aca="false">IF(G57="",0,F57*G57)</f>
        <v>1650</v>
      </c>
      <c r="I57" s="13" t="n">
        <f aca="false">IF(INDEX(Articles!$E$2:$E$148,MATCH(C57,Articles!$A$2:$A$148,0))="","",INDEX(Articles!$E$2:$E$148,MATCH(C57,Articles!$A$2:$A$148,0)))</f>
        <v>1500</v>
      </c>
      <c r="J57" s="13" t="n">
        <f aca="false">IF(I57="","",F57*I57)</f>
        <v>1500</v>
      </c>
      <c r="K57" s="9" t="str">
        <f aca="false">INDEX(Articles!$H$2:$H$148,MATCH(C57,Articles!$A$2:$A$148,0))</f>
        <v>Fixé</v>
      </c>
      <c r="L57" s="9" t="str">
        <f aca="false">INDEX(Articles!$F$2:$F$148,MATCH(C57,Articles!$A$2:$A$148,0))</f>
        <v>Confirmé</v>
      </c>
      <c r="M57" s="17"/>
      <c r="N57" s="9" t="s">
        <v>167</v>
      </c>
    </row>
    <row r="58" customFormat="false" ht="15" hidden="false" customHeight="false" outlineLevel="0" collapsed="false">
      <c r="A58" s="9" t="s">
        <v>671</v>
      </c>
      <c r="B58" s="9" t="s">
        <v>744</v>
      </c>
      <c r="C58" s="31" t="s">
        <v>213</v>
      </c>
      <c r="D58" s="9" t="str">
        <f aca="false">INDEX(Articles!$C$2:$C$148,MATCH(C58,Articles!$A$2:$A$148,0))</f>
        <v>Cahier Calligraphe 192 pages 24x32 (grand format)</v>
      </c>
      <c r="E58" s="9" t="str">
        <f aca="false">INDEX(Articles!$B$2:$B$148,MATCH(C58,Articles!$A$2:$A$148,0))</f>
        <v>Papex</v>
      </c>
      <c r="F58" s="31" t="n">
        <v>1</v>
      </c>
      <c r="G58" s="13" t="n">
        <f aca="false">IF(INDEX(Articles!$G$2:$G$148,MATCH(C58,Articles!$A$2:$A$148,0))="","",INDEX(Articles!$G$2:$G$148,MATCH(C58,Articles!$A$2:$A$148,0)))</f>
        <v>1650</v>
      </c>
      <c r="H58" s="13" t="n">
        <f aca="false">IF(G58="",0,F58*G58)</f>
        <v>1650</v>
      </c>
      <c r="I58" s="13" t="n">
        <f aca="false">IF(INDEX(Articles!$E$2:$E$148,MATCH(C58,Articles!$A$2:$A$148,0))="","",INDEX(Articles!$E$2:$E$148,MATCH(C58,Articles!$A$2:$A$148,0)))</f>
        <v>1500</v>
      </c>
      <c r="J58" s="13" t="n">
        <f aca="false">IF(I58="","",F58*I58)</f>
        <v>1500</v>
      </c>
      <c r="K58" s="9" t="str">
        <f aca="false">INDEX(Articles!$H$2:$H$148,MATCH(C58,Articles!$A$2:$A$148,0))</f>
        <v>Fixé</v>
      </c>
      <c r="L58" s="9" t="str">
        <f aca="false">INDEX(Articles!$F$2:$F$148,MATCH(C58,Articles!$A$2:$A$148,0))</f>
        <v>Confirmé</v>
      </c>
      <c r="M58" s="17"/>
      <c r="N58" s="9" t="s">
        <v>167</v>
      </c>
    </row>
    <row r="59" customFormat="false" ht="15" hidden="false" customHeight="false" outlineLevel="0" collapsed="false">
      <c r="A59" s="9" t="s">
        <v>671</v>
      </c>
      <c r="B59" s="9" t="s">
        <v>854</v>
      </c>
      <c r="C59" s="31" t="s">
        <v>366</v>
      </c>
      <c r="D59" s="9" t="str">
        <f aca="false">INDEX(Articles!$C$2:$C$148,MATCH(C59,Articles!$A$2:$A$148,0))</f>
        <v>Cahier Calligraphe 140 pages 17x22 90 g seyès</v>
      </c>
      <c r="E59" s="9" t="str">
        <f aca="false">INDEX(Articles!$B$2:$B$148,MATCH(C59,Articles!$A$2:$A$148,0))</f>
        <v>Papex</v>
      </c>
      <c r="F59" s="31" t="n">
        <v>1</v>
      </c>
      <c r="G59" s="13" t="n">
        <f aca="false">IF(INDEX(Articles!$G$2:$G$148,MATCH(C59,Articles!$A$2:$A$148,0))="","",INDEX(Articles!$G$2:$G$148,MATCH(C59,Articles!$A$2:$A$148,0)))</f>
        <v>750</v>
      </c>
      <c r="H59" s="13" t="n">
        <f aca="false">IF(G59="",0,F59*G59)</f>
        <v>750</v>
      </c>
      <c r="I59" s="13" t="n">
        <f aca="false">IF(INDEX(Articles!$E$2:$E$148,MATCH(C59,Articles!$A$2:$A$148,0))="","",INDEX(Articles!$E$2:$E$148,MATCH(C59,Articles!$A$2:$A$148,0)))</f>
        <v>650</v>
      </c>
      <c r="J59" s="13" t="n">
        <f aca="false">IF(I59="","",F59*I59)</f>
        <v>650</v>
      </c>
      <c r="K59" s="9" t="str">
        <f aca="false">INDEX(Articles!$H$2:$H$148,MATCH(C59,Articles!$A$2:$A$148,0))</f>
        <v>Fixé</v>
      </c>
      <c r="L59" s="9" t="str">
        <f aca="false">INDEX(Articles!$F$2:$F$148,MATCH(C59,Articles!$A$2:$A$148,0))</f>
        <v>Estimé</v>
      </c>
      <c r="M59" s="17" t="s">
        <v>763</v>
      </c>
      <c r="N59" s="9" t="s">
        <v>167</v>
      </c>
    </row>
    <row r="60" customFormat="false" ht="15" hidden="false" customHeight="false" outlineLevel="0" collapsed="false">
      <c r="A60" s="9" t="s">
        <v>671</v>
      </c>
      <c r="B60" s="9" t="s">
        <v>850</v>
      </c>
      <c r="C60" s="31" t="s">
        <v>208</v>
      </c>
      <c r="D60" s="9" t="str">
        <f aca="false">INDEX(Articles!$C$2:$C$148,MATCH(C60,Articles!$A$2:$A$148,0))</f>
        <v>Cahier Calligraphe 96 pages 24x32 (grand format)</v>
      </c>
      <c r="E60" s="9" t="str">
        <f aca="false">INDEX(Articles!$B$2:$B$148,MATCH(C60,Articles!$A$2:$A$148,0))</f>
        <v>Papex</v>
      </c>
      <c r="F60" s="31" t="n">
        <v>1</v>
      </c>
      <c r="G60" s="13" t="n">
        <f aca="false">IF(INDEX(Articles!$G$2:$G$148,MATCH(C60,Articles!$A$2:$A$148,0))="","",INDEX(Articles!$G$2:$G$148,MATCH(C60,Articles!$A$2:$A$148,0)))</f>
        <v>1350</v>
      </c>
      <c r="H60" s="13" t="n">
        <f aca="false">IF(G60="",0,F60*G60)</f>
        <v>1350</v>
      </c>
      <c r="I60" s="13" t="n">
        <f aca="false">IF(INDEX(Articles!$E$2:$E$148,MATCH(C60,Articles!$A$2:$A$148,0))="","",INDEX(Articles!$E$2:$E$148,MATCH(C60,Articles!$A$2:$A$148,0)))</f>
        <v>1000</v>
      </c>
      <c r="J60" s="13" t="n">
        <f aca="false">IF(I60="","",F60*I60)</f>
        <v>1000</v>
      </c>
      <c r="K60" s="9" t="str">
        <f aca="false">INDEX(Articles!$H$2:$H$148,MATCH(C60,Articles!$A$2:$A$148,0))</f>
        <v>Fixé</v>
      </c>
      <c r="L60" s="9" t="str">
        <f aca="false">INDEX(Articles!$F$2:$F$148,MATCH(C60,Articles!$A$2:$A$148,0))</f>
        <v>Confirmé</v>
      </c>
      <c r="M60" s="17"/>
      <c r="N60" s="9" t="s">
        <v>167</v>
      </c>
    </row>
    <row r="61" customFormat="false" ht="15" hidden="false" customHeight="false" outlineLevel="0" collapsed="false">
      <c r="A61" s="9" t="s">
        <v>671</v>
      </c>
      <c r="B61" s="9" t="s">
        <v>941</v>
      </c>
      <c r="C61" s="31" t="s">
        <v>213</v>
      </c>
      <c r="D61" s="9" t="str">
        <f aca="false">INDEX(Articles!$C$2:$C$148,MATCH(C61,Articles!$A$2:$A$148,0))</f>
        <v>Cahier Calligraphe 192 pages 24x32 (grand format)</v>
      </c>
      <c r="E61" s="9" t="str">
        <f aca="false">INDEX(Articles!$B$2:$B$148,MATCH(C61,Articles!$A$2:$A$148,0))</f>
        <v>Papex</v>
      </c>
      <c r="F61" s="31" t="n">
        <v>1</v>
      </c>
      <c r="G61" s="13" t="n">
        <f aca="false">IF(INDEX(Articles!$G$2:$G$148,MATCH(C61,Articles!$A$2:$A$148,0))="","",INDEX(Articles!$G$2:$G$148,MATCH(C61,Articles!$A$2:$A$148,0)))</f>
        <v>1650</v>
      </c>
      <c r="H61" s="13" t="n">
        <f aca="false">IF(G61="",0,F61*G61)</f>
        <v>1650</v>
      </c>
      <c r="I61" s="13" t="n">
        <f aca="false">IF(INDEX(Articles!$E$2:$E$148,MATCH(C61,Articles!$A$2:$A$148,0))="","",INDEX(Articles!$E$2:$E$148,MATCH(C61,Articles!$A$2:$A$148,0)))</f>
        <v>1500</v>
      </c>
      <c r="J61" s="13" t="n">
        <f aca="false">IF(I61="","",F61*I61)</f>
        <v>1500</v>
      </c>
      <c r="K61" s="9" t="str">
        <f aca="false">INDEX(Articles!$H$2:$H$148,MATCH(C61,Articles!$A$2:$A$148,0))</f>
        <v>Fixé</v>
      </c>
      <c r="L61" s="9" t="str">
        <f aca="false">INDEX(Articles!$F$2:$F$148,MATCH(C61,Articles!$A$2:$A$148,0))</f>
        <v>Confirmé</v>
      </c>
      <c r="M61" s="17"/>
      <c r="N61" s="9" t="s">
        <v>167</v>
      </c>
    </row>
    <row r="62" customFormat="false" ht="15" hidden="false" customHeight="false" outlineLevel="0" collapsed="false">
      <c r="A62" s="9" t="s">
        <v>671</v>
      </c>
      <c r="B62" s="9" t="s">
        <v>942</v>
      </c>
      <c r="C62" s="31" t="s">
        <v>192</v>
      </c>
      <c r="D62" s="9" t="str">
        <f aca="false">INDEX(Articles!$C$2:$C$148,MATCH(C62,Articles!$A$2:$A$148,0))</f>
        <v>Cahier Calligraphe 192 pages 17x22 90 g seyès</v>
      </c>
      <c r="E62" s="9" t="str">
        <f aca="false">INDEX(Articles!$B$2:$B$148,MATCH(C62,Articles!$A$2:$A$148,0))</f>
        <v>Papex</v>
      </c>
      <c r="F62" s="31" t="n">
        <v>1</v>
      </c>
      <c r="G62" s="13" t="n">
        <f aca="false">IF(INDEX(Articles!$G$2:$G$148,MATCH(C62,Articles!$A$2:$A$148,0))="","",INDEX(Articles!$G$2:$G$148,MATCH(C62,Articles!$A$2:$A$148,0)))</f>
        <v>900</v>
      </c>
      <c r="H62" s="13" t="n">
        <f aca="false">IF(G62="",0,F62*G62)</f>
        <v>900</v>
      </c>
      <c r="I62" s="13" t="n">
        <f aca="false">IF(INDEX(Articles!$E$2:$E$148,MATCH(C62,Articles!$A$2:$A$148,0))="","",INDEX(Articles!$E$2:$E$148,MATCH(C62,Articles!$A$2:$A$148,0)))</f>
        <v>800</v>
      </c>
      <c r="J62" s="13" t="n">
        <f aca="false">IF(I62="","",F62*I62)</f>
        <v>800</v>
      </c>
      <c r="K62" s="9" t="str">
        <f aca="false">INDEX(Articles!$H$2:$H$148,MATCH(C62,Articles!$A$2:$A$148,0))</f>
        <v>Fixé</v>
      </c>
      <c r="L62" s="9" t="str">
        <f aca="false">INDEX(Articles!$F$2:$F$148,MATCH(C62,Articles!$A$2:$A$148,0))</f>
        <v>Confirmé</v>
      </c>
      <c r="M62" s="17"/>
      <c r="N62" s="9" t="s">
        <v>167</v>
      </c>
    </row>
    <row r="63" customFormat="false" ht="15" hidden="false" customHeight="false" outlineLevel="0" collapsed="false">
      <c r="A63" s="9" t="s">
        <v>671</v>
      </c>
      <c r="B63" s="9" t="s">
        <v>943</v>
      </c>
      <c r="C63" s="31" t="s">
        <v>192</v>
      </c>
      <c r="D63" s="9" t="str">
        <f aca="false">INDEX(Articles!$C$2:$C$148,MATCH(C63,Articles!$A$2:$A$148,0))</f>
        <v>Cahier Calligraphe 192 pages 17x22 90 g seyès</v>
      </c>
      <c r="E63" s="9" t="str">
        <f aca="false">INDEX(Articles!$B$2:$B$148,MATCH(C63,Articles!$A$2:$A$148,0))</f>
        <v>Papex</v>
      </c>
      <c r="F63" s="31" t="n">
        <v>1</v>
      </c>
      <c r="G63" s="13" t="n">
        <f aca="false">IF(INDEX(Articles!$G$2:$G$148,MATCH(C63,Articles!$A$2:$A$148,0))="","",INDEX(Articles!$G$2:$G$148,MATCH(C63,Articles!$A$2:$A$148,0)))</f>
        <v>900</v>
      </c>
      <c r="H63" s="13" t="n">
        <f aca="false">IF(G63="",0,F63*G63)</f>
        <v>900</v>
      </c>
      <c r="I63" s="13" t="n">
        <f aca="false">IF(INDEX(Articles!$E$2:$E$148,MATCH(C63,Articles!$A$2:$A$148,0))="","",INDEX(Articles!$E$2:$E$148,MATCH(C63,Articles!$A$2:$A$148,0)))</f>
        <v>800</v>
      </c>
      <c r="J63" s="13" t="n">
        <f aca="false">IF(I63="","",F63*I63)</f>
        <v>800</v>
      </c>
      <c r="K63" s="9" t="str">
        <f aca="false">INDEX(Articles!$H$2:$H$148,MATCH(C63,Articles!$A$2:$A$148,0))</f>
        <v>Fixé</v>
      </c>
      <c r="L63" s="9" t="str">
        <f aca="false">INDEX(Articles!$F$2:$F$148,MATCH(C63,Articles!$A$2:$A$148,0))</f>
        <v>Confirmé</v>
      </c>
      <c r="M63" s="17"/>
      <c r="N63" s="9" t="s">
        <v>167</v>
      </c>
    </row>
    <row r="64" customFormat="false" ht="15" hidden="false" customHeight="false" outlineLevel="0" collapsed="false">
      <c r="A64" s="9" t="s">
        <v>671</v>
      </c>
      <c r="B64" s="9" t="s">
        <v>944</v>
      </c>
      <c r="C64" s="31" t="s">
        <v>366</v>
      </c>
      <c r="D64" s="9" t="str">
        <f aca="false">INDEX(Articles!$C$2:$C$148,MATCH(C64,Articles!$A$2:$A$148,0))</f>
        <v>Cahier Calligraphe 140 pages 17x22 90 g seyès</v>
      </c>
      <c r="E64" s="9" t="str">
        <f aca="false">INDEX(Articles!$B$2:$B$148,MATCH(C64,Articles!$A$2:$A$148,0))</f>
        <v>Papex</v>
      </c>
      <c r="F64" s="31" t="n">
        <v>1</v>
      </c>
      <c r="G64" s="13" t="n">
        <f aca="false">IF(INDEX(Articles!$G$2:$G$148,MATCH(C64,Articles!$A$2:$A$148,0))="","",INDEX(Articles!$G$2:$G$148,MATCH(C64,Articles!$A$2:$A$148,0)))</f>
        <v>750</v>
      </c>
      <c r="H64" s="13" t="n">
        <f aca="false">IF(G64="",0,F64*G64)</f>
        <v>750</v>
      </c>
      <c r="I64" s="13" t="n">
        <f aca="false">IF(INDEX(Articles!$E$2:$E$148,MATCH(C64,Articles!$A$2:$A$148,0))="","",INDEX(Articles!$E$2:$E$148,MATCH(C64,Articles!$A$2:$A$148,0)))</f>
        <v>650</v>
      </c>
      <c r="J64" s="13" t="n">
        <f aca="false">IF(I64="","",F64*I64)</f>
        <v>650</v>
      </c>
      <c r="K64" s="9" t="str">
        <f aca="false">INDEX(Articles!$H$2:$H$148,MATCH(C64,Articles!$A$2:$A$148,0))</f>
        <v>Fixé</v>
      </c>
      <c r="L64" s="9" t="str">
        <f aca="false">INDEX(Articles!$F$2:$F$148,MATCH(C64,Articles!$A$2:$A$148,0))</f>
        <v>Estimé</v>
      </c>
      <c r="M64" s="17" t="s">
        <v>763</v>
      </c>
      <c r="N64" s="9" t="s">
        <v>167</v>
      </c>
    </row>
    <row r="65" customFormat="false" ht="15" hidden="false" customHeight="false" outlineLevel="0" collapsed="false">
      <c r="A65" s="9" t="s">
        <v>671</v>
      </c>
      <c r="B65" s="9" t="s">
        <v>909</v>
      </c>
      <c r="C65" s="31" t="s">
        <v>213</v>
      </c>
      <c r="D65" s="9" t="str">
        <f aca="false">INDEX(Articles!$C$2:$C$148,MATCH(C65,Articles!$A$2:$A$148,0))</f>
        <v>Cahier Calligraphe 192 pages 24x32 (grand format)</v>
      </c>
      <c r="E65" s="9" t="str">
        <f aca="false">INDEX(Articles!$B$2:$B$148,MATCH(C65,Articles!$A$2:$A$148,0))</f>
        <v>Papex</v>
      </c>
      <c r="F65" s="31" t="n">
        <v>1</v>
      </c>
      <c r="G65" s="13" t="n">
        <f aca="false">IF(INDEX(Articles!$G$2:$G$148,MATCH(C65,Articles!$A$2:$A$148,0))="","",INDEX(Articles!$G$2:$G$148,MATCH(C65,Articles!$A$2:$A$148,0)))</f>
        <v>1650</v>
      </c>
      <c r="H65" s="13" t="n">
        <f aca="false">IF(G65="",0,F65*G65)</f>
        <v>1650</v>
      </c>
      <c r="I65" s="13" t="n">
        <f aca="false">IF(INDEX(Articles!$E$2:$E$148,MATCH(C65,Articles!$A$2:$A$148,0))="","",INDEX(Articles!$E$2:$E$148,MATCH(C65,Articles!$A$2:$A$148,0)))</f>
        <v>1500</v>
      </c>
      <c r="J65" s="13" t="n">
        <f aca="false">IF(I65="","",F65*I65)</f>
        <v>1500</v>
      </c>
      <c r="K65" s="9" t="str">
        <f aca="false">INDEX(Articles!$H$2:$H$148,MATCH(C65,Articles!$A$2:$A$148,0))</f>
        <v>Fixé</v>
      </c>
      <c r="L65" s="9" t="str">
        <f aca="false">INDEX(Articles!$F$2:$F$148,MATCH(C65,Articles!$A$2:$A$148,0))</f>
        <v>Confirmé</v>
      </c>
      <c r="M65" s="17"/>
      <c r="N65" s="9" t="s">
        <v>167</v>
      </c>
    </row>
    <row r="66" customFormat="false" ht="15" hidden="false" customHeight="false" outlineLevel="0" collapsed="false">
      <c r="A66" s="9" t="s">
        <v>678</v>
      </c>
      <c r="B66" s="9" t="s">
        <v>749</v>
      </c>
      <c r="C66" s="31" t="s">
        <v>222</v>
      </c>
      <c r="D66" s="9" t="str">
        <f aca="false">INDEX(Articles!$C$2:$C$148,MATCH(C66,Articles!$A$2:$A$148,0))</f>
        <v>Pack de 4 stylos Schneider Tops 505 M (bleu, noir, rouge, vert)</v>
      </c>
      <c r="E66" s="9" t="str">
        <f aca="false">INDEX(Articles!$B$2:$B$148,MATCH(C66,Articles!$A$2:$A$148,0))</f>
        <v>Papex</v>
      </c>
      <c r="F66" s="31" t="n">
        <v>1</v>
      </c>
      <c r="G66" s="13" t="n">
        <f aca="false">IF(INDEX(Articles!$G$2:$G$148,MATCH(C66,Articles!$A$2:$A$148,0))="","",INDEX(Articles!$G$2:$G$148,MATCH(C66,Articles!$A$2:$A$148,0)))</f>
        <v>400</v>
      </c>
      <c r="H66" s="13" t="n">
        <f aca="false">IF(G66="",0,F66*G66)</f>
        <v>400</v>
      </c>
      <c r="I66" s="13" t="str">
        <f aca="false">IF(INDEX(Articles!$E$2:$E$148,MATCH(C66,Articles!$A$2:$A$148,0))="","",INDEX(Articles!$E$2:$E$148,MATCH(C66,Articles!$A$2:$A$148,0)))</f>
        <v/>
      </c>
      <c r="J66" s="13" t="str">
        <f aca="false">IF(I66="","",F66*I66)</f>
        <v/>
      </c>
      <c r="K66" s="9" t="str">
        <f aca="false">INDEX(Articles!$H$2:$H$148,MATCH(C66,Articles!$A$2:$A$148,0))</f>
        <v>Fixé</v>
      </c>
      <c r="L66" s="9" t="str">
        <f aca="false">INDEX(Articles!$F$2:$F$148,MATCH(C66,Articles!$A$2:$A$148,0))</f>
        <v>Inconnu</v>
      </c>
      <c r="M66" s="17" t="s">
        <v>432</v>
      </c>
      <c r="N66" s="9" t="s">
        <v>167</v>
      </c>
    </row>
    <row r="67" customFormat="false" ht="15" hidden="false" customHeight="false" outlineLevel="0" collapsed="false">
      <c r="A67" s="9" t="s">
        <v>678</v>
      </c>
      <c r="B67" s="9" t="s">
        <v>750</v>
      </c>
      <c r="C67" s="31" t="s">
        <v>235</v>
      </c>
      <c r="D67" s="9" t="str">
        <f aca="false">INDEX(Articles!$C$2:$C$148,MATCH(C67,Articles!$A$2:$A$148,0))</f>
        <v>Crayon papier (vendu à l'unité)</v>
      </c>
      <c r="E67" s="9" t="str">
        <f aca="false">INDEX(Articles!$B$2:$B$148,MATCH(C67,Articles!$A$2:$A$148,0))</f>
        <v>LPD</v>
      </c>
      <c r="F67" s="31" t="n">
        <v>1</v>
      </c>
      <c r="G67" s="13" t="n">
        <f aca="false">IF(INDEX(Articles!$G$2:$G$148,MATCH(C67,Articles!$A$2:$A$148,0))="","",INDEX(Articles!$G$2:$G$148,MATCH(C67,Articles!$A$2:$A$148,0)))</f>
        <v>75</v>
      </c>
      <c r="H67" s="13" t="n">
        <f aca="false">IF(G67="",0,F67*G67)</f>
        <v>75</v>
      </c>
      <c r="I67" s="13" t="str">
        <f aca="false">IF(INDEX(Articles!$E$2:$E$148,MATCH(C67,Articles!$A$2:$A$148,0))="","",INDEX(Articles!$E$2:$E$148,MATCH(C67,Articles!$A$2:$A$148,0)))</f>
        <v/>
      </c>
      <c r="J67" s="13" t="str">
        <f aca="false">IF(I67="","",F67*I67)</f>
        <v/>
      </c>
      <c r="K67" s="9" t="str">
        <f aca="false">INDEX(Articles!$H$2:$H$148,MATCH(C67,Articles!$A$2:$A$148,0))</f>
        <v>Fixé</v>
      </c>
      <c r="L67" s="9" t="str">
        <f aca="false">INDEX(Articles!$F$2:$F$148,MATCH(C67,Articles!$A$2:$A$148,0))</f>
        <v>Inconnu</v>
      </c>
      <c r="M67" s="17"/>
      <c r="N67" s="9" t="s">
        <v>167</v>
      </c>
    </row>
    <row r="68" customFormat="false" ht="15" hidden="false" customHeight="false" outlineLevel="0" collapsed="false">
      <c r="A68" s="9" t="s">
        <v>675</v>
      </c>
      <c r="B68" s="9" t="s">
        <v>717</v>
      </c>
      <c r="C68" s="31" t="s">
        <v>180</v>
      </c>
      <c r="D68" s="9" t="str">
        <f aca="false">INDEX(Articles!$C$2:$C$148,MATCH(C68,Articles!$A$2:$A$148,0))</f>
        <v>Gomme Staedtler Mars Plastic</v>
      </c>
      <c r="E68" s="9" t="str">
        <f aca="false">INDEX(Articles!$B$2:$B$148,MATCH(C68,Articles!$A$2:$A$148,0))</f>
        <v>LPD</v>
      </c>
      <c r="F68" s="31" t="n">
        <v>1</v>
      </c>
      <c r="G68" s="13" t="n">
        <f aca="false">IF(INDEX(Articles!$G$2:$G$148,MATCH(C68,Articles!$A$2:$A$148,0))="","",INDEX(Articles!$G$2:$G$148,MATCH(C68,Articles!$A$2:$A$148,0)))</f>
        <v>250</v>
      </c>
      <c r="H68" s="13" t="n">
        <f aca="false">IF(G68="",0,F68*G68)</f>
        <v>250</v>
      </c>
      <c r="I68" s="13" t="n">
        <f aca="false">IF(INDEX(Articles!$E$2:$E$148,MATCH(C68,Articles!$A$2:$A$148,0))="","",INDEX(Articles!$E$2:$E$148,MATCH(C68,Articles!$A$2:$A$148,0)))</f>
        <v>110</v>
      </c>
      <c r="J68" s="13" t="n">
        <f aca="false">IF(I68="","",F68*I68)</f>
        <v>110</v>
      </c>
      <c r="K68" s="9" t="str">
        <f aca="false">INDEX(Articles!$H$2:$H$148,MATCH(C68,Articles!$A$2:$A$148,0))</f>
        <v>Fixé</v>
      </c>
      <c r="L68" s="9" t="str">
        <f aca="false">INDEX(Articles!$F$2:$F$148,MATCH(C68,Articles!$A$2:$A$148,0))</f>
        <v>Estimé</v>
      </c>
      <c r="M68" s="17"/>
      <c r="N68" s="9" t="s">
        <v>167</v>
      </c>
    </row>
    <row r="69" customFormat="false" ht="15" hidden="false" customHeight="false" outlineLevel="0" collapsed="false">
      <c r="A69" s="9" t="s">
        <v>675</v>
      </c>
      <c r="B69" s="9" t="s">
        <v>751</v>
      </c>
      <c r="C69" s="31" t="s">
        <v>183</v>
      </c>
      <c r="D69" s="9" t="str">
        <f aca="false">INDEX(Articles!$C$2:$C$148,MATCH(C69,Articles!$A$2:$A$148,0))</f>
        <v>Taille-crayon avec réservoir Maped</v>
      </c>
      <c r="E69" s="9" t="str">
        <f aca="false">INDEX(Articles!$B$2:$B$148,MATCH(C69,Articles!$A$2:$A$148,0))</f>
        <v>Papex</v>
      </c>
      <c r="F69" s="31" t="n">
        <v>1</v>
      </c>
      <c r="G69" s="13" t="n">
        <f aca="false">IF(INDEX(Articles!$G$2:$G$148,MATCH(C69,Articles!$A$2:$A$148,0))="","",INDEX(Articles!$G$2:$G$148,MATCH(C69,Articles!$A$2:$A$148,0)))</f>
        <v>500</v>
      </c>
      <c r="H69" s="13" t="n">
        <f aca="false">IF(G69="",0,F69*G69)</f>
        <v>500</v>
      </c>
      <c r="I69" s="13" t="n">
        <f aca="false">IF(INDEX(Articles!$E$2:$E$148,MATCH(C69,Articles!$A$2:$A$148,0))="","",INDEX(Articles!$E$2:$E$148,MATCH(C69,Articles!$A$2:$A$148,0)))</f>
        <v>350</v>
      </c>
      <c r="J69" s="13" t="n">
        <f aca="false">IF(I69="","",F69*I69)</f>
        <v>350</v>
      </c>
      <c r="K69" s="9" t="str">
        <f aca="false">INDEX(Articles!$H$2:$H$148,MATCH(C69,Articles!$A$2:$A$148,0))</f>
        <v>Estimé</v>
      </c>
      <c r="L69" s="9" t="str">
        <f aca="false">INDEX(Articles!$F$2:$F$148,MATCH(C69,Articles!$A$2:$A$148,0))</f>
        <v>Estimé</v>
      </c>
      <c r="M69" s="17" t="s">
        <v>765</v>
      </c>
      <c r="N69" s="9" t="s">
        <v>167</v>
      </c>
    </row>
    <row r="70" customFormat="false" ht="15" hidden="false" customHeight="false" outlineLevel="0" collapsed="false">
      <c r="A70" s="9" t="s">
        <v>675</v>
      </c>
      <c r="B70" s="9" t="s">
        <v>753</v>
      </c>
      <c r="C70" s="31" t="s">
        <v>248</v>
      </c>
      <c r="D70" s="9" t="str">
        <f aca="false">INDEX(Articles!$C$2:$C$148,MATCH(C70,Articles!$A$2:$A$148,0))</f>
        <v>Bâton de colle Giotto 20 g</v>
      </c>
      <c r="E70" s="9" t="str">
        <f aca="false">INDEX(Articles!$B$2:$B$148,MATCH(C70,Articles!$A$2:$A$148,0))</f>
        <v>Papex</v>
      </c>
      <c r="F70" s="31" t="n">
        <v>1</v>
      </c>
      <c r="G70" s="13" t="n">
        <f aca="false">IF(INDEX(Articles!$G$2:$G$148,MATCH(C70,Articles!$A$2:$A$148,0))="","",INDEX(Articles!$G$2:$G$148,MATCH(C70,Articles!$A$2:$A$148,0)))</f>
        <v>900</v>
      </c>
      <c r="H70" s="13" t="n">
        <f aca="false">IF(G70="",0,F70*G70)</f>
        <v>900</v>
      </c>
      <c r="I70" s="13" t="n">
        <f aca="false">IF(INDEX(Articles!$E$2:$E$148,MATCH(C70,Articles!$A$2:$A$148,0))="","",INDEX(Articles!$E$2:$E$148,MATCH(C70,Articles!$A$2:$A$148,0)))</f>
        <v>650</v>
      </c>
      <c r="J70" s="13" t="n">
        <f aca="false">IF(I70="","",F70*I70)</f>
        <v>650</v>
      </c>
      <c r="K70" s="9" t="str">
        <f aca="false">INDEX(Articles!$H$2:$H$148,MATCH(C70,Articles!$A$2:$A$148,0))</f>
        <v>Estimé</v>
      </c>
      <c r="L70" s="9" t="str">
        <f aca="false">INDEX(Articles!$F$2:$F$148,MATCH(C70,Articles!$A$2:$A$148,0))</f>
        <v>Estimé</v>
      </c>
      <c r="M70" s="17"/>
      <c r="N70" s="9" t="s">
        <v>167</v>
      </c>
    </row>
    <row r="71" customFormat="false" ht="15" hidden="false" customHeight="false" outlineLevel="0" collapsed="false">
      <c r="A71" s="9" t="s">
        <v>675</v>
      </c>
      <c r="B71" s="9" t="s">
        <v>754</v>
      </c>
      <c r="C71" s="31" t="s">
        <v>189</v>
      </c>
      <c r="D71" s="9" t="str">
        <f aca="false">INDEX(Articles!$C$2:$C$148,MATCH(C71,Articles!$A$2:$A$148,0))</f>
        <v>Ciseaux Maped 13 cm Security</v>
      </c>
      <c r="E71" s="9" t="str">
        <f aca="false">INDEX(Articles!$B$2:$B$148,MATCH(C71,Articles!$A$2:$A$148,0))</f>
        <v>Papex</v>
      </c>
      <c r="F71" s="31" t="n">
        <v>1</v>
      </c>
      <c r="G71" s="13" t="n">
        <f aca="false">IF(INDEX(Articles!$G$2:$G$148,MATCH(C71,Articles!$A$2:$A$148,0))="","",INDEX(Articles!$G$2:$G$148,MATCH(C71,Articles!$A$2:$A$148,0)))</f>
        <v>900</v>
      </c>
      <c r="H71" s="13" t="n">
        <f aca="false">IF(G71="",0,F71*G71)</f>
        <v>900</v>
      </c>
      <c r="I71" s="13" t="n">
        <f aca="false">IF(INDEX(Articles!$E$2:$E$148,MATCH(C71,Articles!$A$2:$A$148,0))="","",INDEX(Articles!$E$2:$E$148,MATCH(C71,Articles!$A$2:$A$148,0)))</f>
        <v>650</v>
      </c>
      <c r="J71" s="13" t="n">
        <f aca="false">IF(I71="","",F71*I71)</f>
        <v>650</v>
      </c>
      <c r="K71" s="9" t="str">
        <f aca="false">INDEX(Articles!$H$2:$H$148,MATCH(C71,Articles!$A$2:$A$148,0))</f>
        <v>Estimé</v>
      </c>
      <c r="L71" s="9" t="str">
        <f aca="false">INDEX(Articles!$F$2:$F$148,MATCH(C71,Articles!$A$2:$A$148,0))</f>
        <v>Estimé</v>
      </c>
      <c r="M71" s="17"/>
      <c r="N71" s="9" t="s">
        <v>167</v>
      </c>
    </row>
    <row r="72" customFormat="false" ht="15" hidden="false" customHeight="false" outlineLevel="0" collapsed="false">
      <c r="A72" s="9" t="s">
        <v>676</v>
      </c>
      <c r="B72" s="9" t="s">
        <v>755</v>
      </c>
      <c r="C72" s="31" t="s">
        <v>215</v>
      </c>
      <c r="D72" s="9" t="str">
        <f aca="false">INDEX(Articles!$C$2:$C$148,MATCH(C72,Articles!$A$2:$A$148,0))</f>
        <v>Kit géométrie Maped 30 cm (réf. 1930)</v>
      </c>
      <c r="E72" s="9" t="str">
        <f aca="false">INDEX(Articles!$B$2:$B$148,MATCH(C72,Articles!$A$2:$A$148,0))</f>
        <v>LPD</v>
      </c>
      <c r="F72" s="31" t="n">
        <v>1</v>
      </c>
      <c r="G72" s="13" t="n">
        <f aca="false">IF(INDEX(Articles!$G$2:$G$148,MATCH(C72,Articles!$A$2:$A$148,0))="","",INDEX(Articles!$G$2:$G$148,MATCH(C72,Articles!$A$2:$A$148,0)))</f>
        <v>1800</v>
      </c>
      <c r="H72" s="13" t="n">
        <f aca="false">IF(G72="",0,F72*G72)</f>
        <v>1800</v>
      </c>
      <c r="I72" s="13" t="n">
        <f aca="false">IF(INDEX(Articles!$E$2:$E$148,MATCH(C72,Articles!$A$2:$A$148,0))="","",INDEX(Articles!$E$2:$E$148,MATCH(C72,Articles!$A$2:$A$148,0)))</f>
        <v>1500</v>
      </c>
      <c r="J72" s="13" t="n">
        <f aca="false">IF(I72="","",F72*I72)</f>
        <v>1500</v>
      </c>
      <c r="K72" s="9" t="str">
        <f aca="false">INDEX(Articles!$H$2:$H$148,MATCH(C72,Articles!$A$2:$A$148,0))</f>
        <v>À trancher</v>
      </c>
      <c r="L72" s="9" t="str">
        <f aca="false">INDEX(Articles!$F$2:$F$148,MATCH(C72,Articles!$A$2:$A$148,0))</f>
        <v>Confirmé</v>
      </c>
      <c r="M72" s="17"/>
      <c r="N72" s="9" t="s">
        <v>167</v>
      </c>
    </row>
    <row r="73" customFormat="false" ht="15" hidden="false" customHeight="false" outlineLevel="0" collapsed="false">
      <c r="A73" s="9" t="s">
        <v>676</v>
      </c>
      <c r="B73" s="9" t="s">
        <v>756</v>
      </c>
      <c r="C73" s="31" t="s">
        <v>171</v>
      </c>
      <c r="D73" s="9" t="str">
        <f aca="false">INDEX(Articles!$C$2:$C$148,MATCH(C73,Articles!$A$2:$A$148,0))</f>
        <v>Compas Maped</v>
      </c>
      <c r="E73" s="9" t="str">
        <f aca="false">INDEX(Articles!$B$2:$B$148,MATCH(C73,Articles!$A$2:$A$148,0))</f>
        <v>Papex</v>
      </c>
      <c r="F73" s="31" t="n">
        <v>1</v>
      </c>
      <c r="G73" s="13" t="n">
        <f aca="false">IF(INDEX(Articles!$G$2:$G$148,MATCH(C73,Articles!$A$2:$A$148,0))="","",INDEX(Articles!$G$2:$G$148,MATCH(C73,Articles!$A$2:$A$148,0)))</f>
        <v>2000</v>
      </c>
      <c r="H73" s="13" t="n">
        <f aca="false">IF(G73="",0,F73*G73)</f>
        <v>2000</v>
      </c>
      <c r="I73" s="13" t="n">
        <f aca="false">IF(INDEX(Articles!$E$2:$E$148,MATCH(C73,Articles!$A$2:$A$148,0))="","",INDEX(Articles!$E$2:$E$148,MATCH(C73,Articles!$A$2:$A$148,0)))</f>
        <v>1750</v>
      </c>
      <c r="J73" s="13" t="n">
        <f aca="false">IF(I73="","",F73*I73)</f>
        <v>1750</v>
      </c>
      <c r="K73" s="9" t="str">
        <f aca="false">INDEX(Articles!$H$2:$H$148,MATCH(C73,Articles!$A$2:$A$148,0))</f>
        <v>Fixé</v>
      </c>
      <c r="L73" s="9" t="str">
        <f aca="false">INDEX(Articles!$F$2:$F$148,MATCH(C73,Articles!$A$2:$A$148,0))</f>
        <v>Confirmé</v>
      </c>
      <c r="M73" s="17"/>
      <c r="N73" s="9" t="s">
        <v>167</v>
      </c>
    </row>
    <row r="74" customFormat="false" ht="15" hidden="false" customHeight="false" outlineLevel="0" collapsed="false">
      <c r="A74" s="9" t="s">
        <v>681</v>
      </c>
      <c r="B74" s="9" t="s">
        <v>757</v>
      </c>
      <c r="C74" s="31" t="s">
        <v>198</v>
      </c>
      <c r="D74" s="9" t="str">
        <f aca="false">INDEX(Articles!$C$2:$C$148,MATCH(C74,Articles!$A$2:$A$148,0))</f>
        <v>Crayons de couleur Maped, boîte de 12</v>
      </c>
      <c r="E74" s="9" t="str">
        <f aca="false">INDEX(Articles!$B$2:$B$148,MATCH(C74,Articles!$A$2:$A$148,0))</f>
        <v>Papex</v>
      </c>
      <c r="F74" s="31" t="n">
        <v>1</v>
      </c>
      <c r="G74" s="13" t="n">
        <f aca="false">IF(INDEX(Articles!$G$2:$G$148,MATCH(C74,Articles!$A$2:$A$148,0))="","",INDEX(Articles!$G$2:$G$148,MATCH(C74,Articles!$A$2:$A$148,0)))</f>
        <v>900</v>
      </c>
      <c r="H74" s="13" t="n">
        <f aca="false">IF(G74="",0,F74*G74)</f>
        <v>900</v>
      </c>
      <c r="I74" s="13" t="n">
        <f aca="false">IF(INDEX(Articles!$E$2:$E$148,MATCH(C74,Articles!$A$2:$A$148,0))="","",INDEX(Articles!$E$2:$E$148,MATCH(C74,Articles!$A$2:$A$148,0)))</f>
        <v>650</v>
      </c>
      <c r="J74" s="13" t="n">
        <f aca="false">IF(I74="","",F74*I74)</f>
        <v>650</v>
      </c>
      <c r="K74" s="9" t="str">
        <f aca="false">INDEX(Articles!$H$2:$H$148,MATCH(C74,Articles!$A$2:$A$148,0))</f>
        <v>Estimé</v>
      </c>
      <c r="L74" s="9" t="str">
        <f aca="false">INDEX(Articles!$F$2:$F$148,MATCH(C74,Articles!$A$2:$A$148,0))</f>
        <v>Estimé</v>
      </c>
      <c r="M74" s="17"/>
      <c r="N74" s="9" t="s">
        <v>167</v>
      </c>
    </row>
    <row r="75" customFormat="false" ht="15" hidden="false" customHeight="false" outlineLevel="0" collapsed="false">
      <c r="A75" s="9" t="s">
        <v>678</v>
      </c>
      <c r="B75" s="9" t="s">
        <v>766</v>
      </c>
      <c r="C75" s="31" t="s">
        <v>200</v>
      </c>
      <c r="D75" s="9" t="str">
        <f aca="false">INDEX(Articles!$C$2:$C$148,MATCH(C75,Articles!$A$2:$A$148,0))</f>
        <v>Surligneurs Maped Fluo Peps, pochette de 4</v>
      </c>
      <c r="E75" s="9" t="str">
        <f aca="false">INDEX(Articles!$B$2:$B$148,MATCH(C75,Articles!$A$2:$A$148,0))</f>
        <v>Papex</v>
      </c>
      <c r="F75" s="31" t="n">
        <v>1</v>
      </c>
      <c r="G75" s="13" t="n">
        <f aca="false">IF(INDEX(Articles!$G$2:$G$148,MATCH(C75,Articles!$A$2:$A$148,0))="","",INDEX(Articles!$G$2:$G$148,MATCH(C75,Articles!$A$2:$A$148,0)))</f>
        <v>2500</v>
      </c>
      <c r="H75" s="13" t="n">
        <f aca="false">IF(G75="",0,F75*G75)</f>
        <v>2500</v>
      </c>
      <c r="I75" s="13" t="n">
        <f aca="false">IF(INDEX(Articles!$E$2:$E$148,MATCH(C75,Articles!$A$2:$A$148,0))="","",INDEX(Articles!$E$2:$E$148,MATCH(C75,Articles!$A$2:$A$148,0)))</f>
        <v>2000</v>
      </c>
      <c r="J75" s="13" t="n">
        <f aca="false">IF(I75="","",F75*I75)</f>
        <v>2000</v>
      </c>
      <c r="K75" s="9" t="str">
        <f aca="false">INDEX(Articles!$H$2:$H$148,MATCH(C75,Articles!$A$2:$A$148,0))</f>
        <v>Estimé</v>
      </c>
      <c r="L75" s="9" t="str">
        <f aca="false">INDEX(Articles!$F$2:$F$148,MATCH(C75,Articles!$A$2:$A$148,0))</f>
        <v>Confirmé</v>
      </c>
      <c r="M75" s="17" t="s">
        <v>767</v>
      </c>
      <c r="N75" s="9" t="s">
        <v>167</v>
      </c>
    </row>
    <row r="76" customFormat="false" ht="15" hidden="false" customHeight="false" outlineLevel="0" collapsed="false">
      <c r="A76" s="9" t="s">
        <v>768</v>
      </c>
      <c r="B76" s="9" t="s">
        <v>769</v>
      </c>
      <c r="C76" s="31" t="s">
        <v>446</v>
      </c>
      <c r="D76" s="9" t="str">
        <f aca="false">INDEX(Articles!$C$2:$C$148,MATCH(C76,Articles!$A$2:$A$148,0))</f>
        <v>Chemise 3 rabats à élastique</v>
      </c>
      <c r="E76" s="9" t="str">
        <f aca="false">INDEX(Articles!$B$2:$B$148,MATCH(C76,Articles!$A$2:$A$148,0))</f>
        <v>Papex</v>
      </c>
      <c r="F76" s="31" t="n">
        <v>1</v>
      </c>
      <c r="G76" s="13" t="n">
        <f aca="false">IF(INDEX(Articles!$G$2:$G$148,MATCH(C76,Articles!$A$2:$A$148,0))="","",INDEX(Articles!$G$2:$G$148,MATCH(C76,Articles!$A$2:$A$148,0)))</f>
        <v>500</v>
      </c>
      <c r="H76" s="13" t="n">
        <f aca="false">IF(G76="",0,F76*G76)</f>
        <v>500</v>
      </c>
      <c r="I76" s="13" t="str">
        <f aca="false">IF(INDEX(Articles!$E$2:$E$148,MATCH(C76,Articles!$A$2:$A$148,0))="","",INDEX(Articles!$E$2:$E$148,MATCH(C76,Articles!$A$2:$A$148,0)))</f>
        <v/>
      </c>
      <c r="J76" s="13" t="str">
        <f aca="false">IF(I76="","",F76*I76)</f>
        <v/>
      </c>
      <c r="K76" s="9" t="str">
        <f aca="false">INDEX(Articles!$H$2:$H$148,MATCH(C76,Articles!$A$2:$A$148,0))</f>
        <v>Estimé</v>
      </c>
      <c r="L76" s="9" t="str">
        <f aca="false">INDEX(Articles!$F$2:$F$148,MATCH(C76,Articles!$A$2:$A$148,0))</f>
        <v>Inconnu</v>
      </c>
      <c r="M76" s="17" t="s">
        <v>770</v>
      </c>
      <c r="N76" s="9" t="s">
        <v>167</v>
      </c>
    </row>
    <row r="77" customFormat="false" ht="26.85" hidden="false" customHeight="false" outlineLevel="0" collapsed="false">
      <c r="A77" s="9" t="s">
        <v>676</v>
      </c>
      <c r="B77" s="9" t="s">
        <v>812</v>
      </c>
      <c r="C77" s="31" t="s">
        <v>242</v>
      </c>
      <c r="D77" s="9" t="str">
        <f aca="false">INDEX(Articles!$C$2:$C$148,MATCH(C77,Articles!$A$2:$A$148,0))</f>
        <v>Calculatrice scientifique Parpn YH-2000</v>
      </c>
      <c r="E77" s="9" t="str">
        <f aca="false">INDEX(Articles!$B$2:$B$148,MATCH(C77,Articles!$A$2:$A$148,0))</f>
        <v>LPD</v>
      </c>
      <c r="F77" s="31" t="n">
        <v>1</v>
      </c>
      <c r="G77" s="13" t="n">
        <f aca="false">IF(INDEX(Articles!$G$2:$G$148,MATCH(C77,Articles!$A$2:$A$148,0))="","",INDEX(Articles!$G$2:$G$148,MATCH(C77,Articles!$A$2:$A$148,0)))</f>
        <v>1400</v>
      </c>
      <c r="H77" s="13" t="n">
        <f aca="false">IF(G77="",0,F77*G77)</f>
        <v>1400</v>
      </c>
      <c r="I77" s="13" t="n">
        <f aca="false">IF(INDEX(Articles!$E$2:$E$148,MATCH(C77,Articles!$A$2:$A$148,0))="","",INDEX(Articles!$E$2:$E$148,MATCH(C77,Articles!$A$2:$A$148,0)))</f>
        <v>1100</v>
      </c>
      <c r="J77" s="13" t="n">
        <f aca="false">IF(I77="","",F77*I77)</f>
        <v>1100</v>
      </c>
      <c r="K77" s="9" t="str">
        <f aca="false">INDEX(Articles!$H$2:$H$148,MATCH(C77,Articles!$A$2:$A$148,0))</f>
        <v>Fixé</v>
      </c>
      <c r="L77" s="9" t="str">
        <f aca="false">INDEX(Articles!$F$2:$F$148,MATCH(C77,Articles!$A$2:$A$148,0))</f>
        <v>Confirmé</v>
      </c>
      <c r="M77" s="17" t="s">
        <v>816</v>
      </c>
      <c r="N77" s="9" t="s">
        <v>167</v>
      </c>
    </row>
    <row r="78" customFormat="false" ht="15" hidden="false" customHeight="false" outlineLevel="0" collapsed="false">
      <c r="A78" s="9" t="s">
        <v>768</v>
      </c>
      <c r="B78" s="9" t="s">
        <v>861</v>
      </c>
      <c r="C78" s="31" t="s">
        <v>246</v>
      </c>
      <c r="D78" s="9" t="str">
        <f aca="false">INDEX(Articles!$C$2:$C$148,MATCH(C78,Articles!$A$2:$A$148,0))</f>
        <v>Protège-documents porte-vues</v>
      </c>
      <c r="E78" s="9" t="str">
        <f aca="false">INDEX(Articles!$B$2:$B$148,MATCH(C78,Articles!$A$2:$A$148,0))</f>
        <v>LPD</v>
      </c>
      <c r="F78" s="31" t="n">
        <v>1</v>
      </c>
      <c r="G78" s="13" t="n">
        <f aca="false">IF(INDEX(Articles!$G$2:$G$148,MATCH(C78,Articles!$A$2:$A$148,0))="","",INDEX(Articles!$G$2:$G$148,MATCH(C78,Articles!$A$2:$A$148,0)))</f>
        <v>1150</v>
      </c>
      <c r="H78" s="13" t="n">
        <f aca="false">IF(G78="",0,F78*G78)</f>
        <v>1150</v>
      </c>
      <c r="I78" s="13" t="n">
        <f aca="false">IF(INDEX(Articles!$E$2:$E$148,MATCH(C78,Articles!$A$2:$A$148,0))="","",INDEX(Articles!$E$2:$E$148,MATCH(C78,Articles!$A$2:$A$148,0)))</f>
        <v>850</v>
      </c>
      <c r="J78" s="13" t="n">
        <f aca="false">IF(I78="","",F78*I78)</f>
        <v>850</v>
      </c>
      <c r="K78" s="9" t="str">
        <f aca="false">INDEX(Articles!$H$2:$H$148,MATCH(C78,Articles!$A$2:$A$148,0))</f>
        <v>Fixé</v>
      </c>
      <c r="L78" s="9" t="str">
        <f aca="false">INDEX(Articles!$F$2:$F$148,MATCH(C78,Articles!$A$2:$A$148,0))</f>
        <v>Estimé</v>
      </c>
      <c r="M78" s="17"/>
      <c r="N78" s="9" t="s">
        <v>167</v>
      </c>
    </row>
    <row r="79" customFormat="false" ht="15" hidden="false" customHeight="false" outlineLevel="0" collapsed="false">
      <c r="A79" s="9" t="s">
        <v>758</v>
      </c>
      <c r="B79" s="9" t="s">
        <v>759</v>
      </c>
      <c r="C79" s="31" t="s">
        <v>376</v>
      </c>
      <c r="D79" s="9" t="str">
        <f aca="false">INDEX(Articles!$C$2:$C$148,MATCH(C79,Articles!$A$2:$A$148,0))</f>
        <v>Paquet de copies doubles grand format</v>
      </c>
      <c r="E79" s="9" t="str">
        <f aca="false">INDEX(Articles!$B$2:$B$148,MATCH(C79,Articles!$A$2:$A$148,0))</f>
        <v>À préciser</v>
      </c>
      <c r="F79" s="31" t="n">
        <v>1</v>
      </c>
      <c r="G79" s="45" t="n">
        <f aca="false">IF(INDEX(Articles!$G$2:$G$148,MATCH(C79,Articles!$A$2:$A$148,0))="","",INDEX(Articles!$G$2:$G$148,MATCH(C79,Articles!$A$2:$A$148,0)))</f>
        <v>1800</v>
      </c>
      <c r="H79" s="13" t="n">
        <f aca="false">IF(G79="",0,F79*G79)</f>
        <v>1800</v>
      </c>
      <c r="I79" s="13" t="n">
        <f aca="false">IF(INDEX(Articles!$E$2:$E$148,MATCH(C79,Articles!$A$2:$A$148,0))="","",INDEX(Articles!$E$2:$E$148,MATCH(C79,Articles!$A$2:$A$148,0)))</f>
        <v>1300</v>
      </c>
      <c r="J79" s="13" t="n">
        <f aca="false">IF(I79="","",F79*I79)</f>
        <v>1300</v>
      </c>
      <c r="K79" s="9" t="str">
        <f aca="false">INDEX(Articles!$H$2:$H$148,MATCH(C79,Articles!$A$2:$A$148,0))</f>
        <v>Fixé</v>
      </c>
      <c r="L79" s="9" t="str">
        <f aca="false">INDEX(Articles!$F$2:$F$148,MATCH(C79,Articles!$A$2:$A$148,0))</f>
        <v>Confirmé</v>
      </c>
      <c r="M79" s="17"/>
      <c r="N79" s="9" t="s">
        <v>167</v>
      </c>
    </row>
    <row r="80" customFormat="false" ht="15" hidden="false" customHeight="false" outlineLevel="0" collapsed="false">
      <c r="A80" s="9" t="s">
        <v>771</v>
      </c>
      <c r="B80" s="9" t="s">
        <v>772</v>
      </c>
      <c r="C80" s="31" t="s">
        <v>160</v>
      </c>
      <c r="D80" s="9" t="str">
        <f aca="false">INDEX(Articles!$C$2:$C$148,MATCH(C80,Articles!$A$2:$A$148,0))</f>
        <v>Protège-cahier couleur petit format (à l'unité)</v>
      </c>
      <c r="E80" s="9" t="str">
        <f aca="false">INDEX(Articles!$B$2:$B$148,MATCH(C80,Articles!$A$2:$A$148,0))</f>
        <v>LPD</v>
      </c>
      <c r="F80" s="31" t="n">
        <v>6</v>
      </c>
      <c r="G80" s="13" t="n">
        <f aca="false">IF(INDEX(Articles!$G$2:$G$148,MATCH(C80,Articles!$A$2:$A$148,0))="","",INDEX(Articles!$G$2:$G$148,MATCH(C80,Articles!$A$2:$A$148,0)))</f>
        <v>150</v>
      </c>
      <c r="H80" s="13" t="n">
        <f aca="false">IF(G80="",0,F80*G80)</f>
        <v>900</v>
      </c>
      <c r="I80" s="13" t="str">
        <f aca="false">IF(INDEX(Articles!$E$2:$E$148,MATCH(C80,Articles!$A$2:$A$148,0))="","",INDEX(Articles!$E$2:$E$148,MATCH(C80,Articles!$A$2:$A$148,0)))</f>
        <v/>
      </c>
      <c r="J80" s="13" t="str">
        <f aca="false">IF(I80="","",F80*I80)</f>
        <v/>
      </c>
      <c r="K80" s="9" t="str">
        <f aca="false">INDEX(Articles!$H$2:$H$148,MATCH(C80,Articles!$A$2:$A$148,0))</f>
        <v>Fixé</v>
      </c>
      <c r="L80" s="9" t="str">
        <f aca="false">INDEX(Articles!$F$2:$F$148,MATCH(C80,Articles!$A$2:$A$148,0))</f>
        <v>Inconnu</v>
      </c>
      <c r="M80" s="17"/>
      <c r="N80" s="9" t="s">
        <v>167</v>
      </c>
    </row>
    <row r="81" customFormat="false" ht="15" hidden="false" customHeight="false" outlineLevel="0" collapsed="false">
      <c r="A81" s="9" t="s">
        <v>771</v>
      </c>
      <c r="B81" s="9" t="s">
        <v>773</v>
      </c>
      <c r="C81" s="31" t="s">
        <v>419</v>
      </c>
      <c r="D81" s="9" t="str">
        <f aca="false">INDEX(Articles!$C$2:$C$148,MATCH(C81,Articles!$A$2:$A$148,0))</f>
        <v>Protège-cahier grand format (à l'unité)</v>
      </c>
      <c r="E81" s="9" t="str">
        <f aca="false">INDEX(Articles!$B$2:$B$148,MATCH(C81,Articles!$A$2:$A$148,0))</f>
        <v>À préciser</v>
      </c>
      <c r="F81" s="31" t="n">
        <v>9</v>
      </c>
      <c r="G81" s="13" t="str">
        <f aca="false">IF(INDEX(Articles!$G$2:$G$148,MATCH(C81,Articles!$A$2:$A$148,0))="","",INDEX(Articles!$G$2:$G$148,MATCH(C81,Articles!$A$2:$A$148,0)))</f>
        <v/>
      </c>
      <c r="H81" s="13" t="n">
        <f aca="false">IF(G81="",0,F81*G81)</f>
        <v>0</v>
      </c>
      <c r="I81" s="13" t="str">
        <f aca="false">IF(INDEX(Articles!$E$2:$E$148,MATCH(C81,Articles!$A$2:$A$148,0))="","",INDEX(Articles!$E$2:$E$148,MATCH(C81,Articles!$A$2:$A$148,0)))</f>
        <v/>
      </c>
      <c r="J81" s="13" t="str">
        <f aca="false">IF(I81="","",F81*I81)</f>
        <v/>
      </c>
      <c r="K81" s="9" t="str">
        <f aca="false">INDEX(Articles!$H$2:$H$148,MATCH(C81,Articles!$A$2:$A$148,0))</f>
        <v>À fournir</v>
      </c>
      <c r="L81" s="9" t="str">
        <f aca="false">INDEX(Articles!$F$2:$F$148,MATCH(C81,Articles!$A$2:$A$148,0))</f>
        <v>Inconnu</v>
      </c>
      <c r="M81" s="17"/>
      <c r="N81" s="9" t="s">
        <v>167</v>
      </c>
    </row>
    <row r="82" customFormat="false" ht="26.85" hidden="false" customHeight="false" outlineLevel="0" collapsed="false">
      <c r="A82" s="9" t="s">
        <v>760</v>
      </c>
      <c r="B82" s="9" t="s">
        <v>883</v>
      </c>
      <c r="C82" s="31" t="s">
        <v>514</v>
      </c>
      <c r="D82" s="9" t="str">
        <f aca="false">INDEX(Articles!$C$2:$C$148,MATCH(C82,Articles!$A$2:$A$148,0))</f>
        <v>L'Étranger (Albert Camus)</v>
      </c>
      <c r="E82" s="9" t="str">
        <f aca="false">INDEX(Articles!$B$2:$B$148,MATCH(C82,Articles!$A$2:$A$148,0))</f>
        <v>LPD</v>
      </c>
      <c r="F82" s="31" t="n">
        <v>1</v>
      </c>
      <c r="G82" s="13" t="n">
        <f aca="false">IF(INDEX(Articles!$G$2:$G$148,MATCH(C82,Articles!$A$2:$A$148,0))="","",INDEX(Articles!$G$2:$G$148,MATCH(C82,Articles!$A$2:$A$148,0)))</f>
        <v>2800</v>
      </c>
      <c r="H82" s="13" t="n">
        <f aca="false">IF(G82="",0,F82*G82)</f>
        <v>2800</v>
      </c>
      <c r="I82" s="13" t="n">
        <f aca="false">IF(INDEX(Articles!$E$2:$E$148,MATCH(C82,Articles!$A$2:$A$148,0))="","",INDEX(Articles!$E$2:$E$148,MATCH(C82,Articles!$A$2:$A$148,0)))</f>
        <v>1800</v>
      </c>
      <c r="J82" s="13" t="n">
        <f aca="false">IF(I82="","",F82*I82)</f>
        <v>1800</v>
      </c>
      <c r="K82" s="9" t="str">
        <f aca="false">INDEX(Articles!$H$2:$H$148,MATCH(C82,Articles!$A$2:$A$148,0))</f>
        <v>Fixé</v>
      </c>
      <c r="L82" s="9" t="str">
        <f aca="false">INDEX(Articles!$F$2:$F$148,MATCH(C82,Articles!$A$2:$A$148,0))</f>
        <v>Estimé</v>
      </c>
      <c r="M82" s="17" t="s">
        <v>947</v>
      </c>
      <c r="N82" s="9" t="s">
        <v>167</v>
      </c>
    </row>
    <row r="83" customFormat="false" ht="26.85" hidden="false" customHeight="false" outlineLevel="0" collapsed="false">
      <c r="A83" s="9" t="s">
        <v>760</v>
      </c>
      <c r="B83" s="9" t="s">
        <v>883</v>
      </c>
      <c r="C83" s="31" t="s">
        <v>516</v>
      </c>
      <c r="D83" s="9" t="str">
        <f aca="false">INDEX(Articles!$C$2:$C$148,MATCH(C83,Articles!$A$2:$A$148,0))</f>
        <v>Les Contemplations (Victor Hugo)</v>
      </c>
      <c r="E83" s="9" t="str">
        <f aca="false">INDEX(Articles!$B$2:$B$148,MATCH(C83,Articles!$A$2:$A$148,0))</f>
        <v>LPD</v>
      </c>
      <c r="F83" s="31" t="n">
        <v>1</v>
      </c>
      <c r="G83" s="13" t="n">
        <f aca="false">IF(INDEX(Articles!$G$2:$G$148,MATCH(C83,Articles!$A$2:$A$148,0))="","",INDEX(Articles!$G$2:$G$148,MATCH(C83,Articles!$A$2:$A$148,0)))</f>
        <v>2800</v>
      </c>
      <c r="H83" s="13" t="n">
        <f aca="false">IF(G83="",0,F83*G83)</f>
        <v>2800</v>
      </c>
      <c r="I83" s="13" t="n">
        <f aca="false">IF(INDEX(Articles!$E$2:$E$148,MATCH(C83,Articles!$A$2:$A$148,0))="","",INDEX(Articles!$E$2:$E$148,MATCH(C83,Articles!$A$2:$A$148,0)))</f>
        <v>1800</v>
      </c>
      <c r="J83" s="13" t="n">
        <f aca="false">IF(I83="","",F83*I83)</f>
        <v>1800</v>
      </c>
      <c r="K83" s="9" t="str">
        <f aca="false">INDEX(Articles!$H$2:$H$148,MATCH(C83,Articles!$A$2:$A$148,0))</f>
        <v>Fixé</v>
      </c>
      <c r="L83" s="9" t="str">
        <f aca="false">INDEX(Articles!$F$2:$F$148,MATCH(C83,Articles!$A$2:$A$148,0))</f>
        <v>Confirmé</v>
      </c>
      <c r="M83" s="17" t="s">
        <v>947</v>
      </c>
      <c r="N83" s="9" t="s">
        <v>167</v>
      </c>
    </row>
    <row r="84" customFormat="false" ht="15" hidden="false" customHeight="false" outlineLevel="0" collapsed="false">
      <c r="D84" s="32" t="s">
        <v>683</v>
      </c>
      <c r="E84" s="32"/>
      <c r="F84" s="32"/>
      <c r="G84" s="32"/>
      <c r="H84" s="33" t="n">
        <f aca="false">COUNTIF(G51:G83,"")</f>
        <v>1</v>
      </c>
    </row>
    <row r="85" customFormat="false" ht="15" hidden="false" customHeight="false" outlineLevel="0" collapsed="false">
      <c r="D85" s="32" t="s">
        <v>684</v>
      </c>
      <c r="E85" s="32"/>
      <c r="F85" s="32"/>
      <c r="G85" s="32"/>
      <c r="H85" s="33" t="n">
        <f aca="false">SUM(H51:H83)</f>
        <v>41075</v>
      </c>
    </row>
    <row r="86" customFormat="false" ht="15" hidden="false" customHeight="false" outlineLevel="0" collapsed="false">
      <c r="D86" s="32" t="s">
        <v>28</v>
      </c>
      <c r="E86" s="32"/>
      <c r="F86" s="32"/>
      <c r="G86" s="32"/>
      <c r="H86" s="33" t="n">
        <f aca="false">SUM(J51:J83)</f>
        <v>31860</v>
      </c>
    </row>
    <row r="87" customFormat="false" ht="15" hidden="false" customHeight="false" outlineLevel="0" collapsed="false">
      <c r="D87" s="32" t="s">
        <v>685</v>
      </c>
      <c r="E87" s="32"/>
      <c r="F87" s="32"/>
      <c r="G87" s="32"/>
      <c r="H87" s="33" t="n">
        <f aca="false">COUNTIF(I51:I83,"")</f>
        <v>5</v>
      </c>
    </row>
    <row r="88" customFormat="false" ht="15" hidden="false" customHeight="false" outlineLevel="0" collapsed="false">
      <c r="D88" s="32" t="s">
        <v>686</v>
      </c>
      <c r="E88" s="32"/>
      <c r="F88" s="32"/>
      <c r="G88" s="32"/>
      <c r="H88" s="33" t="n">
        <f aca="false">SUMPRODUCT((I51:I83&lt;&gt;"")*H51:H83)-H86</f>
        <v>7340</v>
      </c>
    </row>
    <row r="89" customFormat="false" ht="15" hidden="false" customHeight="false" outlineLevel="0" collapsed="false">
      <c r="D89" s="32" t="s">
        <v>687</v>
      </c>
      <c r="E89" s="32"/>
      <c r="F89" s="32"/>
      <c r="G89" s="32"/>
      <c r="H89" s="33" t="n">
        <f aca="false">SUMIF(A51:A83,"Cahiers",F51:F83)</f>
        <v>15</v>
      </c>
    </row>
    <row r="90" customFormat="false" ht="15" hidden="false" customHeight="false" outlineLevel="0" collapsed="false">
      <c r="D90" s="32" t="s">
        <v>688</v>
      </c>
      <c r="E90" s="32"/>
      <c r="F90" s="32"/>
      <c r="G90" s="32"/>
      <c r="H90" s="34" t="n">
        <f aca="false">IF(H85=0,0,SUMIF(K51:K83,"&lt;&gt;Fixé",H51:H83)/H85)</f>
        <v>0.194765672550213</v>
      </c>
    </row>
    <row r="91" customFormat="false" ht="15" hidden="false" customHeight="false" outlineLevel="0" collapsed="false">
      <c r="D91" s="32" t="s">
        <v>689</v>
      </c>
      <c r="E91" s="32"/>
      <c r="F91" s="32"/>
      <c r="G91" s="32"/>
      <c r="H91" s="33" t="str">
        <f aca="false">IF(H84&gt;0,"Total incomplet : "&amp;H84&amp;" prix de vente à fournir",IF(H87&gt;0,"Coût incomplet : "&amp;H87&amp;" ligne(s) sans prix d'achat","Complet"))</f>
        <v>Total incomplet : 1 prix de vente à fournir</v>
      </c>
    </row>
    <row r="92" customFormat="false" ht="15" hidden="false" customHeight="false" outlineLevel="0" collapsed="false">
      <c r="D92" s="21" t="s">
        <v>696</v>
      </c>
      <c r="E92" s="21" t="str">
        <f aca="false">INDEX(Articles!$C$2:$C$148,MATCH("S020",Articles!$A$2:$A$148,0))</f>
        <v>Sac à dos bleu marine</v>
      </c>
      <c r="H92" s="41" t="n">
        <f aca="false">INDEX(Articles!$G$2:$G$148,MATCH("S020",Articles!$A$2:$A$148,0))</f>
        <v>7000</v>
      </c>
    </row>
    <row r="93" customFormat="false" ht="15" hidden="false" customHeight="false" outlineLevel="0" collapsed="false">
      <c r="D93" s="42" t="s">
        <v>697</v>
      </c>
      <c r="E93" s="43" t="s">
        <v>948</v>
      </c>
    </row>
    <row r="94" customFormat="false" ht="15" hidden="false" customHeight="false" outlineLevel="0" collapsed="false">
      <c r="E94" s="43" t="s">
        <v>338</v>
      </c>
    </row>
    <row r="97" customFormat="false" ht="15" hidden="false" customHeight="false" outlineLevel="0" collapsed="false">
      <c r="A97" s="28" t="s">
        <v>957</v>
      </c>
      <c r="B97" s="29"/>
      <c r="C97" s="29"/>
      <c r="D97" s="29"/>
      <c r="E97" s="29"/>
      <c r="F97" s="29"/>
      <c r="G97" s="29"/>
      <c r="H97" s="29"/>
      <c r="I97" s="29"/>
      <c r="J97" s="29"/>
      <c r="K97" s="29"/>
      <c r="L97" s="29"/>
      <c r="M97" s="29"/>
      <c r="N97" s="29"/>
    </row>
    <row r="98" customFormat="false" ht="39.55" hidden="false" customHeight="false" outlineLevel="0" collapsed="false">
      <c r="A98" s="30" t="s">
        <v>663</v>
      </c>
      <c r="B98" s="30" t="s">
        <v>664</v>
      </c>
      <c r="C98" s="30" t="s">
        <v>348</v>
      </c>
      <c r="D98" s="30" t="s">
        <v>350</v>
      </c>
      <c r="E98" s="30" t="s">
        <v>349</v>
      </c>
      <c r="F98" s="30" t="s">
        <v>665</v>
      </c>
      <c r="G98" s="30" t="s">
        <v>666</v>
      </c>
      <c r="H98" s="30" t="s">
        <v>667</v>
      </c>
      <c r="I98" s="30" t="s">
        <v>668</v>
      </c>
      <c r="J98" s="30" t="s">
        <v>669</v>
      </c>
      <c r="K98" s="30" t="s">
        <v>355</v>
      </c>
      <c r="L98" s="30" t="s">
        <v>353</v>
      </c>
      <c r="M98" s="30" t="s">
        <v>356</v>
      </c>
      <c r="N98" s="30" t="s">
        <v>670</v>
      </c>
    </row>
    <row r="99" customFormat="false" ht="15" hidden="false" customHeight="false" outlineLevel="0" collapsed="false">
      <c r="A99" s="9" t="s">
        <v>671</v>
      </c>
      <c r="B99" s="9" t="s">
        <v>939</v>
      </c>
      <c r="C99" s="31" t="s">
        <v>213</v>
      </c>
      <c r="D99" s="9" t="str">
        <f aca="false">INDEX(Articles!$C$2:$C$148,MATCH(C99,Articles!$A$2:$A$148,0))</f>
        <v>Cahier Calligraphe 192 pages 24x32 (grand format)</v>
      </c>
      <c r="E99" s="9" t="str">
        <f aca="false">INDEX(Articles!$B$2:$B$148,MATCH(C99,Articles!$A$2:$A$148,0))</f>
        <v>Papex</v>
      </c>
      <c r="F99" s="31" t="n">
        <v>1</v>
      </c>
      <c r="G99" s="13" t="n">
        <f aca="false">IF(INDEX(Articles!$G$2:$G$148,MATCH(C99,Articles!$A$2:$A$148,0))="","",INDEX(Articles!$G$2:$G$148,MATCH(C99,Articles!$A$2:$A$148,0)))</f>
        <v>1650</v>
      </c>
      <c r="H99" s="13" t="n">
        <f aca="false">IF(G99="",0,F99*G99)</f>
        <v>1650</v>
      </c>
      <c r="I99" s="13" t="n">
        <f aca="false">IF(INDEX(Articles!$E$2:$E$148,MATCH(C99,Articles!$A$2:$A$148,0))="","",INDEX(Articles!$E$2:$E$148,MATCH(C99,Articles!$A$2:$A$148,0)))</f>
        <v>1500</v>
      </c>
      <c r="J99" s="13" t="n">
        <f aca="false">IF(I99="","",F99*I99)</f>
        <v>1500</v>
      </c>
      <c r="K99" s="9" t="str">
        <f aca="false">INDEX(Articles!$H$2:$H$148,MATCH(C99,Articles!$A$2:$A$148,0))</f>
        <v>Fixé</v>
      </c>
      <c r="L99" s="9" t="str">
        <f aca="false">INDEX(Articles!$F$2:$F$148,MATCH(C99,Articles!$A$2:$A$148,0))</f>
        <v>Confirmé</v>
      </c>
      <c r="M99" s="17"/>
      <c r="N99" s="9" t="s">
        <v>167</v>
      </c>
    </row>
    <row r="100" customFormat="false" ht="15" hidden="false" customHeight="false" outlineLevel="0" collapsed="false">
      <c r="A100" s="9" t="s">
        <v>671</v>
      </c>
      <c r="B100" s="9" t="s">
        <v>940</v>
      </c>
      <c r="C100" s="31" t="s">
        <v>213</v>
      </c>
      <c r="D100" s="9" t="str">
        <f aca="false">INDEX(Articles!$C$2:$C$148,MATCH(C100,Articles!$A$2:$A$148,0))</f>
        <v>Cahier Calligraphe 192 pages 24x32 (grand format)</v>
      </c>
      <c r="E100" s="9" t="str">
        <f aca="false">INDEX(Articles!$B$2:$B$148,MATCH(C100,Articles!$A$2:$A$148,0))</f>
        <v>Papex</v>
      </c>
      <c r="F100" s="31" t="n">
        <v>1</v>
      </c>
      <c r="G100" s="13" t="n">
        <f aca="false">IF(INDEX(Articles!$G$2:$G$148,MATCH(C100,Articles!$A$2:$A$148,0))="","",INDEX(Articles!$G$2:$G$148,MATCH(C100,Articles!$A$2:$A$148,0)))</f>
        <v>1650</v>
      </c>
      <c r="H100" s="13" t="n">
        <f aca="false">IF(G100="",0,F100*G100)</f>
        <v>1650</v>
      </c>
      <c r="I100" s="13" t="n">
        <f aca="false">IF(INDEX(Articles!$E$2:$E$148,MATCH(C100,Articles!$A$2:$A$148,0))="","",INDEX(Articles!$E$2:$E$148,MATCH(C100,Articles!$A$2:$A$148,0)))</f>
        <v>1500</v>
      </c>
      <c r="J100" s="13" t="n">
        <f aca="false">IF(I100="","",F100*I100)</f>
        <v>1500</v>
      </c>
      <c r="K100" s="9" t="str">
        <f aca="false">INDEX(Articles!$H$2:$H$148,MATCH(C100,Articles!$A$2:$A$148,0))</f>
        <v>Fixé</v>
      </c>
      <c r="L100" s="9" t="str">
        <f aca="false">INDEX(Articles!$F$2:$F$148,MATCH(C100,Articles!$A$2:$A$148,0))</f>
        <v>Confirmé</v>
      </c>
      <c r="M100" s="17"/>
      <c r="N100" s="9" t="s">
        <v>167</v>
      </c>
    </row>
    <row r="101" customFormat="false" ht="15" hidden="false" customHeight="false" outlineLevel="0" collapsed="false">
      <c r="A101" s="9" t="s">
        <v>671</v>
      </c>
      <c r="B101" s="9" t="s">
        <v>856</v>
      </c>
      <c r="C101" s="31" t="s">
        <v>213</v>
      </c>
      <c r="D101" s="9" t="str">
        <f aca="false">INDEX(Articles!$C$2:$C$148,MATCH(C101,Articles!$A$2:$A$148,0))</f>
        <v>Cahier Calligraphe 192 pages 24x32 (grand format)</v>
      </c>
      <c r="E101" s="9" t="str">
        <f aca="false">INDEX(Articles!$B$2:$B$148,MATCH(C101,Articles!$A$2:$A$148,0))</f>
        <v>Papex</v>
      </c>
      <c r="F101" s="31" t="n">
        <v>1</v>
      </c>
      <c r="G101" s="13" t="n">
        <f aca="false">IF(INDEX(Articles!$G$2:$G$148,MATCH(C101,Articles!$A$2:$A$148,0))="","",INDEX(Articles!$G$2:$G$148,MATCH(C101,Articles!$A$2:$A$148,0)))</f>
        <v>1650</v>
      </c>
      <c r="H101" s="13" t="n">
        <f aca="false">IF(G101="",0,F101*G101)</f>
        <v>1650</v>
      </c>
      <c r="I101" s="13" t="n">
        <f aca="false">IF(INDEX(Articles!$E$2:$E$148,MATCH(C101,Articles!$A$2:$A$148,0))="","",INDEX(Articles!$E$2:$E$148,MATCH(C101,Articles!$A$2:$A$148,0)))</f>
        <v>1500</v>
      </c>
      <c r="J101" s="13" t="n">
        <f aca="false">IF(I101="","",F101*I101)</f>
        <v>1500</v>
      </c>
      <c r="K101" s="9" t="str">
        <f aca="false">INDEX(Articles!$H$2:$H$148,MATCH(C101,Articles!$A$2:$A$148,0))</f>
        <v>Fixé</v>
      </c>
      <c r="L101" s="9" t="str">
        <f aca="false">INDEX(Articles!$F$2:$F$148,MATCH(C101,Articles!$A$2:$A$148,0))</f>
        <v>Confirmé</v>
      </c>
      <c r="M101" s="17"/>
      <c r="N101" s="9" t="s">
        <v>167</v>
      </c>
    </row>
    <row r="102" customFormat="false" ht="15" hidden="false" customHeight="false" outlineLevel="0" collapsed="false">
      <c r="A102" s="9" t="s">
        <v>671</v>
      </c>
      <c r="B102" s="9" t="s">
        <v>857</v>
      </c>
      <c r="C102" s="31" t="s">
        <v>366</v>
      </c>
      <c r="D102" s="9" t="str">
        <f aca="false">INDEX(Articles!$C$2:$C$148,MATCH(C102,Articles!$A$2:$A$148,0))</f>
        <v>Cahier Calligraphe 140 pages 17x22 90 g seyès</v>
      </c>
      <c r="E102" s="9" t="str">
        <f aca="false">INDEX(Articles!$B$2:$B$148,MATCH(C102,Articles!$A$2:$A$148,0))</f>
        <v>Papex</v>
      </c>
      <c r="F102" s="31" t="n">
        <v>1</v>
      </c>
      <c r="G102" s="13" t="n">
        <f aca="false">IF(INDEX(Articles!$G$2:$G$148,MATCH(C102,Articles!$A$2:$A$148,0))="","",INDEX(Articles!$G$2:$G$148,MATCH(C102,Articles!$A$2:$A$148,0)))</f>
        <v>750</v>
      </c>
      <c r="H102" s="13" t="n">
        <f aca="false">IF(G102="",0,F102*G102)</f>
        <v>750</v>
      </c>
      <c r="I102" s="13" t="n">
        <f aca="false">IF(INDEX(Articles!$E$2:$E$148,MATCH(C102,Articles!$A$2:$A$148,0))="","",INDEX(Articles!$E$2:$E$148,MATCH(C102,Articles!$A$2:$A$148,0)))</f>
        <v>650</v>
      </c>
      <c r="J102" s="13" t="n">
        <f aca="false">IF(I102="","",F102*I102)</f>
        <v>650</v>
      </c>
      <c r="K102" s="9" t="str">
        <f aca="false">INDEX(Articles!$H$2:$H$148,MATCH(C102,Articles!$A$2:$A$148,0))</f>
        <v>Fixé</v>
      </c>
      <c r="L102" s="9" t="str">
        <f aca="false">INDEX(Articles!$F$2:$F$148,MATCH(C102,Articles!$A$2:$A$148,0))</f>
        <v>Estimé</v>
      </c>
      <c r="M102" s="17" t="s">
        <v>763</v>
      </c>
      <c r="N102" s="9" t="s">
        <v>167</v>
      </c>
    </row>
    <row r="103" customFormat="false" ht="15" hidden="false" customHeight="false" outlineLevel="0" collapsed="false">
      <c r="A103" s="9" t="s">
        <v>671</v>
      </c>
      <c r="B103" s="9" t="s">
        <v>737</v>
      </c>
      <c r="C103" s="31" t="s">
        <v>213</v>
      </c>
      <c r="D103" s="9" t="str">
        <f aca="false">INDEX(Articles!$C$2:$C$148,MATCH(C103,Articles!$A$2:$A$148,0))</f>
        <v>Cahier Calligraphe 192 pages 24x32 (grand format)</v>
      </c>
      <c r="E103" s="9" t="str">
        <f aca="false">INDEX(Articles!$B$2:$B$148,MATCH(C103,Articles!$A$2:$A$148,0))</f>
        <v>Papex</v>
      </c>
      <c r="F103" s="31" t="n">
        <v>1</v>
      </c>
      <c r="G103" s="13" t="n">
        <f aca="false">IF(INDEX(Articles!$G$2:$G$148,MATCH(C103,Articles!$A$2:$A$148,0))="","",INDEX(Articles!$G$2:$G$148,MATCH(C103,Articles!$A$2:$A$148,0)))</f>
        <v>1650</v>
      </c>
      <c r="H103" s="13" t="n">
        <f aca="false">IF(G103="",0,F103*G103)</f>
        <v>1650</v>
      </c>
      <c r="I103" s="13" t="n">
        <f aca="false">IF(INDEX(Articles!$E$2:$E$148,MATCH(C103,Articles!$A$2:$A$148,0))="","",INDEX(Articles!$E$2:$E$148,MATCH(C103,Articles!$A$2:$A$148,0)))</f>
        <v>1500</v>
      </c>
      <c r="J103" s="13" t="n">
        <f aca="false">IF(I103="","",F103*I103)</f>
        <v>1500</v>
      </c>
      <c r="K103" s="9" t="str">
        <f aca="false">INDEX(Articles!$H$2:$H$148,MATCH(C103,Articles!$A$2:$A$148,0))</f>
        <v>Fixé</v>
      </c>
      <c r="L103" s="9" t="str">
        <f aca="false">INDEX(Articles!$F$2:$F$148,MATCH(C103,Articles!$A$2:$A$148,0))</f>
        <v>Confirmé</v>
      </c>
      <c r="M103" s="17"/>
      <c r="N103" s="9" t="s">
        <v>167</v>
      </c>
    </row>
    <row r="104" customFormat="false" ht="15" hidden="false" customHeight="false" outlineLevel="0" collapsed="false">
      <c r="A104" s="9" t="s">
        <v>671</v>
      </c>
      <c r="B104" s="9" t="s">
        <v>739</v>
      </c>
      <c r="C104" s="31" t="s">
        <v>192</v>
      </c>
      <c r="D104" s="9" t="str">
        <f aca="false">INDEX(Articles!$C$2:$C$148,MATCH(C104,Articles!$A$2:$A$148,0))</f>
        <v>Cahier Calligraphe 192 pages 17x22 90 g seyès</v>
      </c>
      <c r="E104" s="9" t="str">
        <f aca="false">INDEX(Articles!$B$2:$B$148,MATCH(C104,Articles!$A$2:$A$148,0))</f>
        <v>Papex</v>
      </c>
      <c r="F104" s="31" t="n">
        <v>1</v>
      </c>
      <c r="G104" s="13" t="n">
        <f aca="false">IF(INDEX(Articles!$G$2:$G$148,MATCH(C104,Articles!$A$2:$A$148,0))="","",INDEX(Articles!$G$2:$G$148,MATCH(C104,Articles!$A$2:$A$148,0)))</f>
        <v>900</v>
      </c>
      <c r="H104" s="13" t="n">
        <f aca="false">IF(G104="",0,F104*G104)</f>
        <v>900</v>
      </c>
      <c r="I104" s="13" t="n">
        <f aca="false">IF(INDEX(Articles!$E$2:$E$148,MATCH(C104,Articles!$A$2:$A$148,0))="","",INDEX(Articles!$E$2:$E$148,MATCH(C104,Articles!$A$2:$A$148,0)))</f>
        <v>800</v>
      </c>
      <c r="J104" s="13" t="n">
        <f aca="false">IF(I104="","",F104*I104)</f>
        <v>800</v>
      </c>
      <c r="K104" s="9" t="str">
        <f aca="false">INDEX(Articles!$H$2:$H$148,MATCH(C104,Articles!$A$2:$A$148,0))</f>
        <v>Fixé</v>
      </c>
      <c r="L104" s="9" t="str">
        <f aca="false">INDEX(Articles!$F$2:$F$148,MATCH(C104,Articles!$A$2:$A$148,0))</f>
        <v>Confirmé</v>
      </c>
      <c r="M104" s="17"/>
      <c r="N104" s="9" t="s">
        <v>167</v>
      </c>
    </row>
    <row r="105" customFormat="false" ht="15" hidden="false" customHeight="false" outlineLevel="0" collapsed="false">
      <c r="A105" s="9" t="s">
        <v>671</v>
      </c>
      <c r="B105" s="9" t="s">
        <v>853</v>
      </c>
      <c r="C105" s="31" t="s">
        <v>213</v>
      </c>
      <c r="D105" s="9" t="str">
        <f aca="false">INDEX(Articles!$C$2:$C$148,MATCH(C105,Articles!$A$2:$A$148,0))</f>
        <v>Cahier Calligraphe 192 pages 24x32 (grand format)</v>
      </c>
      <c r="E105" s="9" t="str">
        <f aca="false">INDEX(Articles!$B$2:$B$148,MATCH(C105,Articles!$A$2:$A$148,0))</f>
        <v>Papex</v>
      </c>
      <c r="F105" s="31" t="n">
        <v>1</v>
      </c>
      <c r="G105" s="13" t="n">
        <f aca="false">IF(INDEX(Articles!$G$2:$G$148,MATCH(C105,Articles!$A$2:$A$148,0))="","",INDEX(Articles!$G$2:$G$148,MATCH(C105,Articles!$A$2:$A$148,0)))</f>
        <v>1650</v>
      </c>
      <c r="H105" s="13" t="n">
        <f aca="false">IF(G105="",0,F105*G105)</f>
        <v>1650</v>
      </c>
      <c r="I105" s="13" t="n">
        <f aca="false">IF(INDEX(Articles!$E$2:$E$148,MATCH(C105,Articles!$A$2:$A$148,0))="","",INDEX(Articles!$E$2:$E$148,MATCH(C105,Articles!$A$2:$A$148,0)))</f>
        <v>1500</v>
      </c>
      <c r="J105" s="13" t="n">
        <f aca="false">IF(I105="","",F105*I105)</f>
        <v>1500</v>
      </c>
      <c r="K105" s="9" t="str">
        <f aca="false">INDEX(Articles!$H$2:$H$148,MATCH(C105,Articles!$A$2:$A$148,0))</f>
        <v>Fixé</v>
      </c>
      <c r="L105" s="9" t="str">
        <f aca="false">INDEX(Articles!$F$2:$F$148,MATCH(C105,Articles!$A$2:$A$148,0))</f>
        <v>Confirmé</v>
      </c>
      <c r="M105" s="17"/>
      <c r="N105" s="9" t="s">
        <v>167</v>
      </c>
    </row>
    <row r="106" customFormat="false" ht="15" hidden="false" customHeight="false" outlineLevel="0" collapsed="false">
      <c r="A106" s="9" t="s">
        <v>671</v>
      </c>
      <c r="B106" s="9" t="s">
        <v>744</v>
      </c>
      <c r="C106" s="31" t="s">
        <v>213</v>
      </c>
      <c r="D106" s="9" t="str">
        <f aca="false">INDEX(Articles!$C$2:$C$148,MATCH(C106,Articles!$A$2:$A$148,0))</f>
        <v>Cahier Calligraphe 192 pages 24x32 (grand format)</v>
      </c>
      <c r="E106" s="9" t="str">
        <f aca="false">INDEX(Articles!$B$2:$B$148,MATCH(C106,Articles!$A$2:$A$148,0))</f>
        <v>Papex</v>
      </c>
      <c r="F106" s="31" t="n">
        <v>1</v>
      </c>
      <c r="G106" s="13" t="n">
        <f aca="false">IF(INDEX(Articles!$G$2:$G$148,MATCH(C106,Articles!$A$2:$A$148,0))="","",INDEX(Articles!$G$2:$G$148,MATCH(C106,Articles!$A$2:$A$148,0)))</f>
        <v>1650</v>
      </c>
      <c r="H106" s="13" t="n">
        <f aca="false">IF(G106="",0,F106*G106)</f>
        <v>1650</v>
      </c>
      <c r="I106" s="13" t="n">
        <f aca="false">IF(INDEX(Articles!$E$2:$E$148,MATCH(C106,Articles!$A$2:$A$148,0))="","",INDEX(Articles!$E$2:$E$148,MATCH(C106,Articles!$A$2:$A$148,0)))</f>
        <v>1500</v>
      </c>
      <c r="J106" s="13" t="n">
        <f aca="false">IF(I106="","",F106*I106)</f>
        <v>1500</v>
      </c>
      <c r="K106" s="9" t="str">
        <f aca="false">INDEX(Articles!$H$2:$H$148,MATCH(C106,Articles!$A$2:$A$148,0))</f>
        <v>Fixé</v>
      </c>
      <c r="L106" s="9" t="str">
        <f aca="false">INDEX(Articles!$F$2:$F$148,MATCH(C106,Articles!$A$2:$A$148,0))</f>
        <v>Confirmé</v>
      </c>
      <c r="M106" s="17"/>
      <c r="N106" s="9" t="s">
        <v>167</v>
      </c>
    </row>
    <row r="107" customFormat="false" ht="15" hidden="false" customHeight="false" outlineLevel="0" collapsed="false">
      <c r="A107" s="9" t="s">
        <v>671</v>
      </c>
      <c r="B107" s="9" t="s">
        <v>854</v>
      </c>
      <c r="C107" s="31" t="s">
        <v>366</v>
      </c>
      <c r="D107" s="9" t="str">
        <f aca="false">INDEX(Articles!$C$2:$C$148,MATCH(C107,Articles!$A$2:$A$148,0))</f>
        <v>Cahier Calligraphe 140 pages 17x22 90 g seyès</v>
      </c>
      <c r="E107" s="9" t="str">
        <f aca="false">INDEX(Articles!$B$2:$B$148,MATCH(C107,Articles!$A$2:$A$148,0))</f>
        <v>Papex</v>
      </c>
      <c r="F107" s="31" t="n">
        <v>1</v>
      </c>
      <c r="G107" s="13" t="n">
        <f aca="false">IF(INDEX(Articles!$G$2:$G$148,MATCH(C107,Articles!$A$2:$A$148,0))="","",INDEX(Articles!$G$2:$G$148,MATCH(C107,Articles!$A$2:$A$148,0)))</f>
        <v>750</v>
      </c>
      <c r="H107" s="13" t="n">
        <f aca="false">IF(G107="",0,F107*G107)</f>
        <v>750</v>
      </c>
      <c r="I107" s="13" t="n">
        <f aca="false">IF(INDEX(Articles!$E$2:$E$148,MATCH(C107,Articles!$A$2:$A$148,0))="","",INDEX(Articles!$E$2:$E$148,MATCH(C107,Articles!$A$2:$A$148,0)))</f>
        <v>650</v>
      </c>
      <c r="J107" s="13" t="n">
        <f aca="false">IF(I107="","",F107*I107)</f>
        <v>650</v>
      </c>
      <c r="K107" s="9" t="str">
        <f aca="false">INDEX(Articles!$H$2:$H$148,MATCH(C107,Articles!$A$2:$A$148,0))</f>
        <v>Fixé</v>
      </c>
      <c r="L107" s="9" t="str">
        <f aca="false">INDEX(Articles!$F$2:$F$148,MATCH(C107,Articles!$A$2:$A$148,0))</f>
        <v>Estimé</v>
      </c>
      <c r="M107" s="17" t="s">
        <v>763</v>
      </c>
      <c r="N107" s="9" t="s">
        <v>167</v>
      </c>
    </row>
    <row r="108" customFormat="false" ht="15" hidden="false" customHeight="false" outlineLevel="0" collapsed="false">
      <c r="A108" s="9" t="s">
        <v>671</v>
      </c>
      <c r="B108" s="9" t="s">
        <v>850</v>
      </c>
      <c r="C108" s="31" t="s">
        <v>208</v>
      </c>
      <c r="D108" s="9" t="str">
        <f aca="false">INDEX(Articles!$C$2:$C$148,MATCH(C108,Articles!$A$2:$A$148,0))</f>
        <v>Cahier Calligraphe 96 pages 24x32 (grand format)</v>
      </c>
      <c r="E108" s="9" t="str">
        <f aca="false">INDEX(Articles!$B$2:$B$148,MATCH(C108,Articles!$A$2:$A$148,0))</f>
        <v>Papex</v>
      </c>
      <c r="F108" s="31" t="n">
        <v>1</v>
      </c>
      <c r="G108" s="13" t="n">
        <f aca="false">IF(INDEX(Articles!$G$2:$G$148,MATCH(C108,Articles!$A$2:$A$148,0))="","",INDEX(Articles!$G$2:$G$148,MATCH(C108,Articles!$A$2:$A$148,0)))</f>
        <v>1350</v>
      </c>
      <c r="H108" s="13" t="n">
        <f aca="false">IF(G108="",0,F108*G108)</f>
        <v>1350</v>
      </c>
      <c r="I108" s="13" t="n">
        <f aca="false">IF(INDEX(Articles!$E$2:$E$148,MATCH(C108,Articles!$A$2:$A$148,0))="","",INDEX(Articles!$E$2:$E$148,MATCH(C108,Articles!$A$2:$A$148,0)))</f>
        <v>1000</v>
      </c>
      <c r="J108" s="13" t="n">
        <f aca="false">IF(I108="","",F108*I108)</f>
        <v>1000</v>
      </c>
      <c r="K108" s="9" t="str">
        <f aca="false">INDEX(Articles!$H$2:$H$148,MATCH(C108,Articles!$A$2:$A$148,0))</f>
        <v>Fixé</v>
      </c>
      <c r="L108" s="9" t="str">
        <f aca="false">INDEX(Articles!$F$2:$F$148,MATCH(C108,Articles!$A$2:$A$148,0))</f>
        <v>Confirmé</v>
      </c>
      <c r="M108" s="17"/>
      <c r="N108" s="9" t="s">
        <v>167</v>
      </c>
    </row>
    <row r="109" customFormat="false" ht="15" hidden="false" customHeight="false" outlineLevel="0" collapsed="false">
      <c r="A109" s="9" t="s">
        <v>671</v>
      </c>
      <c r="B109" s="9" t="s">
        <v>941</v>
      </c>
      <c r="C109" s="31" t="s">
        <v>213</v>
      </c>
      <c r="D109" s="9" t="str">
        <f aca="false">INDEX(Articles!$C$2:$C$148,MATCH(C109,Articles!$A$2:$A$148,0))</f>
        <v>Cahier Calligraphe 192 pages 24x32 (grand format)</v>
      </c>
      <c r="E109" s="9" t="str">
        <f aca="false">INDEX(Articles!$B$2:$B$148,MATCH(C109,Articles!$A$2:$A$148,0))</f>
        <v>Papex</v>
      </c>
      <c r="F109" s="31" t="n">
        <v>1</v>
      </c>
      <c r="G109" s="13" t="n">
        <f aca="false">IF(INDEX(Articles!$G$2:$G$148,MATCH(C109,Articles!$A$2:$A$148,0))="","",INDEX(Articles!$G$2:$G$148,MATCH(C109,Articles!$A$2:$A$148,0)))</f>
        <v>1650</v>
      </c>
      <c r="H109" s="13" t="n">
        <f aca="false">IF(G109="",0,F109*G109)</f>
        <v>1650</v>
      </c>
      <c r="I109" s="13" t="n">
        <f aca="false">IF(INDEX(Articles!$E$2:$E$148,MATCH(C109,Articles!$A$2:$A$148,0))="","",INDEX(Articles!$E$2:$E$148,MATCH(C109,Articles!$A$2:$A$148,0)))</f>
        <v>1500</v>
      </c>
      <c r="J109" s="13" t="n">
        <f aca="false">IF(I109="","",F109*I109)</f>
        <v>1500</v>
      </c>
      <c r="K109" s="9" t="str">
        <f aca="false">INDEX(Articles!$H$2:$H$148,MATCH(C109,Articles!$A$2:$A$148,0))</f>
        <v>Fixé</v>
      </c>
      <c r="L109" s="9" t="str">
        <f aca="false">INDEX(Articles!$F$2:$F$148,MATCH(C109,Articles!$A$2:$A$148,0))</f>
        <v>Confirmé</v>
      </c>
      <c r="M109" s="17"/>
      <c r="N109" s="9" t="s">
        <v>167</v>
      </c>
    </row>
    <row r="110" customFormat="false" ht="15" hidden="false" customHeight="false" outlineLevel="0" collapsed="false">
      <c r="A110" s="9" t="s">
        <v>671</v>
      </c>
      <c r="B110" s="9" t="s">
        <v>942</v>
      </c>
      <c r="C110" s="31" t="s">
        <v>192</v>
      </c>
      <c r="D110" s="9" t="str">
        <f aca="false">INDEX(Articles!$C$2:$C$148,MATCH(C110,Articles!$A$2:$A$148,0))</f>
        <v>Cahier Calligraphe 192 pages 17x22 90 g seyès</v>
      </c>
      <c r="E110" s="9" t="str">
        <f aca="false">INDEX(Articles!$B$2:$B$148,MATCH(C110,Articles!$A$2:$A$148,0))</f>
        <v>Papex</v>
      </c>
      <c r="F110" s="31" t="n">
        <v>1</v>
      </c>
      <c r="G110" s="13" t="n">
        <f aca="false">IF(INDEX(Articles!$G$2:$G$148,MATCH(C110,Articles!$A$2:$A$148,0))="","",INDEX(Articles!$G$2:$G$148,MATCH(C110,Articles!$A$2:$A$148,0)))</f>
        <v>900</v>
      </c>
      <c r="H110" s="13" t="n">
        <f aca="false">IF(G110="",0,F110*G110)</f>
        <v>900</v>
      </c>
      <c r="I110" s="13" t="n">
        <f aca="false">IF(INDEX(Articles!$E$2:$E$148,MATCH(C110,Articles!$A$2:$A$148,0))="","",INDEX(Articles!$E$2:$E$148,MATCH(C110,Articles!$A$2:$A$148,0)))</f>
        <v>800</v>
      </c>
      <c r="J110" s="13" t="n">
        <f aca="false">IF(I110="","",F110*I110)</f>
        <v>800</v>
      </c>
      <c r="K110" s="9" t="str">
        <f aca="false">INDEX(Articles!$H$2:$H$148,MATCH(C110,Articles!$A$2:$A$148,0))</f>
        <v>Fixé</v>
      </c>
      <c r="L110" s="9" t="str">
        <f aca="false">INDEX(Articles!$F$2:$F$148,MATCH(C110,Articles!$A$2:$A$148,0))</f>
        <v>Confirmé</v>
      </c>
      <c r="M110" s="17"/>
      <c r="N110" s="9" t="s">
        <v>167</v>
      </c>
    </row>
    <row r="111" customFormat="false" ht="15" hidden="false" customHeight="false" outlineLevel="0" collapsed="false">
      <c r="A111" s="9" t="s">
        <v>671</v>
      </c>
      <c r="B111" s="9" t="s">
        <v>943</v>
      </c>
      <c r="C111" s="31" t="s">
        <v>192</v>
      </c>
      <c r="D111" s="9" t="str">
        <f aca="false">INDEX(Articles!$C$2:$C$148,MATCH(C111,Articles!$A$2:$A$148,0))</f>
        <v>Cahier Calligraphe 192 pages 17x22 90 g seyès</v>
      </c>
      <c r="E111" s="9" t="str">
        <f aca="false">INDEX(Articles!$B$2:$B$148,MATCH(C111,Articles!$A$2:$A$148,0))</f>
        <v>Papex</v>
      </c>
      <c r="F111" s="31" t="n">
        <v>1</v>
      </c>
      <c r="G111" s="13" t="n">
        <f aca="false">IF(INDEX(Articles!$G$2:$G$148,MATCH(C111,Articles!$A$2:$A$148,0))="","",INDEX(Articles!$G$2:$G$148,MATCH(C111,Articles!$A$2:$A$148,0)))</f>
        <v>900</v>
      </c>
      <c r="H111" s="13" t="n">
        <f aca="false">IF(G111="",0,F111*G111)</f>
        <v>900</v>
      </c>
      <c r="I111" s="13" t="n">
        <f aca="false">IF(INDEX(Articles!$E$2:$E$148,MATCH(C111,Articles!$A$2:$A$148,0))="","",INDEX(Articles!$E$2:$E$148,MATCH(C111,Articles!$A$2:$A$148,0)))</f>
        <v>800</v>
      </c>
      <c r="J111" s="13" t="n">
        <f aca="false">IF(I111="","",F111*I111)</f>
        <v>800</v>
      </c>
      <c r="K111" s="9" t="str">
        <f aca="false">INDEX(Articles!$H$2:$H$148,MATCH(C111,Articles!$A$2:$A$148,0))</f>
        <v>Fixé</v>
      </c>
      <c r="L111" s="9" t="str">
        <f aca="false">INDEX(Articles!$F$2:$F$148,MATCH(C111,Articles!$A$2:$A$148,0))</f>
        <v>Confirmé</v>
      </c>
      <c r="M111" s="17"/>
      <c r="N111" s="9" t="s">
        <v>167</v>
      </c>
    </row>
    <row r="112" customFormat="false" ht="15" hidden="false" customHeight="false" outlineLevel="0" collapsed="false">
      <c r="A112" s="9" t="s">
        <v>671</v>
      </c>
      <c r="B112" s="9" t="s">
        <v>944</v>
      </c>
      <c r="C112" s="31" t="s">
        <v>366</v>
      </c>
      <c r="D112" s="9" t="str">
        <f aca="false">INDEX(Articles!$C$2:$C$148,MATCH(C112,Articles!$A$2:$A$148,0))</f>
        <v>Cahier Calligraphe 140 pages 17x22 90 g seyès</v>
      </c>
      <c r="E112" s="9" t="str">
        <f aca="false">INDEX(Articles!$B$2:$B$148,MATCH(C112,Articles!$A$2:$A$148,0))</f>
        <v>Papex</v>
      </c>
      <c r="F112" s="31" t="n">
        <v>1</v>
      </c>
      <c r="G112" s="13" t="n">
        <f aca="false">IF(INDEX(Articles!$G$2:$G$148,MATCH(C112,Articles!$A$2:$A$148,0))="","",INDEX(Articles!$G$2:$G$148,MATCH(C112,Articles!$A$2:$A$148,0)))</f>
        <v>750</v>
      </c>
      <c r="H112" s="13" t="n">
        <f aca="false">IF(G112="",0,F112*G112)</f>
        <v>750</v>
      </c>
      <c r="I112" s="13" t="n">
        <f aca="false">IF(INDEX(Articles!$E$2:$E$148,MATCH(C112,Articles!$A$2:$A$148,0))="","",INDEX(Articles!$E$2:$E$148,MATCH(C112,Articles!$A$2:$A$148,0)))</f>
        <v>650</v>
      </c>
      <c r="J112" s="13" t="n">
        <f aca="false">IF(I112="","",F112*I112)</f>
        <v>650</v>
      </c>
      <c r="K112" s="9" t="str">
        <f aca="false">INDEX(Articles!$H$2:$H$148,MATCH(C112,Articles!$A$2:$A$148,0))</f>
        <v>Fixé</v>
      </c>
      <c r="L112" s="9" t="str">
        <f aca="false">INDEX(Articles!$F$2:$F$148,MATCH(C112,Articles!$A$2:$A$148,0))</f>
        <v>Estimé</v>
      </c>
      <c r="M112" s="17" t="s">
        <v>763</v>
      </c>
      <c r="N112" s="9" t="s">
        <v>167</v>
      </c>
    </row>
    <row r="113" customFormat="false" ht="15" hidden="false" customHeight="false" outlineLevel="0" collapsed="false">
      <c r="A113" s="9" t="s">
        <v>671</v>
      </c>
      <c r="B113" s="9" t="s">
        <v>909</v>
      </c>
      <c r="C113" s="31" t="s">
        <v>213</v>
      </c>
      <c r="D113" s="9" t="str">
        <f aca="false">INDEX(Articles!$C$2:$C$148,MATCH(C113,Articles!$A$2:$A$148,0))</f>
        <v>Cahier Calligraphe 192 pages 24x32 (grand format)</v>
      </c>
      <c r="E113" s="9" t="str">
        <f aca="false">INDEX(Articles!$B$2:$B$148,MATCH(C113,Articles!$A$2:$A$148,0))</f>
        <v>Papex</v>
      </c>
      <c r="F113" s="31" t="n">
        <v>1</v>
      </c>
      <c r="G113" s="13" t="n">
        <f aca="false">IF(INDEX(Articles!$G$2:$G$148,MATCH(C113,Articles!$A$2:$A$148,0))="","",INDEX(Articles!$G$2:$G$148,MATCH(C113,Articles!$A$2:$A$148,0)))</f>
        <v>1650</v>
      </c>
      <c r="H113" s="13" t="n">
        <f aca="false">IF(G113="",0,F113*G113)</f>
        <v>1650</v>
      </c>
      <c r="I113" s="13" t="n">
        <f aca="false">IF(INDEX(Articles!$E$2:$E$148,MATCH(C113,Articles!$A$2:$A$148,0))="","",INDEX(Articles!$E$2:$E$148,MATCH(C113,Articles!$A$2:$A$148,0)))</f>
        <v>1500</v>
      </c>
      <c r="J113" s="13" t="n">
        <f aca="false">IF(I113="","",F113*I113)</f>
        <v>1500</v>
      </c>
      <c r="K113" s="9" t="str">
        <f aca="false">INDEX(Articles!$H$2:$H$148,MATCH(C113,Articles!$A$2:$A$148,0))</f>
        <v>Fixé</v>
      </c>
      <c r="L113" s="9" t="str">
        <f aca="false">INDEX(Articles!$F$2:$F$148,MATCH(C113,Articles!$A$2:$A$148,0))</f>
        <v>Confirmé</v>
      </c>
      <c r="M113" s="17"/>
      <c r="N113" s="9" t="s">
        <v>167</v>
      </c>
    </row>
    <row r="114" customFormat="false" ht="15" hidden="false" customHeight="false" outlineLevel="0" collapsed="false">
      <c r="A114" s="9" t="s">
        <v>678</v>
      </c>
      <c r="B114" s="9" t="s">
        <v>749</v>
      </c>
      <c r="C114" s="31" t="s">
        <v>222</v>
      </c>
      <c r="D114" s="9" t="str">
        <f aca="false">INDEX(Articles!$C$2:$C$148,MATCH(C114,Articles!$A$2:$A$148,0))</f>
        <v>Pack de 4 stylos Schneider Tops 505 M (bleu, noir, rouge, vert)</v>
      </c>
      <c r="E114" s="9" t="str">
        <f aca="false">INDEX(Articles!$B$2:$B$148,MATCH(C114,Articles!$A$2:$A$148,0))</f>
        <v>Papex</v>
      </c>
      <c r="F114" s="31" t="n">
        <v>1</v>
      </c>
      <c r="G114" s="13" t="n">
        <f aca="false">IF(INDEX(Articles!$G$2:$G$148,MATCH(C114,Articles!$A$2:$A$148,0))="","",INDEX(Articles!$G$2:$G$148,MATCH(C114,Articles!$A$2:$A$148,0)))</f>
        <v>400</v>
      </c>
      <c r="H114" s="13" t="n">
        <f aca="false">IF(G114="",0,F114*G114)</f>
        <v>400</v>
      </c>
      <c r="I114" s="13" t="str">
        <f aca="false">IF(INDEX(Articles!$E$2:$E$148,MATCH(C114,Articles!$A$2:$A$148,0))="","",INDEX(Articles!$E$2:$E$148,MATCH(C114,Articles!$A$2:$A$148,0)))</f>
        <v/>
      </c>
      <c r="J114" s="13" t="str">
        <f aca="false">IF(I114="","",F114*I114)</f>
        <v/>
      </c>
      <c r="K114" s="9" t="str">
        <f aca="false">INDEX(Articles!$H$2:$H$148,MATCH(C114,Articles!$A$2:$A$148,0))</f>
        <v>Fixé</v>
      </c>
      <c r="L114" s="9" t="str">
        <f aca="false">INDEX(Articles!$F$2:$F$148,MATCH(C114,Articles!$A$2:$A$148,0))</f>
        <v>Inconnu</v>
      </c>
      <c r="M114" s="17" t="s">
        <v>432</v>
      </c>
      <c r="N114" s="9" t="s">
        <v>167</v>
      </c>
    </row>
    <row r="115" customFormat="false" ht="15" hidden="false" customHeight="false" outlineLevel="0" collapsed="false">
      <c r="A115" s="9" t="s">
        <v>678</v>
      </c>
      <c r="B115" s="9" t="s">
        <v>750</v>
      </c>
      <c r="C115" s="31" t="s">
        <v>235</v>
      </c>
      <c r="D115" s="9" t="str">
        <f aca="false">INDEX(Articles!$C$2:$C$148,MATCH(C115,Articles!$A$2:$A$148,0))</f>
        <v>Crayon papier (vendu à l'unité)</v>
      </c>
      <c r="E115" s="9" t="str">
        <f aca="false">INDEX(Articles!$B$2:$B$148,MATCH(C115,Articles!$A$2:$A$148,0))</f>
        <v>LPD</v>
      </c>
      <c r="F115" s="31" t="n">
        <v>1</v>
      </c>
      <c r="G115" s="13" t="n">
        <f aca="false">IF(INDEX(Articles!$G$2:$G$148,MATCH(C115,Articles!$A$2:$A$148,0))="","",INDEX(Articles!$G$2:$G$148,MATCH(C115,Articles!$A$2:$A$148,0)))</f>
        <v>75</v>
      </c>
      <c r="H115" s="13" t="n">
        <f aca="false">IF(G115="",0,F115*G115)</f>
        <v>75</v>
      </c>
      <c r="I115" s="13" t="str">
        <f aca="false">IF(INDEX(Articles!$E$2:$E$148,MATCH(C115,Articles!$A$2:$A$148,0))="","",INDEX(Articles!$E$2:$E$148,MATCH(C115,Articles!$A$2:$A$148,0)))</f>
        <v/>
      </c>
      <c r="J115" s="13" t="str">
        <f aca="false">IF(I115="","",F115*I115)</f>
        <v/>
      </c>
      <c r="K115" s="9" t="str">
        <f aca="false">INDEX(Articles!$H$2:$H$148,MATCH(C115,Articles!$A$2:$A$148,0))</f>
        <v>Fixé</v>
      </c>
      <c r="L115" s="9" t="str">
        <f aca="false">INDEX(Articles!$F$2:$F$148,MATCH(C115,Articles!$A$2:$A$148,0))</f>
        <v>Inconnu</v>
      </c>
      <c r="M115" s="17"/>
      <c r="N115" s="9" t="s">
        <v>167</v>
      </c>
    </row>
    <row r="116" customFormat="false" ht="15" hidden="false" customHeight="false" outlineLevel="0" collapsed="false">
      <c r="A116" s="9" t="s">
        <v>675</v>
      </c>
      <c r="B116" s="9" t="s">
        <v>717</v>
      </c>
      <c r="C116" s="31" t="s">
        <v>180</v>
      </c>
      <c r="D116" s="9" t="str">
        <f aca="false">INDEX(Articles!$C$2:$C$148,MATCH(C116,Articles!$A$2:$A$148,0))</f>
        <v>Gomme Staedtler Mars Plastic</v>
      </c>
      <c r="E116" s="9" t="str">
        <f aca="false">INDEX(Articles!$B$2:$B$148,MATCH(C116,Articles!$A$2:$A$148,0))</f>
        <v>LPD</v>
      </c>
      <c r="F116" s="31" t="n">
        <v>1</v>
      </c>
      <c r="G116" s="13" t="n">
        <f aca="false">IF(INDEX(Articles!$G$2:$G$148,MATCH(C116,Articles!$A$2:$A$148,0))="","",INDEX(Articles!$G$2:$G$148,MATCH(C116,Articles!$A$2:$A$148,0)))</f>
        <v>250</v>
      </c>
      <c r="H116" s="13" t="n">
        <f aca="false">IF(G116="",0,F116*G116)</f>
        <v>250</v>
      </c>
      <c r="I116" s="13" t="n">
        <f aca="false">IF(INDEX(Articles!$E$2:$E$148,MATCH(C116,Articles!$A$2:$A$148,0))="","",INDEX(Articles!$E$2:$E$148,MATCH(C116,Articles!$A$2:$A$148,0)))</f>
        <v>110</v>
      </c>
      <c r="J116" s="13" t="n">
        <f aca="false">IF(I116="","",F116*I116)</f>
        <v>110</v>
      </c>
      <c r="K116" s="9" t="str">
        <f aca="false">INDEX(Articles!$H$2:$H$148,MATCH(C116,Articles!$A$2:$A$148,0))</f>
        <v>Fixé</v>
      </c>
      <c r="L116" s="9" t="str">
        <f aca="false">INDEX(Articles!$F$2:$F$148,MATCH(C116,Articles!$A$2:$A$148,0))</f>
        <v>Estimé</v>
      </c>
      <c r="M116" s="17"/>
      <c r="N116" s="9" t="s">
        <v>167</v>
      </c>
    </row>
    <row r="117" customFormat="false" ht="15" hidden="false" customHeight="false" outlineLevel="0" collapsed="false">
      <c r="A117" s="9" t="s">
        <v>675</v>
      </c>
      <c r="B117" s="9" t="s">
        <v>751</v>
      </c>
      <c r="C117" s="31" t="s">
        <v>183</v>
      </c>
      <c r="D117" s="9" t="str">
        <f aca="false">INDEX(Articles!$C$2:$C$148,MATCH(C117,Articles!$A$2:$A$148,0))</f>
        <v>Taille-crayon avec réservoir Maped</v>
      </c>
      <c r="E117" s="9" t="str">
        <f aca="false">INDEX(Articles!$B$2:$B$148,MATCH(C117,Articles!$A$2:$A$148,0))</f>
        <v>Papex</v>
      </c>
      <c r="F117" s="31" t="n">
        <v>1</v>
      </c>
      <c r="G117" s="13" t="n">
        <f aca="false">IF(INDEX(Articles!$G$2:$G$148,MATCH(C117,Articles!$A$2:$A$148,0))="","",INDEX(Articles!$G$2:$G$148,MATCH(C117,Articles!$A$2:$A$148,0)))</f>
        <v>500</v>
      </c>
      <c r="H117" s="13" t="n">
        <f aca="false">IF(G117="",0,F117*G117)</f>
        <v>500</v>
      </c>
      <c r="I117" s="13" t="n">
        <f aca="false">IF(INDEX(Articles!$E$2:$E$148,MATCH(C117,Articles!$A$2:$A$148,0))="","",INDEX(Articles!$E$2:$E$148,MATCH(C117,Articles!$A$2:$A$148,0)))</f>
        <v>350</v>
      </c>
      <c r="J117" s="13" t="n">
        <f aca="false">IF(I117="","",F117*I117)</f>
        <v>350</v>
      </c>
      <c r="K117" s="9" t="str">
        <f aca="false">INDEX(Articles!$H$2:$H$148,MATCH(C117,Articles!$A$2:$A$148,0))</f>
        <v>Estimé</v>
      </c>
      <c r="L117" s="9" t="str">
        <f aca="false">INDEX(Articles!$F$2:$F$148,MATCH(C117,Articles!$A$2:$A$148,0))</f>
        <v>Estimé</v>
      </c>
      <c r="M117" s="17" t="s">
        <v>765</v>
      </c>
      <c r="N117" s="9" t="s">
        <v>167</v>
      </c>
    </row>
    <row r="118" customFormat="false" ht="15" hidden="false" customHeight="false" outlineLevel="0" collapsed="false">
      <c r="A118" s="9" t="s">
        <v>675</v>
      </c>
      <c r="B118" s="9" t="s">
        <v>753</v>
      </c>
      <c r="C118" s="31" t="s">
        <v>248</v>
      </c>
      <c r="D118" s="9" t="str">
        <f aca="false">INDEX(Articles!$C$2:$C$148,MATCH(C118,Articles!$A$2:$A$148,0))</f>
        <v>Bâton de colle Giotto 20 g</v>
      </c>
      <c r="E118" s="9" t="str">
        <f aca="false">INDEX(Articles!$B$2:$B$148,MATCH(C118,Articles!$A$2:$A$148,0))</f>
        <v>Papex</v>
      </c>
      <c r="F118" s="31" t="n">
        <v>1</v>
      </c>
      <c r="G118" s="13" t="n">
        <f aca="false">IF(INDEX(Articles!$G$2:$G$148,MATCH(C118,Articles!$A$2:$A$148,0))="","",INDEX(Articles!$G$2:$G$148,MATCH(C118,Articles!$A$2:$A$148,0)))</f>
        <v>900</v>
      </c>
      <c r="H118" s="13" t="n">
        <f aca="false">IF(G118="",0,F118*G118)</f>
        <v>900</v>
      </c>
      <c r="I118" s="13" t="n">
        <f aca="false">IF(INDEX(Articles!$E$2:$E$148,MATCH(C118,Articles!$A$2:$A$148,0))="","",INDEX(Articles!$E$2:$E$148,MATCH(C118,Articles!$A$2:$A$148,0)))</f>
        <v>650</v>
      </c>
      <c r="J118" s="13" t="n">
        <f aca="false">IF(I118="","",F118*I118)</f>
        <v>650</v>
      </c>
      <c r="K118" s="9" t="str">
        <f aca="false">INDEX(Articles!$H$2:$H$148,MATCH(C118,Articles!$A$2:$A$148,0))</f>
        <v>Estimé</v>
      </c>
      <c r="L118" s="9" t="str">
        <f aca="false">INDEX(Articles!$F$2:$F$148,MATCH(C118,Articles!$A$2:$A$148,0))</f>
        <v>Estimé</v>
      </c>
      <c r="M118" s="17"/>
      <c r="N118" s="9" t="s">
        <v>167</v>
      </c>
    </row>
    <row r="119" customFormat="false" ht="15" hidden="false" customHeight="false" outlineLevel="0" collapsed="false">
      <c r="A119" s="9" t="s">
        <v>675</v>
      </c>
      <c r="B119" s="9" t="s">
        <v>754</v>
      </c>
      <c r="C119" s="31" t="s">
        <v>189</v>
      </c>
      <c r="D119" s="9" t="str">
        <f aca="false">INDEX(Articles!$C$2:$C$148,MATCH(C119,Articles!$A$2:$A$148,0))</f>
        <v>Ciseaux Maped 13 cm Security</v>
      </c>
      <c r="E119" s="9" t="str">
        <f aca="false">INDEX(Articles!$B$2:$B$148,MATCH(C119,Articles!$A$2:$A$148,0))</f>
        <v>Papex</v>
      </c>
      <c r="F119" s="31" t="n">
        <v>1</v>
      </c>
      <c r="G119" s="13" t="n">
        <f aca="false">IF(INDEX(Articles!$G$2:$G$148,MATCH(C119,Articles!$A$2:$A$148,0))="","",INDEX(Articles!$G$2:$G$148,MATCH(C119,Articles!$A$2:$A$148,0)))</f>
        <v>900</v>
      </c>
      <c r="H119" s="13" t="n">
        <f aca="false">IF(G119="",0,F119*G119)</f>
        <v>900</v>
      </c>
      <c r="I119" s="13" t="n">
        <f aca="false">IF(INDEX(Articles!$E$2:$E$148,MATCH(C119,Articles!$A$2:$A$148,0))="","",INDEX(Articles!$E$2:$E$148,MATCH(C119,Articles!$A$2:$A$148,0)))</f>
        <v>650</v>
      </c>
      <c r="J119" s="13" t="n">
        <f aca="false">IF(I119="","",F119*I119)</f>
        <v>650</v>
      </c>
      <c r="K119" s="9" t="str">
        <f aca="false">INDEX(Articles!$H$2:$H$148,MATCH(C119,Articles!$A$2:$A$148,0))</f>
        <v>Estimé</v>
      </c>
      <c r="L119" s="9" t="str">
        <f aca="false">INDEX(Articles!$F$2:$F$148,MATCH(C119,Articles!$A$2:$A$148,0))</f>
        <v>Estimé</v>
      </c>
      <c r="M119" s="17"/>
      <c r="N119" s="9" t="s">
        <v>167</v>
      </c>
    </row>
    <row r="120" customFormat="false" ht="15" hidden="false" customHeight="false" outlineLevel="0" collapsed="false">
      <c r="A120" s="9" t="s">
        <v>676</v>
      </c>
      <c r="B120" s="9" t="s">
        <v>755</v>
      </c>
      <c r="C120" s="31" t="s">
        <v>215</v>
      </c>
      <c r="D120" s="9" t="str">
        <f aca="false">INDEX(Articles!$C$2:$C$148,MATCH(C120,Articles!$A$2:$A$148,0))</f>
        <v>Kit géométrie Maped 30 cm (réf. 1930)</v>
      </c>
      <c r="E120" s="9" t="str">
        <f aca="false">INDEX(Articles!$B$2:$B$148,MATCH(C120,Articles!$A$2:$A$148,0))</f>
        <v>LPD</v>
      </c>
      <c r="F120" s="31" t="n">
        <v>1</v>
      </c>
      <c r="G120" s="13" t="n">
        <f aca="false">IF(INDEX(Articles!$G$2:$G$148,MATCH(C120,Articles!$A$2:$A$148,0))="","",INDEX(Articles!$G$2:$G$148,MATCH(C120,Articles!$A$2:$A$148,0)))</f>
        <v>1800</v>
      </c>
      <c r="H120" s="13" t="n">
        <f aca="false">IF(G120="",0,F120*G120)</f>
        <v>1800</v>
      </c>
      <c r="I120" s="13" t="n">
        <f aca="false">IF(INDEX(Articles!$E$2:$E$148,MATCH(C120,Articles!$A$2:$A$148,0))="","",INDEX(Articles!$E$2:$E$148,MATCH(C120,Articles!$A$2:$A$148,0)))</f>
        <v>1500</v>
      </c>
      <c r="J120" s="13" t="n">
        <f aca="false">IF(I120="","",F120*I120)</f>
        <v>1500</v>
      </c>
      <c r="K120" s="9" t="str">
        <f aca="false">INDEX(Articles!$H$2:$H$148,MATCH(C120,Articles!$A$2:$A$148,0))</f>
        <v>À trancher</v>
      </c>
      <c r="L120" s="9" t="str">
        <f aca="false">INDEX(Articles!$F$2:$F$148,MATCH(C120,Articles!$A$2:$A$148,0))</f>
        <v>Confirmé</v>
      </c>
      <c r="M120" s="17"/>
      <c r="N120" s="9" t="s">
        <v>167</v>
      </c>
    </row>
    <row r="121" customFormat="false" ht="15" hidden="false" customHeight="false" outlineLevel="0" collapsed="false">
      <c r="A121" s="9" t="s">
        <v>676</v>
      </c>
      <c r="B121" s="9" t="s">
        <v>756</v>
      </c>
      <c r="C121" s="31" t="s">
        <v>171</v>
      </c>
      <c r="D121" s="9" t="str">
        <f aca="false">INDEX(Articles!$C$2:$C$148,MATCH(C121,Articles!$A$2:$A$148,0))</f>
        <v>Compas Maped</v>
      </c>
      <c r="E121" s="9" t="str">
        <f aca="false">INDEX(Articles!$B$2:$B$148,MATCH(C121,Articles!$A$2:$A$148,0))</f>
        <v>Papex</v>
      </c>
      <c r="F121" s="31" t="n">
        <v>1</v>
      </c>
      <c r="G121" s="13" t="n">
        <f aca="false">IF(INDEX(Articles!$G$2:$G$148,MATCH(C121,Articles!$A$2:$A$148,0))="","",INDEX(Articles!$G$2:$G$148,MATCH(C121,Articles!$A$2:$A$148,0)))</f>
        <v>2000</v>
      </c>
      <c r="H121" s="13" t="n">
        <f aca="false">IF(G121="",0,F121*G121)</f>
        <v>2000</v>
      </c>
      <c r="I121" s="13" t="n">
        <f aca="false">IF(INDEX(Articles!$E$2:$E$148,MATCH(C121,Articles!$A$2:$A$148,0))="","",INDEX(Articles!$E$2:$E$148,MATCH(C121,Articles!$A$2:$A$148,0)))</f>
        <v>1750</v>
      </c>
      <c r="J121" s="13" t="n">
        <f aca="false">IF(I121="","",F121*I121)</f>
        <v>1750</v>
      </c>
      <c r="K121" s="9" t="str">
        <f aca="false">INDEX(Articles!$H$2:$H$148,MATCH(C121,Articles!$A$2:$A$148,0))</f>
        <v>Fixé</v>
      </c>
      <c r="L121" s="9" t="str">
        <f aca="false">INDEX(Articles!$F$2:$F$148,MATCH(C121,Articles!$A$2:$A$148,0))</f>
        <v>Confirmé</v>
      </c>
      <c r="M121" s="17"/>
      <c r="N121" s="9" t="s">
        <v>167</v>
      </c>
    </row>
    <row r="122" customFormat="false" ht="15" hidden="false" customHeight="false" outlineLevel="0" collapsed="false">
      <c r="A122" s="9" t="s">
        <v>681</v>
      </c>
      <c r="B122" s="9" t="s">
        <v>757</v>
      </c>
      <c r="C122" s="31" t="s">
        <v>198</v>
      </c>
      <c r="D122" s="9" t="str">
        <f aca="false">INDEX(Articles!$C$2:$C$148,MATCH(C122,Articles!$A$2:$A$148,0))</f>
        <v>Crayons de couleur Maped, boîte de 12</v>
      </c>
      <c r="E122" s="9" t="str">
        <f aca="false">INDEX(Articles!$B$2:$B$148,MATCH(C122,Articles!$A$2:$A$148,0))</f>
        <v>Papex</v>
      </c>
      <c r="F122" s="31" t="n">
        <v>1</v>
      </c>
      <c r="G122" s="13" t="n">
        <f aca="false">IF(INDEX(Articles!$G$2:$G$148,MATCH(C122,Articles!$A$2:$A$148,0))="","",INDEX(Articles!$G$2:$G$148,MATCH(C122,Articles!$A$2:$A$148,0)))</f>
        <v>900</v>
      </c>
      <c r="H122" s="13" t="n">
        <f aca="false">IF(G122="",0,F122*G122)</f>
        <v>900</v>
      </c>
      <c r="I122" s="13" t="n">
        <f aca="false">IF(INDEX(Articles!$E$2:$E$148,MATCH(C122,Articles!$A$2:$A$148,0))="","",INDEX(Articles!$E$2:$E$148,MATCH(C122,Articles!$A$2:$A$148,0)))</f>
        <v>650</v>
      </c>
      <c r="J122" s="13" t="n">
        <f aca="false">IF(I122="","",F122*I122)</f>
        <v>650</v>
      </c>
      <c r="K122" s="9" t="str">
        <f aca="false">INDEX(Articles!$H$2:$H$148,MATCH(C122,Articles!$A$2:$A$148,0))</f>
        <v>Estimé</v>
      </c>
      <c r="L122" s="9" t="str">
        <f aca="false">INDEX(Articles!$F$2:$F$148,MATCH(C122,Articles!$A$2:$A$148,0))</f>
        <v>Estimé</v>
      </c>
      <c r="M122" s="17"/>
      <c r="N122" s="9" t="s">
        <v>167</v>
      </c>
    </row>
    <row r="123" customFormat="false" ht="15" hidden="false" customHeight="false" outlineLevel="0" collapsed="false">
      <c r="A123" s="9" t="s">
        <v>678</v>
      </c>
      <c r="B123" s="9" t="s">
        <v>766</v>
      </c>
      <c r="C123" s="31" t="s">
        <v>200</v>
      </c>
      <c r="D123" s="9" t="str">
        <f aca="false">INDEX(Articles!$C$2:$C$148,MATCH(C123,Articles!$A$2:$A$148,0))</f>
        <v>Surligneurs Maped Fluo Peps, pochette de 4</v>
      </c>
      <c r="E123" s="9" t="str">
        <f aca="false">INDEX(Articles!$B$2:$B$148,MATCH(C123,Articles!$A$2:$A$148,0))</f>
        <v>Papex</v>
      </c>
      <c r="F123" s="31" t="n">
        <v>1</v>
      </c>
      <c r="G123" s="13" t="n">
        <f aca="false">IF(INDEX(Articles!$G$2:$G$148,MATCH(C123,Articles!$A$2:$A$148,0))="","",INDEX(Articles!$G$2:$G$148,MATCH(C123,Articles!$A$2:$A$148,0)))</f>
        <v>2500</v>
      </c>
      <c r="H123" s="13" t="n">
        <f aca="false">IF(G123="",0,F123*G123)</f>
        <v>2500</v>
      </c>
      <c r="I123" s="13" t="n">
        <f aca="false">IF(INDEX(Articles!$E$2:$E$148,MATCH(C123,Articles!$A$2:$A$148,0))="","",INDEX(Articles!$E$2:$E$148,MATCH(C123,Articles!$A$2:$A$148,0)))</f>
        <v>2000</v>
      </c>
      <c r="J123" s="13" t="n">
        <f aca="false">IF(I123="","",F123*I123)</f>
        <v>2000</v>
      </c>
      <c r="K123" s="9" t="str">
        <f aca="false">INDEX(Articles!$H$2:$H$148,MATCH(C123,Articles!$A$2:$A$148,0))</f>
        <v>Estimé</v>
      </c>
      <c r="L123" s="9" t="str">
        <f aca="false">INDEX(Articles!$F$2:$F$148,MATCH(C123,Articles!$A$2:$A$148,0))</f>
        <v>Confirmé</v>
      </c>
      <c r="M123" s="17" t="s">
        <v>767</v>
      </c>
      <c r="N123" s="9" t="s">
        <v>167</v>
      </c>
    </row>
    <row r="124" customFormat="false" ht="15" hidden="false" customHeight="false" outlineLevel="0" collapsed="false">
      <c r="A124" s="9" t="s">
        <v>768</v>
      </c>
      <c r="B124" s="9" t="s">
        <v>769</v>
      </c>
      <c r="C124" s="31" t="s">
        <v>446</v>
      </c>
      <c r="D124" s="9" t="str">
        <f aca="false">INDEX(Articles!$C$2:$C$148,MATCH(C124,Articles!$A$2:$A$148,0))</f>
        <v>Chemise 3 rabats à élastique</v>
      </c>
      <c r="E124" s="9" t="str">
        <f aca="false">INDEX(Articles!$B$2:$B$148,MATCH(C124,Articles!$A$2:$A$148,0))</f>
        <v>Papex</v>
      </c>
      <c r="F124" s="31" t="n">
        <v>1</v>
      </c>
      <c r="G124" s="13" t="n">
        <f aca="false">IF(INDEX(Articles!$G$2:$G$148,MATCH(C124,Articles!$A$2:$A$148,0))="","",INDEX(Articles!$G$2:$G$148,MATCH(C124,Articles!$A$2:$A$148,0)))</f>
        <v>500</v>
      </c>
      <c r="H124" s="13" t="n">
        <f aca="false">IF(G124="",0,F124*G124)</f>
        <v>500</v>
      </c>
      <c r="I124" s="13" t="str">
        <f aca="false">IF(INDEX(Articles!$E$2:$E$148,MATCH(C124,Articles!$A$2:$A$148,0))="","",INDEX(Articles!$E$2:$E$148,MATCH(C124,Articles!$A$2:$A$148,0)))</f>
        <v/>
      </c>
      <c r="J124" s="13" t="str">
        <f aca="false">IF(I124="","",F124*I124)</f>
        <v/>
      </c>
      <c r="K124" s="9" t="str">
        <f aca="false">INDEX(Articles!$H$2:$H$148,MATCH(C124,Articles!$A$2:$A$148,0))</f>
        <v>Estimé</v>
      </c>
      <c r="L124" s="9" t="str">
        <f aca="false">INDEX(Articles!$F$2:$F$148,MATCH(C124,Articles!$A$2:$A$148,0))</f>
        <v>Inconnu</v>
      </c>
      <c r="M124" s="17" t="s">
        <v>770</v>
      </c>
      <c r="N124" s="9" t="s">
        <v>167</v>
      </c>
    </row>
    <row r="125" customFormat="false" ht="15" hidden="false" customHeight="false" outlineLevel="0" collapsed="false">
      <c r="A125" s="9" t="s">
        <v>676</v>
      </c>
      <c r="B125" s="9" t="s">
        <v>812</v>
      </c>
      <c r="C125" s="31" t="s">
        <v>205</v>
      </c>
      <c r="D125" s="9" t="str">
        <f aca="false">INDEX(Articles!$C$2:$C$148,MATCH(C125,Articles!$A$2:$A$148,0))</f>
        <v>Calculatrice Casio fx-92 Collège</v>
      </c>
      <c r="E125" s="9" t="str">
        <f aca="false">INDEX(Articles!$B$2:$B$148,MATCH(C125,Articles!$A$2:$A$148,0))</f>
        <v>Papex</v>
      </c>
      <c r="F125" s="31" t="n">
        <v>1</v>
      </c>
      <c r="G125" s="13" t="n">
        <f aca="false">IF(INDEX(Articles!$G$2:$G$148,MATCH(C125,Articles!$A$2:$A$148,0))="","",INDEX(Articles!$G$2:$G$148,MATCH(C125,Articles!$A$2:$A$148,0)))</f>
        <v>8000</v>
      </c>
      <c r="H125" s="13" t="n">
        <f aca="false">IF(G125="",0,F125*G125)</f>
        <v>8000</v>
      </c>
      <c r="I125" s="13" t="n">
        <f aca="false">IF(INDEX(Articles!$E$2:$E$148,MATCH(C125,Articles!$A$2:$A$148,0))="","",INDEX(Articles!$E$2:$E$148,MATCH(C125,Articles!$A$2:$A$148,0)))</f>
        <v>7000</v>
      </c>
      <c r="J125" s="13" t="n">
        <f aca="false">IF(I125="","",F125*I125)</f>
        <v>7000</v>
      </c>
      <c r="K125" s="9" t="str">
        <f aca="false">INDEX(Articles!$H$2:$H$148,MATCH(C125,Articles!$A$2:$A$148,0))</f>
        <v>Fixé</v>
      </c>
      <c r="L125" s="9" t="str">
        <f aca="false">INDEX(Articles!$F$2:$F$148,MATCH(C125,Articles!$A$2:$A$148,0))</f>
        <v>Confirmé</v>
      </c>
      <c r="M125" s="17" t="s">
        <v>820</v>
      </c>
      <c r="N125" s="9" t="s">
        <v>167</v>
      </c>
    </row>
    <row r="126" customFormat="false" ht="15" hidden="false" customHeight="false" outlineLevel="0" collapsed="false">
      <c r="A126" s="9" t="s">
        <v>768</v>
      </c>
      <c r="B126" s="9" t="s">
        <v>861</v>
      </c>
      <c r="C126" s="31" t="s">
        <v>246</v>
      </c>
      <c r="D126" s="9" t="str">
        <f aca="false">INDEX(Articles!$C$2:$C$148,MATCH(C126,Articles!$A$2:$A$148,0))</f>
        <v>Protège-documents porte-vues</v>
      </c>
      <c r="E126" s="9" t="str">
        <f aca="false">INDEX(Articles!$B$2:$B$148,MATCH(C126,Articles!$A$2:$A$148,0))</f>
        <v>LPD</v>
      </c>
      <c r="F126" s="31" t="n">
        <v>1</v>
      </c>
      <c r="G126" s="13" t="n">
        <f aca="false">IF(INDEX(Articles!$G$2:$G$148,MATCH(C126,Articles!$A$2:$A$148,0))="","",INDEX(Articles!$G$2:$G$148,MATCH(C126,Articles!$A$2:$A$148,0)))</f>
        <v>1150</v>
      </c>
      <c r="H126" s="13" t="n">
        <f aca="false">IF(G126="",0,F126*G126)</f>
        <v>1150</v>
      </c>
      <c r="I126" s="13" t="n">
        <f aca="false">IF(INDEX(Articles!$E$2:$E$148,MATCH(C126,Articles!$A$2:$A$148,0))="","",INDEX(Articles!$E$2:$E$148,MATCH(C126,Articles!$A$2:$A$148,0)))</f>
        <v>850</v>
      </c>
      <c r="J126" s="13" t="n">
        <f aca="false">IF(I126="","",F126*I126)</f>
        <v>850</v>
      </c>
      <c r="K126" s="9" t="str">
        <f aca="false">INDEX(Articles!$H$2:$H$148,MATCH(C126,Articles!$A$2:$A$148,0))</f>
        <v>Fixé</v>
      </c>
      <c r="L126" s="9" t="str">
        <f aca="false">INDEX(Articles!$F$2:$F$148,MATCH(C126,Articles!$A$2:$A$148,0))</f>
        <v>Estimé</v>
      </c>
      <c r="M126" s="17"/>
      <c r="N126" s="9" t="s">
        <v>167</v>
      </c>
    </row>
    <row r="127" customFormat="false" ht="15" hidden="false" customHeight="false" outlineLevel="0" collapsed="false">
      <c r="A127" s="9" t="s">
        <v>758</v>
      </c>
      <c r="B127" s="9" t="s">
        <v>759</v>
      </c>
      <c r="C127" s="31" t="s">
        <v>376</v>
      </c>
      <c r="D127" s="9" t="str">
        <f aca="false">INDEX(Articles!$C$2:$C$148,MATCH(C127,Articles!$A$2:$A$148,0))</f>
        <v>Paquet de copies doubles grand format</v>
      </c>
      <c r="E127" s="9" t="str">
        <f aca="false">INDEX(Articles!$B$2:$B$148,MATCH(C127,Articles!$A$2:$A$148,0))</f>
        <v>À préciser</v>
      </c>
      <c r="F127" s="31" t="n">
        <v>1</v>
      </c>
      <c r="G127" s="45" t="n">
        <f aca="false">IF(INDEX(Articles!$G$2:$G$148,MATCH(C127,Articles!$A$2:$A$148,0))="","",INDEX(Articles!$G$2:$G$148,MATCH(C127,Articles!$A$2:$A$148,0)))</f>
        <v>1800</v>
      </c>
      <c r="H127" s="13" t="n">
        <f aca="false">IF(G127="",0,F127*G127)</f>
        <v>1800</v>
      </c>
      <c r="I127" s="13" t="n">
        <f aca="false">IF(INDEX(Articles!$E$2:$E$148,MATCH(C127,Articles!$A$2:$A$148,0))="","",INDEX(Articles!$E$2:$E$148,MATCH(C127,Articles!$A$2:$A$148,0)))</f>
        <v>1300</v>
      </c>
      <c r="J127" s="13" t="n">
        <f aca="false">IF(I127="","",F127*I127)</f>
        <v>1300</v>
      </c>
      <c r="K127" s="9" t="str">
        <f aca="false">INDEX(Articles!$H$2:$H$148,MATCH(C127,Articles!$A$2:$A$148,0))</f>
        <v>Fixé</v>
      </c>
      <c r="L127" s="9" t="str">
        <f aca="false">INDEX(Articles!$F$2:$F$148,MATCH(C127,Articles!$A$2:$A$148,0))</f>
        <v>Confirmé</v>
      </c>
      <c r="M127" s="17"/>
      <c r="N127" s="9" t="s">
        <v>167</v>
      </c>
    </row>
    <row r="128" customFormat="false" ht="15" hidden="false" customHeight="false" outlineLevel="0" collapsed="false">
      <c r="A128" s="9" t="s">
        <v>771</v>
      </c>
      <c r="B128" s="9" t="s">
        <v>772</v>
      </c>
      <c r="C128" s="31" t="s">
        <v>160</v>
      </c>
      <c r="D128" s="9" t="str">
        <f aca="false">INDEX(Articles!$C$2:$C$148,MATCH(C128,Articles!$A$2:$A$148,0))</f>
        <v>Protège-cahier couleur petit format (à l'unité)</v>
      </c>
      <c r="E128" s="9" t="str">
        <f aca="false">INDEX(Articles!$B$2:$B$148,MATCH(C128,Articles!$A$2:$A$148,0))</f>
        <v>LPD</v>
      </c>
      <c r="F128" s="31" t="n">
        <v>6</v>
      </c>
      <c r="G128" s="13" t="n">
        <f aca="false">IF(INDEX(Articles!$G$2:$G$148,MATCH(C128,Articles!$A$2:$A$148,0))="","",INDEX(Articles!$G$2:$G$148,MATCH(C128,Articles!$A$2:$A$148,0)))</f>
        <v>150</v>
      </c>
      <c r="H128" s="13" t="n">
        <f aca="false">IF(G128="",0,F128*G128)</f>
        <v>900</v>
      </c>
      <c r="I128" s="13" t="str">
        <f aca="false">IF(INDEX(Articles!$E$2:$E$148,MATCH(C128,Articles!$A$2:$A$148,0))="","",INDEX(Articles!$E$2:$E$148,MATCH(C128,Articles!$A$2:$A$148,0)))</f>
        <v/>
      </c>
      <c r="J128" s="13" t="str">
        <f aca="false">IF(I128="","",F128*I128)</f>
        <v/>
      </c>
      <c r="K128" s="9" t="str">
        <f aca="false">INDEX(Articles!$H$2:$H$148,MATCH(C128,Articles!$A$2:$A$148,0))</f>
        <v>Fixé</v>
      </c>
      <c r="L128" s="9" t="str">
        <f aca="false">INDEX(Articles!$F$2:$F$148,MATCH(C128,Articles!$A$2:$A$148,0))</f>
        <v>Inconnu</v>
      </c>
      <c r="M128" s="17"/>
      <c r="N128" s="9" t="s">
        <v>167</v>
      </c>
    </row>
    <row r="129" customFormat="false" ht="15" hidden="false" customHeight="false" outlineLevel="0" collapsed="false">
      <c r="A129" s="9" t="s">
        <v>771</v>
      </c>
      <c r="B129" s="9" t="s">
        <v>773</v>
      </c>
      <c r="C129" s="31" t="s">
        <v>419</v>
      </c>
      <c r="D129" s="9" t="str">
        <f aca="false">INDEX(Articles!$C$2:$C$148,MATCH(C129,Articles!$A$2:$A$148,0))</f>
        <v>Protège-cahier grand format (à l'unité)</v>
      </c>
      <c r="E129" s="9" t="str">
        <f aca="false">INDEX(Articles!$B$2:$B$148,MATCH(C129,Articles!$A$2:$A$148,0))</f>
        <v>À préciser</v>
      </c>
      <c r="F129" s="31" t="n">
        <v>9</v>
      </c>
      <c r="G129" s="13" t="str">
        <f aca="false">IF(INDEX(Articles!$G$2:$G$148,MATCH(C129,Articles!$A$2:$A$148,0))="","",INDEX(Articles!$G$2:$G$148,MATCH(C129,Articles!$A$2:$A$148,0)))</f>
        <v/>
      </c>
      <c r="H129" s="13" t="n">
        <f aca="false">IF(G129="",0,F129*G129)</f>
        <v>0</v>
      </c>
      <c r="I129" s="13" t="str">
        <f aca="false">IF(INDEX(Articles!$E$2:$E$148,MATCH(C129,Articles!$A$2:$A$148,0))="","",INDEX(Articles!$E$2:$E$148,MATCH(C129,Articles!$A$2:$A$148,0)))</f>
        <v/>
      </c>
      <c r="J129" s="13" t="str">
        <f aca="false">IF(I129="","",F129*I129)</f>
        <v/>
      </c>
      <c r="K129" s="9" t="str">
        <f aca="false">INDEX(Articles!$H$2:$H$148,MATCH(C129,Articles!$A$2:$A$148,0))</f>
        <v>À fournir</v>
      </c>
      <c r="L129" s="9" t="str">
        <f aca="false">INDEX(Articles!$F$2:$F$148,MATCH(C129,Articles!$A$2:$A$148,0))</f>
        <v>Inconnu</v>
      </c>
      <c r="M129" s="17"/>
      <c r="N129" s="9" t="s">
        <v>167</v>
      </c>
    </row>
    <row r="130" customFormat="false" ht="26.85" hidden="false" customHeight="false" outlineLevel="0" collapsed="false">
      <c r="A130" s="9" t="s">
        <v>760</v>
      </c>
      <c r="B130" s="9" t="s">
        <v>883</v>
      </c>
      <c r="C130" s="31" t="s">
        <v>514</v>
      </c>
      <c r="D130" s="9" t="str">
        <f aca="false">INDEX(Articles!$C$2:$C$148,MATCH(C130,Articles!$A$2:$A$148,0))</f>
        <v>L'Étranger (Albert Camus)</v>
      </c>
      <c r="E130" s="9" t="str">
        <f aca="false">INDEX(Articles!$B$2:$B$148,MATCH(C130,Articles!$A$2:$A$148,0))</f>
        <v>LPD</v>
      </c>
      <c r="F130" s="31" t="n">
        <v>1</v>
      </c>
      <c r="G130" s="13" t="n">
        <f aca="false">IF(INDEX(Articles!$G$2:$G$148,MATCH(C130,Articles!$A$2:$A$148,0))="","",INDEX(Articles!$G$2:$G$148,MATCH(C130,Articles!$A$2:$A$148,0)))</f>
        <v>2800</v>
      </c>
      <c r="H130" s="13" t="n">
        <f aca="false">IF(G130="",0,F130*G130)</f>
        <v>2800</v>
      </c>
      <c r="I130" s="13" t="n">
        <f aca="false">IF(INDEX(Articles!$E$2:$E$148,MATCH(C130,Articles!$A$2:$A$148,0))="","",INDEX(Articles!$E$2:$E$148,MATCH(C130,Articles!$A$2:$A$148,0)))</f>
        <v>1800</v>
      </c>
      <c r="J130" s="13" t="n">
        <f aca="false">IF(I130="","",F130*I130)</f>
        <v>1800</v>
      </c>
      <c r="K130" s="9" t="str">
        <f aca="false">INDEX(Articles!$H$2:$H$148,MATCH(C130,Articles!$A$2:$A$148,0))</f>
        <v>Fixé</v>
      </c>
      <c r="L130" s="9" t="str">
        <f aca="false">INDEX(Articles!$F$2:$F$148,MATCH(C130,Articles!$A$2:$A$148,0))</f>
        <v>Estimé</v>
      </c>
      <c r="M130" s="17" t="s">
        <v>947</v>
      </c>
      <c r="N130" s="9" t="s">
        <v>167</v>
      </c>
    </row>
    <row r="131" customFormat="false" ht="26.85" hidden="false" customHeight="false" outlineLevel="0" collapsed="false">
      <c r="A131" s="9" t="s">
        <v>760</v>
      </c>
      <c r="B131" s="9" t="s">
        <v>883</v>
      </c>
      <c r="C131" s="31" t="s">
        <v>516</v>
      </c>
      <c r="D131" s="9" t="str">
        <f aca="false">INDEX(Articles!$C$2:$C$148,MATCH(C131,Articles!$A$2:$A$148,0))</f>
        <v>Les Contemplations (Victor Hugo)</v>
      </c>
      <c r="E131" s="9" t="str">
        <f aca="false">INDEX(Articles!$B$2:$B$148,MATCH(C131,Articles!$A$2:$A$148,0))</f>
        <v>LPD</v>
      </c>
      <c r="F131" s="31" t="n">
        <v>1</v>
      </c>
      <c r="G131" s="13" t="n">
        <f aca="false">IF(INDEX(Articles!$G$2:$G$148,MATCH(C131,Articles!$A$2:$A$148,0))="","",INDEX(Articles!$G$2:$G$148,MATCH(C131,Articles!$A$2:$A$148,0)))</f>
        <v>2800</v>
      </c>
      <c r="H131" s="13" t="n">
        <f aca="false">IF(G131="",0,F131*G131)</f>
        <v>2800</v>
      </c>
      <c r="I131" s="13" t="n">
        <f aca="false">IF(INDEX(Articles!$E$2:$E$148,MATCH(C131,Articles!$A$2:$A$148,0))="","",INDEX(Articles!$E$2:$E$148,MATCH(C131,Articles!$A$2:$A$148,0)))</f>
        <v>1800</v>
      </c>
      <c r="J131" s="13" t="n">
        <f aca="false">IF(I131="","",F131*I131)</f>
        <v>1800</v>
      </c>
      <c r="K131" s="9" t="str">
        <f aca="false">INDEX(Articles!$H$2:$H$148,MATCH(C131,Articles!$A$2:$A$148,0))</f>
        <v>Fixé</v>
      </c>
      <c r="L131" s="9" t="str">
        <f aca="false">INDEX(Articles!$F$2:$F$148,MATCH(C131,Articles!$A$2:$A$148,0))</f>
        <v>Confirmé</v>
      </c>
      <c r="M131" s="17" t="s">
        <v>947</v>
      </c>
      <c r="N131" s="9" t="s">
        <v>167</v>
      </c>
    </row>
    <row r="132" customFormat="false" ht="15" hidden="false" customHeight="false" outlineLevel="0" collapsed="false">
      <c r="A132" s="9" t="s">
        <v>678</v>
      </c>
      <c r="B132" s="9" t="s">
        <v>781</v>
      </c>
      <c r="C132" s="31" t="s">
        <v>434</v>
      </c>
      <c r="D132" s="9" t="str">
        <f aca="false">INDEX(Articles!$C$2:$C$148,MATCH(C132,Articles!$A$2:$A$148,0))</f>
        <v>Stylo 4 couleurs Schneider</v>
      </c>
      <c r="E132" s="9" t="str">
        <f aca="false">INDEX(Articles!$B$2:$B$148,MATCH(C132,Articles!$A$2:$A$148,0))</f>
        <v>Papex</v>
      </c>
      <c r="F132" s="31" t="n">
        <v>1</v>
      </c>
      <c r="G132" s="13" t="n">
        <f aca="false">IF(INDEX(Articles!$G$2:$G$148,MATCH(C132,Articles!$A$2:$A$148,0))="","",INDEX(Articles!$G$2:$G$148,MATCH(C132,Articles!$A$2:$A$148,0)))</f>
        <v>1750</v>
      </c>
      <c r="H132" s="13" t="n">
        <f aca="false">IF(G132="",0,F132*G132)</f>
        <v>1750</v>
      </c>
      <c r="I132" s="13" t="n">
        <f aca="false">IF(INDEX(Articles!$E$2:$E$148,MATCH(C132,Articles!$A$2:$A$148,0))="","",INDEX(Articles!$E$2:$E$148,MATCH(C132,Articles!$A$2:$A$148,0)))</f>
        <v>1500</v>
      </c>
      <c r="J132" s="13" t="n">
        <f aca="false">IF(I132="","",F132*I132)</f>
        <v>1500</v>
      </c>
      <c r="K132" s="9" t="str">
        <f aca="false">INDEX(Articles!$H$2:$H$148,MATCH(C132,Articles!$A$2:$A$148,0))</f>
        <v>Fixé</v>
      </c>
      <c r="L132" s="9" t="str">
        <f aca="false">INDEX(Articles!$F$2:$F$148,MATCH(C132,Articles!$A$2:$A$148,0))</f>
        <v>Confirmé</v>
      </c>
      <c r="M132" s="17"/>
      <c r="N132" s="9" t="s">
        <v>167</v>
      </c>
    </row>
    <row r="133" customFormat="false" ht="15" hidden="false" customHeight="false" outlineLevel="0" collapsed="false">
      <c r="A133" s="9" t="s">
        <v>678</v>
      </c>
      <c r="B133" s="9" t="s">
        <v>782</v>
      </c>
      <c r="C133" s="31" t="s">
        <v>174</v>
      </c>
      <c r="D133" s="9" t="str">
        <f aca="false">INDEX(Articles!$C$2:$C$148,MATCH(C133,Articles!$A$2:$A$148,0))</f>
        <v>Correcteur souris ARK</v>
      </c>
      <c r="E133" s="9" t="str">
        <f aca="false">INDEX(Articles!$B$2:$B$148,MATCH(C133,Articles!$A$2:$A$148,0))</f>
        <v>Papex</v>
      </c>
      <c r="F133" s="31" t="n">
        <v>1</v>
      </c>
      <c r="G133" s="13" t="n">
        <f aca="false">IF(INDEX(Articles!$G$2:$G$148,MATCH(C133,Articles!$A$2:$A$148,0))="","",INDEX(Articles!$G$2:$G$148,MATCH(C133,Articles!$A$2:$A$148,0)))</f>
        <v>1000</v>
      </c>
      <c r="H133" s="13" t="n">
        <f aca="false">IF(G133="",0,F133*G133)</f>
        <v>1000</v>
      </c>
      <c r="I133" s="13" t="n">
        <f aca="false">IF(INDEX(Articles!$E$2:$E$148,MATCH(C133,Articles!$A$2:$A$148,0))="","",INDEX(Articles!$E$2:$E$148,MATCH(C133,Articles!$A$2:$A$148,0)))</f>
        <v>700</v>
      </c>
      <c r="J133" s="13" t="n">
        <f aca="false">IF(I133="","",F133*I133)</f>
        <v>700</v>
      </c>
      <c r="K133" s="9" t="str">
        <f aca="false">INDEX(Articles!$H$2:$H$148,MATCH(C133,Articles!$A$2:$A$148,0))</f>
        <v>Fixé</v>
      </c>
      <c r="L133" s="9" t="str">
        <f aca="false">INDEX(Articles!$F$2:$F$148,MATCH(C133,Articles!$A$2:$A$148,0))</f>
        <v>Confirmé</v>
      </c>
      <c r="M133" s="17"/>
      <c r="N133" s="9" t="s">
        <v>167</v>
      </c>
    </row>
    <row r="134" customFormat="false" ht="15" hidden="false" customHeight="false" outlineLevel="0" collapsed="false">
      <c r="A134" s="9" t="s">
        <v>783</v>
      </c>
      <c r="B134" s="9" t="s">
        <v>784</v>
      </c>
      <c r="C134" s="31" t="s">
        <v>519</v>
      </c>
      <c r="D134" s="9" t="str">
        <f aca="false">INDEX(Articles!$C$2:$C$148,MATCH(C134,Articles!$A$2:$A$148,0))</f>
        <v>L'Aventure ambiguë (Cheikh Hamidou Kane)</v>
      </c>
      <c r="E134" s="9" t="str">
        <f aca="false">INDEX(Articles!$B$2:$B$148,MATCH(C134,Articles!$A$2:$A$148,0))</f>
        <v>LPD</v>
      </c>
      <c r="F134" s="31" t="n">
        <v>1</v>
      </c>
      <c r="G134" s="13" t="n">
        <f aca="false">IF(INDEX(Articles!$G$2:$G$148,MATCH(C134,Articles!$A$2:$A$148,0))="","",INDEX(Articles!$G$2:$G$148,MATCH(C134,Articles!$A$2:$A$148,0)))</f>
        <v>3500</v>
      </c>
      <c r="H134" s="13" t="n">
        <f aca="false">IF(G134="",0,F134*G134)</f>
        <v>3500</v>
      </c>
      <c r="I134" s="13" t="n">
        <f aca="false">IF(INDEX(Articles!$E$2:$E$148,MATCH(C134,Articles!$A$2:$A$148,0))="","",INDEX(Articles!$E$2:$E$148,MATCH(C134,Articles!$A$2:$A$148,0)))</f>
        <v>2500</v>
      </c>
      <c r="J134" s="13" t="n">
        <f aca="false">IF(I134="","",F134*I134)</f>
        <v>2500</v>
      </c>
      <c r="K134" s="9" t="str">
        <f aca="false">INDEX(Articles!$H$2:$H$148,MATCH(C134,Articles!$A$2:$A$148,0))</f>
        <v>Fixé</v>
      </c>
      <c r="L134" s="9" t="str">
        <f aca="false">INDEX(Articles!$F$2:$F$148,MATCH(C134,Articles!$A$2:$A$148,0))</f>
        <v>Estimé</v>
      </c>
      <c r="M134" s="17"/>
      <c r="N134" s="9" t="s">
        <v>167</v>
      </c>
    </row>
    <row r="135" customFormat="false" ht="15" hidden="false" customHeight="false" outlineLevel="0" collapsed="false">
      <c r="A135" s="9" t="s">
        <v>783</v>
      </c>
      <c r="B135" s="9" t="s">
        <v>958</v>
      </c>
      <c r="C135" s="31" t="s">
        <v>521</v>
      </c>
      <c r="D135" s="9" t="str">
        <f aca="false">INDEX(Articles!$C$2:$C$148,MATCH(C135,Articles!$A$2:$A$148,0))</f>
        <v>Apologie de Socrate (Platon)</v>
      </c>
      <c r="E135" s="9" t="str">
        <f aca="false">INDEX(Articles!$B$2:$B$148,MATCH(C135,Articles!$A$2:$A$148,0))</f>
        <v>LPD</v>
      </c>
      <c r="F135" s="31" t="n">
        <v>1</v>
      </c>
      <c r="G135" s="13" t="n">
        <f aca="false">IF(INDEX(Articles!$G$2:$G$148,MATCH(C135,Articles!$A$2:$A$148,0))="","",INDEX(Articles!$G$2:$G$148,MATCH(C135,Articles!$A$2:$A$148,0)))</f>
        <v>2800</v>
      </c>
      <c r="H135" s="13" t="n">
        <f aca="false">IF(G135="",0,F135*G135)</f>
        <v>2800</v>
      </c>
      <c r="I135" s="13" t="n">
        <f aca="false">IF(INDEX(Articles!$E$2:$E$148,MATCH(C135,Articles!$A$2:$A$148,0))="","",INDEX(Articles!$E$2:$E$148,MATCH(C135,Articles!$A$2:$A$148,0)))</f>
        <v>1800</v>
      </c>
      <c r="J135" s="13" t="n">
        <f aca="false">IF(I135="","",F135*I135)</f>
        <v>1800</v>
      </c>
      <c r="K135" s="9" t="str">
        <f aca="false">INDEX(Articles!$H$2:$H$148,MATCH(C135,Articles!$A$2:$A$148,0))</f>
        <v>Fixé</v>
      </c>
      <c r="L135" s="9" t="str">
        <f aca="false">INDEX(Articles!$F$2:$F$148,MATCH(C135,Articles!$A$2:$A$148,0))</f>
        <v>Estimé</v>
      </c>
      <c r="M135" s="17"/>
      <c r="N135" s="9" t="s">
        <v>167</v>
      </c>
    </row>
    <row r="136" customFormat="false" ht="15" hidden="false" customHeight="false" outlineLevel="0" collapsed="false">
      <c r="D136" s="32" t="s">
        <v>683</v>
      </c>
      <c r="E136" s="32"/>
      <c r="F136" s="32"/>
      <c r="G136" s="32"/>
      <c r="H136" s="33" t="n">
        <f aca="false">COUNTIF(G99:G135,"")</f>
        <v>1</v>
      </c>
    </row>
    <row r="137" customFormat="false" ht="15" hidden="false" customHeight="false" outlineLevel="0" collapsed="false">
      <c r="D137" s="32" t="s">
        <v>684</v>
      </c>
      <c r="E137" s="32"/>
      <c r="F137" s="32"/>
      <c r="G137" s="32"/>
      <c r="H137" s="33" t="n">
        <f aca="false">SUM(H99:H135)</f>
        <v>56725</v>
      </c>
    </row>
    <row r="138" customFormat="false" ht="15" hidden="false" customHeight="false" outlineLevel="0" collapsed="false">
      <c r="D138" s="32" t="s">
        <v>28</v>
      </c>
      <c r="E138" s="32"/>
      <c r="F138" s="32"/>
      <c r="G138" s="32"/>
      <c r="H138" s="33" t="n">
        <f aca="false">SUM(J99:J135)</f>
        <v>44260</v>
      </c>
    </row>
    <row r="139" customFormat="false" ht="15" hidden="false" customHeight="false" outlineLevel="0" collapsed="false">
      <c r="D139" s="32" t="s">
        <v>685</v>
      </c>
      <c r="E139" s="32"/>
      <c r="F139" s="32"/>
      <c r="G139" s="32"/>
      <c r="H139" s="33" t="n">
        <f aca="false">COUNTIF(I99:I135,"")</f>
        <v>5</v>
      </c>
    </row>
    <row r="140" customFormat="false" ht="15" hidden="false" customHeight="false" outlineLevel="0" collapsed="false">
      <c r="D140" s="32" t="s">
        <v>686</v>
      </c>
      <c r="E140" s="32"/>
      <c r="F140" s="32"/>
      <c r="G140" s="32"/>
      <c r="H140" s="33" t="n">
        <f aca="false">SUMPRODUCT((I99:I135&lt;&gt;"")*H99:H135)-H138</f>
        <v>10590</v>
      </c>
    </row>
    <row r="141" customFormat="false" ht="15" hidden="false" customHeight="false" outlineLevel="0" collapsed="false">
      <c r="D141" s="32" t="s">
        <v>687</v>
      </c>
      <c r="E141" s="32"/>
      <c r="F141" s="32"/>
      <c r="G141" s="32"/>
      <c r="H141" s="33" t="n">
        <f aca="false">SUMIF(A99:A135,"Cahiers",F99:F135)</f>
        <v>15</v>
      </c>
    </row>
    <row r="142" customFormat="false" ht="15" hidden="false" customHeight="false" outlineLevel="0" collapsed="false">
      <c r="D142" s="32" t="s">
        <v>688</v>
      </c>
      <c r="E142" s="32"/>
      <c r="F142" s="32"/>
      <c r="G142" s="32"/>
      <c r="H142" s="34" t="n">
        <f aca="false">IF(H137=0,0,SUMIF(K99:K135,"&lt;&gt;Fixé",H99:H135)/H137)</f>
        <v>0.141031291317761</v>
      </c>
    </row>
    <row r="143" customFormat="false" ht="15" hidden="false" customHeight="false" outlineLevel="0" collapsed="false">
      <c r="D143" s="32" t="s">
        <v>689</v>
      </c>
      <c r="E143" s="32"/>
      <c r="F143" s="32"/>
      <c r="G143" s="32"/>
      <c r="H143" s="33" t="str">
        <f aca="false">IF(H136&gt;0,"Total incomplet : "&amp;H136&amp;" prix de vente à fournir",IF(H139&gt;0,"Coût incomplet : "&amp;H139&amp;" ligne(s) sans prix d'achat","Complet"))</f>
        <v>Total incomplet : 1 prix de vente à fournir</v>
      </c>
    </row>
    <row r="144" customFormat="false" ht="15" hidden="false" customHeight="false" outlineLevel="0" collapsed="false">
      <c r="D144" s="21" t="s">
        <v>696</v>
      </c>
      <c r="E144" s="21" t="str">
        <f aca="false">INDEX(Articles!$C$2:$C$148,MATCH("S020",Articles!$A$2:$A$148,0))</f>
        <v>Sac à dos bleu marine</v>
      </c>
      <c r="H144" s="41" t="n">
        <f aca="false">INDEX(Articles!$G$2:$G$148,MATCH("S020",Articles!$A$2:$A$148,0))</f>
        <v>7000</v>
      </c>
    </row>
    <row r="145" customFormat="false" ht="15" hidden="false" customHeight="false" outlineLevel="0" collapsed="false">
      <c r="D145" s="42" t="s">
        <v>697</v>
      </c>
      <c r="E145" s="43" t="s">
        <v>948</v>
      </c>
    </row>
    <row r="146" customFormat="false" ht="15" hidden="false" customHeight="false" outlineLevel="0" collapsed="false">
      <c r="E146" s="43" t="s">
        <v>338</v>
      </c>
    </row>
  </sheetData>
  <mergeCells count="24">
    <mergeCell ref="D32:G32"/>
    <mergeCell ref="D33:G33"/>
    <mergeCell ref="D34:G34"/>
    <mergeCell ref="D35:G35"/>
    <mergeCell ref="D36:G36"/>
    <mergeCell ref="D37:G37"/>
    <mergeCell ref="D38:G38"/>
    <mergeCell ref="D39:G39"/>
    <mergeCell ref="D84:G84"/>
    <mergeCell ref="D85:G85"/>
    <mergeCell ref="D86:G86"/>
    <mergeCell ref="D87:G87"/>
    <mergeCell ref="D88:G88"/>
    <mergeCell ref="D89:G89"/>
    <mergeCell ref="D90:G90"/>
    <mergeCell ref="D91:G91"/>
    <mergeCell ref="D136:G136"/>
    <mergeCell ref="D137:G137"/>
    <mergeCell ref="D138:G138"/>
    <mergeCell ref="D139:G139"/>
    <mergeCell ref="D140:G140"/>
    <mergeCell ref="D141:G141"/>
    <mergeCell ref="D142:G142"/>
    <mergeCell ref="D143:G1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2026-09-26T13:25:09Z</dcterms:created>
  <dc:creator>openpyxl</dc:creator>
  <dc:description/>
  <dc:language>en-US</dc:language>
  <cp:lastModifiedBy/>
  <dcterms:modified xsi:type="dcterms:W3CDTF">2026-09-26T13:25:11Z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