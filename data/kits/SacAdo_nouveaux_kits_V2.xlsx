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Récap par kit" sheetId="2" state="visible" r:id="rId4"/>
    <sheet name="Par classe" sheetId="3" state="visible" r:id="rId5"/>
    <sheet name="Contenu des kits" sheetId="4" state="visible" r:id="rId6"/>
    <sheet name="À sourcer" sheetId="5" state="visible" r:id="rId7"/>
    <sheet name="À faire dans l'admin" sheetId="6" state="visible" r:id="rId8"/>
  </sheets>
  <definedNames>
    <definedName function="false" hidden="true" localSheetId="3" name="_xlnm._FilterDatabase" vbProcedure="false">'Contenu des kits'!$A$1:$U$1856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<sst xmlns="http://schemas.openxmlformats.org/spreadsheetml/2006/main" count="24633" uniqueCount="945">
  <si>
    <t xml:space="preserve">Nouveaux kits SacAdo V2 : du préscolaire à la Terminale (proposition du 29 septembre 2026)</t>
  </si>
  <si>
    <t xml:space="preserve">Remplace le fichier « préscolaire et élémentaire » envoyé plus tôt. Rien n'est encore dans l'app : ce fichier sert à valider.</t>
  </si>
  <si>
    <t xml:space="preserve">69 kits : 9 classes du préscolaire et de l'élémentaire, 4 du collège, 10 du lycée (Seconde L et S, Première et Terminale L1, L2, S1, S2).</t>
  </si>
  <si>
    <t xml:space="preserve">Tes consignes appliquées au préscolaire et à l'élémentaire</t>
  </si>
  <si>
    <t xml:space="preserve">• Craies blanches : vendues à l'unité à 25 F, 20 craies par kit (500 F au lieu de la boîte de 100 à 3 000 F). Produit à créer.</t>
  </si>
  <si>
    <t xml:space="preserve">• Matériel géométrique : une seule ligne du CE1 au CM2 au lieu de règle, équerre, rapporteur et compas. Au CP, la ligne est renommée.</t>
  </si>
  <si>
    <t xml:space="preserve">• Gourde violette (1287) à 2 500 F. Gourde ours à 3 100 F en Grande section Complet et Confort (déjà en place).</t>
  </si>
  <si>
    <t xml:space="preserve">• Lecture CI Kotti Kotti retiré du CI Confort. C'était le seul Kotti Kotti des kits.</t>
  </si>
  <si>
    <t xml:space="preserve">• Trousses Hello et gourdes : remarques de stock retirées.</t>
  </si>
  <si>
    <t xml:space="preserve">Collège et lycée : tes tableaux, rattachés au catalogue</t>
  </si>
  <si>
    <t xml:space="preserve">• Tes colonnes étaient dans l'ordre Essentiel, Confort, Complet : ici elles sont remises dans l'ordre de l'app (Essentiel &lt; Complet &lt; Confort).</t>
  </si>
  <si>
    <t xml:space="preserve">• Matériel géométrique = 1229, boîte d'instruments Marshal (1 800 F) dans toutes les gammes : elle a tout (compas compris) et coûte moins cher que les pièces séparées. Contenu à vérifier avec LPD.</t>
  </si>
  <si>
    <t xml:space="preserve">• Calculatrice : Parpn (1187) en Essentiel au collège, Casio fx-991 (1727) en Complet et Confort ; Casio fx-991 dans les 3 gammes au lycée S ; aucune en L.</t>
  </si>
  <si>
    <t xml:space="preserve">• Livres : en Essentiel, les livres du Complet sont proposés mais décochés. Le Confort contient toujours tout le Complet.</t>
  </si>
  <si>
    <t xml:space="preserve">• Stylos : pack Schneider 4 couleurs + 1 stylo bleu en plus (= tes 2 bleus, rouge, vert, noir).</t>
  </si>
  <si>
    <t xml:space="preserve">• Sac à dos coché en Complet et Confort comme dans tes tableaux, proposé en option en Essentiel.</t>
  </si>
  <si>
    <t xml:space="preserve">• Parascolaire à 8 000 F et plus (Korka Diallo, concours général) : coché là où tes tableaux le cochent. L'ancienne règle le décochait : le Complet Terminale S1 monte à 166 150 F.</t>
  </si>
  <si>
    <t xml:space="preserve">• Première : ton premier tableau est mis en S2, celui avec les 3 concours généraux en S1. Tableaux « 1ère L » et « Tle L » appliqués à L1 et L2.</t>
  </si>
  <si>
    <t xml:space="preserve">Prix et bénéfices</t>
  </si>
  <si>
    <t xml:space="preserve">• Récap par kit : coût d'achat, bénéfice et marge, calculés sur les articles dont le prix d'achat est connu. La colonne « Montant sans prix d'achat » dit ce qui manque.</t>
  </si>
  <si>
    <t xml:space="preserve">• Craie à l'unité : achetée 25 F (boîte de 100 à 2 500 F) et vendue 25 F, donc aucun bénéfice.</t>
  </si>
  <si>
    <t xml:space="preserve">Couleurs dans les onglets</t>
  </si>
  <si>
    <t xml:space="preserve">Rouge = pas au catalogue (ligne gardée pour mémoire, jamais comptée). Jaune = à confirmer. Bleu = produit de remplacement. Violet = produit à créer (compté).</t>
  </si>
  <si>
    <t xml:space="preserve">Onglets</t>
  </si>
  <si>
    <t xml:space="preserve">Récap par kit : prix actuel et nouveau prix, nombre d'articles, contrôle de l'ordre des gammes.</t>
  </si>
  <si>
    <t xml:space="preserve">Par classe : la même présentation que tes tableaux, avec le produit choisi pour chaque gamme.</t>
  </si>
  <si>
    <t xml:space="preserve">Contenu des kits : une ligne par article, avec l'ID produit ; c'est la source des formules et du futur import.</t>
  </si>
  <si>
    <t xml:space="preserve">À sourcer : articles absents du catalogue, produits à créer, produits à vérifier, stock à surveiller.</t>
  </si>
  <si>
    <t xml:space="preserve">À faire dans l'admin : les actions de ton côté.</t>
  </si>
  <si>
    <t xml:space="preserve">Nouveaux kits, du préscolaire à la Terminale : prix et contrôle</t>
  </si>
  <si>
    <t xml:space="preserve">Prix = somme des lignes cochées de la section Principal (formules liées à l'onglet Contenu des kits). Les articles absents du catalogue ne comptent pas. Prix actuel = export de l'app du 29 septembre. Bénéfice = prix de vente moins prix d'achat, sur les seuls articles dont le prix d'achat est connu ; la dernière colonne dit combien du kit n'a pas de prix d'achat.</t>
  </si>
  <si>
    <t xml:space="preserve">Cycle</t>
  </si>
  <si>
    <t xml:space="preserve">Classe</t>
  </si>
  <si>
    <t xml:space="preserve">Gamme</t>
  </si>
  <si>
    <t xml:space="preserve">ID du kit dans l'app</t>
  </si>
  <si>
    <t xml:space="preserve">Prix actuel</t>
  </si>
  <si>
    <t xml:space="preserve">Nouveau prix</t>
  </si>
  <si>
    <t xml:space="preserve">Écart</t>
  </si>
  <si>
    <t xml:space="preserve">Articles cochés (nouveau)</t>
  </si>
  <si>
    <t xml:space="preserve">Articles cochés (actuel)</t>
  </si>
  <si>
    <t xml:space="preserve">Articles manquants au catalogue</t>
  </si>
  <si>
    <t xml:space="preserve">Ordre des gammes</t>
  </si>
  <si>
    <t xml:space="preserve">Coût d'achat (connu)</t>
  </si>
  <si>
    <t xml:space="preserve">Bénéfice (connu)</t>
  </si>
  <si>
    <t xml:space="preserve">Marge sur le connu</t>
  </si>
  <si>
    <t xml:space="preserve">Montant sans prix d'achat</t>
  </si>
  <si>
    <t xml:space="preserve">Préscolaire</t>
  </si>
  <si>
    <t xml:space="preserve">Petite section</t>
  </si>
  <si>
    <t xml:space="preserve">Essentiel</t>
  </si>
  <si>
    <t xml:space="preserve">Complet</t>
  </si>
  <si>
    <t xml:space="preserve">Confort</t>
  </si>
  <si>
    <t xml:space="preserve">Moyenne section</t>
  </si>
  <si>
    <t xml:space="preserve">Grande section</t>
  </si>
  <si>
    <t xml:space="preserve">Élémentaire</t>
  </si>
  <si>
    <t xml:space="preserve">CI</t>
  </si>
  <si>
    <t xml:space="preserve">CP</t>
  </si>
  <si>
    <t xml:space="preserve">CE1</t>
  </si>
  <si>
    <t xml:space="preserve">CE2</t>
  </si>
  <si>
    <t xml:space="preserve">CM1</t>
  </si>
  <si>
    <t xml:space="preserve">CM2</t>
  </si>
  <si>
    <t xml:space="preserve">Collège</t>
  </si>
  <si>
    <t xml:space="preserve">6e</t>
  </si>
  <si>
    <t xml:space="preserve">5e</t>
  </si>
  <si>
    <t xml:space="preserve">4e</t>
  </si>
  <si>
    <t xml:space="preserve">3e</t>
  </si>
  <si>
    <t xml:space="preserve">Lycée</t>
  </si>
  <si>
    <t xml:space="preserve">Seconde L</t>
  </si>
  <si>
    <t xml:space="preserve">Seconde S</t>
  </si>
  <si>
    <t xml:space="preserve">Première L1</t>
  </si>
  <si>
    <t xml:space="preserve">Première L2</t>
  </si>
  <si>
    <t xml:space="preserve">Première S1</t>
  </si>
  <si>
    <t xml:space="preserve">Première S2</t>
  </si>
  <si>
    <t xml:space="preserve">Terminale L1</t>
  </si>
  <si>
    <t xml:space="preserve">Terminale L2</t>
  </si>
  <si>
    <t xml:space="preserve">Terminale S1</t>
  </si>
  <si>
    <t xml:space="preserve">Terminale S2</t>
  </si>
  <si>
    <t xml:space="preserve">Composition par classe (quantités par gamme)</t>
  </si>
  <si>
    <t xml:space="preserve">« — » = pas dans la gamme. Rouge = pas au catalogue, jaune = à confirmer, bleu = remplacement, violet = produit à créer. (L) = livre proposé mais décoché en Essentiel ; (opt) = option décochée.</t>
  </si>
  <si>
    <t xml:space="preserve">PETITE SECTION</t>
  </si>
  <si>
    <t xml:space="preserve">Fourniture</t>
  </si>
  <si>
    <t xml:space="preserve">Produit Essentiel</t>
  </si>
  <si>
    <t xml:space="preserve">Produit Complet</t>
  </si>
  <si>
    <t xml:space="preserve">Produit Confort</t>
  </si>
  <si>
    <t xml:space="preserve">Statut</t>
  </si>
  <si>
    <t xml:space="preserve">Cahier de travaux pratiques 100 pages</t>
  </si>
  <si>
    <t xml:space="preserve">1728 · Cahier de travaux pratiques MyFriend 100 pages · 900 F</t>
  </si>
  <si>
    <t xml:space="preserve">Cahier de travaux pratiques 200 pages</t>
  </si>
  <si>
    <t xml:space="preserve">1729 · Cahier de travaux pratiques MyFriend 200 pages · 1 300 F</t>
  </si>
  <si>
    <t xml:space="preserve">Cahier de dessin</t>
  </si>
  <si>
    <t xml:space="preserve">1572 · Cahier de dessin L'écolier 32 pages · 250 F</t>
  </si>
  <si>
    <t xml:space="preserve">1286 · Cahier de dessin TPG · 550 F</t>
  </si>
  <si>
    <t xml:space="preserve">Ardoise blanche avec feutre</t>
  </si>
  <si>
    <t xml:space="preserve">33 · Ardoise blanche + feutre effaçable · 1 200 F</t>
  </si>
  <si>
    <t xml:space="preserve">Feutres pour ardoise</t>
  </si>
  <si>
    <t xml:space="preserve">1698 · Marqueur tableau blanc BEIYUE B-105 · 400 F</t>
  </si>
  <si>
    <t xml:space="preserve">Effaceur d'ardoise</t>
  </si>
  <si>
    <t xml:space="preserve">1244 · Brosse tableau blanc magnetique RX T-29 · 400 F</t>
  </si>
  <si>
    <t xml:space="preserve">Crayon à papier HB</t>
  </si>
  <si>
    <t xml:space="preserve">1571 · Crayon papier couleur du Senegal - a l unite · 75 F</t>
  </si>
  <si>
    <t xml:space="preserve">Gomme</t>
  </si>
  <si>
    <t xml:space="preserve">9 · Gomme blanche · 150 F</t>
  </si>
  <si>
    <t xml:space="preserve">1181 · Gomme Staedtler Mars Plastic · 250 F</t>
  </si>
  <si>
    <t xml:space="preserve">Taille-crayon avec réservoir</t>
  </si>
  <si>
    <t xml:space="preserve">1587 · Tailla Crayon 1 Trou + Réservoir Clean – MAPED · 500 F</t>
  </si>
  <si>
    <t xml:space="preserve">Crayons de couleur</t>
  </si>
  <si>
    <t xml:space="preserve">1589 · Crayon Couleur BTE X12 – MAPED · 900 F</t>
  </si>
  <si>
    <t xml:space="preserve">1594 · Crayons de Couleur Boite de 24 Nightfall – MAPED · 1 600 F</t>
  </si>
  <si>
    <t xml:space="preserve">Bâtons de colle</t>
  </si>
  <si>
    <t xml:space="preserve">1173 · Baton de colle Dolphin Stick Glue · 570 F</t>
  </si>
  <si>
    <t xml:space="preserve">1604 · Bâton de colle 20 g – GIOTTO · 700 F</t>
  </si>
  <si>
    <t xml:space="preserve">Ciseaux à bouts ronds</t>
  </si>
  <si>
    <t xml:space="preserve">1250 · Ciseaux scolaires bouts ronds · 250 F</t>
  </si>
  <si>
    <t xml:space="preserve">1586 · Ciseaux 13cm Security Stop – MAPED · 900 F</t>
  </si>
  <si>
    <t xml:space="preserve">Pochette à élastique</t>
  </si>
  <si>
    <t xml:space="preserve">1625 · Chemise. 3 rabats élastiques + étiquettes 4,5/10ème assorties · 500 F</t>
  </si>
  <si>
    <t xml:space="preserve">Trousse Hello</t>
  </si>
  <si>
    <t xml:space="preserve">1706 · Trousse Hello monstre vert · 2 000 F</t>
  </si>
  <si>
    <t xml:space="preserve">Gourde</t>
  </si>
  <si>
    <t xml:space="preserve">1287 · Gourde Drink violette · 2 500 F</t>
  </si>
  <si>
    <t xml:space="preserve">1193 · Gourde enfant motif ours Naughty Bear · 3 100 F</t>
  </si>
  <si>
    <t xml:space="preserve">Cartable</t>
  </si>
  <si>
    <t xml:space="preserve">1 (opt)</t>
  </si>
  <si>
    <t xml:space="preserve">1252 · Cartable Kam Rad Cute Capybaras · 6 500 F</t>
  </si>
  <si>
    <t xml:space="preserve">Feutres de couleur</t>
  </si>
  <si>
    <t xml:space="preserve">—</t>
  </si>
  <si>
    <t xml:space="preserve">1204 · Feutres Giotto Turbo Color 12 couleurs · 1 300 F</t>
  </si>
  <si>
    <t xml:space="preserve">Pâte à modeler</t>
  </si>
  <si>
    <t xml:space="preserve">pas au catalogue</t>
  </si>
  <si>
    <t xml:space="preserve">MANQUE</t>
  </si>
  <si>
    <t xml:space="preserve">Tablier de peinture</t>
  </si>
  <si>
    <t xml:space="preserve">Gommettes</t>
  </si>
  <si>
    <t xml:space="preserve">Règle 20 cm</t>
  </si>
  <si>
    <t xml:space="preserve">1183 · Regle plastique transparente 20 cm · 100 F</t>
  </si>
  <si>
    <t xml:space="preserve">Mon cahier de lecture, Petite section</t>
  </si>
  <si>
    <t xml:space="preserve">1231 · Mon cahier de lecture - Petite Section · 3 250 F</t>
  </si>
  <si>
    <t xml:space="preserve">Deuxième trousse Hello</t>
  </si>
  <si>
    <t xml:space="preserve">1708 · Trousse Hello pingouin menthe · 2 000 F</t>
  </si>
  <si>
    <t xml:space="preserve">Craies de cire</t>
  </si>
  <si>
    <t xml:space="preserve">1230 · Craies grasses Giotto Cera 24 · 1 300 F</t>
  </si>
  <si>
    <t xml:space="preserve">Bloc de dessin blanc A4</t>
  </si>
  <si>
    <t xml:space="preserve">31 · Bloc de dessin A4 (50 feuilles) · 1 500 F</t>
  </si>
  <si>
    <t xml:space="preserve">SUBSTITUT</t>
  </si>
  <si>
    <t xml:space="preserve">Papier Canson couleur</t>
  </si>
  <si>
    <t xml:space="preserve">Peinture gouache</t>
  </si>
  <si>
    <t xml:space="preserve">29 · Set peinture gouache (12 couleurs) · 2 800 F</t>
  </si>
  <si>
    <t xml:space="preserve">Pinceaux</t>
  </si>
  <si>
    <t xml:space="preserve">30 · Pinceaux assortis (lot de 5) · 1 000 F</t>
  </si>
  <si>
    <t xml:space="preserve">Éponge pour la peinture</t>
  </si>
  <si>
    <t xml:space="preserve">1202 · Boîte à éponge · 250 F</t>
  </si>
  <si>
    <t xml:space="preserve">Prix du kit</t>
  </si>
  <si>
    <t xml:space="preserve">MOYENNE SECTION</t>
  </si>
  <si>
    <t xml:space="preserve">Cahier 96 pages petit format</t>
  </si>
  <si>
    <t xml:space="preserve">1618 · Cahier 96 pages petit format – 56g – seyès calligraphe · 450 F</t>
  </si>
  <si>
    <t xml:space="preserve">J'apprends les maths, Moyenne section</t>
  </si>
  <si>
    <t xml:space="preserve">1232 · J apprends les maths - Moyenne Section · 3 250 F</t>
  </si>
  <si>
    <t xml:space="preserve">GRANDE SECTION</t>
  </si>
  <si>
    <t xml:space="preserve">J'apprends à écrire les chiffres</t>
  </si>
  <si>
    <t xml:space="preserve">1220 · Mon cahier d ecriture - J apprends a ecrire les chiffres · 3 250 F</t>
  </si>
  <si>
    <t xml:space="preserve">Cahier 48 pages</t>
  </si>
  <si>
    <t xml:space="preserve">1575 · Cahier L'écolier 48 pages · 275 F</t>
  </si>
  <si>
    <t xml:space="preserve">Protège-cahiers</t>
  </si>
  <si>
    <t xml:space="preserve">1277 · Protège-cahiers couleurs · 150 F</t>
  </si>
  <si>
    <t xml:space="preserve">Stylo bleu</t>
  </si>
  <si>
    <t xml:space="preserve">1635 · Stylo à bille tops 505m Schneider (Couleur: Bleu) · 100 F</t>
  </si>
  <si>
    <t xml:space="preserve">Taille-crayon</t>
  </si>
  <si>
    <t xml:space="preserve">10 · Taille-crayon métallique · 200 F</t>
  </si>
  <si>
    <t xml:space="preserve">Bâton de colle</t>
  </si>
  <si>
    <t xml:space="preserve">Ardoise</t>
  </si>
  <si>
    <t xml:space="preserve">1255 · Ardoise scolaire rouge · 900 F</t>
  </si>
  <si>
    <t xml:space="preserve">1714 · Ardoise quadrillée · 1 000 F</t>
  </si>
  <si>
    <t xml:space="preserve">Craies blanches</t>
  </si>
  <si>
    <t xml:space="preserve">CRAIE-U · Craie blanche Giotto Robercolor (à l'unité) · 25 F</t>
  </si>
  <si>
    <t xml:space="preserve">À CRÉER</t>
  </si>
  <si>
    <t xml:space="preserve">Éponge pour ardoise</t>
  </si>
  <si>
    <t xml:space="preserve">Bâtonnets pour compter</t>
  </si>
  <si>
    <t xml:space="preserve">1218 · Batonnets plastique FG 50 pieces · 400 F</t>
  </si>
  <si>
    <t xml:space="preserve">Trousse</t>
  </si>
  <si>
    <t xml:space="preserve">19 · Trousse scolaire double compartiment · 2 500 F</t>
  </si>
  <si>
    <t xml:space="preserve">1288 · Gourdes inox SPORT noire et argent · 2 500 F</t>
  </si>
  <si>
    <t xml:space="preserve">Langue et communication CI (Ami et Rémi)</t>
  </si>
  <si>
    <t xml:space="preserve">1 (L)</t>
  </si>
  <si>
    <t xml:space="preserve">1391 · Langue et Communication Ami et Rémi CI · 3 900 F</t>
  </si>
  <si>
    <t xml:space="preserve">À CONFIRMER</t>
  </si>
  <si>
    <t xml:space="preserve">Mathématiques CI (Didactikos)</t>
  </si>
  <si>
    <t xml:space="preserve">1520 · Mathématiques C.I. · 3 890 F</t>
  </si>
  <si>
    <t xml:space="preserve">Découverte du monde CI (Didactikos)</t>
  </si>
  <si>
    <t xml:space="preserve">1488 · Découverte du monde C.I. · 3 890 F</t>
  </si>
  <si>
    <t xml:space="preserve">1199 · Cartable rigide bleu marine · 7 500 F</t>
  </si>
  <si>
    <t xml:space="preserve">Crayons à papier HB (lot de 3)</t>
  </si>
  <si>
    <t xml:space="preserve">8 · Crayons à papier HB (lot de 3) · 500 F</t>
  </si>
  <si>
    <t xml:space="preserve">Développement durable CI (Didactikos)</t>
  </si>
  <si>
    <t xml:space="preserve">1494 · Développement durable C.I. · 3 890 F</t>
  </si>
  <si>
    <t xml:space="preserve">Cahier d'activités Découverte du monde CI (Didactikos)</t>
  </si>
  <si>
    <t xml:space="preserve">1485 · Cahier d’activités découverte du monde C.I · 2 790 F</t>
  </si>
  <si>
    <t xml:space="preserve">Graphisme et écriture CI (Didactikos)</t>
  </si>
  <si>
    <t xml:space="preserve">1499 · Graphisme et Ecriture CI · 2 060 F</t>
  </si>
  <si>
    <t xml:space="preserve">Cahier double ligne (écriture)</t>
  </si>
  <si>
    <t xml:space="preserve">Stylo vert</t>
  </si>
  <si>
    <t xml:space="preserve">1674 · Stylo à bille tops 505m Schneider (Couleur: Vert) · 100 F</t>
  </si>
  <si>
    <t xml:space="preserve">Matériel géométrique</t>
  </si>
  <si>
    <t xml:space="preserve">1578 · Kit de traçage 30 cm, 4 pièces · 1 500 F</t>
  </si>
  <si>
    <t xml:space="preserve">1290 · Kit geometrie YPP School Supplies · 1 600 F</t>
  </si>
  <si>
    <t xml:space="preserve">Lecture CP (Didactikos)</t>
  </si>
  <si>
    <t xml:space="preserve">1516 · Lecture C.P. · 1 740 F</t>
  </si>
  <si>
    <t xml:space="preserve">Langue et communication CP (Didactikos)</t>
  </si>
  <si>
    <t xml:space="preserve">1510 · Langue et communication C.P. · 5 000 F</t>
  </si>
  <si>
    <t xml:space="preserve">Mathématiques CP (Didactikos)</t>
  </si>
  <si>
    <t xml:space="preserve">1523 · Mathématiques C.P. · 3 890 F</t>
  </si>
  <si>
    <t xml:space="preserve">Découverte du monde CP (Didactikos)</t>
  </si>
  <si>
    <t xml:space="preserve">1491 · Découverte du monde C.P. · 3 890 F</t>
  </si>
  <si>
    <t xml:space="preserve">Développement durable CP (Didactikos)</t>
  </si>
  <si>
    <t xml:space="preserve">1497 · Développement durable C.P. · 3 890 F</t>
  </si>
  <si>
    <t xml:space="preserve">Écriture CP (Didactikos)</t>
  </si>
  <si>
    <t xml:space="preserve">1498 · Ecriture CP · 2 560 F</t>
  </si>
  <si>
    <t xml:space="preserve">Cahier d'activités Mathématiques CP (Didactikos)</t>
  </si>
  <si>
    <t xml:space="preserve">1474 · Cahier d’activités mathématiques C.P. · 2 790 F</t>
  </si>
  <si>
    <t xml:space="preserve">Cahier d'activités Langue et communication CP (Didactikos)</t>
  </si>
  <si>
    <t xml:space="preserve">1468 · Cahier d’activités fongible LC C.P. · 2 790 F</t>
  </si>
  <si>
    <t xml:space="preserve">Cahier d'activités Découverte du monde CP (Didactikos)</t>
  </si>
  <si>
    <t xml:space="preserve">1543 · Cahier d’activités Découverte Du Monde C.P · 2 790 F</t>
  </si>
  <si>
    <t xml:space="preserve">Cahier d'activités EDD CP (Didactikos)</t>
  </si>
  <si>
    <t xml:space="preserve">1462 · Cahier d’activités EDD CP · 2 790 F</t>
  </si>
  <si>
    <t xml:space="preserve">1229 · Boite instruments Marshal Mathematical Instruments · 1 800 F</t>
  </si>
  <si>
    <t xml:space="preserve">Lecture CE1 (Didactikos)</t>
  </si>
  <si>
    <t xml:space="preserve">1511 · Lecture C.E.1 · 3 900 F</t>
  </si>
  <si>
    <t xml:space="preserve">Langue et communication CE1 (Didactikos)</t>
  </si>
  <si>
    <t xml:space="preserve">1505 · Langue et communication C.E.1 · 5 000 F</t>
  </si>
  <si>
    <t xml:space="preserve">Mathématiques CE1 (Didactikos)</t>
  </si>
  <si>
    <t xml:space="preserve">1518 · Mathématiques C.E.1 · 4 000 F</t>
  </si>
  <si>
    <t xml:space="preserve">Découverte du monde CE1 (Didactikos)</t>
  </si>
  <si>
    <t xml:space="preserve">1486 · Découverte du monde C.E.1 · 4 000 F</t>
  </si>
  <si>
    <t xml:space="preserve">Cahier d'activités Langue et communication CE1 (Didactikos)</t>
  </si>
  <si>
    <t xml:space="preserve">1463 · Cahier d’activités fongible LC C.E.1 · 3 010 F</t>
  </si>
  <si>
    <t xml:space="preserve">Cahier d'activités Mathématiques CE1 (Didactikos)</t>
  </si>
  <si>
    <t xml:space="preserve">1469 · Cahier d’activités mathématiques C.E.1 · 3 010 F</t>
  </si>
  <si>
    <t xml:space="preserve">Cahier d'activités Découverte du monde CE1 (Didactikos)</t>
  </si>
  <si>
    <t xml:space="preserve">1484 · Cahier d’activités découverte du monde C.E.1 · 3 010 F</t>
  </si>
  <si>
    <t xml:space="preserve">Lecture CE2 (Didactikos)</t>
  </si>
  <si>
    <t xml:space="preserve">1512 · Lecture C.E.2 · 3 900 F</t>
  </si>
  <si>
    <t xml:space="preserve">Langue et communication CE2 (Didactikos)</t>
  </si>
  <si>
    <t xml:space="preserve">1506 · Langue et communication C.E.2 · 5 000 F</t>
  </si>
  <si>
    <t xml:space="preserve">Mathématiques CE2 (Didactikos)</t>
  </si>
  <si>
    <t xml:space="preserve">1519 · Mathématiques C.E.2 · 4 000 F</t>
  </si>
  <si>
    <t xml:space="preserve">Découverte du monde CE2 (Didactikos)</t>
  </si>
  <si>
    <t xml:space="preserve">1487 · Découverte du monde C.E.2 · 4 000 F</t>
  </si>
  <si>
    <t xml:space="preserve">Étude de la langue CE2 (Didactikos)</t>
  </si>
  <si>
    <t xml:space="preserve">1535 · Étude de la langue CE2 · 3 010 F</t>
  </si>
  <si>
    <t xml:space="preserve">Production d'écrits CE2 (Didactikos)</t>
  </si>
  <si>
    <t xml:space="preserve">1526 · Production d’écrits CE2 · 3 010 F</t>
  </si>
  <si>
    <t xml:space="preserve">Cahier d'activités Mathématiques CE2 (Didactikos)</t>
  </si>
  <si>
    <t xml:space="preserve">1470 · Cahier d’activités mathématiques C.E.2 · 3 010 F</t>
  </si>
  <si>
    <t xml:space="preserve">Cahier d'activités Découverte du monde CE2 (Didactikos)</t>
  </si>
  <si>
    <t xml:space="preserve">1481 · Cahier d’activités Découverte Du Monde C.E.2 · 3 010 F</t>
  </si>
  <si>
    <t xml:space="preserve">Développement durable CE2 (Didactikos)</t>
  </si>
  <si>
    <t xml:space="preserve">1493 · Développement durable C.E.2 · 4 000 F</t>
  </si>
  <si>
    <t xml:space="preserve">Stylos bleu, noir, rouge, vert</t>
  </si>
  <si>
    <t xml:space="preserve">1636 · Pack de 4 stylos à bille Schneider Tops 505 M (bleu, noir, rouge, vert) · 400 F</t>
  </si>
  <si>
    <t xml:space="preserve">Stylo bleu en plus</t>
  </si>
  <si>
    <t xml:space="preserve">Lecture CM1 (Didactikos)</t>
  </si>
  <si>
    <t xml:space="preserve">1514 · Lecture C.M.1 · 3 900 F</t>
  </si>
  <si>
    <t xml:space="preserve">Langue et communication CM1 (Didactikos)</t>
  </si>
  <si>
    <t xml:space="preserve">1508 · Langue et communication C.M.1 · 5 000 F</t>
  </si>
  <si>
    <t xml:space="preserve">Mathématiques CM1 (Didactikos)</t>
  </si>
  <si>
    <t xml:space="preserve">1521 · Mathématiques C.M.1 · 4 000 F</t>
  </si>
  <si>
    <t xml:space="preserve">Découverte du monde CM1 (Didactikos)</t>
  </si>
  <si>
    <t xml:space="preserve">1489 · Découverte du monde C.M.1 · 4 000 F</t>
  </si>
  <si>
    <t xml:space="preserve">Développement durable CM1 (Didactikos)</t>
  </si>
  <si>
    <t xml:space="preserve">1495 · Développement durable C.M.1 · 4 000 F</t>
  </si>
  <si>
    <t xml:space="preserve">Cahier d'activités Langue et communication CM1 (Didactikos)</t>
  </si>
  <si>
    <t xml:space="preserve">1466 · Cahier d’activités fongible LC C.M.1 · 3 240 F</t>
  </si>
  <si>
    <t xml:space="preserve">Cahier d'activités Mathématiques CM1 (Didactikos)</t>
  </si>
  <si>
    <t xml:space="preserve">1472 · Cahier d’activités mathématiques C.M.1 · 3 240 F</t>
  </si>
  <si>
    <t xml:space="preserve">Cahier d'activités Découverte du monde CM1 (Didactikos)</t>
  </si>
  <si>
    <t xml:space="preserve">1482 · Cahier d’activités Découverte Du Monde C.M.1 · 3 240 F</t>
  </si>
  <si>
    <t xml:space="preserve">Lecture CM2 (Didactikos)</t>
  </si>
  <si>
    <t xml:space="preserve">1515 · Lecture C.M.2 · 3 900 F</t>
  </si>
  <si>
    <t xml:space="preserve">Langue et communication CM2 (Didactikos)</t>
  </si>
  <si>
    <t xml:space="preserve">1509 · Langue et communication C.M.2 · 5 000 F</t>
  </si>
  <si>
    <t xml:space="preserve">Mathématiques CM2 (Didactikos)</t>
  </si>
  <si>
    <t xml:space="preserve">1522 · Mathématiques C.M.2 · 4 000 F</t>
  </si>
  <si>
    <t xml:space="preserve">Découverte du monde CM2 (Didactikos)</t>
  </si>
  <si>
    <t xml:space="preserve">1490 · Découverte du monde C.M.2 · 4 000 F</t>
  </si>
  <si>
    <t xml:space="preserve">Annales VISA CFEE (Didactikos)</t>
  </si>
  <si>
    <t xml:space="preserve">1569 · VISA Annales CFEE · 4 650 F</t>
  </si>
  <si>
    <t xml:space="preserve">Développement durable CM2 (Didactikos)</t>
  </si>
  <si>
    <t xml:space="preserve">1496 · Développement durable C.M.2 · 4 000 F</t>
  </si>
  <si>
    <t xml:space="preserve">Étude de la langue CM2 (Didactikos)</t>
  </si>
  <si>
    <t xml:space="preserve">1537 · Étude de la langue CM2 · 3 240 F</t>
  </si>
  <si>
    <t xml:space="preserve">Production d'écrits CM2 (Didactikos)</t>
  </si>
  <si>
    <t xml:space="preserve">1524 · Production d’écrits CM2 · 3 240 F</t>
  </si>
  <si>
    <t xml:space="preserve">Cahier d'activités Mathématiques CM2 (Didactikos)</t>
  </si>
  <si>
    <t xml:space="preserve">1473 · Cahier d’activités mathématiques C.M.2 · 3 240 F</t>
  </si>
  <si>
    <t xml:space="preserve">Cahier d'activités Découverte du monde CM2 (Didactikos)</t>
  </si>
  <si>
    <t xml:space="preserve">1483 · Cahier d’activités Découverte Du Monde C.M.2 · 3 240 F</t>
  </si>
  <si>
    <t xml:space="preserve">6E</t>
  </si>
  <si>
    <t xml:space="preserve">Cahier 100 pages petit format</t>
  </si>
  <si>
    <t xml:space="preserve">Cahier 100 pages grand format</t>
  </si>
  <si>
    <t xml:space="preserve">1 · Cahier 96 pages grand format · 500 F</t>
  </si>
  <si>
    <t xml:space="preserve">Cahier 200 pages petit format</t>
  </si>
  <si>
    <t xml:space="preserve">1576 · Cahier L'écolier 192 pages · 500 F</t>
  </si>
  <si>
    <t xml:space="preserve">1616 · Cahier 192P petit format 90G Seyes Pp Orange Calligraphe · 900 F</t>
  </si>
  <si>
    <t xml:space="preserve">Cahier TP 100 pages grand format</t>
  </si>
  <si>
    <t xml:space="preserve">Cahier de textes</t>
  </si>
  <si>
    <t xml:space="preserve">1271 · Mon journal de classe pratique · 1 150 F</t>
  </si>
  <si>
    <t xml:space="preserve">Ciseaux</t>
  </si>
  <si>
    <t xml:space="preserve">Calculatrice</t>
  </si>
  <si>
    <t xml:space="preserve">1187 · Calculatrice scientifique Parpn YH-2000 · 2 800 F</t>
  </si>
  <si>
    <t xml:space="preserve">1727 · Calculatrice scientifique Casio fx-991ES Plus · 4 750 F</t>
  </si>
  <si>
    <t xml:space="preserve">Le Français en 6e (EDICEF)</t>
  </si>
  <si>
    <t xml:space="preserve">Grammaire du français 6e-5e (IPAM)</t>
  </si>
  <si>
    <t xml:space="preserve">1351 · Grammaire du Français 6/5e, IPAM Edicef · 4 000 F</t>
  </si>
  <si>
    <t xml:space="preserve">Les Contes d'Amadou Koumba (Birago Diop)</t>
  </si>
  <si>
    <t xml:space="preserve">1311 · Les Contes d Amadou Koumba · 3 500 F</t>
  </si>
  <si>
    <t xml:space="preserve">L'Enfant noir (Camara Laye)</t>
  </si>
  <si>
    <t xml:space="preserve">1304 · L Enfant noir · 2 800 F</t>
  </si>
  <si>
    <t xml:space="preserve">Mathématiques 6e (Didactikos)</t>
  </si>
  <si>
    <t xml:space="preserve">1560 · Mathématiques 6éme · 3 960 F</t>
  </si>
  <si>
    <t xml:space="preserve">SVT 6e (Didactikos)</t>
  </si>
  <si>
    <t xml:space="preserve">1566 · Science de la vie et de la terre 6éme · 3 960 F</t>
  </si>
  <si>
    <t xml:space="preserve">Keep in Touch 6e, Student's Book</t>
  </si>
  <si>
    <t xml:space="preserve">Keep in Touch 6e, Workbook</t>
  </si>
  <si>
    <t xml:space="preserve">Sac à dos</t>
  </si>
  <si>
    <t xml:space="preserve">1192 · Sac a dos bleu marine · 7 000 F</t>
  </si>
  <si>
    <t xml:space="preserve">Surligneurs (4 couleurs)</t>
  </si>
  <si>
    <t xml:space="preserve">1607 · Fluo Peps Surligneurs classiques, couleurs assorties – pack de 4 – MAPED · 2 500 F</t>
  </si>
  <si>
    <t xml:space="preserve">Correcteur</t>
  </si>
  <si>
    <t xml:space="preserve">1248 · Stylo correcteur Blanco Igle · 400 F</t>
  </si>
  <si>
    <t xml:space="preserve">1639 · Blanco souris – Correction tape – ARK · 1 000 F</t>
  </si>
  <si>
    <t xml:space="preserve">Papier à dessin</t>
  </si>
  <si>
    <t xml:space="preserve">Copies doubles</t>
  </si>
  <si>
    <t xml:space="preserve">1716 · Paquet de copies doubles grand format · 1 800 F</t>
  </si>
  <si>
    <t xml:space="preserve">Pochette à rabats</t>
  </si>
  <si>
    <t xml:space="preserve">Cahier d'activités Mathématiques 6e (Didactikos)</t>
  </si>
  <si>
    <t xml:space="preserve">1547 · Cahier d’activités maths 6éme · 3 130 F</t>
  </si>
  <si>
    <t xml:space="preserve">Cahier d'activités SVT 6e (Didactikos)</t>
  </si>
  <si>
    <t xml:space="preserve">1540 · Cahier d’activités SVT 6éme · 3 430 F</t>
  </si>
  <si>
    <t xml:space="preserve">L'Art de conjuguer (Bescherelle)</t>
  </si>
  <si>
    <t xml:space="preserve">5E</t>
  </si>
  <si>
    <t xml:space="preserve">Cahier 200 pages grand format</t>
  </si>
  <si>
    <t xml:space="preserve">2 · Cahier 192 pages grand format · 900 F</t>
  </si>
  <si>
    <t xml:space="preserve">1715 · Cahier Calligraphe 200 pages grand format - Orange · 1 600 F</t>
  </si>
  <si>
    <t xml:space="preserve">Le Français en 5e (EDICEF)</t>
  </si>
  <si>
    <t xml:space="preserve">1363 · Le Français en 5ème · 4 000 F</t>
  </si>
  <si>
    <t xml:space="preserve">Soundjata ou l'épopée mandingue (Djibril Tamsir Niane)</t>
  </si>
  <si>
    <t xml:space="preserve">1315 · Soundjata ou l epopee mandingue · 3 500 F</t>
  </si>
  <si>
    <t xml:space="preserve">Le Malade imaginaire (Molière)</t>
  </si>
  <si>
    <t xml:space="preserve">1318 · Le Malade imaginaire · 2 800 F</t>
  </si>
  <si>
    <t xml:space="preserve">Mathématiques 5e (Didactikos)</t>
  </si>
  <si>
    <t xml:space="preserve">1559 · Mathématiques 5éme · 3 960 F</t>
  </si>
  <si>
    <t xml:space="preserve">SVT 5e (Didactikos)</t>
  </si>
  <si>
    <t xml:space="preserve">1565 · Science de la vie et de la terre 5éme · 3 960 F</t>
  </si>
  <si>
    <t xml:space="preserve">Anglais 5e (Didactikos)</t>
  </si>
  <si>
    <t xml:space="preserve">1438 · Anglais  5ᵉ · 3 960 F</t>
  </si>
  <si>
    <t xml:space="preserve">Workbook Anglais 5e (Didactikos)</t>
  </si>
  <si>
    <t xml:space="preserve">L'Os de Mor Lam (Birago Diop)</t>
  </si>
  <si>
    <t xml:space="preserve">1323 · L Os de Mor Lam · 3 500 F</t>
  </si>
  <si>
    <t xml:space="preserve">Le Pagne noir (Bernard Dadié)</t>
  </si>
  <si>
    <t xml:space="preserve">1314 · Le Pagne noir · 3 500 F</t>
  </si>
  <si>
    <t xml:space="preserve">Cahier d'activités Mathématiques 5e (Didactikos)</t>
  </si>
  <si>
    <t xml:space="preserve">1546 · Cahier d’activités maths 5éme · 3 130 F</t>
  </si>
  <si>
    <t xml:space="preserve">Cahier d'activités SVT 5e (Didactikos)</t>
  </si>
  <si>
    <t xml:space="preserve">1545 · Cahier d’activités SVT 5éme · 3 430 F</t>
  </si>
  <si>
    <t xml:space="preserve">4E</t>
  </si>
  <si>
    <t xml:space="preserve">Le Français en 4e (EDICEF)</t>
  </si>
  <si>
    <t xml:space="preserve">Grammaire du français 4e-3e (IPAM)</t>
  </si>
  <si>
    <t xml:space="preserve">1350 · Grammaire du Français 4/3e, IPAM Edicef · 4 000 F</t>
  </si>
  <si>
    <t xml:space="preserve">Maïmouna (Abdoulaye Sadji)</t>
  </si>
  <si>
    <t xml:space="preserve">1312 · Maimouna · 3 500 F</t>
  </si>
  <si>
    <t xml:space="preserve">Sous l'orage (Seydou Badian)</t>
  </si>
  <si>
    <t xml:space="preserve">1313 · Sous l orage · 3 500 F</t>
  </si>
  <si>
    <t xml:space="preserve">Mathématiques 4e (Didactikos)</t>
  </si>
  <si>
    <t xml:space="preserve">1445 · Mathématiques 4eme · 3 960 F</t>
  </si>
  <si>
    <t xml:space="preserve">SVT 4e (Didactikos)</t>
  </si>
  <si>
    <t xml:space="preserve">1564 · Science de la vie et de la terre 4éme · 3 960 F</t>
  </si>
  <si>
    <t xml:space="preserve">Sciences physiques 4e (Didactikos)</t>
  </si>
  <si>
    <t xml:space="preserve">1567 · Sciences physiques 4éme · 3 960 F</t>
  </si>
  <si>
    <t xml:space="preserve">Keep in Touch 4e, Student's Book</t>
  </si>
  <si>
    <t xml:space="preserve">1356 · Keep in Touch 4ème Student's Book · 4 000 F</t>
  </si>
  <si>
    <t xml:space="preserve">Keep in Touch 4e, Workbook</t>
  </si>
  <si>
    <t xml:space="preserve">1357 · Keep in Touch 4ème Workbook · 4 000 F</t>
  </si>
  <si>
    <t xml:space="preserve">Horizontes 4e (espagnol)</t>
  </si>
  <si>
    <t xml:space="preserve">1331 · Horizontes Espagnol 4eme · 3 550 F</t>
  </si>
  <si>
    <t xml:space="preserve">Papier millimétré</t>
  </si>
  <si>
    <t xml:space="preserve">La Collégienne (Marouba Fall)</t>
  </si>
  <si>
    <t xml:space="preserve">1423 · La collégienne - Marouba Fall · 3 900 F</t>
  </si>
  <si>
    <t xml:space="preserve">Bled 4e-3e</t>
  </si>
  <si>
    <t xml:space="preserve">Cahier d'activités Mathématiques 4e (Didactikos)</t>
  </si>
  <si>
    <t xml:space="preserve">1542 · Cahier d’activités mathématiques 4éme · 3 130 F</t>
  </si>
  <si>
    <t xml:space="preserve">Cahier d'activités SVT 4e (Didactikos)</t>
  </si>
  <si>
    <t xml:space="preserve">1544 · Cahier d’activités SVT 4éme · 3 430 F</t>
  </si>
  <si>
    <t xml:space="preserve">Cahier d'exercices Sciences physiques 4e</t>
  </si>
  <si>
    <t xml:space="preserve">1440 · Cahier d’activités PC 4eme · 3 130 F</t>
  </si>
  <si>
    <t xml:space="preserve">3E</t>
  </si>
  <si>
    <t xml:space="preserve">Le Français en 3e (EDICEF)</t>
  </si>
  <si>
    <t xml:space="preserve">1362 · Le Français en 3ème · 4 000 F</t>
  </si>
  <si>
    <t xml:space="preserve">Bled 6e-3e</t>
  </si>
  <si>
    <t xml:space="preserve">Une si longue lettre (Mariama Bâ)</t>
  </si>
  <si>
    <t xml:space="preserve">1301 · Une si longue lettre · 3 500 F</t>
  </si>
  <si>
    <t xml:space="preserve">Vol de nuit (Antoine de Saint-Exupéry)</t>
  </si>
  <si>
    <t xml:space="preserve">1319 · Vol de nuit · 2 800 F</t>
  </si>
  <si>
    <t xml:space="preserve">Mathématiques 3e (Didactikos)</t>
  </si>
  <si>
    <t xml:space="preserve">1558 · Mathématiques 3éme · 3 960 F</t>
  </si>
  <si>
    <t xml:space="preserve">Mathématiques 3e, Le BFEM en poche (Korka Diallo)</t>
  </si>
  <si>
    <t xml:space="preserve">39 · MATHEMATIQUES TROISIEME · 10 000 F</t>
  </si>
  <si>
    <t xml:space="preserve">SVT 3e (Didactikos)</t>
  </si>
  <si>
    <t xml:space="preserve">1563 · Science de la vie et de la terre 3éme · 3 960 F</t>
  </si>
  <si>
    <t xml:space="preserve">Sciences physiques 3e (Didactikos)</t>
  </si>
  <si>
    <t xml:space="preserve">1446 · Sciences Physiques 3ème · 3 960 F</t>
  </si>
  <si>
    <t xml:space="preserve">Cahier d'activités Sciences physiques 3e (Didactikos)</t>
  </si>
  <si>
    <t xml:space="preserve">1538 · Cahier d’activités PC 3éme · 3 130 F</t>
  </si>
  <si>
    <t xml:space="preserve">Keep in Touch 3e, Student's Book</t>
  </si>
  <si>
    <t xml:space="preserve">1355 · Keep in Touch 3ème Student's Book · 4 000 F</t>
  </si>
  <si>
    <t xml:space="preserve">Keep in Touch 3e, Workbook</t>
  </si>
  <si>
    <t xml:space="preserve">Horizontes 3e (espagnol)</t>
  </si>
  <si>
    <t xml:space="preserve">1332 · Horizontes Espagnol 3eme · 3 550 F</t>
  </si>
  <si>
    <t xml:space="preserve">Cahier d'activités Mathématiques 3e (Didactikos)</t>
  </si>
  <si>
    <t xml:space="preserve">1541 · Cahier d’activités mathématiques 3éme · 3 130 F</t>
  </si>
  <si>
    <t xml:space="preserve">Cahier d'activités SVT 3e (Didactikos)</t>
  </si>
  <si>
    <t xml:space="preserve">1539 · Cahier d’activités SVT 3éme · 3 430 F</t>
  </si>
  <si>
    <t xml:space="preserve">SVT Troisième collège (Korka Diallo)</t>
  </si>
  <si>
    <t xml:space="preserve">41 · SVT TROISIEME COLLEGE · 10 000 F</t>
  </si>
  <si>
    <t xml:space="preserve">Cahier d'exercices Sciences physiques 3e</t>
  </si>
  <si>
    <t xml:space="preserve">1338 · Collection Kandia - Physique Chimie 3ème · 4 000 F</t>
  </si>
  <si>
    <t xml:space="preserve">Physique-Chimie Troisième (Korka Diallo)</t>
  </si>
  <si>
    <t xml:space="preserve">40 · PHYSIQUE CHIMIE TROISIEME · 5 000 F</t>
  </si>
  <si>
    <t xml:space="preserve">Annales BFEM, toutes matières</t>
  </si>
  <si>
    <t xml:space="preserve">SECONDE L</t>
  </si>
  <si>
    <t xml:space="preserve">Phèdre (Racine)</t>
  </si>
  <si>
    <t xml:space="preserve">Les Nouveaux Contes d'Amadou Koumba (Birago Diop)</t>
  </si>
  <si>
    <t xml:space="preserve">1427 · Les nouveaux contes d'Amadou Koumba · 3 900 F</t>
  </si>
  <si>
    <t xml:space="preserve">Copies simples</t>
  </si>
  <si>
    <t xml:space="preserve">Classeur A4</t>
  </si>
  <si>
    <t xml:space="preserve">1631 · Classeur personnalisable – 20mm – Dos 35 Blanc – ESSELTE · 2 700 F</t>
  </si>
  <si>
    <t xml:space="preserve">Intercalaires</t>
  </si>
  <si>
    <t xml:space="preserve">1683 · Intercalaires carte Exacompta 6 positions · 1 000 F</t>
  </si>
  <si>
    <t xml:space="preserve">Porte-vues</t>
  </si>
  <si>
    <t xml:space="preserve">1269 · Protege-documents porte-vues couleurs · 1 150 F</t>
  </si>
  <si>
    <t xml:space="preserve">Dictionnaire Larousse de poche, 60 000 mots</t>
  </si>
  <si>
    <t xml:space="preserve">LAROUSSE-60 · Dictionnaire Larousse de français de poche, 60 000 mots · 2 750 F</t>
  </si>
  <si>
    <t xml:space="preserve">Je me débrouille en anglais</t>
  </si>
  <si>
    <t xml:space="preserve">ANGLAIS-JMD · Je me débrouille en anglais (John Smith) · 3 000 F</t>
  </si>
  <si>
    <t xml:space="preserve">SECONDE S</t>
  </si>
  <si>
    <t xml:space="preserve">Cahier TP 200 pages grand format</t>
  </si>
  <si>
    <t xml:space="preserve">Calculatrice scientifique</t>
  </si>
  <si>
    <t xml:space="preserve">Le Français 2nde (Didactikos)</t>
  </si>
  <si>
    <t xml:space="preserve">1448 · Livre de Français 2nde · 4 720 F</t>
  </si>
  <si>
    <t xml:space="preserve">Candide (Voltaire)</t>
  </si>
  <si>
    <t xml:space="preserve">CIAM Seconde S (EDICEF)</t>
  </si>
  <si>
    <t xml:space="preserve">Mathématiques 2nde (Didactikos)</t>
  </si>
  <si>
    <t xml:space="preserve">1449 · Mathématiques 2nde · 4 720 F</t>
  </si>
  <si>
    <t xml:space="preserve">Physique-Chimie 2nde S (Didactikos)</t>
  </si>
  <si>
    <t xml:space="preserve">SVT 2nde S (Didactikos)</t>
  </si>
  <si>
    <t xml:space="preserve">1450 · Science de la vie et de la terre 2nde · 4 720 F</t>
  </si>
  <si>
    <t xml:space="preserve">Horizontes 2nde (espagnol)</t>
  </si>
  <si>
    <t xml:space="preserve">1333 · Horizontes Espagnol Seconde · 3 550 F</t>
  </si>
  <si>
    <t xml:space="preserve">Maths Seconde S (Korka Diallo)</t>
  </si>
  <si>
    <t xml:space="preserve">43 · KAAMILE DE MATHS - SECONDE S · 10 000 F</t>
  </si>
  <si>
    <t xml:space="preserve">Apprendre les maths tout seul, 2nde S</t>
  </si>
  <si>
    <t xml:space="preserve">Physique-Chimie Seconde S (Kandia)</t>
  </si>
  <si>
    <t xml:space="preserve">Cahier d'activités Physique-Chimie 2nde (Didactikos)</t>
  </si>
  <si>
    <t xml:space="preserve">Cahier d'activités SVT 2nde (Didactikos)</t>
  </si>
  <si>
    <t xml:space="preserve">1447 · Cahier d’activités SVT 2nde · 3 660 F</t>
  </si>
  <si>
    <t xml:space="preserve">SVT Seconde S (Korka Diallo)</t>
  </si>
  <si>
    <t xml:space="preserve">45 · SVT SECONDE S · 15 000 F</t>
  </si>
  <si>
    <t xml:space="preserve">PREMIÈRE L1</t>
  </si>
  <si>
    <t xml:space="preserve">Madame Bovary (Gustave Flaubert)</t>
  </si>
  <si>
    <t xml:space="preserve">1309 · Madame Bovary · 2 800 F</t>
  </si>
  <si>
    <t xml:space="preserve">Une vie de boy (Ferdinand Oyono)</t>
  </si>
  <si>
    <t xml:space="preserve">1324 · Une vie de boy · 2 800 F</t>
  </si>
  <si>
    <t xml:space="preserve">Nini, mulâtresse du Sénégal (Abdoulaye Sadji)</t>
  </si>
  <si>
    <t xml:space="preserve">1303 · Nini, mulatresse du Senegal · 3 500 F</t>
  </si>
  <si>
    <t xml:space="preserve">Le Père Goriot (Honoré de Balzac)</t>
  </si>
  <si>
    <t xml:space="preserve">1308 · Le Pere Goriot · 2 800 F</t>
  </si>
  <si>
    <t xml:space="preserve">Les Misérables (Victor Hugo)</t>
  </si>
  <si>
    <t xml:space="preserve">PREMIÈRE L2</t>
  </si>
  <si>
    <t xml:space="preserve">PREMIÈRE S1</t>
  </si>
  <si>
    <t xml:space="preserve">Mathématiques 1ère S (Korka Diallo)</t>
  </si>
  <si>
    <t xml:space="preserve">47 · MATHS 1S1 (CRACKS EN MATHS) · 15 000 F</t>
  </si>
  <si>
    <t xml:space="preserve">Physique-Chimie 1ère S (Korka Diallo)</t>
  </si>
  <si>
    <t xml:space="preserve">51 · PHYSIQUE CHIMIE PREMIERE S · 8 000 F</t>
  </si>
  <si>
    <t xml:space="preserve">SVT 1ère S (Korka Diallo)</t>
  </si>
  <si>
    <t xml:space="preserve">54 · SVT PREMIERE S1 S2 L · 15 000 F</t>
  </si>
  <si>
    <t xml:space="preserve">Concours général Maths 1ère S (Korka Diallo)</t>
  </si>
  <si>
    <t xml:space="preserve">57 · CONCOURS GENERAL DE MATHS - 1S · 15 000 F</t>
  </si>
  <si>
    <t xml:space="preserve">Concours général Physique-Chimie 1ère S (Korka Diallo)</t>
  </si>
  <si>
    <t xml:space="preserve">56 · CONCOURS GENERAL PC - PREMIERE · 15 000 F</t>
  </si>
  <si>
    <t xml:space="preserve">Concours général SVT 1ère S (Korka Diallo)</t>
  </si>
  <si>
    <t xml:space="preserve">75 · CONCOURS GENERAL SVT - PREMIERE ET TERMINALE · 15 000 F</t>
  </si>
  <si>
    <t xml:space="preserve">PREMIÈRE S2</t>
  </si>
  <si>
    <t xml:space="preserve">Mathématiques 1ère S (Didactikos)</t>
  </si>
  <si>
    <t xml:space="preserve">1551 · Livre de Mathématiques 1ʳᵉ · 4 720 F</t>
  </si>
  <si>
    <t xml:space="preserve">SVT 1ère S (Didactikos)</t>
  </si>
  <si>
    <t xml:space="preserve">1562 · Science de la vie et de la terre 1ʳᵉ · 4 720 F</t>
  </si>
  <si>
    <t xml:space="preserve">50 · MATHS 1S2 - LA CLE DES CRACKS · 6 000 F</t>
  </si>
  <si>
    <t xml:space="preserve">Préparation concours général SVT 1ère S (Korka Diallo)</t>
  </si>
  <si>
    <t xml:space="preserve">Fascicule d'exercices SVT 1ère</t>
  </si>
  <si>
    <t xml:space="preserve">55 · SVT PREMIERE : COURS ET EXERCICES (NON CORRIGES) · 12 000 F</t>
  </si>
  <si>
    <t xml:space="preserve">TERMINALE L1</t>
  </si>
  <si>
    <t xml:space="preserve">Chants d'ombre (Léopold Sédar Senghor)</t>
  </si>
  <si>
    <t xml:space="preserve">Les Contemplations (Victor Hugo)</t>
  </si>
  <si>
    <t xml:space="preserve">1310 · Les Contemplations · 2 800 F</t>
  </si>
  <si>
    <t xml:space="preserve">TERMINALE L2</t>
  </si>
  <si>
    <t xml:space="preserve">TERMINALE S1</t>
  </si>
  <si>
    <t xml:space="preserve">Maths Terminale S1 (Korka Diallo)</t>
  </si>
  <si>
    <t xml:space="preserve">58 · KAAMILE DE MATHS - TS1 TS3 · 35 000 F</t>
  </si>
  <si>
    <t xml:space="preserve">Physique-Chimie Terminale S1 (Korka Diallo)</t>
  </si>
  <si>
    <t xml:space="preserve">SVT Terminale S1 (Korka Diallo)</t>
  </si>
  <si>
    <t xml:space="preserve">69 · SVT TERMINALE S1 S2 (tout le programme, S et L) · 15 000 F</t>
  </si>
  <si>
    <t xml:space="preserve">Maths TS1, Maths pour les grands (Korka Diallo)</t>
  </si>
  <si>
    <t xml:space="preserve">62 · TS1 - MATHS POUR LES GRANDS - ANALYSE · 15 000 F</t>
  </si>
  <si>
    <t xml:space="preserve">Annales bac S1 (Korka Diallo)</t>
  </si>
  <si>
    <t xml:space="preserve">60 · MATHS TS1 (EPREUVES DU BAC S1, C, E) · 10 000 F</t>
  </si>
  <si>
    <t xml:space="preserve">Concours général Mathématiques Terminale S1</t>
  </si>
  <si>
    <t xml:space="preserve">72 · CONCOURS GENERAL DE MATHS - TS1 &amp; TS2 · 15 000 F</t>
  </si>
  <si>
    <t xml:space="preserve">Concours général Physique-Chimie Terminale S1</t>
  </si>
  <si>
    <t xml:space="preserve">74 · CONCOURS GENERAL PC - TERMINALES S · 15 000 F</t>
  </si>
  <si>
    <t xml:space="preserve">Concours général SVT Terminale S1</t>
  </si>
  <si>
    <t xml:space="preserve">TERMINALE S2</t>
  </si>
  <si>
    <t xml:space="preserve">Mathématiques Terminale S2 (Korka Diallo)</t>
  </si>
  <si>
    <t xml:space="preserve">Physique-Chimie Terminale S2 (Korka Diallo)</t>
  </si>
  <si>
    <t xml:space="preserve">64 · PHYSIQUE CHIMIE TS2 · 10 000 F</t>
  </si>
  <si>
    <t xml:space="preserve">SVT Terminale S2 (Didactikos)</t>
  </si>
  <si>
    <t xml:space="preserve">1561 · Science de la Vie et de la Terre Tlᵉ · 4 720 F</t>
  </si>
  <si>
    <t xml:space="preserve">Chemin vers le bac, exercices corrigés TS2 (Babacar Djitté)</t>
  </si>
  <si>
    <t xml:space="preserve">Maths TS2, La clé du bac (Korka Diallo)</t>
  </si>
  <si>
    <t xml:space="preserve">63 · MATHS TS2 - LA CLE DU BAC · 10 000 F</t>
  </si>
  <si>
    <t xml:space="preserve">Annales bac S2</t>
  </si>
  <si>
    <t xml:space="preserve">Livre de cours et exercices TS2 (Cheikh Tidiane Seck)</t>
  </si>
  <si>
    <t xml:space="preserve">Ordre</t>
  </si>
  <si>
    <t xml:space="preserve">Groupe d'affichage</t>
  </si>
  <si>
    <t xml:space="preserve">Libellé (vu par le client)</t>
  </si>
  <si>
    <t xml:space="preserve">ID produit</t>
  </si>
  <si>
    <t xml:space="preserve">Produit au catalogue</t>
  </si>
  <si>
    <t xml:space="preserve">Quantité</t>
  </si>
  <si>
    <t xml:space="preserve">Prix unitaire</t>
  </si>
  <si>
    <t xml:space="preserve">Section</t>
  </si>
  <si>
    <t xml:space="preserve">Coché</t>
  </si>
  <si>
    <t xml:space="preserve">Total ligne</t>
  </si>
  <si>
    <t xml:space="preserve">Note</t>
  </si>
  <si>
    <t xml:space="preserve">Fournisseur</t>
  </si>
  <si>
    <t xml:space="preserve">Délai</t>
  </si>
  <si>
    <t xml:space="preserve">Prix d'achat</t>
  </si>
  <si>
    <t xml:space="preserve">Coût ligne</t>
  </si>
  <si>
    <t xml:space="preserve">Bénéfice ligne</t>
  </si>
  <si>
    <t xml:space="preserve">Cahiers</t>
  </si>
  <si>
    <t xml:space="preserve">Cahier de travaux pratiques MyFriend 100 pages</t>
  </si>
  <si>
    <t xml:space="preserve">Principal</t>
  </si>
  <si>
    <t xml:space="preserve">Oui</t>
  </si>
  <si>
    <t xml:space="preserve">OK</t>
  </si>
  <si>
    <t xml:space="preserve">Cahier de graphisme</t>
  </si>
  <si>
    <t xml:space="preserve">LPD</t>
  </si>
  <si>
    <t xml:space="preserve">24h</t>
  </si>
  <si>
    <t xml:space="preserve">Cahier de travaux pratiques MyFriend 200 pages</t>
  </si>
  <si>
    <t xml:space="preserve">Cahier de vie</t>
  </si>
  <si>
    <t xml:space="preserve">Art &amp; dessin</t>
  </si>
  <si>
    <t xml:space="preserve">Cahier de dessin L'écolier 32 pages</t>
  </si>
  <si>
    <t xml:space="preserve">Papex</t>
  </si>
  <si>
    <t xml:space="preserve">6j</t>
  </si>
  <si>
    <t xml:space="preserve">Ardoise blanche + feutre effaçable</t>
  </si>
  <si>
    <t xml:space="preserve">SacAdo</t>
  </si>
  <si>
    <t xml:space="preserve">Marqueur tableau blanc BEIYUE B-105</t>
  </si>
  <si>
    <t xml:space="preserve">Cissé &amp; Frères</t>
  </si>
  <si>
    <t xml:space="preserve">Brosse tableau blanc magnetique RX T-29</t>
  </si>
  <si>
    <t xml:space="preserve">Écriture</t>
  </si>
  <si>
    <t xml:space="preserve">Crayon papier couleur du Senegal - a l unite</t>
  </si>
  <si>
    <t xml:space="preserve">Petit matériel</t>
  </si>
  <si>
    <t xml:space="preserve">Gomme blanche</t>
  </si>
  <si>
    <t xml:space="preserve">Tailla Crayon 1 Trou + Réservoir Clean – MAPED</t>
  </si>
  <si>
    <t xml:space="preserve">Crayon Couleur BTE X12 – MAPED</t>
  </si>
  <si>
    <t xml:space="preserve">Baton de colle Dolphin Stick Glue</t>
  </si>
  <si>
    <t xml:space="preserve">Ciseaux scolaires bouts ronds</t>
  </si>
  <si>
    <t xml:space="preserve">Rangement</t>
  </si>
  <si>
    <t xml:space="preserve">Chemise. 3 rabats élastiques + étiquettes 4,5/10ème assorties</t>
  </si>
  <si>
    <t xml:space="preserve">Accessoires</t>
  </si>
  <si>
    <t xml:space="preserve">Trousse Hello monstre vert</t>
  </si>
  <si>
    <t xml:space="preserve">Gourde Drink violette</t>
  </si>
  <si>
    <t xml:space="preserve">Nouveau prix : 2 500 F (ancien 2 000 F), à changer dans l'admin</t>
  </si>
  <si>
    <t xml:space="preserve">Option</t>
  </si>
  <si>
    <t xml:space="preserve">Cartable Kam Rad Cute Capybaras</t>
  </si>
  <si>
    <t xml:space="preserve">Non</t>
  </si>
  <si>
    <t xml:space="preserve">Cahier de dessin TPG</t>
  </si>
  <si>
    <t xml:space="preserve">Gomme Staedtler Mars Plastic</t>
  </si>
  <si>
    <t xml:space="preserve">Bâton de colle 20 g – GIOTTO</t>
  </si>
  <si>
    <t xml:space="preserve">Ciseaux 13cm Security Stop – MAPED</t>
  </si>
  <si>
    <t xml:space="preserve">Feutres Giotto Turbo Color 12 couleurs</t>
  </si>
  <si>
    <t xml:space="preserve">— pas au catalogue —</t>
  </si>
  <si>
    <t xml:space="preserve">Pas au catalogue</t>
  </si>
  <si>
    <t xml:space="preserve">Regle plastique transparente 20 cm</t>
  </si>
  <si>
    <t xml:space="preserve">Parascolaire</t>
  </si>
  <si>
    <t xml:space="preserve">Mon cahier de lecture - Petite Section</t>
  </si>
  <si>
    <t xml:space="preserve">Cahier d'activités de la section</t>
  </si>
  <si>
    <t xml:space="preserve">Trousse Hello pingouin menthe</t>
  </si>
  <si>
    <t xml:space="preserve">Gourde enfant motif ours Naughty Bear</t>
  </si>
  <si>
    <t xml:space="preserve">Crayons de Couleur Boite de 24 Nightfall – MAPED</t>
  </si>
  <si>
    <t xml:space="preserve">Craies grasses Giotto Cera 24</t>
  </si>
  <si>
    <t xml:space="preserve">Bloc de dessin A4 (50 feuilles)</t>
  </si>
  <si>
    <t xml:space="preserve">Remplace la pochette Canson blanc</t>
  </si>
  <si>
    <t xml:space="preserve">Set peinture gouache (12 couleurs)</t>
  </si>
  <si>
    <t xml:space="preserve">Pinceaux assortis (lot de 5)</t>
  </si>
  <si>
    <t xml:space="preserve">Boîte à éponge</t>
  </si>
  <si>
    <t xml:space="preserve">Cahier 96 pages petit format – 56g – seyès calligraphe</t>
  </si>
  <si>
    <t xml:space="preserve">Graphisme / écriture</t>
  </si>
  <si>
    <t xml:space="preserve">J apprends les maths - Moyenne Section</t>
  </si>
  <si>
    <t xml:space="preserve">Graphisme / écriture + mathématiques</t>
  </si>
  <si>
    <t xml:space="preserve">Mon cahier d ecriture - J apprends a ecrire les chiffres</t>
  </si>
  <si>
    <t xml:space="preserve">Cahier L'écolier 48 pages</t>
  </si>
  <si>
    <t xml:space="preserve">Protège-cahiers couleurs</t>
  </si>
  <si>
    <t xml:space="preserve">Stylo à bille tops 505m Schneider (Couleur: Bleu)</t>
  </si>
  <si>
    <t xml:space="preserve">Taille-crayon métallique</t>
  </si>
  <si>
    <t xml:space="preserve">Géométrie</t>
  </si>
  <si>
    <t xml:space="preserve">Ardoise scolaire rouge</t>
  </si>
  <si>
    <t xml:space="preserve">CRAIE-U</t>
  </si>
  <si>
    <t xml:space="preserve">Craie blanche Giotto Robercolor (à l'unité)</t>
  </si>
  <si>
    <t xml:space="preserve">Vendue à l'unité (25 F), prise dans les boîtes de 100 (1299) ; 20 craies pour l'année</t>
  </si>
  <si>
    <t xml:space="preserve">Batonnets plastique FG 50 pieces</t>
  </si>
  <si>
    <t xml:space="preserve">Trousse scolaire double compartiment</t>
  </si>
  <si>
    <t xml:space="preserve">Manuels au programme</t>
  </si>
  <si>
    <t xml:space="preserve">Langue et Communication Ami et Rémi CI</t>
  </si>
  <si>
    <t xml:space="preserve">Livres proposés</t>
  </si>
  <si>
    <t xml:space="preserve">Ta liste dit « Livre de lecture Ami et Rémi CI » : c'est le seul Ami et Rémi CI au catalogue</t>
  </si>
  <si>
    <t xml:space="preserve">Mathématiques C.I.</t>
  </si>
  <si>
    <t xml:space="preserve">Découverte du monde C.I.</t>
  </si>
  <si>
    <t xml:space="preserve">Cartable rigide bleu marine</t>
  </si>
  <si>
    <t xml:space="preserve">Ardoise quadrillée</t>
  </si>
  <si>
    <t xml:space="preserve">Gourdes inox SPORT noire et argent</t>
  </si>
  <si>
    <t xml:space="preserve">Cahiers d'activités et compléments</t>
  </si>
  <si>
    <t xml:space="preserve">Développement durable C.I.</t>
  </si>
  <si>
    <t xml:space="preserve">Cahier d’activités découverte du monde C.I</t>
  </si>
  <si>
    <t xml:space="preserve">Graphisme et Ecriture CI</t>
  </si>
  <si>
    <t xml:space="preserve">Remplaçait le Graphisme Koti-Koti ; gardé car c'est un Didactikos</t>
  </si>
  <si>
    <t xml:space="preserve">Stylo à bille tops 505m Schneider (Couleur: Vert)</t>
  </si>
  <si>
    <t xml:space="preserve">Kit de traçage 30 cm, 4 pièces</t>
  </si>
  <si>
    <t xml:space="preserve">Lecture C.P.</t>
  </si>
  <si>
    <t xml:space="preserve">Langue et communication C.P.</t>
  </si>
  <si>
    <t xml:space="preserve">Mathématiques C.P.</t>
  </si>
  <si>
    <t xml:space="preserve">Découverte du monde C.P.</t>
  </si>
  <si>
    <t xml:space="preserve">Kit geometrie YPP School Supplies</t>
  </si>
  <si>
    <t xml:space="preserve">Développement durable C.P.</t>
  </si>
  <si>
    <t xml:space="preserve">Ecriture CP</t>
  </si>
  <si>
    <t xml:space="preserve">Cahier d’activités mathématiques C.P.</t>
  </si>
  <si>
    <t xml:space="preserve">Cahier d’activités fongible LC C.P.</t>
  </si>
  <si>
    <t xml:space="preserve">Cahier d’activités Découverte Du Monde C.P</t>
  </si>
  <si>
    <t xml:space="preserve">Cahier d’activités EDD CP</t>
  </si>
  <si>
    <t xml:space="preserve">Boite instruments Marshal Mathematical Instruments</t>
  </si>
  <si>
    <t xml:space="preserve">Boîte complète (compas, rapporteur, équerres, règle) : vérifier le contenu exact avec LPD</t>
  </si>
  <si>
    <t xml:space="preserve">Lecture C.E.1</t>
  </si>
  <si>
    <t xml:space="preserve">Langue et communication C.E.1</t>
  </si>
  <si>
    <t xml:space="preserve">Mathématiques C.E.1</t>
  </si>
  <si>
    <t xml:space="preserve">Découverte du monde C.E.1</t>
  </si>
  <si>
    <t xml:space="preserve">Cahier d’activités fongible LC C.E.1</t>
  </si>
  <si>
    <t xml:space="preserve">Cahier d’activités mathématiques C.E.1</t>
  </si>
  <si>
    <t xml:space="preserve">Cahier d’activités découverte du monde C.E.1</t>
  </si>
  <si>
    <t xml:space="preserve">Lecture C.E.2</t>
  </si>
  <si>
    <t xml:space="preserve">Langue et communication C.E.2</t>
  </si>
  <si>
    <t xml:space="preserve">Mathématiques C.E.2</t>
  </si>
  <si>
    <t xml:space="preserve">Découverte du monde C.E.2</t>
  </si>
  <si>
    <t xml:space="preserve">Étude de la langue CE2</t>
  </si>
  <si>
    <t xml:space="preserve">Production d’écrits CE2</t>
  </si>
  <si>
    <t xml:space="preserve">Cahier d’activités mathématiques C.E.2</t>
  </si>
  <si>
    <t xml:space="preserve">Cahier d’activités Découverte Du Monde C.E.2</t>
  </si>
  <si>
    <t xml:space="preserve">Développement durable C.E.2</t>
  </si>
  <si>
    <t xml:space="preserve">Pack de 4 stylos à bille Schneider Tops 505 M (bleu, noir, rouge, vert)</t>
  </si>
  <si>
    <t xml:space="preserve">Lecture C.M.1</t>
  </si>
  <si>
    <t xml:space="preserve">Langue et communication C.M.1</t>
  </si>
  <si>
    <t xml:space="preserve">Mathématiques C.M.1</t>
  </si>
  <si>
    <t xml:space="preserve">Découverte du monde C.M.1</t>
  </si>
  <si>
    <t xml:space="preserve">Développement durable C.M.1</t>
  </si>
  <si>
    <t xml:space="preserve">Cahier d’activités fongible LC C.M.1</t>
  </si>
  <si>
    <t xml:space="preserve">Cahier d’activités mathématiques C.M.1</t>
  </si>
  <si>
    <t xml:space="preserve">Cahier d’activités Découverte Du Monde C.M.1</t>
  </si>
  <si>
    <t xml:space="preserve">Lecture C.M.2</t>
  </si>
  <si>
    <t xml:space="preserve">Langue et communication C.M.2</t>
  </si>
  <si>
    <t xml:space="preserve">Produit en attente de modération : à approuver dans l'admin</t>
  </si>
  <si>
    <t xml:space="preserve">Mathématiques C.M.2</t>
  </si>
  <si>
    <t xml:space="preserve">Découverte du monde C.M.2</t>
  </si>
  <si>
    <t xml:space="preserve">VISA Annales CFEE</t>
  </si>
  <si>
    <t xml:space="preserve">Développement durable C.M.2</t>
  </si>
  <si>
    <t xml:space="preserve">Étude de la langue CM2</t>
  </si>
  <si>
    <t xml:space="preserve">Production d’écrits CM2</t>
  </si>
  <si>
    <t xml:space="preserve">Cahier d’activités mathématiques C.M.2</t>
  </si>
  <si>
    <t xml:space="preserve">Cahier d’activités Découverte Du Monde C.M.2</t>
  </si>
  <si>
    <t xml:space="preserve">Cahier 96 pages grand format</t>
  </si>
  <si>
    <t xml:space="preserve">Cahier L'écolier 192 pages</t>
  </si>
  <si>
    <t xml:space="preserve">Mon journal de classe pratique</t>
  </si>
  <si>
    <t xml:space="preserve">« Journal de classe » = cahier de textes : vérifier le format</t>
  </si>
  <si>
    <t xml:space="preserve">Calculatrice scientifique Parpn YH-2000</t>
  </si>
  <si>
    <t xml:space="preserve">Manuels scolaires</t>
  </si>
  <si>
    <t xml:space="preserve">Pas au catalogue (on a le 5e et le 3e, et « Livre de français 6e » Didactikos, 1444)</t>
  </si>
  <si>
    <t xml:space="preserve">Grammaire du Français 6/5e, IPAM Edicef</t>
  </si>
  <si>
    <t xml:space="preserve">Œuvres au programme</t>
  </si>
  <si>
    <t xml:space="preserve">Les Contes d Amadou Koumba</t>
  </si>
  <si>
    <t xml:space="preserve">L Enfant noir</t>
  </si>
  <si>
    <t xml:space="preserve">Mathématiques 6éme</t>
  </si>
  <si>
    <t xml:space="preserve">Science de la vie et de la terre 6éme</t>
  </si>
  <si>
    <t xml:space="preserve">Sac a dos bleu marine</t>
  </si>
  <si>
    <t xml:space="preserve">Cahier 192P petit format 90G Seyes Pp Orange Calligraphe</t>
  </si>
  <si>
    <t xml:space="preserve">Fluo Peps Surligneurs classiques, couleurs assorties – pack de 4 – MAPED</t>
  </si>
  <si>
    <t xml:space="preserve">Stylo correcteur Blanco Igle</t>
  </si>
  <si>
    <t xml:space="preserve">Calculatrice scientifique Casio fx-991ES Plus</t>
  </si>
  <si>
    <t xml:space="preserve">Remplace la pochette Canson (pas au catalogue)</t>
  </si>
  <si>
    <t xml:space="preserve">Papier</t>
  </si>
  <si>
    <t xml:space="preserve">Paquet de copies doubles grand format</t>
  </si>
  <si>
    <t xml:space="preserve">Blanco souris – Correction tape – ARK</t>
  </si>
  <si>
    <t xml:space="preserve">Cahier d’activités maths 6éme</t>
  </si>
  <si>
    <t xml:space="preserve">Cahier d’activités SVT 6éme</t>
  </si>
  <si>
    <t xml:space="preserve">Cahier 192 pages grand format</t>
  </si>
  <si>
    <t xml:space="preserve">Le Français en 5ème</t>
  </si>
  <si>
    <t xml:space="preserve">Soundjata ou l epopee mandingue</t>
  </si>
  <si>
    <t xml:space="preserve">Le Malade imaginaire</t>
  </si>
  <si>
    <t xml:space="preserve">Mathématiques 5éme</t>
  </si>
  <si>
    <t xml:space="preserve">Science de la vie et de la terre 5éme</t>
  </si>
  <si>
    <t xml:space="preserve">Anglais  5ᵉ</t>
  </si>
  <si>
    <t xml:space="preserve">Pas au catalogue (on a seulement le workbook Let's Keep in Touch 5e, 1365)</t>
  </si>
  <si>
    <t xml:space="preserve">Cahier Calligraphe 200 pages grand format - Orange</t>
  </si>
  <si>
    <t xml:space="preserve">L Os de Mor Lam</t>
  </si>
  <si>
    <t xml:space="preserve">Le Pagne noir</t>
  </si>
  <si>
    <t xml:space="preserve">Cahier d’activités maths 5éme</t>
  </si>
  <si>
    <t xml:space="preserve">Cahier d’activités SVT 5éme</t>
  </si>
  <si>
    <t xml:space="preserve">Pas au catalogue (on a le 5e et le 3e)</t>
  </si>
  <si>
    <t xml:space="preserve">Grammaire du Français 4/3e, IPAM Edicef</t>
  </si>
  <si>
    <t xml:space="preserve">Maimouna</t>
  </si>
  <si>
    <t xml:space="preserve">Sous l orage</t>
  </si>
  <si>
    <t xml:space="preserve">Mathématiques 4eme</t>
  </si>
  <si>
    <t xml:space="preserve">Science de la vie et de la terre 4éme</t>
  </si>
  <si>
    <t xml:space="preserve">Sciences physiques 4éme</t>
  </si>
  <si>
    <t xml:space="preserve">Keep in Touch 4ème Student's Book</t>
  </si>
  <si>
    <t xml:space="preserve">Keep in Touch 4ème Workbook</t>
  </si>
  <si>
    <t xml:space="preserve">Horizontes Espagnol 4eme</t>
  </si>
  <si>
    <t xml:space="preserve">La collégienne - Marouba Fall</t>
  </si>
  <si>
    <t xml:space="preserve">L'auteur est Marouba Fall (ta liste dit Mbarou Ba)</t>
  </si>
  <si>
    <t xml:space="preserve">Pas au catalogue (on a seulement le Bled CM2-6e)</t>
  </si>
  <si>
    <t xml:space="preserve">Cahier d’activités mathématiques 4éme</t>
  </si>
  <si>
    <t xml:space="preserve">Cahier d’activités SVT 4éme</t>
  </si>
  <si>
    <t xml:space="preserve">Cahier d’activités PC 4eme</t>
  </si>
  <si>
    <t xml:space="preserve">C'est le cahier d'activités PC 4e de Didactikos : le seul du niveau</t>
  </si>
  <si>
    <t xml:space="preserve">Le Français en 3ème</t>
  </si>
  <si>
    <t xml:space="preserve">Une si longue lettre</t>
  </si>
  <si>
    <t xml:space="preserve">Vol de nuit</t>
  </si>
  <si>
    <t xml:space="preserve">Mathématiques 3éme</t>
  </si>
  <si>
    <t xml:space="preserve">MATHEMATIQUES TROISIEME</t>
  </si>
  <si>
    <t xml:space="preserve">Science de la vie et de la terre 3éme</t>
  </si>
  <si>
    <t xml:space="preserve">Sciences Physiques 3ème</t>
  </si>
  <si>
    <t xml:space="preserve">Cahier d’activités PC 3éme</t>
  </si>
  <si>
    <t xml:space="preserve">Keep in Touch 3ème Student's Book</t>
  </si>
  <si>
    <t xml:space="preserve">Pas au catalogue (on a le workbook 4e)</t>
  </si>
  <si>
    <t xml:space="preserve">Horizontes Espagnol 3eme</t>
  </si>
  <si>
    <t xml:space="preserve">Cahier d’activités mathématiques 3éme</t>
  </si>
  <si>
    <t xml:space="preserve">Cahier d’activités SVT 3éme</t>
  </si>
  <si>
    <t xml:space="preserve">SVT TROISIEME COLLEGE</t>
  </si>
  <si>
    <t xml:space="preserve">Fiche sans auteur (collection La Clé) : vérifier que c'est bien Korka Diallo</t>
  </si>
  <si>
    <t xml:space="preserve">Collection Kandia - Physique Chimie 3ème</t>
  </si>
  <si>
    <t xml:space="preserve">Collection Kandia PC 3e, le seul cahier d'exercices PC 3e</t>
  </si>
  <si>
    <t xml:space="preserve">PHYSIQUE CHIMIE TROISIEME</t>
  </si>
  <si>
    <t xml:space="preserve">Pas au catalogue (on a seulement l'annale d'anglais 3e, 42)</t>
  </si>
  <si>
    <t xml:space="preserve">Les nouveaux contes d'Amadou Koumba</t>
  </si>
  <si>
    <t xml:space="preserve">Classeur personnalisable – 20mm – Dos 35 Blanc – ESSELTE</t>
  </si>
  <si>
    <t xml:space="preserve">Intercalaires carte Exacompta 6 positions</t>
  </si>
  <si>
    <t xml:space="preserve">Protege-documents porte-vues couleurs</t>
  </si>
  <si>
    <t xml:space="preserve">Ta liste demande 40 vues : nombre de vues non indiqué sur la fiche</t>
  </si>
  <si>
    <t xml:space="preserve">LAROUSSE-60</t>
  </si>
  <si>
    <t xml:space="preserve">Dictionnaire Larousse de français de poche, 60 000 mots</t>
  </si>
  <si>
    <t xml:space="preserve">Nouveau produit : achat 2 000 F, vente 2 750 F (remplace Le Robert 1682)</t>
  </si>
  <si>
    <t xml:space="preserve">ANGLAIS-JMD</t>
  </si>
  <si>
    <t xml:space="preserve">Je me débrouille en anglais (John Smith)</t>
  </si>
  <si>
    <t xml:space="preserve">Nouveau produit LPD : achat 2 000 F, vente 3 000 F</t>
  </si>
  <si>
    <t xml:space="preserve">Livre de Français 2nde</t>
  </si>
  <si>
    <t xml:space="preserve">Mathématiques 2nde</t>
  </si>
  <si>
    <t xml:space="preserve">Science de la vie et de la terre 2nde</t>
  </si>
  <si>
    <t xml:space="preserve">Horizontes Espagnol Seconde</t>
  </si>
  <si>
    <t xml:space="preserve">KAAMILE DE MATHS - SECONDE S</t>
  </si>
  <si>
    <t xml:space="preserve">Kaamile de maths Seconde S : le seul livre de maths 2nde S de Korka Diallo</t>
  </si>
  <si>
    <t xml:space="preserve">Pas de Kandia 2nde : on a « Physique Chimie Seconde S » de Korka Diallo (44)</t>
  </si>
  <si>
    <t xml:space="preserve">Cahier d’activités SVT 2nde</t>
  </si>
  <si>
    <t xml:space="preserve">SVT SECONDE S</t>
  </si>
  <si>
    <t xml:space="preserve">Fiche sans auteur : vérifier</t>
  </si>
  <si>
    <t xml:space="preserve">Madame Bovary</t>
  </si>
  <si>
    <t xml:space="preserve">Une vie de boy</t>
  </si>
  <si>
    <t xml:space="preserve">Nini, mulatresse du Senegal</t>
  </si>
  <si>
    <t xml:space="preserve">Absent du Confort dans ta liste, ajouté car le Confort contient tout le Complet</t>
  </si>
  <si>
    <t xml:space="preserve">Le Pere Goriot</t>
  </si>
  <si>
    <t xml:space="preserve">MATHS 1S1 (CRACKS EN MATHS)</t>
  </si>
  <si>
    <t xml:space="preserve">Maths 1S1, Cracks en maths (existe aussi Kaamile 1S1 à 20 000 F, 46)</t>
  </si>
  <si>
    <t xml:space="preserve">PHYSIQUE CHIMIE PREMIERE S</t>
  </si>
  <si>
    <t xml:space="preserve">Fiche au nom de Sidy Mohamed Ndiaye (collection Atomic) : vérifier</t>
  </si>
  <si>
    <t xml:space="preserve">SVT PREMIERE S1 S2 L</t>
  </si>
  <si>
    <t xml:space="preserve">« SVT Première S1 S2 L », collection Adansonia : vérifier</t>
  </si>
  <si>
    <t xml:space="preserve">CONCOURS GENERAL DE MATHS - 1S</t>
  </si>
  <si>
    <t xml:space="preserve">CONCOURS GENERAL PC - PREMIERE</t>
  </si>
  <si>
    <t xml:space="preserve">CONCOURS GENERAL SVT - PREMIERE ET TERMINALE</t>
  </si>
  <si>
    <t xml:space="preserve">Même livre pour Première et Terminale</t>
  </si>
  <si>
    <t xml:space="preserve">Livre de Mathématiques 1ʳᵉ</t>
  </si>
  <si>
    <t xml:space="preserve">Science de la vie et de la terre 1ʳᵉ</t>
  </si>
  <si>
    <t xml:space="preserve">MATHS 1S2 - LA CLE DES CRACKS</t>
  </si>
  <si>
    <t xml:space="preserve">Maths 1S2, la clé des cracks</t>
  </si>
  <si>
    <t xml:space="preserve">SVT PREMIERE : COURS ET EXERCICES (NON CORRIGES)</t>
  </si>
  <si>
    <t xml:space="preserve">« SVT Première : cours et exercices » (Mamadou Senghor)</t>
  </si>
  <si>
    <t xml:space="preserve">Les Contemplations</t>
  </si>
  <si>
    <t xml:space="preserve">KAAMILE DE MATHS - TS1 TS3</t>
  </si>
  <si>
    <t xml:space="preserve">Kaamile de maths TS1 TS3 à 35 000 F : vérifier que c'est bien ce livre</t>
  </si>
  <si>
    <t xml:space="preserve">Pas au catalogue (on a PC TS2, 64)</t>
  </si>
  <si>
    <t xml:space="preserve">SVT TERMINALE S1 S2 (tout le programme, S et L)</t>
  </si>
  <si>
    <t xml:space="preserve">« SVT Terminale S1 S2 » sans auteur : vérifier</t>
  </si>
  <si>
    <t xml:space="preserve">TS1 - MATHS POUR LES GRANDS - ANALYSE</t>
  </si>
  <si>
    <t xml:space="preserve">2 tomes au catalogue : Analyse (62, 15 000 F) et Proba-Algèbre-Géométrie (61, 12 000 F)</t>
  </si>
  <si>
    <t xml:space="preserve">MATHS TS1 (EPREUVES DU BAC S1, C, E)</t>
  </si>
  <si>
    <t xml:space="preserve">« Maths TS1, épreuves du bac » : annales de maths seulement</t>
  </si>
  <si>
    <t xml:space="preserve">CONCOURS GENERAL DE MATHS - TS1 &amp; TS2</t>
  </si>
  <si>
    <t xml:space="preserve">CONCOURS GENERAL PC - TERMINALES S</t>
  </si>
  <si>
    <t xml:space="preserve">Pas au catalogue (le seul TS2 de Korka Diallo est « La clé du bac », ligne plus bas)</t>
  </si>
  <si>
    <t xml:space="preserve">PHYSIQUE CHIMIE TS2</t>
  </si>
  <si>
    <t xml:space="preserve">Fiche « Physique Chimie TS2 » sans auteur : vérifier</t>
  </si>
  <si>
    <t xml:space="preserve">Science de la Vie et de la Terre Tlᵉ</t>
  </si>
  <si>
    <t xml:space="preserve">MATHS TS2 - LA CLE DU BAC</t>
  </si>
  <si>
    <t xml:space="preserve">À sourcer, à créer et à vérifier</t>
  </si>
  <si>
    <t xml:space="preserve">Articles de tes listes absents du catalogue</t>
  </si>
  <si>
    <t xml:space="preserve">Article</t>
  </si>
  <si>
    <t xml:space="preserve">Classes et gammes concernées</t>
  </si>
  <si>
    <t xml:space="preserve">Nombre de kits</t>
  </si>
  <si>
    <t xml:space="preserve">Ce qu'il faut chercher</t>
  </si>
  <si>
    <t xml:space="preserve">Ce que j'ai mis en attendant</t>
  </si>
  <si>
    <t xml:space="preserve">4e (Complet, Confort); 3e (Complet, Confort); Seconde L (Complet, Confort); Seconde S (Complet, Confort); Première L1 (Complet, Confort); Première L2 (Complet, Confort); Première S1 (Complet, Confort); Première S2 (Complet, Confort); Terminale L1 (Complet, Confort); Terminale L2 (Complet, Confort); Terminale S1 (Complet, Confort); Terminale S2 (Complet, Confort)</t>
  </si>
  <si>
    <t xml:space="preserve">Pochette de papier millimétré A4 (10 à 20 feuilles)</t>
  </si>
  <si>
    <t xml:space="preserve">Ligne affichée, non comptée</t>
  </si>
  <si>
    <t xml:space="preserve">Seconde L (Complet, Confort); Seconde S (Complet, Confort); Première S1 (Complet, Confort); Première S2 (Complet, Confort); Terminale S1 (Complet, Confort); Terminale S2 (Complet, Confort)</t>
  </si>
  <si>
    <t xml:space="preserve">Paquet de copies simples grand format (feuilles perforées seyès)</t>
  </si>
  <si>
    <t xml:space="preserve">Petite section (Complet, Confort); Moyenne section (Complet, Confort); Grande section (Complet, Confort)</t>
  </si>
  <si>
    <t xml:space="preserve">Boîte de pâte à modeler enfant (6 à 12 couleurs), 500 à 1 500 F</t>
  </si>
  <si>
    <t xml:space="preserve">Tablier enfant imperméable à manches, taille 3-6 ans</t>
  </si>
  <si>
    <t xml:space="preserve">Seconde L; Seconde S</t>
  </si>
  <si>
    <t xml:space="preserve">Édition classique de poche (Larousse, Hatier, Folio)</t>
  </si>
  <si>
    <t xml:space="preserve">Terminale L1; Terminale L2</t>
  </si>
  <si>
    <t xml:space="preserve">Édition Seuil (Points poésie)</t>
  </si>
  <si>
    <t xml:space="preserve">Petite section (Complet, Confort); Moyenne section (Confort); Grande section (Confort)</t>
  </si>
  <si>
    <t xml:space="preserve">Pochette de gommettes (formes géométriques de couleur)</t>
  </si>
  <si>
    <t xml:space="preserve">Première L1 (Confort); Première L2 (Confort); Terminale L1 (Confort); Terminale L2 (Confort)</t>
  </si>
  <si>
    <t xml:space="preserve">Édition de poche abrégée ou intégrale (Folio, Livre de poche, Hachette classiques)</t>
  </si>
  <si>
    <t xml:space="preserve">Petite section (Confort); Moyenne section (Confort); Grande section (Confort)</t>
  </si>
  <si>
    <t xml:space="preserve">Pochette de papier Canson couleur A4 (10 à 12 feuilles)</t>
  </si>
  <si>
    <t xml:space="preserve">Cahier d'écriture double ligne petit format (CP)</t>
  </si>
  <si>
    <t xml:space="preserve">Chez LPD, comme les éditions 5e et 3e</t>
  </si>
  <si>
    <t xml:space="preserve">Chez LPD, comme les éditions 3e et 4e</t>
  </si>
  <si>
    <t xml:space="preserve">Chez LPD, comme le workbook 4e</t>
  </si>
  <si>
    <t xml:space="preserve">6e (Confort); 5e (Confort); 4e (Confort)</t>
  </si>
  <si>
    <t xml:space="preserve">Bescherelle La conjugaison pour tous (Hatier)</t>
  </si>
  <si>
    <t xml:space="preserve">Bled collège 6e-3e (Hachette)</t>
  </si>
  <si>
    <t xml:space="preserve">Édition classique de poche</t>
  </si>
  <si>
    <t xml:space="preserve">Manuel de maths CIAM Seconde S (EDICEF), chez LPD</t>
  </si>
  <si>
    <t xml:space="preserve">Chez LPD (Didactikos, comme le manuel de SVT 2nde)</t>
  </si>
  <si>
    <t xml:space="preserve">Librairies de Dakar (auteur Babacar Djitté)</t>
  </si>
  <si>
    <t xml:space="preserve">Recueil d'annales du bac S2, toutes matières</t>
  </si>
  <si>
    <t xml:space="preserve">4e (Confort)</t>
  </si>
  <si>
    <t xml:space="preserve">Bled 4e-3e (Hachette)</t>
  </si>
  <si>
    <t xml:space="preserve">3e (Confort)</t>
  </si>
  <si>
    <t xml:space="preserve">Seconde S (Confort)</t>
  </si>
  <si>
    <t xml:space="preserve">Librairies de Dakar</t>
  </si>
  <si>
    <t xml:space="preserve">Chez LPD (Didactikos)</t>
  </si>
  <si>
    <t xml:space="preserve">Terminale S2 (Confort)</t>
  </si>
  <si>
    <t xml:space="preserve">Librairies de Dakar (auteur Cheikh Tidiane Seck)</t>
  </si>
  <si>
    <t xml:space="preserve">Produits à créer dans l'admin (déjà comptés dans les prix)</t>
  </si>
  <si>
    <t xml:space="preserve">Produit</t>
  </si>
  <si>
    <t xml:space="preserve">Fiche à créer</t>
  </si>
  <si>
    <t xml:space="preserve">Code provisoire</t>
  </si>
  <si>
    <t xml:space="preserve">CI; CP; CE1; CE2; CM1; CM2</t>
  </si>
  <si>
    <t xml:space="preserve">Vendeur LPD, prix 25 F l'unité, même photo que la boîte 1299. 20 craies par kit, du CI au CM2.</t>
  </si>
  <si>
    <t xml:space="preserve">Seconde L (Confort); Première L1 (Confort); Première L2 (Confort); Terminale L1 (Confort); Terminale L2 (Confort)</t>
  </si>
  <si>
    <t xml:space="preserve">Vendeur LPD, prix d'achat 2 000 F, prix de vente 3 000 F, catégorie Livres et annales, photo fournie (WebP).</t>
  </si>
  <si>
    <t xml:space="preserve">Prix d'achat 2 000 F, prix de vente 2 750 F, catégorie Livres et annales, photo fournie (WebP). Remplace Le Robert 1682 dans les kits.</t>
  </si>
  <si>
    <t xml:space="preserve">Au catalogue mais à vérifier</t>
  </si>
  <si>
    <t xml:space="preserve">Pourquoi</t>
  </si>
  <si>
    <t xml:space="preserve">Produit mis</t>
  </si>
  <si>
    <t xml:space="preserve">CE1; CE2; CM1; CM2; 6e; 5e; 4e; 3e; Seconde L; Seconde S; Première L1; Première L2; Première S1; Première S2; Terminale L1; Terminale L2; Terminale S1; Terminale S2</t>
  </si>
  <si>
    <t xml:space="preserve">Seconde L (Complet, Confort); Seconde S (Complet, Confort); Première L1 (Complet, Confort); Première L2 (Complet, Confort); Première S1 (Complet, Confort); Première S2 (Complet, Confort); Terminale L1 (Complet, Confort); Terminale L2 (Complet, Confort); Terminale S1 (Complet, Confort); Terminale S2 (Complet, Confort)</t>
  </si>
  <si>
    <t xml:space="preserve">6e; 5e; 4e; 3e</t>
  </si>
  <si>
    <t xml:space="preserve">6e (Complet, Confort); 5e (Complet, Confort); 4e (Complet, Confort); 3e (Complet, Confort)</t>
  </si>
  <si>
    <t xml:space="preserve">Première S1; Première S2</t>
  </si>
  <si>
    <t xml:space="preserve">Première S1; Première S2 (Confort)</t>
  </si>
  <si>
    <t xml:space="preserve">CI (Confort)</t>
  </si>
  <si>
    <t xml:space="preserve">Première S2 (Confort)</t>
  </si>
  <si>
    <t xml:space="preserve">Produits sans prix d'achat (bénéfice non calculé)</t>
  </si>
  <si>
    <t xml:space="preserve">Prix d'achat à renseigner</t>
  </si>
  <si>
    <t xml:space="preserve">Prix de vente</t>
  </si>
  <si>
    <t xml:space="preserve">19 · Trousse scolaire double compartiment</t>
  </si>
  <si>
    <t xml:space="preserve">CI; CP; CE1; CE2; CM1; CM2; 6e; 5e; 4e; 3e; Seconde L; Seconde S; Première L1; Première L2; Première S1; Première S2; Terminale L1; Terminale L2; Terminale S1; Terminale S2</t>
  </si>
  <si>
    <t xml:space="preserve">Vide dans l'export</t>
  </si>
  <si>
    <t xml:space="preserve">2 500 F</t>
  </si>
  <si>
    <t xml:space="preserve">1 · Cahier 96 pages grand format</t>
  </si>
  <si>
    <t xml:space="preserve">6e; 5e; 4e; 3e; Seconde L; Seconde S; Première L1; Première L2; Première S1; Première S2; Terminale L1; Terminale L2; Terminale S1; Terminale S2</t>
  </si>
  <si>
    <t xml:space="preserve">500 F</t>
  </si>
  <si>
    <t xml:space="preserve">8 · Crayons à papier HB (lot de 3)</t>
  </si>
  <si>
    <t xml:space="preserve">CI (Complet, Confort); CP (Complet, Confort); CE1 (Complet, Confort); CE2 (Complet, Confort); CM1 (Complet, Confort); CM2 (Complet, Confort); 6e (Complet, Confort); 5e (Complet, Confort); 4e (Complet, Confort); 3e (Complet, Confort); Seconde L (Complet, Confort); Seconde S (Complet, Confort); Première L1 (Complet, Confort); Première L2 (Complet, Confort); Première S1 (Complet, Confort); Première S2 (Complet, Confort); Terminale L1 (Complet, Confort); Terminale L2 (Complet, Confort); Terminale S1 (Complet, Confort); Terminale S2 (Complet, Confort)</t>
  </si>
  <si>
    <t xml:space="preserve">1728 · Cahier de travaux pratiques MyFriend 100 pages</t>
  </si>
  <si>
    <t xml:space="preserve">Petite section; 6e; 5e; 4e; 3e; Seconde L; Première L1; Première L2; Terminale L1; Terminale L2</t>
  </si>
  <si>
    <t xml:space="preserve">900 F</t>
  </si>
  <si>
    <t xml:space="preserve">1571 · Crayon papier couleur du Senegal - a l unite</t>
  </si>
  <si>
    <t xml:space="preserve">Petite section; Moyenne section; Grande section; CI (Essentiel); CP (Essentiel); CE1 (Essentiel); CE2 (Essentiel); CM1 (Essentiel); CM2 (Essentiel); 6e (Essentiel); 5e (Essentiel); 4e (Essentiel); 3e (Essentiel); Seconde L (Essentiel); Seconde S (Essentiel); Première L1 (Essentiel); Première L2 (Essentiel); Première S1 (Essentiel); Première S2 (Essentiel); Terminale L1 (Essentiel); Terminale L2 (Essentiel); Terminale S1 (Essentiel); Terminale S2 (Essentiel)</t>
  </si>
  <si>
    <t xml:space="preserve">75 F</t>
  </si>
  <si>
    <t xml:space="preserve">1729 · Cahier de travaux pratiques MyFriend 200 pages</t>
  </si>
  <si>
    <t xml:space="preserve">Petite section; Moyenne section; Grande section; Seconde S; Première S1; Première S2; Terminale S1; Terminale S2</t>
  </si>
  <si>
    <t xml:space="preserve">1 300 F</t>
  </si>
  <si>
    <t xml:space="preserve">9 · Gomme blanche</t>
  </si>
  <si>
    <t xml:space="preserve">Petite section (Essentiel); Moyenne section (Essentiel); Grande section (Essentiel); CI (Essentiel); CP (Essentiel); CE1 (Essentiel); CE2 (Essentiel); CM1 (Essentiel); CM2 (Essentiel); 6e (Essentiel); 5e (Essentiel); 4e (Essentiel); 3e (Essentiel); Seconde L (Essentiel); Seconde S (Essentiel); Première L1 (Essentiel); Première L2 (Essentiel); Première S1 (Essentiel); Première S2 (Essentiel); Terminale L1 (Essentiel); Terminale L2 (Essentiel); Terminale S1 (Essentiel); Terminale S2 (Essentiel)</t>
  </si>
  <si>
    <t xml:space="preserve">150 F</t>
  </si>
  <si>
    <t xml:space="preserve">1683 · Intercalaires carte Exacompta 6 positions</t>
  </si>
  <si>
    <t xml:space="preserve">1 000 F</t>
  </si>
  <si>
    <t xml:space="preserve">1277 · Protège-cahiers couleurs</t>
  </si>
  <si>
    <t xml:space="preserve">Achat plus cher que la vente dans l'export : à vérifier</t>
  </si>
  <si>
    <t xml:space="preserve">1625 · Chemise. 3 rabats élastiques + étiquettes 4,5/10ème assorties</t>
  </si>
  <si>
    <t xml:space="preserve">Petite section; Moyenne section; Grande section; 6e (Complet, Confort); 5e (Complet, Confort); 4e (Complet, Confort); 3e (Complet, Confort)</t>
  </si>
  <si>
    <t xml:space="preserve">10 · Taille-crayon métallique</t>
  </si>
  <si>
    <t xml:space="preserve">CI (Essentiel); CE1 (Essentiel); CE2 (Essentiel); 6e (Essentiel); 5e (Essentiel); 4e (Essentiel); 3e (Essentiel); Seconde L (Essentiel); Seconde S (Essentiel); Première L1 (Essentiel); Première L2 (Essentiel); Première S1 (Essentiel); Première S2 (Essentiel); Terminale L1 (Essentiel); Terminale L2 (Essentiel); Terminale S1 (Essentiel); Terminale S2 (Essentiel)</t>
  </si>
  <si>
    <t xml:space="preserve">200 F</t>
  </si>
  <si>
    <t xml:space="preserve">2 · Cahier 192 pages grand format</t>
  </si>
  <si>
    <t xml:space="preserve">5e (Essentiel); 4e (Essentiel); 3e (Essentiel); Seconde L (Essentiel); Seconde S (Essentiel); Première L1 (Essentiel); Première L2 (Essentiel); Première S1 (Essentiel); Première S2 (Essentiel); Terminale L1 (Essentiel); Terminale L2 (Essentiel); Terminale S1 (Essentiel); Terminale S2 (Essentiel)</t>
  </si>
  <si>
    <t xml:space="preserve">1183 · Regle plastique transparente 20 cm</t>
  </si>
  <si>
    <t xml:space="preserve">Petite section (Complet, Confort); Moyenne section (Complet, Confort); Grande section (Complet, Confort); CI; CP</t>
  </si>
  <si>
    <t xml:space="preserve">100 F</t>
  </si>
  <si>
    <t xml:space="preserve">31 · Bloc de dessin A4 (50 feuilles)</t>
  </si>
  <si>
    <t xml:space="preserve">Petite section (Confort); Moyenne section (Confort); Grande section (Confort); 6e (Complet, Confort); 5e (Complet, Confort); 4e (Complet, Confort); 3e (Complet, Confort)</t>
  </si>
  <si>
    <t xml:space="preserve">1 500 F</t>
  </si>
  <si>
    <t xml:space="preserve">33 · Ardoise blanche + feutre effaçable</t>
  </si>
  <si>
    <t xml:space="preserve">Petite section; Moyenne section; Grande section</t>
  </si>
  <si>
    <t xml:space="preserve">1 200 F</t>
  </si>
  <si>
    <t xml:space="preserve">1698 · Marqueur tableau blanc BEIYUE B-105</t>
  </si>
  <si>
    <t xml:space="preserve">400 F</t>
  </si>
  <si>
    <t xml:space="preserve">29 · Set peinture gouache (12 couleurs)</t>
  </si>
  <si>
    <t xml:space="preserve">2 800 F</t>
  </si>
  <si>
    <t xml:space="preserve">30 · Pinceaux assortis (lot de 5)</t>
  </si>
  <si>
    <t xml:space="preserve">Stock à surveiller</t>
  </si>
  <si>
    <t xml:space="preserve">Stock actuel</t>
  </si>
  <si>
    <t xml:space="preserve">Risque</t>
  </si>
  <si>
    <t xml:space="preserve">1727 · Casio fx-991ES Plus</t>
  </si>
  <si>
    <t xml:space="preserve">6e (Complet, Confort); 5e (Complet, Confort); 4e (Complet, Confort); 3e (Complet, Confort); Seconde S; Première S1; Première S2; Terminale S1; Terminale S2</t>
  </si>
  <si>
    <t xml:space="preserve">Au lycée elle est dans les 3 gammes : le stock part vite. À réapprovisionner avant la rentrée.</t>
  </si>
  <si>
    <t xml:space="preserve">À faire dans l'admin (avant ou pendant l'import)</t>
  </si>
  <si>
    <t xml:space="preserve">1. Créer « Craie blanche Giotto Robercolor (à l'unité) » : vendeur LPD, 25 F, photo de la boîte 1299. Code provisoire CRAIE-U.</t>
  </si>
  <si>
    <t xml:space="preserve">2. Créer « Je me débrouille en anglais » (John Smith) : vendeur LPD, achat 2 000 F, vente 3 000 F, photo prod-je-me-debrouille-en-anglais.webp. Code provisoire ANGLAIS-JMD.</t>
  </si>
  <si>
    <t xml:space="preserve">3. Créer « Dictionnaire Larousse de français de poche, 60 000 mots » : achat 2 000 F, vente 2 750 F, photo prod-dictionnaire-larousse-poche.webp. Code provisoire LAROUSSE-60.</t>
  </si>
  <si>
    <t xml:space="preserve">4. Changer le prix de 1287 « Gourde Drink violette » : 2 500 F (au lieu de 2 000 F).</t>
  </si>
  <si>
    <t xml:space="preserve">5. Renseigner le prix d'achat des produits qui n'en ont pas (cahiers SacAdo 1 et 2, trousse 19, cahiers TP MyFriend 1728 et 1729, gomme 9, taille-crayon 10, crayons 8, etc. : liste dans « À sourcer »).</t>
  </si>
  <si>
    <t xml:space="preserve">6. Corriger le prix d'achat de 1277 Protège-cahiers (650 F pour une vente à 150 F) et de 1183 Règle 20 cm (150 F pour une vente à 100 F) : probablement le prix d'un lot.</t>
  </si>
  <si>
    <t xml:space="preserve">7. Masquer les 9 kits de la série T, encore publiés dans l'export : 502, 503, 504 (Seconde T), 517, 518, 519 (Première T), 538, 539, 540 (Terminale T).</t>
  </si>
  <si>
    <t xml:space="preserve">8. Approuver le produit 1509 « Langue et communication C.M.2 » (toujours en attente de modération).</t>
  </si>
  <si>
    <t xml:space="preserve">9. Réapprovisionner la Casio fx-991ES 1727 (stock 14) : elle est maintenant dans 23 kits.</t>
  </si>
  <si>
    <t xml:space="preserve">10. Première S1 / S2 : ton premier tableau de Première est mis en S2 et celui avec les 3 concours généraux en S1. À inverser si c'est l'inverse.</t>
  </si>
  <si>
    <t xml:space="preserve">11. Tes tableaux « 1ère L » et « Tle L » sont appliqués à L1 et L2 (Première L et Terminale L sont masqués). Les autres séries (STEG, SA, LA, L-AR, S1A, S2A) ne changent pas.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</si>
</sst>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-#,##0;0"/>
    <numFmt numFmtId="166" formatCode="0.0%"/>
    <numFmt numFmtId="167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3D9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B3D91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0B3D91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B3D91"/>
        <bgColor rgb="FF333399"/>
      </patternFill>
    </fill>
    <fill>
      <patternFill patternType="solid">
        <fgColor rgb="FFF8D7DA"/>
        <bgColor rgb="FFE4DCF5"/>
      </patternFill>
    </fill>
    <fill>
      <patternFill patternType="solid">
        <fgColor rgb="FFDCEBFA"/>
        <bgColor rgb="FFE4DCF5"/>
      </patternFill>
    </fill>
    <fill>
      <patternFill patternType="solid">
        <fgColor rgb="FFE4DCF5"/>
        <bgColor rgb="FFD9D9D9"/>
      </patternFill>
    </fill>
    <fill>
      <patternFill patternType="solid">
        <fgColor rgb="FFFFF3CD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0B3D91"/>
          <bgColor rgb="FF000000"/>
        </patternFill>
      </fill>
    </dxf>
    <dxf>
      <fill>
        <patternFill patternType="solid">
          <fgColor rgb="FFDCEBFA"/>
          <bgColor rgb="FF000000"/>
        </patternFill>
      </fill>
    </dxf>
    <dxf>
      <fill>
        <patternFill patternType="solid">
          <fgColor rgb="FFE4DCF5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DCEB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CF5"/>
      <rgbColor rgb="FFCCFFCC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B3D9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2" t="s">
        <v>10</v>
      </c>
    </row>
    <row r="15" customFormat="false" ht="26.85" hidden="false" customHeight="false" outlineLevel="0" collapsed="false">
      <c r="A15" s="2" t="s">
        <v>11</v>
      </c>
    </row>
    <row r="16" customFormat="false" ht="26.8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26.85" hidden="false" customHeight="false" outlineLevel="0" collapsed="false">
      <c r="A20" s="2" t="s">
        <v>16</v>
      </c>
    </row>
    <row r="21" customFormat="false" ht="26.8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3" t="s">
        <v>18</v>
      </c>
    </row>
    <row r="24" customFormat="false" ht="26.8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/>
    </row>
    <row r="27" customFormat="false" ht="15" hidden="false" customHeight="false" outlineLevel="0" collapsed="false">
      <c r="A27" s="3" t="s">
        <v>21</v>
      </c>
    </row>
    <row r="28" customFormat="false" ht="26.85" hidden="false" customHeight="false" outlineLevel="0" collapsed="false">
      <c r="A28" s="2" t="s">
        <v>22</v>
      </c>
    </row>
    <row r="29" customFormat="false" ht="15" hidden="false" customHeight="false" outlineLevel="0" collapsed="false">
      <c r="A29" s="2"/>
    </row>
    <row r="30" customFormat="false" ht="15" hidden="false" customHeight="false" outlineLevel="0" collapsed="false">
      <c r="A30" s="3" t="s">
        <v>23</v>
      </c>
    </row>
    <row r="31" customFormat="false" ht="15" hidden="false" customHeight="false" outlineLevel="0" collapsed="false">
      <c r="A31" s="2" t="s">
        <v>24</v>
      </c>
    </row>
    <row r="32" customFormat="false" ht="15" hidden="false" customHeight="false" outlineLevel="0" collapsed="false">
      <c r="A32" s="2" t="s">
        <v>25</v>
      </c>
    </row>
    <row r="33" customFormat="false" ht="15" hidden="false" customHeight="false" outlineLevel="0" collapsed="false">
      <c r="A33" s="2" t="s">
        <v>26</v>
      </c>
    </row>
    <row r="34" customFormat="false" ht="15" hidden="false" customHeight="false" outlineLevel="0" collapsed="false">
      <c r="A34" s="2" t="s">
        <v>27</v>
      </c>
    </row>
    <row r="35" customFormat="false" ht="15" hidden="false" customHeight="false" outlineLevel="0" collapsed="false">
      <c r="A35" s="2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4" min="3" style="0" width="11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9" min="8" style="0" width="12"/>
    <col collapsed="false" customWidth="true" hidden="false" outlineLevel="0" max="13" min="10" style="0" width="13"/>
    <col collapsed="false" customWidth="true" hidden="false" outlineLevel="0" max="14" min="14" style="0" width="11"/>
    <col collapsed="false" customWidth="true" hidden="false" outlineLevel="0" max="15" min="15" style="0" width="14"/>
  </cols>
  <sheetData>
    <row r="1" customFormat="false" ht="17.35" hidden="false" customHeight="false" outlineLevel="0" collapsed="false">
      <c r="A1" s="4" t="s">
        <v>29</v>
      </c>
    </row>
    <row r="2" customFormat="false" ht="15" hidden="false" customHeight="false" outlineLevel="0" collapsed="false">
      <c r="A2" s="5" t="s">
        <v>30</v>
      </c>
    </row>
    <row r="4" customFormat="false" ht="45" hidden="false" customHeight="true" outlineLevel="0" collapsed="false">
      <c r="A4" s="6" t="s">
        <v>31</v>
      </c>
      <c r="B4" s="6" t="s">
        <v>32</v>
      </c>
      <c r="C4" s="6" t="s">
        <v>33</v>
      </c>
      <c r="D4" s="6" t="s">
        <v>34</v>
      </c>
      <c r="E4" s="6" t="s">
        <v>35</v>
      </c>
      <c r="F4" s="6" t="s">
        <v>36</v>
      </c>
      <c r="G4" s="6" t="s">
        <v>37</v>
      </c>
      <c r="H4" s="6" t="s">
        <v>38</v>
      </c>
      <c r="I4" s="6" t="s">
        <v>39</v>
      </c>
      <c r="J4" s="6" t="s">
        <v>40</v>
      </c>
      <c r="K4" s="6" t="s">
        <v>41</v>
      </c>
      <c r="L4" s="6" t="s">
        <v>42</v>
      </c>
      <c r="M4" s="6" t="s">
        <v>43</v>
      </c>
      <c r="N4" s="6" t="s">
        <v>44</v>
      </c>
      <c r="O4" s="6" t="s">
        <v>45</v>
      </c>
    </row>
    <row r="5" customFormat="false" ht="15" hidden="false" customHeight="false" outlineLevel="0" collapsed="false">
      <c r="A5" s="7" t="s">
        <v>46</v>
      </c>
      <c r="B5" s="7" t="s">
        <v>47</v>
      </c>
      <c r="C5" s="7" t="s">
        <v>48</v>
      </c>
      <c r="D5" s="7" t="n">
        <v>493</v>
      </c>
      <c r="E5" s="8" t="n">
        <v>1400</v>
      </c>
      <c r="F5" s="8" t="n">
        <f aca="false">SUMIFS('Contenu des kits'!$M$2:$M$1856,'Contenu des kits'!$B$2:$B$1856,B5,'Contenu des kits'!$C$2:$C$1856,C5)</f>
        <v>12940</v>
      </c>
      <c r="G5" s="8" t="n">
        <f aca="false">IF(E5="","",F5-E5)</f>
        <v>11540</v>
      </c>
      <c r="H5" s="7" t="n">
        <f aca="false">COUNTIFS('Contenu des kits'!$B$2:$B$1856,B5,'Contenu des kits'!$C$2:$C$1856,C5,'Contenu des kits'!$L$2:$L$1856,"Oui",'Contenu des kits'!$K$2:$K$1856,"Principal")</f>
        <v>15</v>
      </c>
      <c r="I5" s="7" t="n">
        <v>2</v>
      </c>
      <c r="J5" s="7" t="n">
        <f aca="false">COUNTIFS('Contenu des kits'!$B$2:$B$1856,B5,'Contenu des kits'!$C$2:$C$1856,C5,'Contenu des kits'!$N$2:$N$1856,"MANQUE")</f>
        <v>0</v>
      </c>
      <c r="K5" s="9" t="str">
        <f aca="false">IF(AND(F5&lt;F6,F6&lt;F7),"OK","À REVOIR")</f>
        <v>OK</v>
      </c>
      <c r="L5" s="8" t="n">
        <f aca="false">SUMIFS('Contenu des kits'!$S$2:$S$1856,'Contenu des kits'!$B$2:$B$1856,B5,'Contenu des kits'!$C$2:$C$1856,C5)</f>
        <v>5520</v>
      </c>
      <c r="M5" s="8" t="n">
        <f aca="false">SUMIFS('Contenu des kits'!$T$2:$T$1856,'Contenu des kits'!$B$2:$B$1856,B5,'Contenu des kits'!$C$2:$C$1856,C5)</f>
        <v>2420</v>
      </c>
      <c r="N5" s="10" t="n">
        <f aca="false">IF(F5-O5=0,"",M5/(F5-O5))</f>
        <v>0.304785894206549</v>
      </c>
      <c r="O5" s="8" t="n">
        <f aca="false">SUMIFS('Contenu des kits'!$U$2:$U$1856,'Contenu des kits'!$B$2:$B$1856,B5,'Contenu des kits'!$C$2:$C$1856,C5)</f>
        <v>5000</v>
      </c>
    </row>
    <row r="6" customFormat="false" ht="15" hidden="false" customHeight="false" outlineLevel="0" collapsed="false">
      <c r="A6" s="7" t="s">
        <v>46</v>
      </c>
      <c r="B6" s="7" t="s">
        <v>47</v>
      </c>
      <c r="C6" s="7" t="s">
        <v>49</v>
      </c>
      <c r="D6" s="7" t="n">
        <v>494</v>
      </c>
      <c r="E6" s="8" t="n">
        <v>6150</v>
      </c>
      <c r="F6" s="8" t="n">
        <f aca="false">SUMIFS('Contenu des kits'!$M$2:$M$1856,'Contenu des kits'!$B$2:$B$1856,B6,'Contenu des kits'!$C$2:$C$1856,C6)</f>
        <v>21500</v>
      </c>
      <c r="G6" s="8" t="n">
        <f aca="false">IF(E6="","",F6-E6)</f>
        <v>15350</v>
      </c>
      <c r="H6" s="7" t="n">
        <f aca="false">COUNTIFS('Contenu des kits'!$B$2:$B$1856,B6,'Contenu des kits'!$C$2:$C$1856,C6,'Contenu des kits'!$L$2:$L$1856,"Oui",'Contenu des kits'!$K$2:$K$1856,"Principal")</f>
        <v>19</v>
      </c>
      <c r="I6" s="7" t="n">
        <v>7</v>
      </c>
      <c r="J6" s="7" t="n">
        <f aca="false">COUNTIFS('Contenu des kits'!$B$2:$B$1856,B6,'Contenu des kits'!$C$2:$C$1856,C6,'Contenu des kits'!$N$2:$N$1856,"MANQUE")</f>
        <v>3</v>
      </c>
      <c r="K6" s="7"/>
      <c r="L6" s="8" t="n">
        <f aca="false">SUMIFS('Contenu des kits'!$S$2:$S$1856,'Contenu des kits'!$B$2:$B$1856,B6,'Contenu des kits'!$C$2:$C$1856,C6)</f>
        <v>12090</v>
      </c>
      <c r="M6" s="8" t="n">
        <f aca="false">SUMIFS('Contenu des kits'!$T$2:$T$1856,'Contenu des kits'!$B$2:$B$1856,B6,'Contenu des kits'!$C$2:$C$1856,C6)</f>
        <v>4460</v>
      </c>
      <c r="N6" s="10" t="n">
        <f aca="false">IF(F6-O6=0,"",M6/(F6-O6))</f>
        <v>0.269486404833837</v>
      </c>
      <c r="O6" s="8" t="n">
        <f aca="false">SUMIFS('Contenu des kits'!$U$2:$U$1856,'Contenu des kits'!$B$2:$B$1856,B6,'Contenu des kits'!$C$2:$C$1856,C6)</f>
        <v>4950</v>
      </c>
    </row>
    <row r="7" customFormat="false" ht="15" hidden="false" customHeight="false" outlineLevel="0" collapsed="false">
      <c r="A7" s="7" t="s">
        <v>46</v>
      </c>
      <c r="B7" s="7" t="s">
        <v>47</v>
      </c>
      <c r="C7" s="7" t="s">
        <v>50</v>
      </c>
      <c r="D7" s="7" t="n">
        <v>495</v>
      </c>
      <c r="E7" s="8" t="n">
        <v>15520</v>
      </c>
      <c r="F7" s="8" t="n">
        <f aca="false">SUMIFS('Contenu des kits'!$M$2:$M$1856,'Contenu des kits'!$B$2:$B$1856,B7,'Contenu des kits'!$C$2:$C$1856,C7)</f>
        <v>38400</v>
      </c>
      <c r="G7" s="8" t="n">
        <f aca="false">IF(E7="","",F7-E7)</f>
        <v>22880</v>
      </c>
      <c r="H7" s="7" t="n">
        <f aca="false">COUNTIFS('Contenu des kits'!$B$2:$B$1856,B7,'Contenu des kits'!$C$2:$C$1856,C7,'Contenu des kits'!$L$2:$L$1856,"Oui",'Contenu des kits'!$K$2:$K$1856,"Principal")</f>
        <v>25</v>
      </c>
      <c r="I7" s="7" t="n">
        <v>10</v>
      </c>
      <c r="J7" s="7" t="n">
        <f aca="false">COUNTIFS('Contenu des kits'!$B$2:$B$1856,B7,'Contenu des kits'!$C$2:$C$1856,C7,'Contenu des kits'!$N$2:$N$1856,"MANQUE")</f>
        <v>4</v>
      </c>
      <c r="K7" s="7"/>
      <c r="L7" s="8" t="n">
        <f aca="false">SUMIFS('Contenu des kits'!$S$2:$S$1856,'Contenu des kits'!$B$2:$B$1856,B7,'Contenu des kits'!$C$2:$C$1856,C7)</f>
        <v>21640</v>
      </c>
      <c r="M7" s="8" t="n">
        <f aca="false">SUMIFS('Contenu des kits'!$T$2:$T$1856,'Contenu des kits'!$B$2:$B$1856,B7,'Contenu des kits'!$C$2:$C$1856,C7)</f>
        <v>6360</v>
      </c>
      <c r="N7" s="10" t="n">
        <f aca="false">IF(F7-O7=0,"",M7/(F7-O7))</f>
        <v>0.227142857142857</v>
      </c>
      <c r="O7" s="8" t="n">
        <f aca="false">SUMIFS('Contenu des kits'!$U$2:$U$1856,'Contenu des kits'!$B$2:$B$1856,B7,'Contenu des kits'!$C$2:$C$1856,C7)</f>
        <v>10400</v>
      </c>
    </row>
    <row r="9" customFormat="false" ht="15" hidden="false" customHeight="false" outlineLevel="0" collapsed="false">
      <c r="A9" s="7" t="s">
        <v>46</v>
      </c>
      <c r="B9" s="7" t="s">
        <v>51</v>
      </c>
      <c r="C9" s="7" t="s">
        <v>48</v>
      </c>
      <c r="D9" s="7" t="n">
        <v>496</v>
      </c>
      <c r="E9" s="8" t="n">
        <v>7800</v>
      </c>
      <c r="F9" s="8" t="n">
        <f aca="false">SUMIFS('Contenu des kits'!$M$2:$M$1856,'Contenu des kits'!$B$2:$B$1856,B9,'Contenu des kits'!$C$2:$C$1856,C9)</f>
        <v>12490</v>
      </c>
      <c r="G9" s="8" t="n">
        <f aca="false">IF(E9="","",F9-E9)</f>
        <v>4690</v>
      </c>
      <c r="H9" s="7" t="n">
        <f aca="false">COUNTIFS('Contenu des kits'!$B$2:$B$1856,B9,'Contenu des kits'!$C$2:$C$1856,C9,'Contenu des kits'!$L$2:$L$1856,"Oui",'Contenu des kits'!$K$2:$K$1856,"Principal")</f>
        <v>15</v>
      </c>
      <c r="I9" s="7" t="n">
        <v>10</v>
      </c>
      <c r="J9" s="7" t="n">
        <f aca="false">COUNTIFS('Contenu des kits'!$B$2:$B$1856,B9,'Contenu des kits'!$C$2:$C$1856,C9,'Contenu des kits'!$N$2:$N$1856,"MANQUE")</f>
        <v>0</v>
      </c>
      <c r="K9" s="9" t="str">
        <f aca="false">IF(AND(F9&lt;F10,F10&lt;F11),"OK","À REVOIR")</f>
        <v>OK</v>
      </c>
      <c r="L9" s="8" t="n">
        <f aca="false">SUMIFS('Contenu des kits'!$S$2:$S$1856,'Contenu des kits'!$B$2:$B$1856,B9,'Contenu des kits'!$C$2:$C$1856,C9)</f>
        <v>5870</v>
      </c>
      <c r="M9" s="8" t="n">
        <f aca="false">SUMIFS('Contenu des kits'!$T$2:$T$1856,'Contenu des kits'!$B$2:$B$1856,B9,'Contenu des kits'!$C$2:$C$1856,C9)</f>
        <v>2520</v>
      </c>
      <c r="N9" s="10" t="n">
        <f aca="false">IF(F9-O9=0,"",M9/(F9-O9))</f>
        <v>0.300357568533969</v>
      </c>
      <c r="O9" s="8" t="n">
        <f aca="false">SUMIFS('Contenu des kits'!$U$2:$U$1856,'Contenu des kits'!$B$2:$B$1856,B9,'Contenu des kits'!$C$2:$C$1856,C9)</f>
        <v>4100</v>
      </c>
    </row>
    <row r="10" customFormat="false" ht="15" hidden="false" customHeight="false" outlineLevel="0" collapsed="false">
      <c r="A10" s="7" t="s">
        <v>46</v>
      </c>
      <c r="B10" s="7" t="s">
        <v>51</v>
      </c>
      <c r="C10" s="7" t="s">
        <v>49</v>
      </c>
      <c r="D10" s="7" t="n">
        <v>497</v>
      </c>
      <c r="E10" s="8" t="n">
        <v>13900</v>
      </c>
      <c r="F10" s="8" t="n">
        <f aca="false">SUMIFS('Contenu des kits'!$M$2:$M$1856,'Contenu des kits'!$B$2:$B$1856,B10,'Contenu des kits'!$C$2:$C$1856,C10)</f>
        <v>19050</v>
      </c>
      <c r="G10" s="8" t="n">
        <f aca="false">IF(E10="","",F10-E10)</f>
        <v>5150</v>
      </c>
      <c r="H10" s="7" t="n">
        <f aca="false">COUNTIFS('Contenu des kits'!$B$2:$B$1856,B10,'Contenu des kits'!$C$2:$C$1856,C10,'Contenu des kits'!$L$2:$L$1856,"Oui",'Contenu des kits'!$K$2:$K$1856,"Principal")</f>
        <v>18</v>
      </c>
      <c r="I10" s="7" t="n">
        <v>15</v>
      </c>
      <c r="J10" s="7" t="n">
        <f aca="false">COUNTIFS('Contenu des kits'!$B$2:$B$1856,B10,'Contenu des kits'!$C$2:$C$1856,C10,'Contenu des kits'!$N$2:$N$1856,"MANQUE")</f>
        <v>2</v>
      </c>
      <c r="K10" s="7"/>
      <c r="L10" s="8" t="n">
        <f aca="false">SUMIFS('Contenu des kits'!$S$2:$S$1856,'Contenu des kits'!$B$2:$B$1856,B10,'Contenu des kits'!$C$2:$C$1856,C10)</f>
        <v>10940</v>
      </c>
      <c r="M10" s="8" t="n">
        <f aca="false">SUMIFS('Contenu des kits'!$T$2:$T$1856,'Contenu des kits'!$B$2:$B$1856,B10,'Contenu des kits'!$C$2:$C$1856,C10)</f>
        <v>4060</v>
      </c>
      <c r="N10" s="10" t="n">
        <f aca="false">IF(F10-O10=0,"",M10/(F10-O10))</f>
        <v>0.270666666666667</v>
      </c>
      <c r="O10" s="8" t="n">
        <f aca="false">SUMIFS('Contenu des kits'!$U$2:$U$1856,'Contenu des kits'!$B$2:$B$1856,B10,'Contenu des kits'!$C$2:$C$1856,C10)</f>
        <v>4050</v>
      </c>
    </row>
    <row r="11" customFormat="false" ht="15" hidden="false" customHeight="false" outlineLevel="0" collapsed="false">
      <c r="A11" s="7" t="s">
        <v>46</v>
      </c>
      <c r="B11" s="7" t="s">
        <v>51</v>
      </c>
      <c r="C11" s="7" t="s">
        <v>50</v>
      </c>
      <c r="D11" s="7" t="n">
        <v>498</v>
      </c>
      <c r="E11" s="8" t="n">
        <v>28470</v>
      </c>
      <c r="F11" s="8" t="n">
        <f aca="false">SUMIFS('Contenu des kits'!$M$2:$M$1856,'Contenu des kits'!$B$2:$B$1856,B11,'Contenu des kits'!$C$2:$C$1856,C11)</f>
        <v>35450</v>
      </c>
      <c r="G11" s="8" t="n">
        <f aca="false">IF(E11="","",F11-E11)</f>
        <v>6980</v>
      </c>
      <c r="H11" s="7" t="n">
        <f aca="false">COUNTIFS('Contenu des kits'!$B$2:$B$1856,B11,'Contenu des kits'!$C$2:$C$1856,C11,'Contenu des kits'!$L$2:$L$1856,"Oui",'Contenu des kits'!$K$2:$K$1856,"Principal")</f>
        <v>23</v>
      </c>
      <c r="I11" s="7" t="n">
        <v>20</v>
      </c>
      <c r="J11" s="7" t="n">
        <f aca="false">COUNTIFS('Contenu des kits'!$B$2:$B$1856,B11,'Contenu des kits'!$C$2:$C$1856,C11,'Contenu des kits'!$N$2:$N$1856,"MANQUE")</f>
        <v>4</v>
      </c>
      <c r="K11" s="7"/>
      <c r="L11" s="8" t="n">
        <f aca="false">SUMIFS('Contenu des kits'!$S$2:$S$1856,'Contenu des kits'!$B$2:$B$1856,B11,'Contenu des kits'!$C$2:$C$1856,C11)</f>
        <v>19500</v>
      </c>
      <c r="M11" s="8" t="n">
        <f aca="false">SUMIFS('Contenu des kits'!$T$2:$T$1856,'Contenu des kits'!$B$2:$B$1856,B11,'Contenu des kits'!$C$2:$C$1856,C11)</f>
        <v>5650</v>
      </c>
      <c r="N11" s="10" t="n">
        <f aca="false">IF(F11-O11=0,"",M11/(F11-O11))</f>
        <v>0.224652087475149</v>
      </c>
      <c r="O11" s="8" t="n">
        <f aca="false">SUMIFS('Contenu des kits'!$U$2:$U$1856,'Contenu des kits'!$B$2:$B$1856,B11,'Contenu des kits'!$C$2:$C$1856,C11)</f>
        <v>10300</v>
      </c>
    </row>
    <row r="13" customFormat="false" ht="15" hidden="false" customHeight="false" outlineLevel="0" collapsed="false">
      <c r="A13" s="7" t="s">
        <v>46</v>
      </c>
      <c r="B13" s="7" t="s">
        <v>52</v>
      </c>
      <c r="C13" s="7" t="s">
        <v>48</v>
      </c>
      <c r="D13" s="7" t="n">
        <v>499</v>
      </c>
      <c r="E13" s="8" t="n">
        <v>8250</v>
      </c>
      <c r="F13" s="8" t="n">
        <f aca="false">SUMIFS('Contenu des kits'!$M$2:$M$1856,'Contenu des kits'!$B$2:$B$1856,B13,'Contenu des kits'!$C$2:$C$1856,C13)</f>
        <v>12940</v>
      </c>
      <c r="G13" s="8" t="n">
        <f aca="false">IF(E13="","",F13-E13)</f>
        <v>4690</v>
      </c>
      <c r="H13" s="7" t="n">
        <f aca="false">COUNTIFS('Contenu des kits'!$B$2:$B$1856,B13,'Contenu des kits'!$C$2:$C$1856,C13,'Contenu des kits'!$L$2:$L$1856,"Oui",'Contenu des kits'!$K$2:$K$1856,"Principal")</f>
        <v>15</v>
      </c>
      <c r="I13" s="7" t="n">
        <v>10</v>
      </c>
      <c r="J13" s="7" t="n">
        <f aca="false">COUNTIFS('Contenu des kits'!$B$2:$B$1856,B13,'Contenu des kits'!$C$2:$C$1856,C13,'Contenu des kits'!$N$2:$N$1856,"MANQUE")</f>
        <v>0</v>
      </c>
      <c r="K13" s="9" t="str">
        <f aca="false">IF(AND(F13&lt;F14,F14&lt;F15),"OK","À REVOIR")</f>
        <v>OK</v>
      </c>
      <c r="L13" s="8" t="n">
        <f aca="false">SUMIFS('Contenu des kits'!$S$2:$S$1856,'Contenu des kits'!$B$2:$B$1856,B13,'Contenu des kits'!$C$2:$C$1856,C13)</f>
        <v>6220</v>
      </c>
      <c r="M13" s="8" t="n">
        <f aca="false">SUMIFS('Contenu des kits'!$T$2:$T$1856,'Contenu des kits'!$B$2:$B$1856,B13,'Contenu des kits'!$C$2:$C$1856,C13)</f>
        <v>2620</v>
      </c>
      <c r="N13" s="10" t="n">
        <f aca="false">IF(F13-O13=0,"",M13/(F13-O13))</f>
        <v>0.296380090497738</v>
      </c>
      <c r="O13" s="8" t="n">
        <f aca="false">SUMIFS('Contenu des kits'!$U$2:$U$1856,'Contenu des kits'!$B$2:$B$1856,B13,'Contenu des kits'!$C$2:$C$1856,C13)</f>
        <v>4100</v>
      </c>
    </row>
    <row r="14" customFormat="false" ht="15" hidden="false" customHeight="false" outlineLevel="0" collapsed="false">
      <c r="A14" s="7" t="s">
        <v>46</v>
      </c>
      <c r="B14" s="7" t="s">
        <v>52</v>
      </c>
      <c r="C14" s="7" t="s">
        <v>49</v>
      </c>
      <c r="D14" s="7" t="n">
        <v>500</v>
      </c>
      <c r="E14" s="8" t="n">
        <v>14350</v>
      </c>
      <c r="F14" s="8" t="n">
        <f aca="false">SUMIFS('Contenu des kits'!$M$2:$M$1856,'Contenu des kits'!$B$2:$B$1856,B14,'Contenu des kits'!$C$2:$C$1856,C14)</f>
        <v>19500</v>
      </c>
      <c r="G14" s="8" t="n">
        <f aca="false">IF(E14="","",F14-E14)</f>
        <v>5150</v>
      </c>
      <c r="H14" s="7" t="n">
        <f aca="false">COUNTIFS('Contenu des kits'!$B$2:$B$1856,B14,'Contenu des kits'!$C$2:$C$1856,C14,'Contenu des kits'!$L$2:$L$1856,"Oui",'Contenu des kits'!$K$2:$K$1856,"Principal")</f>
        <v>18</v>
      </c>
      <c r="I14" s="7" t="n">
        <v>15</v>
      </c>
      <c r="J14" s="7" t="n">
        <f aca="false">COUNTIFS('Contenu des kits'!$B$2:$B$1856,B14,'Contenu des kits'!$C$2:$C$1856,C14,'Contenu des kits'!$N$2:$N$1856,"MANQUE")</f>
        <v>2</v>
      </c>
      <c r="K14" s="7"/>
      <c r="L14" s="8" t="n">
        <f aca="false">SUMIFS('Contenu des kits'!$S$2:$S$1856,'Contenu des kits'!$B$2:$B$1856,B14,'Contenu des kits'!$C$2:$C$1856,C14)</f>
        <v>11290</v>
      </c>
      <c r="M14" s="8" t="n">
        <f aca="false">SUMIFS('Contenu des kits'!$T$2:$T$1856,'Contenu des kits'!$B$2:$B$1856,B14,'Contenu des kits'!$C$2:$C$1856,C14)</f>
        <v>4160</v>
      </c>
      <c r="N14" s="10" t="n">
        <f aca="false">IF(F14-O14=0,"",M14/(F14-O14))</f>
        <v>0.269255663430421</v>
      </c>
      <c r="O14" s="8" t="n">
        <f aca="false">SUMIFS('Contenu des kits'!$U$2:$U$1856,'Contenu des kits'!$B$2:$B$1856,B14,'Contenu des kits'!$C$2:$C$1856,C14)</f>
        <v>4050</v>
      </c>
    </row>
    <row r="15" customFormat="false" ht="15" hidden="false" customHeight="false" outlineLevel="0" collapsed="false">
      <c r="A15" s="7" t="s">
        <v>46</v>
      </c>
      <c r="B15" s="7" t="s">
        <v>52</v>
      </c>
      <c r="C15" s="7" t="s">
        <v>50</v>
      </c>
      <c r="D15" s="7" t="n">
        <v>501</v>
      </c>
      <c r="E15" s="8" t="n">
        <v>28920</v>
      </c>
      <c r="F15" s="8" t="n">
        <f aca="false">SUMIFS('Contenu des kits'!$M$2:$M$1856,'Contenu des kits'!$B$2:$B$1856,B15,'Contenu des kits'!$C$2:$C$1856,C15)</f>
        <v>36700</v>
      </c>
      <c r="G15" s="8" t="n">
        <f aca="false">IF(E15="","",F15-E15)</f>
        <v>7780</v>
      </c>
      <c r="H15" s="7" t="n">
        <f aca="false">COUNTIFS('Contenu des kits'!$B$2:$B$1856,B15,'Contenu des kits'!$C$2:$C$1856,C15,'Contenu des kits'!$L$2:$L$1856,"Oui",'Contenu des kits'!$K$2:$K$1856,"Principal")</f>
        <v>23</v>
      </c>
      <c r="I15" s="7" t="n">
        <v>20</v>
      </c>
      <c r="J15" s="7" t="n">
        <f aca="false">COUNTIFS('Contenu des kits'!$B$2:$B$1856,B15,'Contenu des kits'!$C$2:$C$1856,C15,'Contenu des kits'!$N$2:$N$1856,"MANQUE")</f>
        <v>4</v>
      </c>
      <c r="K15" s="7"/>
      <c r="L15" s="8" t="n">
        <f aca="false">SUMIFS('Contenu des kits'!$S$2:$S$1856,'Contenu des kits'!$B$2:$B$1856,B15,'Contenu des kits'!$C$2:$C$1856,C15)</f>
        <v>19850</v>
      </c>
      <c r="M15" s="8" t="n">
        <f aca="false">SUMIFS('Contenu des kits'!$T$2:$T$1856,'Contenu des kits'!$B$2:$B$1856,B15,'Contenu des kits'!$C$2:$C$1856,C15)</f>
        <v>5750</v>
      </c>
      <c r="N15" s="10" t="n">
        <f aca="false">IF(F15-O15=0,"",M15/(F15-O15))</f>
        <v>0.224609375</v>
      </c>
      <c r="O15" s="8" t="n">
        <f aca="false">SUMIFS('Contenu des kits'!$U$2:$U$1856,'Contenu des kits'!$B$2:$B$1856,B15,'Contenu des kits'!$C$2:$C$1856,C15)</f>
        <v>11100</v>
      </c>
    </row>
    <row r="17" customFormat="false" ht="15" hidden="false" customHeight="false" outlineLevel="0" collapsed="false">
      <c r="A17" s="7" t="s">
        <v>53</v>
      </c>
      <c r="B17" s="7" t="s">
        <v>54</v>
      </c>
      <c r="C17" s="7" t="s">
        <v>48</v>
      </c>
      <c r="D17" s="7" t="n">
        <v>1</v>
      </c>
      <c r="E17" s="8" t="n">
        <v>7750</v>
      </c>
      <c r="F17" s="8" t="n">
        <f aca="false">SUMIFS('Contenu des kits'!$M$2:$M$1856,'Contenu des kits'!$B$2:$B$1856,B17,'Contenu des kits'!$C$2:$C$1856,C17)</f>
        <v>12420</v>
      </c>
      <c r="G17" s="8" t="n">
        <f aca="false">IF(E17="","",F17-E17)</f>
        <v>4670</v>
      </c>
      <c r="H17" s="7" t="n">
        <f aca="false">COUNTIFS('Contenu des kits'!$B$2:$B$1856,B17,'Contenu des kits'!$C$2:$C$1856,C17,'Contenu des kits'!$L$2:$L$1856,"Oui",'Contenu des kits'!$K$2:$K$1856,"Principal")</f>
        <v>17</v>
      </c>
      <c r="I17" s="7" t="n">
        <v>11</v>
      </c>
      <c r="J17" s="7" t="n">
        <f aca="false">COUNTIFS('Contenu des kits'!$B$2:$B$1856,B17,'Contenu des kits'!$C$2:$C$1856,C17,'Contenu des kits'!$N$2:$N$1856,"MANQUE")</f>
        <v>0</v>
      </c>
      <c r="K17" s="9" t="str">
        <f aca="false">IF(AND(F17&lt;F18,F18&lt;F19),"OK","À REVOIR")</f>
        <v>OK</v>
      </c>
      <c r="L17" s="8" t="n">
        <f aca="false">SUMIFS('Contenu des kits'!$S$2:$S$1856,'Contenu des kits'!$B$2:$B$1856,B17,'Contenu des kits'!$C$2:$C$1856,C17)</f>
        <v>5700</v>
      </c>
      <c r="M17" s="8" t="n">
        <f aca="false">SUMIFS('Contenu des kits'!$T$2:$T$1856,'Contenu des kits'!$B$2:$B$1856,B17,'Contenu des kits'!$C$2:$C$1856,C17)</f>
        <v>2570</v>
      </c>
      <c r="N17" s="10" t="n">
        <f aca="false">IF(F17-O17=0,"",M17/(F17-O17))</f>
        <v>0.310761789600967</v>
      </c>
      <c r="O17" s="8" t="n">
        <f aca="false">SUMIFS('Contenu des kits'!$U$2:$U$1856,'Contenu des kits'!$B$2:$B$1856,B17,'Contenu des kits'!$C$2:$C$1856,C17)</f>
        <v>4150</v>
      </c>
    </row>
    <row r="18" customFormat="false" ht="15" hidden="false" customHeight="false" outlineLevel="0" collapsed="false">
      <c r="A18" s="7" t="s">
        <v>53</v>
      </c>
      <c r="B18" s="7" t="s">
        <v>54</v>
      </c>
      <c r="C18" s="7" t="s">
        <v>49</v>
      </c>
      <c r="D18" s="7" t="n">
        <v>13</v>
      </c>
      <c r="E18" s="8" t="n">
        <v>25580</v>
      </c>
      <c r="F18" s="8" t="n">
        <f aca="false">SUMIFS('Contenu des kits'!$M$2:$M$1856,'Contenu des kits'!$B$2:$B$1856,B18,'Contenu des kits'!$C$2:$C$1856,C18)</f>
        <v>27080</v>
      </c>
      <c r="G18" s="8" t="n">
        <f aca="false">IF(E18="","",F18-E18)</f>
        <v>1500</v>
      </c>
      <c r="H18" s="7" t="n">
        <f aca="false">COUNTIFS('Contenu des kits'!$B$2:$B$1856,B18,'Contenu des kits'!$C$2:$C$1856,C18,'Contenu des kits'!$L$2:$L$1856,"Oui",'Contenu des kits'!$K$2:$K$1856,"Principal")</f>
        <v>20</v>
      </c>
      <c r="I18" s="7" t="n">
        <v>18</v>
      </c>
      <c r="J18" s="7" t="n">
        <f aca="false">COUNTIFS('Contenu des kits'!$B$2:$B$1856,B18,'Contenu des kits'!$C$2:$C$1856,C18,'Contenu des kits'!$N$2:$N$1856,"MANQUE")</f>
        <v>0</v>
      </c>
      <c r="K18" s="7"/>
      <c r="L18" s="8" t="n">
        <f aca="false">SUMIFS('Contenu des kits'!$S$2:$S$1856,'Contenu des kits'!$B$2:$B$1856,B18,'Contenu des kits'!$C$2:$C$1856,C18)</f>
        <v>16578</v>
      </c>
      <c r="M18" s="8" t="n">
        <f aca="false">SUMIFS('Contenu des kits'!$T$2:$T$1856,'Contenu des kits'!$B$2:$B$1856,B18,'Contenu des kits'!$C$2:$C$1856,C18)</f>
        <v>6352</v>
      </c>
      <c r="N18" s="10" t="n">
        <f aca="false">IF(F18-O18=0,"",M18/(F18-O18))</f>
        <v>0.277017008286088</v>
      </c>
      <c r="O18" s="8" t="n">
        <f aca="false">SUMIFS('Contenu des kits'!$U$2:$U$1856,'Contenu des kits'!$B$2:$B$1856,B18,'Contenu des kits'!$C$2:$C$1856,C18)</f>
        <v>4150</v>
      </c>
    </row>
    <row r="19" customFormat="false" ht="15" hidden="false" customHeight="false" outlineLevel="0" collapsed="false">
      <c r="A19" s="7" t="s">
        <v>53</v>
      </c>
      <c r="B19" s="7" t="s">
        <v>54</v>
      </c>
      <c r="C19" s="7" t="s">
        <v>50</v>
      </c>
      <c r="D19" s="7" t="n">
        <v>7</v>
      </c>
      <c r="E19" s="8" t="n">
        <v>32360</v>
      </c>
      <c r="F19" s="8" t="n">
        <f aca="false">SUMIFS('Contenu des kits'!$M$2:$M$1856,'Contenu des kits'!$B$2:$B$1856,B19,'Contenu des kits'!$C$2:$C$1856,C19)</f>
        <v>36520</v>
      </c>
      <c r="G19" s="8" t="n">
        <f aca="false">IF(E19="","",F19-E19)</f>
        <v>4160</v>
      </c>
      <c r="H19" s="7" t="n">
        <f aca="false">COUNTIFS('Contenu des kits'!$B$2:$B$1856,B19,'Contenu des kits'!$C$2:$C$1856,C19,'Contenu des kits'!$L$2:$L$1856,"Oui",'Contenu des kits'!$K$2:$K$1856,"Principal")</f>
        <v>23</v>
      </c>
      <c r="I19" s="7" t="n">
        <v>20</v>
      </c>
      <c r="J19" s="7" t="n">
        <f aca="false">COUNTIFS('Contenu des kits'!$B$2:$B$1856,B19,'Contenu des kits'!$C$2:$C$1856,C19,'Contenu des kits'!$N$2:$N$1856,"MANQUE")</f>
        <v>0</v>
      </c>
      <c r="K19" s="7"/>
      <c r="L19" s="8" t="n">
        <f aca="false">SUMIFS('Contenu des kits'!$S$2:$S$1856,'Contenu des kits'!$B$2:$B$1856,B19,'Contenu des kits'!$C$2:$C$1856,C19)</f>
        <v>22968</v>
      </c>
      <c r="M19" s="8" t="n">
        <f aca="false">SUMIFS('Contenu des kits'!$T$2:$T$1856,'Contenu des kits'!$B$2:$B$1856,B19,'Contenu des kits'!$C$2:$C$1856,C19)</f>
        <v>9402</v>
      </c>
      <c r="N19" s="10" t="n">
        <f aca="false">IF(F19-O19=0,"",M19/(F19-O19))</f>
        <v>0.290454124189064</v>
      </c>
      <c r="O19" s="8" t="n">
        <f aca="false">SUMIFS('Contenu des kits'!$U$2:$U$1856,'Contenu des kits'!$B$2:$B$1856,B19,'Contenu des kits'!$C$2:$C$1856,C19)</f>
        <v>4150</v>
      </c>
    </row>
    <row r="21" customFormat="false" ht="15" hidden="false" customHeight="false" outlineLevel="0" collapsed="false">
      <c r="A21" s="7" t="s">
        <v>53</v>
      </c>
      <c r="B21" s="7" t="s">
        <v>55</v>
      </c>
      <c r="C21" s="7" t="s">
        <v>48</v>
      </c>
      <c r="D21" s="7" t="n">
        <v>2</v>
      </c>
      <c r="E21" s="8" t="n">
        <v>8550</v>
      </c>
      <c r="F21" s="8" t="n">
        <f aca="false">SUMIFS('Contenu des kits'!$M$2:$M$1856,'Contenu des kits'!$B$2:$B$1856,B21,'Contenu des kits'!$C$2:$C$1856,C21)</f>
        <v>15245</v>
      </c>
      <c r="G21" s="8" t="n">
        <f aca="false">IF(E21="","",F21-E21)</f>
        <v>6695</v>
      </c>
      <c r="H21" s="7" t="n">
        <f aca="false">COUNTIFS('Contenu des kits'!$B$2:$B$1856,B21,'Contenu des kits'!$C$2:$C$1856,C21,'Contenu des kits'!$L$2:$L$1856,"Oui",'Contenu des kits'!$K$2:$K$1856,"Principal")</f>
        <v>20</v>
      </c>
      <c r="I21" s="7" t="n">
        <v>12</v>
      </c>
      <c r="J21" s="7" t="n">
        <f aca="false">COUNTIFS('Contenu des kits'!$B$2:$B$1856,B21,'Contenu des kits'!$C$2:$C$1856,C21,'Contenu des kits'!$N$2:$N$1856,"MANQUE")</f>
        <v>1</v>
      </c>
      <c r="K21" s="9" t="str">
        <f aca="false">IF(AND(F21&lt;F22,F22&lt;F23),"OK","À REVOIR")</f>
        <v>OK</v>
      </c>
      <c r="L21" s="8" t="n">
        <f aca="false">SUMIFS('Contenu des kits'!$S$2:$S$1856,'Contenu des kits'!$B$2:$B$1856,B21,'Contenu des kits'!$C$2:$C$1856,C21)</f>
        <v>7385</v>
      </c>
      <c r="M21" s="8" t="n">
        <f aca="false">SUMIFS('Contenu des kits'!$T$2:$T$1856,'Contenu des kits'!$B$2:$B$1856,B21,'Contenu des kits'!$C$2:$C$1856,C21)</f>
        <v>3610</v>
      </c>
      <c r="N21" s="10" t="n">
        <f aca="false">IF(F21-O21=0,"",M21/(F21-O21))</f>
        <v>0.328331059572533</v>
      </c>
      <c r="O21" s="8" t="n">
        <f aca="false">SUMIFS('Contenu des kits'!$U$2:$U$1856,'Contenu des kits'!$B$2:$B$1856,B21,'Contenu des kits'!$C$2:$C$1856,C21)</f>
        <v>4250</v>
      </c>
    </row>
    <row r="22" customFormat="false" ht="15" hidden="false" customHeight="false" outlineLevel="0" collapsed="false">
      <c r="A22" s="7" t="s">
        <v>53</v>
      </c>
      <c r="B22" s="7" t="s">
        <v>55</v>
      </c>
      <c r="C22" s="7" t="s">
        <v>49</v>
      </c>
      <c r="D22" s="7" t="n">
        <v>14</v>
      </c>
      <c r="E22" s="8" t="n">
        <v>26380</v>
      </c>
      <c r="F22" s="8" t="n">
        <f aca="false">SUMIFS('Contenu des kits'!$M$2:$M$1856,'Contenu des kits'!$B$2:$B$1856,B22,'Contenu des kits'!$C$2:$C$1856,C22)</f>
        <v>32445</v>
      </c>
      <c r="G22" s="8" t="n">
        <f aca="false">IF(E22="","",F22-E22)</f>
        <v>6065</v>
      </c>
      <c r="H22" s="7" t="n">
        <f aca="false">COUNTIFS('Contenu des kits'!$B$2:$B$1856,B22,'Contenu des kits'!$C$2:$C$1856,C22,'Contenu des kits'!$L$2:$L$1856,"Oui",'Contenu des kits'!$K$2:$K$1856,"Principal")</f>
        <v>24</v>
      </c>
      <c r="I22" s="7" t="n">
        <v>19</v>
      </c>
      <c r="J22" s="7" t="n">
        <f aca="false">COUNTIFS('Contenu des kits'!$B$2:$B$1856,B22,'Contenu des kits'!$C$2:$C$1856,C22,'Contenu des kits'!$N$2:$N$1856,"MANQUE")</f>
        <v>1</v>
      </c>
      <c r="K22" s="7"/>
      <c r="L22" s="8" t="n">
        <f aca="false">SUMIFS('Contenu des kits'!$S$2:$S$1856,'Contenu des kits'!$B$2:$B$1856,B22,'Contenu des kits'!$C$2:$C$1856,C22)</f>
        <v>19463</v>
      </c>
      <c r="M22" s="8" t="n">
        <f aca="false">SUMIFS('Contenu des kits'!$T$2:$T$1856,'Contenu des kits'!$B$2:$B$1856,B22,'Contenu des kits'!$C$2:$C$1856,C22)</f>
        <v>8532</v>
      </c>
      <c r="N22" s="10" t="n">
        <f aca="false">IF(F22-O22=0,"",M22/(F22-O22))</f>
        <v>0.304768708697982</v>
      </c>
      <c r="O22" s="8" t="n">
        <f aca="false">SUMIFS('Contenu des kits'!$U$2:$U$1856,'Contenu des kits'!$B$2:$B$1856,B22,'Contenu des kits'!$C$2:$C$1856,C22)</f>
        <v>4450</v>
      </c>
    </row>
    <row r="23" customFormat="false" ht="15" hidden="false" customHeight="false" outlineLevel="0" collapsed="false">
      <c r="A23" s="7" t="s">
        <v>53</v>
      </c>
      <c r="B23" s="7" t="s">
        <v>55</v>
      </c>
      <c r="C23" s="7" t="s">
        <v>50</v>
      </c>
      <c r="D23" s="7" t="n">
        <v>8</v>
      </c>
      <c r="E23" s="8" t="n">
        <v>33160</v>
      </c>
      <c r="F23" s="8" t="n">
        <f aca="false">SUMIFS('Contenu des kits'!$M$2:$M$1856,'Contenu des kits'!$B$2:$B$1856,B23,'Contenu des kits'!$C$2:$C$1856,C23)</f>
        <v>50755</v>
      </c>
      <c r="G23" s="8" t="n">
        <f aca="false">IF(E23="","",F23-E23)</f>
        <v>17595</v>
      </c>
      <c r="H23" s="7" t="n">
        <f aca="false">COUNTIFS('Contenu des kits'!$B$2:$B$1856,B23,'Contenu des kits'!$C$2:$C$1856,C23,'Contenu des kits'!$L$2:$L$1856,"Oui",'Contenu des kits'!$K$2:$K$1856,"Principal")</f>
        <v>30</v>
      </c>
      <c r="I23" s="7" t="n">
        <v>21</v>
      </c>
      <c r="J23" s="7" t="n">
        <f aca="false">COUNTIFS('Contenu des kits'!$B$2:$B$1856,B23,'Contenu des kits'!$C$2:$C$1856,C23,'Contenu des kits'!$N$2:$N$1856,"MANQUE")</f>
        <v>1</v>
      </c>
      <c r="K23" s="7"/>
      <c r="L23" s="8" t="n">
        <f aca="false">SUMIFS('Contenu des kits'!$S$2:$S$1856,'Contenu des kits'!$B$2:$B$1856,B23,'Contenu des kits'!$C$2:$C$1856,C23)</f>
        <v>31723</v>
      </c>
      <c r="M23" s="8" t="n">
        <f aca="false">SUMIFS('Contenu des kits'!$T$2:$T$1856,'Contenu des kits'!$B$2:$B$1856,B23,'Contenu des kits'!$C$2:$C$1856,C23)</f>
        <v>14582</v>
      </c>
      <c r="N23" s="10" t="n">
        <f aca="false">IF(F23-O23=0,"",M23/(F23-O23))</f>
        <v>0.31491199654465</v>
      </c>
      <c r="O23" s="8" t="n">
        <f aca="false">SUMIFS('Contenu des kits'!$U$2:$U$1856,'Contenu des kits'!$B$2:$B$1856,B23,'Contenu des kits'!$C$2:$C$1856,C23)</f>
        <v>4450</v>
      </c>
    </row>
    <row r="25" customFormat="false" ht="15" hidden="false" customHeight="false" outlineLevel="0" collapsed="false">
      <c r="A25" s="7" t="s">
        <v>53</v>
      </c>
      <c r="B25" s="7" t="s">
        <v>56</v>
      </c>
      <c r="C25" s="7" t="s">
        <v>48</v>
      </c>
      <c r="D25" s="7" t="n">
        <v>3</v>
      </c>
      <c r="E25" s="8" t="n">
        <v>10700</v>
      </c>
      <c r="F25" s="8" t="n">
        <f aca="false">SUMIFS('Contenu des kits'!$M$2:$M$1856,'Contenu des kits'!$B$2:$B$1856,B25,'Contenu des kits'!$C$2:$C$1856,C25)</f>
        <v>15620</v>
      </c>
      <c r="G25" s="8" t="n">
        <f aca="false">IF(E25="","",F25-E25)</f>
        <v>4920</v>
      </c>
      <c r="H25" s="7" t="n">
        <f aca="false">COUNTIFS('Contenu des kits'!$B$2:$B$1856,B25,'Contenu des kits'!$C$2:$C$1856,C25,'Contenu des kits'!$L$2:$L$1856,"Oui",'Contenu des kits'!$K$2:$K$1856,"Principal")</f>
        <v>18</v>
      </c>
      <c r="I25" s="7" t="n">
        <v>15</v>
      </c>
      <c r="J25" s="7" t="n">
        <f aca="false">COUNTIFS('Contenu des kits'!$B$2:$B$1856,B25,'Contenu des kits'!$C$2:$C$1856,C25,'Contenu des kits'!$N$2:$N$1856,"MANQUE")</f>
        <v>0</v>
      </c>
      <c r="K25" s="9" t="str">
        <f aca="false">IF(AND(F25&lt;F26,F26&lt;F27),"OK","À REVOIR")</f>
        <v>OK</v>
      </c>
      <c r="L25" s="8" t="n">
        <f aca="false">SUMIFS('Contenu des kits'!$S$2:$S$1856,'Contenu des kits'!$B$2:$B$1856,B25,'Contenu des kits'!$C$2:$C$1856,C25)</f>
        <v>8160</v>
      </c>
      <c r="M25" s="8" t="n">
        <f aca="false">SUMIFS('Contenu des kits'!$T$2:$T$1856,'Contenu des kits'!$B$2:$B$1856,B25,'Contenu des kits'!$C$2:$C$1856,C25)</f>
        <v>2960</v>
      </c>
      <c r="N25" s="10" t="n">
        <f aca="false">IF(F25-O25=0,"",M25/(F25-O25))</f>
        <v>0.266187050359712</v>
      </c>
      <c r="O25" s="8" t="n">
        <f aca="false">SUMIFS('Contenu des kits'!$U$2:$U$1856,'Contenu des kits'!$B$2:$B$1856,B25,'Contenu des kits'!$C$2:$C$1856,C25)</f>
        <v>4500</v>
      </c>
    </row>
    <row r="26" customFormat="false" ht="15" hidden="false" customHeight="false" outlineLevel="0" collapsed="false">
      <c r="A26" s="7" t="s">
        <v>53</v>
      </c>
      <c r="B26" s="7" t="s">
        <v>56</v>
      </c>
      <c r="C26" s="7" t="s">
        <v>49</v>
      </c>
      <c r="D26" s="7" t="n">
        <v>15</v>
      </c>
      <c r="E26" s="8" t="n">
        <v>29650</v>
      </c>
      <c r="F26" s="8" t="n">
        <f aca="false">SUMIFS('Contenu des kits'!$M$2:$M$1856,'Contenu des kits'!$B$2:$B$1856,B26,'Contenu des kits'!$C$2:$C$1856,C26)</f>
        <v>35250</v>
      </c>
      <c r="G26" s="8" t="n">
        <f aca="false">IF(E26="","",F26-E26)</f>
        <v>5600</v>
      </c>
      <c r="H26" s="7" t="n">
        <f aca="false">COUNTIFS('Contenu des kits'!$B$2:$B$1856,B26,'Contenu des kits'!$C$2:$C$1856,C26,'Contenu des kits'!$L$2:$L$1856,"Oui",'Contenu des kits'!$K$2:$K$1856,"Principal")</f>
        <v>22</v>
      </c>
      <c r="I26" s="7" t="n">
        <v>21</v>
      </c>
      <c r="J26" s="7" t="n">
        <f aca="false">COUNTIFS('Contenu des kits'!$B$2:$B$1856,B26,'Contenu des kits'!$C$2:$C$1856,C26,'Contenu des kits'!$N$2:$N$1856,"MANQUE")</f>
        <v>0</v>
      </c>
      <c r="K26" s="7"/>
      <c r="L26" s="8" t="n">
        <f aca="false">SUMIFS('Contenu des kits'!$S$2:$S$1856,'Contenu des kits'!$B$2:$B$1856,B26,'Contenu des kits'!$C$2:$C$1856,C26)</f>
        <v>22178</v>
      </c>
      <c r="M26" s="8" t="n">
        <f aca="false">SUMIFS('Contenu des kits'!$T$2:$T$1856,'Contenu des kits'!$B$2:$B$1856,B26,'Contenu des kits'!$C$2:$C$1856,C26)</f>
        <v>8722</v>
      </c>
      <c r="N26" s="10" t="n">
        <f aca="false">IF(F26-O26=0,"",M26/(F26-O26))</f>
        <v>0.282265372168285</v>
      </c>
      <c r="O26" s="8" t="n">
        <f aca="false">SUMIFS('Contenu des kits'!$U$2:$U$1856,'Contenu des kits'!$B$2:$B$1856,B26,'Contenu des kits'!$C$2:$C$1856,C26)</f>
        <v>4350</v>
      </c>
    </row>
    <row r="27" customFormat="false" ht="15" hidden="false" customHeight="false" outlineLevel="0" collapsed="false">
      <c r="A27" s="7" t="s">
        <v>53</v>
      </c>
      <c r="B27" s="7" t="s">
        <v>56</v>
      </c>
      <c r="C27" s="7" t="s">
        <v>50</v>
      </c>
      <c r="D27" s="7" t="n">
        <v>9</v>
      </c>
      <c r="E27" s="8" t="n">
        <v>36870</v>
      </c>
      <c r="F27" s="8" t="n">
        <f aca="false">SUMIFS('Contenu des kits'!$M$2:$M$1856,'Contenu des kits'!$B$2:$B$1856,B27,'Contenu des kits'!$C$2:$C$1856,C27)</f>
        <v>44980</v>
      </c>
      <c r="G27" s="8" t="n">
        <f aca="false">IF(E27="","",F27-E27)</f>
        <v>8110</v>
      </c>
      <c r="H27" s="7" t="n">
        <f aca="false">COUNTIFS('Contenu des kits'!$B$2:$B$1856,B27,'Contenu des kits'!$C$2:$C$1856,C27,'Contenu des kits'!$L$2:$L$1856,"Oui",'Contenu des kits'!$K$2:$K$1856,"Principal")</f>
        <v>25</v>
      </c>
      <c r="I27" s="7" t="n">
        <v>23</v>
      </c>
      <c r="J27" s="7" t="n">
        <f aca="false">COUNTIFS('Contenu des kits'!$B$2:$B$1856,B27,'Contenu des kits'!$C$2:$C$1856,C27,'Contenu des kits'!$N$2:$N$1856,"MANQUE")</f>
        <v>0</v>
      </c>
      <c r="K27" s="7"/>
      <c r="L27" s="8" t="n">
        <f aca="false">SUMIFS('Contenu des kits'!$S$2:$S$1856,'Contenu des kits'!$B$2:$B$1856,B27,'Contenu des kits'!$C$2:$C$1856,C27)</f>
        <v>28858</v>
      </c>
      <c r="M27" s="8" t="n">
        <f aca="false">SUMIFS('Contenu des kits'!$T$2:$T$1856,'Contenu des kits'!$B$2:$B$1856,B27,'Contenu des kits'!$C$2:$C$1856,C27)</f>
        <v>11772</v>
      </c>
      <c r="N27" s="10" t="n">
        <f aca="false">IF(F27-O27=0,"",M27/(F27-O27))</f>
        <v>0.289736647797194</v>
      </c>
      <c r="O27" s="8" t="n">
        <f aca="false">SUMIFS('Contenu des kits'!$U$2:$U$1856,'Contenu des kits'!$B$2:$B$1856,B27,'Contenu des kits'!$C$2:$C$1856,C27)</f>
        <v>4350</v>
      </c>
    </row>
    <row r="29" customFormat="false" ht="15" hidden="false" customHeight="false" outlineLevel="0" collapsed="false">
      <c r="A29" s="7" t="s">
        <v>53</v>
      </c>
      <c r="B29" s="7" t="s">
        <v>57</v>
      </c>
      <c r="C29" s="7" t="s">
        <v>48</v>
      </c>
      <c r="D29" s="7" t="n">
        <v>4</v>
      </c>
      <c r="E29" s="8" t="n">
        <v>10700</v>
      </c>
      <c r="F29" s="8" t="n">
        <f aca="false">SUMIFS('Contenu des kits'!$M$2:$M$1856,'Contenu des kits'!$B$2:$B$1856,B29,'Contenu des kits'!$C$2:$C$1856,C29)</f>
        <v>15620</v>
      </c>
      <c r="G29" s="8" t="n">
        <f aca="false">IF(E29="","",F29-E29)</f>
        <v>4920</v>
      </c>
      <c r="H29" s="7" t="n">
        <f aca="false">COUNTIFS('Contenu des kits'!$B$2:$B$1856,B29,'Contenu des kits'!$C$2:$C$1856,C29,'Contenu des kits'!$L$2:$L$1856,"Oui",'Contenu des kits'!$K$2:$K$1856,"Principal")</f>
        <v>18</v>
      </c>
      <c r="I29" s="7" t="n">
        <v>15</v>
      </c>
      <c r="J29" s="7" t="n">
        <f aca="false">COUNTIFS('Contenu des kits'!$B$2:$B$1856,B29,'Contenu des kits'!$C$2:$C$1856,C29,'Contenu des kits'!$N$2:$N$1856,"MANQUE")</f>
        <v>0</v>
      </c>
      <c r="K29" s="9" t="str">
        <f aca="false">IF(AND(F29&lt;F30,F30&lt;F31),"OK","À REVOIR")</f>
        <v>OK</v>
      </c>
      <c r="L29" s="8" t="n">
        <f aca="false">SUMIFS('Contenu des kits'!$S$2:$S$1856,'Contenu des kits'!$B$2:$B$1856,B29,'Contenu des kits'!$C$2:$C$1856,C29)</f>
        <v>8160</v>
      </c>
      <c r="M29" s="8" t="n">
        <f aca="false">SUMIFS('Contenu des kits'!$T$2:$T$1856,'Contenu des kits'!$B$2:$B$1856,B29,'Contenu des kits'!$C$2:$C$1856,C29)</f>
        <v>2960</v>
      </c>
      <c r="N29" s="10" t="n">
        <f aca="false">IF(F29-O29=0,"",M29/(F29-O29))</f>
        <v>0.266187050359712</v>
      </c>
      <c r="O29" s="8" t="n">
        <f aca="false">SUMIFS('Contenu des kits'!$U$2:$U$1856,'Contenu des kits'!$B$2:$B$1856,B29,'Contenu des kits'!$C$2:$C$1856,C29)</f>
        <v>4500</v>
      </c>
    </row>
    <row r="30" customFormat="false" ht="15" hidden="false" customHeight="false" outlineLevel="0" collapsed="false">
      <c r="A30" s="7" t="s">
        <v>53</v>
      </c>
      <c r="B30" s="7" t="s">
        <v>57</v>
      </c>
      <c r="C30" s="7" t="s">
        <v>49</v>
      </c>
      <c r="D30" s="7" t="n">
        <v>16</v>
      </c>
      <c r="E30" s="8" t="n">
        <v>29650</v>
      </c>
      <c r="F30" s="8" t="n">
        <f aca="false">SUMIFS('Contenu des kits'!$M$2:$M$1856,'Contenu des kits'!$B$2:$B$1856,B30,'Contenu des kits'!$C$2:$C$1856,C30)</f>
        <v>35250</v>
      </c>
      <c r="G30" s="8" t="n">
        <f aca="false">IF(E30="","",F30-E30)</f>
        <v>5600</v>
      </c>
      <c r="H30" s="7" t="n">
        <f aca="false">COUNTIFS('Contenu des kits'!$B$2:$B$1856,B30,'Contenu des kits'!$C$2:$C$1856,C30,'Contenu des kits'!$L$2:$L$1856,"Oui",'Contenu des kits'!$K$2:$K$1856,"Principal")</f>
        <v>22</v>
      </c>
      <c r="I30" s="7" t="n">
        <v>21</v>
      </c>
      <c r="J30" s="7" t="n">
        <f aca="false">COUNTIFS('Contenu des kits'!$B$2:$B$1856,B30,'Contenu des kits'!$C$2:$C$1856,C30,'Contenu des kits'!$N$2:$N$1856,"MANQUE")</f>
        <v>0</v>
      </c>
      <c r="K30" s="7"/>
      <c r="L30" s="8" t="n">
        <f aca="false">SUMIFS('Contenu des kits'!$S$2:$S$1856,'Contenu des kits'!$B$2:$B$1856,B30,'Contenu des kits'!$C$2:$C$1856,C30)</f>
        <v>22178</v>
      </c>
      <c r="M30" s="8" t="n">
        <f aca="false">SUMIFS('Contenu des kits'!$T$2:$T$1856,'Contenu des kits'!$B$2:$B$1856,B30,'Contenu des kits'!$C$2:$C$1856,C30)</f>
        <v>8722</v>
      </c>
      <c r="N30" s="10" t="n">
        <f aca="false">IF(F30-O30=0,"",M30/(F30-O30))</f>
        <v>0.282265372168285</v>
      </c>
      <c r="O30" s="8" t="n">
        <f aca="false">SUMIFS('Contenu des kits'!$U$2:$U$1856,'Contenu des kits'!$B$2:$B$1856,B30,'Contenu des kits'!$C$2:$C$1856,C30)</f>
        <v>4350</v>
      </c>
    </row>
    <row r="31" customFormat="false" ht="15" hidden="false" customHeight="false" outlineLevel="0" collapsed="false">
      <c r="A31" s="7" t="s">
        <v>53</v>
      </c>
      <c r="B31" s="7" t="s">
        <v>57</v>
      </c>
      <c r="C31" s="7" t="s">
        <v>50</v>
      </c>
      <c r="D31" s="7" t="n">
        <v>10</v>
      </c>
      <c r="E31" s="8" t="n">
        <v>36870</v>
      </c>
      <c r="F31" s="8" t="n">
        <f aca="false">SUMIFS('Contenu des kits'!$M$2:$M$1856,'Contenu des kits'!$B$2:$B$1856,B31,'Contenu des kits'!$C$2:$C$1856,C31)</f>
        <v>51990</v>
      </c>
      <c r="G31" s="8" t="n">
        <f aca="false">IF(E31="","",F31-E31)</f>
        <v>15120</v>
      </c>
      <c r="H31" s="7" t="n">
        <f aca="false">COUNTIFS('Contenu des kits'!$B$2:$B$1856,B31,'Contenu des kits'!$C$2:$C$1856,C31,'Contenu des kits'!$L$2:$L$1856,"Oui",'Contenu des kits'!$K$2:$K$1856,"Principal")</f>
        <v>27</v>
      </c>
      <c r="I31" s="7" t="n">
        <v>23</v>
      </c>
      <c r="J31" s="7" t="n">
        <f aca="false">COUNTIFS('Contenu des kits'!$B$2:$B$1856,B31,'Contenu des kits'!$C$2:$C$1856,C31,'Contenu des kits'!$N$2:$N$1856,"MANQUE")</f>
        <v>0</v>
      </c>
      <c r="K31" s="7"/>
      <c r="L31" s="8" t="n">
        <f aca="false">SUMIFS('Contenu des kits'!$S$2:$S$1856,'Contenu des kits'!$B$2:$B$1856,B31,'Contenu des kits'!$C$2:$C$1856,C31)</f>
        <v>33868</v>
      </c>
      <c r="M31" s="8" t="n">
        <f aca="false">SUMIFS('Contenu des kits'!$T$2:$T$1856,'Contenu des kits'!$B$2:$B$1856,B31,'Contenu des kits'!$C$2:$C$1856,C31)</f>
        <v>13772</v>
      </c>
      <c r="N31" s="10" t="n">
        <f aca="false">IF(F31-O31=0,"",M31/(F31-O31))</f>
        <v>0.289084802686818</v>
      </c>
      <c r="O31" s="8" t="n">
        <f aca="false">SUMIFS('Contenu des kits'!$U$2:$U$1856,'Contenu des kits'!$B$2:$B$1856,B31,'Contenu des kits'!$C$2:$C$1856,C31)</f>
        <v>4350</v>
      </c>
    </row>
    <row r="33" customFormat="false" ht="15" hidden="false" customHeight="false" outlineLevel="0" collapsed="false">
      <c r="A33" s="7" t="s">
        <v>53</v>
      </c>
      <c r="B33" s="7" t="s">
        <v>58</v>
      </c>
      <c r="C33" s="7" t="s">
        <v>48</v>
      </c>
      <c r="D33" s="7" t="n">
        <v>5</v>
      </c>
      <c r="E33" s="8" t="n">
        <v>12425</v>
      </c>
      <c r="F33" s="8" t="n">
        <f aca="false">SUMIFS('Contenu des kits'!$M$2:$M$1856,'Contenu des kits'!$B$2:$B$1856,B33,'Contenu des kits'!$C$2:$C$1856,C33)</f>
        <v>17290</v>
      </c>
      <c r="G33" s="8" t="n">
        <f aca="false">IF(E33="","",F33-E33)</f>
        <v>4865</v>
      </c>
      <c r="H33" s="7" t="n">
        <f aca="false">COUNTIFS('Contenu des kits'!$B$2:$B$1856,B33,'Contenu des kits'!$C$2:$C$1856,C33,'Contenu des kits'!$L$2:$L$1856,"Oui",'Contenu des kits'!$K$2:$K$1856,"Principal")</f>
        <v>18</v>
      </c>
      <c r="I33" s="7" t="n">
        <v>17</v>
      </c>
      <c r="J33" s="7" t="n">
        <f aca="false">COUNTIFS('Contenu des kits'!$B$2:$B$1856,B33,'Contenu des kits'!$C$2:$C$1856,C33,'Contenu des kits'!$N$2:$N$1856,"MANQUE")</f>
        <v>0</v>
      </c>
      <c r="K33" s="9" t="str">
        <f aca="false">IF(AND(F33&lt;F34,F34&lt;F35),"OK","À REVOIR")</f>
        <v>OK</v>
      </c>
      <c r="L33" s="8" t="n">
        <f aca="false">SUMIFS('Contenu des kits'!$S$2:$S$1856,'Contenu des kits'!$B$2:$B$1856,B33,'Contenu des kits'!$C$2:$C$1856,C33)</f>
        <v>9440</v>
      </c>
      <c r="M33" s="8" t="n">
        <f aca="false">SUMIFS('Contenu des kits'!$T$2:$T$1856,'Contenu des kits'!$B$2:$B$1856,B33,'Contenu des kits'!$C$2:$C$1856,C33)</f>
        <v>3400</v>
      </c>
      <c r="N33" s="10" t="n">
        <f aca="false">IF(F33-O33=0,"",M33/(F33-O33))</f>
        <v>0.264797507788162</v>
      </c>
      <c r="O33" s="8" t="n">
        <f aca="false">SUMIFS('Contenu des kits'!$U$2:$U$1856,'Contenu des kits'!$B$2:$B$1856,B33,'Contenu des kits'!$C$2:$C$1856,C33)</f>
        <v>4450</v>
      </c>
    </row>
    <row r="34" customFormat="false" ht="15" hidden="false" customHeight="false" outlineLevel="0" collapsed="false">
      <c r="A34" s="7" t="s">
        <v>53</v>
      </c>
      <c r="B34" s="7" t="s">
        <v>58</v>
      </c>
      <c r="C34" s="7" t="s">
        <v>49</v>
      </c>
      <c r="D34" s="7" t="n">
        <v>17</v>
      </c>
      <c r="E34" s="8" t="n">
        <v>29975</v>
      </c>
      <c r="F34" s="8" t="n">
        <f aca="false">SUMIFS('Contenu des kits'!$M$2:$M$1856,'Contenu des kits'!$B$2:$B$1856,B34,'Contenu des kits'!$C$2:$C$1856,C34)</f>
        <v>36850</v>
      </c>
      <c r="G34" s="8" t="n">
        <f aca="false">IF(E34="","",F34-E34)</f>
        <v>6875</v>
      </c>
      <c r="H34" s="7" t="n">
        <f aca="false">COUNTIFS('Contenu des kits'!$B$2:$B$1856,B34,'Contenu des kits'!$C$2:$C$1856,C34,'Contenu des kits'!$L$2:$L$1856,"Oui",'Contenu des kits'!$K$2:$K$1856,"Principal")</f>
        <v>22</v>
      </c>
      <c r="I34" s="7" t="n">
        <v>20</v>
      </c>
      <c r="J34" s="7" t="n">
        <f aca="false">COUNTIFS('Contenu des kits'!$B$2:$B$1856,B34,'Contenu des kits'!$C$2:$C$1856,C34,'Contenu des kits'!$N$2:$N$1856,"MANQUE")</f>
        <v>0</v>
      </c>
      <c r="K34" s="7"/>
      <c r="L34" s="8" t="n">
        <f aca="false">SUMIFS('Contenu des kits'!$S$2:$S$1856,'Contenu des kits'!$B$2:$B$1856,B34,'Contenu des kits'!$C$2:$C$1856,C34)</f>
        <v>23168</v>
      </c>
      <c r="M34" s="8" t="n">
        <f aca="false">SUMIFS('Contenu des kits'!$T$2:$T$1856,'Contenu des kits'!$B$2:$B$1856,B34,'Contenu des kits'!$C$2:$C$1856,C34)</f>
        <v>9182</v>
      </c>
      <c r="N34" s="10" t="n">
        <f aca="false">IF(F34-O34=0,"",M34/(F34-O34))</f>
        <v>0.283833075734158</v>
      </c>
      <c r="O34" s="8" t="n">
        <f aca="false">SUMIFS('Contenu des kits'!$U$2:$U$1856,'Contenu des kits'!$B$2:$B$1856,B34,'Contenu des kits'!$C$2:$C$1856,C34)</f>
        <v>4500</v>
      </c>
    </row>
    <row r="35" customFormat="false" ht="15" hidden="false" customHeight="false" outlineLevel="0" collapsed="false">
      <c r="A35" s="7" t="s">
        <v>53</v>
      </c>
      <c r="B35" s="7" t="s">
        <v>58</v>
      </c>
      <c r="C35" s="7" t="s">
        <v>50</v>
      </c>
      <c r="D35" s="7" t="n">
        <v>11</v>
      </c>
      <c r="E35" s="8" t="n">
        <v>37655</v>
      </c>
      <c r="F35" s="8" t="n">
        <f aca="false">SUMIFS('Contenu des kits'!$M$2:$M$1856,'Contenu des kits'!$B$2:$B$1856,B35,'Contenu des kits'!$C$2:$C$1856,C35)</f>
        <v>51270</v>
      </c>
      <c r="G35" s="8" t="n">
        <f aca="false">IF(E35="","",F35-E35)</f>
        <v>13615</v>
      </c>
      <c r="H35" s="7" t="n">
        <f aca="false">COUNTIFS('Contenu des kits'!$B$2:$B$1856,B35,'Contenu des kits'!$C$2:$C$1856,C35,'Contenu des kits'!$L$2:$L$1856,"Oui",'Contenu des kits'!$K$2:$K$1856,"Principal")</f>
        <v>26</v>
      </c>
      <c r="I35" s="7" t="n">
        <v>22</v>
      </c>
      <c r="J35" s="7" t="n">
        <f aca="false">COUNTIFS('Contenu des kits'!$B$2:$B$1856,B35,'Contenu des kits'!$C$2:$C$1856,C35,'Contenu des kits'!$N$2:$N$1856,"MANQUE")</f>
        <v>0</v>
      </c>
      <c r="K35" s="7"/>
      <c r="L35" s="8" t="n">
        <f aca="false">SUMIFS('Contenu des kits'!$S$2:$S$1856,'Contenu des kits'!$B$2:$B$1856,B35,'Contenu des kits'!$C$2:$C$1856,C35)</f>
        <v>33538</v>
      </c>
      <c r="M35" s="8" t="n">
        <f aca="false">SUMIFS('Contenu des kits'!$T$2:$T$1856,'Contenu des kits'!$B$2:$B$1856,B35,'Contenu des kits'!$C$2:$C$1856,C35)</f>
        <v>13232</v>
      </c>
      <c r="N35" s="10" t="n">
        <f aca="false">IF(F35-O35=0,"",M35/(F35-O35))</f>
        <v>0.282916399401326</v>
      </c>
      <c r="O35" s="8" t="n">
        <f aca="false">SUMIFS('Contenu des kits'!$U$2:$U$1856,'Contenu des kits'!$B$2:$B$1856,B35,'Contenu des kits'!$C$2:$C$1856,C35)</f>
        <v>4500</v>
      </c>
    </row>
    <row r="37" customFormat="false" ht="15" hidden="false" customHeight="false" outlineLevel="0" collapsed="false">
      <c r="A37" s="7" t="s">
        <v>53</v>
      </c>
      <c r="B37" s="7" t="s">
        <v>59</v>
      </c>
      <c r="C37" s="7" t="s">
        <v>48</v>
      </c>
      <c r="D37" s="7" t="n">
        <v>6</v>
      </c>
      <c r="E37" s="8" t="n">
        <v>12425</v>
      </c>
      <c r="F37" s="8" t="n">
        <f aca="false">SUMIFS('Contenu des kits'!$M$2:$M$1856,'Contenu des kits'!$B$2:$B$1856,B37,'Contenu des kits'!$C$2:$C$1856,C37)</f>
        <v>17290</v>
      </c>
      <c r="G37" s="8" t="n">
        <f aca="false">IF(E37="","",F37-E37)</f>
        <v>4865</v>
      </c>
      <c r="H37" s="7" t="n">
        <f aca="false">COUNTIFS('Contenu des kits'!$B$2:$B$1856,B37,'Contenu des kits'!$C$2:$C$1856,C37,'Contenu des kits'!$L$2:$L$1856,"Oui",'Contenu des kits'!$K$2:$K$1856,"Principal")</f>
        <v>18</v>
      </c>
      <c r="I37" s="7" t="n">
        <v>17</v>
      </c>
      <c r="J37" s="7" t="n">
        <f aca="false">COUNTIFS('Contenu des kits'!$B$2:$B$1856,B37,'Contenu des kits'!$C$2:$C$1856,C37,'Contenu des kits'!$N$2:$N$1856,"MANQUE")</f>
        <v>0</v>
      </c>
      <c r="K37" s="9" t="str">
        <f aca="false">IF(AND(F37&lt;F38,F38&lt;F39),"OK","À REVOIR")</f>
        <v>OK</v>
      </c>
      <c r="L37" s="8" t="n">
        <f aca="false">SUMIFS('Contenu des kits'!$S$2:$S$1856,'Contenu des kits'!$B$2:$B$1856,B37,'Contenu des kits'!$C$2:$C$1856,C37)</f>
        <v>9440</v>
      </c>
      <c r="M37" s="8" t="n">
        <f aca="false">SUMIFS('Contenu des kits'!$T$2:$T$1856,'Contenu des kits'!$B$2:$B$1856,B37,'Contenu des kits'!$C$2:$C$1856,C37)</f>
        <v>3400</v>
      </c>
      <c r="N37" s="10" t="n">
        <f aca="false">IF(F37-O37=0,"",M37/(F37-O37))</f>
        <v>0.264797507788162</v>
      </c>
      <c r="O37" s="8" t="n">
        <f aca="false">SUMIFS('Contenu des kits'!$U$2:$U$1856,'Contenu des kits'!$B$2:$B$1856,B37,'Contenu des kits'!$C$2:$C$1856,C37)</f>
        <v>4450</v>
      </c>
    </row>
    <row r="38" customFormat="false" ht="15" hidden="false" customHeight="false" outlineLevel="0" collapsed="false">
      <c r="A38" s="7" t="s">
        <v>53</v>
      </c>
      <c r="B38" s="7" t="s">
        <v>59</v>
      </c>
      <c r="C38" s="7" t="s">
        <v>49</v>
      </c>
      <c r="D38" s="7" t="n">
        <v>18</v>
      </c>
      <c r="E38" s="8" t="n">
        <v>29975</v>
      </c>
      <c r="F38" s="8" t="n">
        <f aca="false">SUMIFS('Contenu des kits'!$M$2:$M$1856,'Contenu des kits'!$B$2:$B$1856,B38,'Contenu des kits'!$C$2:$C$1856,C38)</f>
        <v>41500</v>
      </c>
      <c r="G38" s="8" t="n">
        <f aca="false">IF(E38="","",F38-E38)</f>
        <v>11525</v>
      </c>
      <c r="H38" s="7" t="n">
        <f aca="false">COUNTIFS('Contenu des kits'!$B$2:$B$1856,B38,'Contenu des kits'!$C$2:$C$1856,C38,'Contenu des kits'!$L$2:$L$1856,"Oui",'Contenu des kits'!$K$2:$K$1856,"Principal")</f>
        <v>23</v>
      </c>
      <c r="I38" s="7" t="n">
        <v>20</v>
      </c>
      <c r="J38" s="7" t="n">
        <f aca="false">COUNTIFS('Contenu des kits'!$B$2:$B$1856,B38,'Contenu des kits'!$C$2:$C$1856,C38,'Contenu des kits'!$N$2:$N$1856,"MANQUE")</f>
        <v>0</v>
      </c>
      <c r="K38" s="7"/>
      <c r="L38" s="8" t="n">
        <f aca="false">SUMIFS('Contenu des kits'!$S$2:$S$1856,'Contenu des kits'!$B$2:$B$1856,B38,'Contenu des kits'!$C$2:$C$1856,C38)</f>
        <v>26818</v>
      </c>
      <c r="M38" s="8" t="n">
        <f aca="false">SUMIFS('Contenu des kits'!$T$2:$T$1856,'Contenu des kits'!$B$2:$B$1856,B38,'Contenu des kits'!$C$2:$C$1856,C38)</f>
        <v>10182</v>
      </c>
      <c r="N38" s="10" t="n">
        <f aca="false">IF(F38-O38=0,"",M38/(F38-O38))</f>
        <v>0.275189189189189</v>
      </c>
      <c r="O38" s="8" t="n">
        <f aca="false">SUMIFS('Contenu des kits'!$U$2:$U$1856,'Contenu des kits'!$B$2:$B$1856,B38,'Contenu des kits'!$C$2:$C$1856,C38)</f>
        <v>4500</v>
      </c>
    </row>
    <row r="39" customFormat="false" ht="15" hidden="false" customHeight="false" outlineLevel="0" collapsed="false">
      <c r="A39" s="7" t="s">
        <v>53</v>
      </c>
      <c r="B39" s="7" t="s">
        <v>59</v>
      </c>
      <c r="C39" s="7" t="s">
        <v>50</v>
      </c>
      <c r="D39" s="7" t="n">
        <v>12</v>
      </c>
      <c r="E39" s="8" t="n">
        <v>40325</v>
      </c>
      <c r="F39" s="8" t="n">
        <f aca="false">SUMIFS('Contenu des kits'!$M$2:$M$1856,'Contenu des kits'!$B$2:$B$1856,B39,'Contenu des kits'!$C$2:$C$1856,C39)</f>
        <v>59160</v>
      </c>
      <c r="G39" s="8" t="n">
        <f aca="false">IF(E39="","",F39-E39)</f>
        <v>18835</v>
      </c>
      <c r="H39" s="7" t="n">
        <f aca="false">COUNTIFS('Contenu des kits'!$B$2:$B$1856,B39,'Contenu des kits'!$C$2:$C$1856,C39,'Contenu des kits'!$L$2:$L$1856,"Oui",'Contenu des kits'!$K$2:$K$1856,"Principal")</f>
        <v>28</v>
      </c>
      <c r="I39" s="7" t="n">
        <v>22</v>
      </c>
      <c r="J39" s="7" t="n">
        <f aca="false">COUNTIFS('Contenu des kits'!$B$2:$B$1856,B39,'Contenu des kits'!$C$2:$C$1856,C39,'Contenu des kits'!$N$2:$N$1856,"MANQUE")</f>
        <v>0</v>
      </c>
      <c r="K39" s="7"/>
      <c r="L39" s="8" t="n">
        <f aca="false">SUMIFS('Contenu des kits'!$S$2:$S$1856,'Contenu des kits'!$B$2:$B$1856,B39,'Contenu des kits'!$C$2:$C$1856,C39)</f>
        <v>39428</v>
      </c>
      <c r="M39" s="8" t="n">
        <f aca="false">SUMIFS('Contenu des kits'!$T$2:$T$1856,'Contenu des kits'!$B$2:$B$1856,B39,'Contenu des kits'!$C$2:$C$1856,C39)</f>
        <v>15232</v>
      </c>
      <c r="N39" s="10" t="n">
        <f aca="false">IF(F39-O39=0,"",M39/(F39-O39))</f>
        <v>0.278668130259788</v>
      </c>
      <c r="O39" s="8" t="n">
        <f aca="false">SUMIFS('Contenu des kits'!$U$2:$U$1856,'Contenu des kits'!$B$2:$B$1856,B39,'Contenu des kits'!$C$2:$C$1856,C39)</f>
        <v>4500</v>
      </c>
    </row>
    <row r="41" customFormat="false" ht="15" hidden="false" customHeight="false" outlineLevel="0" collapsed="false">
      <c r="A41" s="7" t="s">
        <v>60</v>
      </c>
      <c r="B41" s="7" t="s">
        <v>61</v>
      </c>
      <c r="C41" s="7" t="s">
        <v>48</v>
      </c>
      <c r="D41" s="7" t="n">
        <v>37</v>
      </c>
      <c r="E41" s="8" t="n">
        <v>12550</v>
      </c>
      <c r="F41" s="8" t="n">
        <f aca="false">SUMIFS('Contenu des kits'!$M$2:$M$1856,'Contenu des kits'!$B$2:$B$1856,B41,'Contenu des kits'!$C$2:$C$1856,C41)</f>
        <v>15370</v>
      </c>
      <c r="G41" s="8" t="n">
        <f aca="false">IF(E41="","",F41-E41)</f>
        <v>2820</v>
      </c>
      <c r="H41" s="7" t="n">
        <f aca="false">COUNTIFS('Contenu des kits'!$B$2:$B$1856,B41,'Contenu des kits'!$C$2:$C$1856,C41,'Contenu des kits'!$L$2:$L$1856,"Oui",'Contenu des kits'!$K$2:$K$1856,"Principal")</f>
        <v>15</v>
      </c>
      <c r="I41" s="7" t="n">
        <v>13</v>
      </c>
      <c r="J41" s="7" t="n">
        <f aca="false">COUNTIFS('Contenu des kits'!$B$2:$B$1856,B41,'Contenu des kits'!$C$2:$C$1856,C41,'Contenu des kits'!$N$2:$N$1856,"MANQUE")</f>
        <v>3</v>
      </c>
      <c r="K41" s="9" t="str">
        <f aca="false">IF(AND(F41&lt;F42,F42&lt;F43),"OK","À REVOIR")</f>
        <v>OK</v>
      </c>
      <c r="L41" s="8" t="n">
        <f aca="false">SUMIFS('Contenu des kits'!$S$2:$S$1856,'Contenu des kits'!$B$2:$B$1856,B41,'Contenu des kits'!$C$2:$C$1856,C41)</f>
        <v>5870</v>
      </c>
      <c r="M41" s="8" t="n">
        <f aca="false">SUMIFS('Contenu des kits'!$T$2:$T$1856,'Contenu des kits'!$B$2:$B$1856,B41,'Contenu des kits'!$C$2:$C$1856,C41)</f>
        <v>3100</v>
      </c>
      <c r="N41" s="10" t="n">
        <f aca="false">IF(F41-O41=0,"",M41/(F41-O41))</f>
        <v>0.345596432552954</v>
      </c>
      <c r="O41" s="8" t="n">
        <f aca="false">SUMIFS('Contenu des kits'!$U$2:$U$1856,'Contenu des kits'!$B$2:$B$1856,B41,'Contenu des kits'!$C$2:$C$1856,C41)</f>
        <v>6400</v>
      </c>
    </row>
    <row r="42" customFormat="false" ht="15" hidden="false" customHeight="false" outlineLevel="0" collapsed="false">
      <c r="A42" s="7" t="s">
        <v>60</v>
      </c>
      <c r="B42" s="7" t="s">
        <v>61</v>
      </c>
      <c r="C42" s="7" t="s">
        <v>49</v>
      </c>
      <c r="D42" s="7" t="n">
        <v>38</v>
      </c>
      <c r="E42" s="8" t="n">
        <v>32950</v>
      </c>
      <c r="F42" s="8" t="n">
        <f aca="false">SUMIFS('Contenu des kits'!$M$2:$M$1856,'Contenu des kits'!$B$2:$B$1856,B42,'Contenu des kits'!$C$2:$C$1856,C42)</f>
        <v>55670</v>
      </c>
      <c r="G42" s="8" t="n">
        <f aca="false">IF(E42="","",F42-E42)</f>
        <v>22720</v>
      </c>
      <c r="H42" s="7" t="n">
        <f aca="false">COUNTIFS('Contenu des kits'!$B$2:$B$1856,B42,'Contenu des kits'!$C$2:$C$1856,C42,'Contenu des kits'!$L$2:$L$1856,"Oui",'Contenu des kits'!$K$2:$K$1856,"Principal")</f>
        <v>28</v>
      </c>
      <c r="I42" s="7" t="n">
        <v>19</v>
      </c>
      <c r="J42" s="7" t="n">
        <f aca="false">COUNTIFS('Contenu des kits'!$B$2:$B$1856,B42,'Contenu des kits'!$C$2:$C$1856,C42,'Contenu des kits'!$N$2:$N$1856,"MANQUE")</f>
        <v>3</v>
      </c>
      <c r="K42" s="7"/>
      <c r="L42" s="8" t="n">
        <f aca="false">SUMIFS('Contenu des kits'!$S$2:$S$1856,'Contenu des kits'!$B$2:$B$1856,B42,'Contenu des kits'!$C$2:$C$1856,C42)</f>
        <v>35580</v>
      </c>
      <c r="M42" s="8" t="n">
        <f aca="false">SUMIFS('Contenu des kits'!$T$2:$T$1856,'Contenu des kits'!$B$2:$B$1856,B42,'Contenu des kits'!$C$2:$C$1856,C42)</f>
        <v>11690</v>
      </c>
      <c r="N42" s="10" t="n">
        <f aca="false">IF(F42-O42=0,"",M42/(F42-O42))</f>
        <v>0.247302729003596</v>
      </c>
      <c r="O42" s="8" t="n">
        <f aca="false">SUMIFS('Contenu des kits'!$U$2:$U$1856,'Contenu des kits'!$B$2:$B$1856,B42,'Contenu des kits'!$C$2:$C$1856,C42)</f>
        <v>8400</v>
      </c>
    </row>
    <row r="43" customFormat="false" ht="15" hidden="false" customHeight="false" outlineLevel="0" collapsed="false">
      <c r="A43" s="7" t="s">
        <v>60</v>
      </c>
      <c r="B43" s="7" t="s">
        <v>61</v>
      </c>
      <c r="C43" s="7" t="s">
        <v>50</v>
      </c>
      <c r="D43" s="7" t="n">
        <v>39</v>
      </c>
      <c r="E43" s="8" t="n">
        <v>59980</v>
      </c>
      <c r="F43" s="8" t="n">
        <f aca="false">SUMIFS('Contenu des kits'!$M$2:$M$1856,'Contenu des kits'!$B$2:$B$1856,B43,'Contenu des kits'!$C$2:$C$1856,C43)</f>
        <v>63530</v>
      </c>
      <c r="G43" s="8" t="n">
        <f aca="false">IF(E43="","",F43-E43)</f>
        <v>3550</v>
      </c>
      <c r="H43" s="7" t="n">
        <f aca="false">COUNTIFS('Contenu des kits'!$B$2:$B$1856,B43,'Contenu des kits'!$C$2:$C$1856,C43,'Contenu des kits'!$L$2:$L$1856,"Oui",'Contenu des kits'!$K$2:$K$1856,"Principal")</f>
        <v>30</v>
      </c>
      <c r="I43" s="7" t="n">
        <v>26</v>
      </c>
      <c r="J43" s="7" t="n">
        <f aca="false">COUNTIFS('Contenu des kits'!$B$2:$B$1856,B43,'Contenu des kits'!$C$2:$C$1856,C43,'Contenu des kits'!$N$2:$N$1856,"MANQUE")</f>
        <v>4</v>
      </c>
      <c r="K43" s="7"/>
      <c r="L43" s="8" t="n">
        <f aca="false">SUMIFS('Contenu des kits'!$S$2:$S$1856,'Contenu des kits'!$B$2:$B$1856,B43,'Contenu des kits'!$C$2:$C$1856,C43)</f>
        <v>41240</v>
      </c>
      <c r="M43" s="8" t="n">
        <f aca="false">SUMIFS('Contenu des kits'!$T$2:$T$1856,'Contenu des kits'!$B$2:$B$1856,B43,'Contenu des kits'!$C$2:$C$1856,C43)</f>
        <v>13890</v>
      </c>
      <c r="N43" s="10" t="n">
        <f aca="false">IF(F43-O43=0,"",M43/(F43-O43))</f>
        <v>0.251949936513695</v>
      </c>
      <c r="O43" s="8" t="n">
        <f aca="false">SUMIFS('Contenu des kits'!$U$2:$U$1856,'Contenu des kits'!$B$2:$B$1856,B43,'Contenu des kits'!$C$2:$C$1856,C43)</f>
        <v>8400</v>
      </c>
    </row>
    <row r="45" customFormat="false" ht="15" hidden="false" customHeight="false" outlineLevel="0" collapsed="false">
      <c r="A45" s="7" t="s">
        <v>60</v>
      </c>
      <c r="B45" s="7" t="s">
        <v>62</v>
      </c>
      <c r="C45" s="7" t="s">
        <v>48</v>
      </c>
      <c r="D45" s="7" t="n">
        <v>40</v>
      </c>
      <c r="E45" s="8" t="n">
        <v>12550</v>
      </c>
      <c r="F45" s="8" t="n">
        <f aca="false">SUMIFS('Contenu des kits'!$M$2:$M$1856,'Contenu des kits'!$B$2:$B$1856,B45,'Contenu des kits'!$C$2:$C$1856,C45)</f>
        <v>16170</v>
      </c>
      <c r="G45" s="8" t="n">
        <f aca="false">IF(E45="","",F45-E45)</f>
        <v>3620</v>
      </c>
      <c r="H45" s="7" t="n">
        <f aca="false">COUNTIFS('Contenu des kits'!$B$2:$B$1856,B45,'Contenu des kits'!$C$2:$C$1856,C45,'Contenu des kits'!$L$2:$L$1856,"Oui",'Contenu des kits'!$K$2:$K$1856,"Principal")</f>
        <v>16</v>
      </c>
      <c r="I45" s="7" t="n">
        <v>13</v>
      </c>
      <c r="J45" s="7" t="n">
        <f aca="false">COUNTIFS('Contenu des kits'!$B$2:$B$1856,B45,'Contenu des kits'!$C$2:$C$1856,C45,'Contenu des kits'!$N$2:$N$1856,"MANQUE")</f>
        <v>1</v>
      </c>
      <c r="K45" s="9" t="str">
        <f aca="false">IF(AND(F45&lt;F46,F46&lt;F47),"OK","À REVOIR")</f>
        <v>OK</v>
      </c>
      <c r="L45" s="8" t="n">
        <f aca="false">SUMIFS('Contenu des kits'!$S$2:$S$1856,'Contenu des kits'!$B$2:$B$1856,B45,'Contenu des kits'!$C$2:$C$1856,C45)</f>
        <v>5470</v>
      </c>
      <c r="M45" s="8" t="n">
        <f aca="false">SUMIFS('Contenu des kits'!$T$2:$T$1856,'Contenu des kits'!$B$2:$B$1856,B45,'Contenu des kits'!$C$2:$C$1856,C45)</f>
        <v>3000</v>
      </c>
      <c r="N45" s="10" t="n">
        <f aca="false">IF(F45-O45=0,"",M45/(F45-O45))</f>
        <v>0.354191263282172</v>
      </c>
      <c r="O45" s="8" t="n">
        <f aca="false">SUMIFS('Contenu des kits'!$U$2:$U$1856,'Contenu des kits'!$B$2:$B$1856,B45,'Contenu des kits'!$C$2:$C$1856,C45)</f>
        <v>7700</v>
      </c>
    </row>
    <row r="46" customFormat="false" ht="15" hidden="false" customHeight="false" outlineLevel="0" collapsed="false">
      <c r="A46" s="7" t="s">
        <v>60</v>
      </c>
      <c r="B46" s="7" t="s">
        <v>62</v>
      </c>
      <c r="C46" s="7" t="s">
        <v>49</v>
      </c>
      <c r="D46" s="7" t="n">
        <v>41</v>
      </c>
      <c r="E46" s="8" t="n">
        <v>29050</v>
      </c>
      <c r="F46" s="8" t="n">
        <f aca="false">SUMIFS('Contenu des kits'!$M$2:$M$1856,'Contenu des kits'!$B$2:$B$1856,B46,'Contenu des kits'!$C$2:$C$1856,C46)</f>
        <v>65430</v>
      </c>
      <c r="G46" s="8" t="n">
        <f aca="false">IF(E46="","",F46-E46)</f>
        <v>36380</v>
      </c>
      <c r="H46" s="7" t="n">
        <f aca="false">COUNTIFS('Contenu des kits'!$B$2:$B$1856,B46,'Contenu des kits'!$C$2:$C$1856,C46,'Contenu des kits'!$L$2:$L$1856,"Oui",'Contenu des kits'!$K$2:$K$1856,"Principal")</f>
        <v>31</v>
      </c>
      <c r="I46" s="7" t="n">
        <v>18</v>
      </c>
      <c r="J46" s="7" t="n">
        <f aca="false">COUNTIFS('Contenu des kits'!$B$2:$B$1856,B46,'Contenu des kits'!$C$2:$C$1856,C46,'Contenu des kits'!$N$2:$N$1856,"MANQUE")</f>
        <v>1</v>
      </c>
      <c r="K46" s="7"/>
      <c r="L46" s="8" t="n">
        <f aca="false">SUMIFS('Contenu des kits'!$S$2:$S$1856,'Contenu des kits'!$B$2:$B$1856,B46,'Contenu des kits'!$C$2:$C$1856,C46)</f>
        <v>43340</v>
      </c>
      <c r="M46" s="8" t="n">
        <f aca="false">SUMIFS('Contenu des kits'!$T$2:$T$1856,'Contenu des kits'!$B$2:$B$1856,B46,'Contenu des kits'!$C$2:$C$1856,C46)</f>
        <v>14190</v>
      </c>
      <c r="N46" s="10" t="n">
        <f aca="false">IF(F46-O46=0,"",M46/(F46-O46))</f>
        <v>0.246653919694073</v>
      </c>
      <c r="O46" s="8" t="n">
        <f aca="false">SUMIFS('Contenu des kits'!$U$2:$U$1856,'Contenu des kits'!$B$2:$B$1856,B46,'Contenu des kits'!$C$2:$C$1856,C46)</f>
        <v>7900</v>
      </c>
    </row>
    <row r="47" customFormat="false" ht="15" hidden="false" customHeight="false" outlineLevel="0" collapsed="false">
      <c r="A47" s="7" t="s">
        <v>60</v>
      </c>
      <c r="B47" s="7" t="s">
        <v>62</v>
      </c>
      <c r="C47" s="7" t="s">
        <v>50</v>
      </c>
      <c r="D47" s="7" t="n">
        <v>42</v>
      </c>
      <c r="E47" s="8" t="n">
        <v>60080</v>
      </c>
      <c r="F47" s="8" t="n">
        <f aca="false">SUMIFS('Contenu des kits'!$M$2:$M$1856,'Contenu des kits'!$B$2:$B$1856,B47,'Contenu des kits'!$C$2:$C$1856,C47)</f>
        <v>80290</v>
      </c>
      <c r="G47" s="8" t="n">
        <f aca="false">IF(E47="","",F47-E47)</f>
        <v>20210</v>
      </c>
      <c r="H47" s="7" t="n">
        <f aca="false">COUNTIFS('Contenu des kits'!$B$2:$B$1856,B47,'Contenu des kits'!$C$2:$C$1856,C47,'Contenu des kits'!$L$2:$L$1856,"Oui",'Contenu des kits'!$K$2:$K$1856,"Principal")</f>
        <v>35</v>
      </c>
      <c r="I47" s="7" t="n">
        <v>26</v>
      </c>
      <c r="J47" s="7" t="n">
        <f aca="false">COUNTIFS('Contenu des kits'!$B$2:$B$1856,B47,'Contenu des kits'!$C$2:$C$1856,C47,'Contenu des kits'!$N$2:$N$1856,"MANQUE")</f>
        <v>2</v>
      </c>
      <c r="K47" s="7"/>
      <c r="L47" s="8" t="n">
        <f aca="false">SUMIFS('Contenu des kits'!$S$2:$S$1856,'Contenu des kits'!$B$2:$B$1856,B47,'Contenu des kits'!$C$2:$C$1856,C47)</f>
        <v>54000</v>
      </c>
      <c r="M47" s="8" t="n">
        <f aca="false">SUMIFS('Contenu des kits'!$T$2:$T$1856,'Contenu des kits'!$B$2:$B$1856,B47,'Contenu des kits'!$C$2:$C$1856,C47)</f>
        <v>18390</v>
      </c>
      <c r="N47" s="10" t="n">
        <f aca="false">IF(F47-O47=0,"",M47/(F47-O47))</f>
        <v>0.254040613344385</v>
      </c>
      <c r="O47" s="8" t="n">
        <f aca="false">SUMIFS('Contenu des kits'!$U$2:$U$1856,'Contenu des kits'!$B$2:$B$1856,B47,'Contenu des kits'!$C$2:$C$1856,C47)</f>
        <v>7900</v>
      </c>
    </row>
    <row r="49" customFormat="false" ht="15" hidden="false" customHeight="false" outlineLevel="0" collapsed="false">
      <c r="A49" s="7" t="s">
        <v>60</v>
      </c>
      <c r="B49" s="7" t="s">
        <v>63</v>
      </c>
      <c r="C49" s="7" t="s">
        <v>48</v>
      </c>
      <c r="D49" s="7" t="n">
        <v>43</v>
      </c>
      <c r="E49" s="8" t="n">
        <v>13000</v>
      </c>
      <c r="F49" s="8" t="n">
        <f aca="false">SUMIFS('Contenu des kits'!$M$2:$M$1856,'Contenu des kits'!$B$2:$B$1856,B49,'Contenu des kits'!$C$2:$C$1856,C49)</f>
        <v>16720</v>
      </c>
      <c r="G49" s="8" t="n">
        <f aca="false">IF(E49="","",F49-E49)</f>
        <v>3720</v>
      </c>
      <c r="H49" s="7" t="n">
        <f aca="false">COUNTIFS('Contenu des kits'!$B$2:$B$1856,B49,'Contenu des kits'!$C$2:$C$1856,C49,'Contenu des kits'!$L$2:$L$1856,"Oui",'Contenu des kits'!$K$2:$K$1856,"Principal")</f>
        <v>16</v>
      </c>
      <c r="I49" s="7" t="n">
        <v>13</v>
      </c>
      <c r="J49" s="7" t="n">
        <f aca="false">COUNTIFS('Contenu des kits'!$B$2:$B$1856,B49,'Contenu des kits'!$C$2:$C$1856,C49,'Contenu des kits'!$N$2:$N$1856,"MANQUE")</f>
        <v>1</v>
      </c>
      <c r="K49" s="9" t="str">
        <f aca="false">IF(AND(F49&lt;F50,F50&lt;F51),"OK","À REVOIR")</f>
        <v>OK</v>
      </c>
      <c r="L49" s="8" t="n">
        <f aca="false">SUMIFS('Contenu des kits'!$S$2:$S$1856,'Contenu des kits'!$B$2:$B$1856,B49,'Contenu des kits'!$C$2:$C$1856,C49)</f>
        <v>7020</v>
      </c>
      <c r="M49" s="8" t="n">
        <f aca="false">SUMIFS('Contenu des kits'!$T$2:$T$1856,'Contenu des kits'!$B$2:$B$1856,B49,'Contenu des kits'!$C$2:$C$1856,C49)</f>
        <v>3400</v>
      </c>
      <c r="N49" s="10" t="n">
        <f aca="false">IF(F49-O49=0,"",M49/(F49-O49))</f>
        <v>0.326295585412668</v>
      </c>
      <c r="O49" s="8" t="n">
        <f aca="false">SUMIFS('Contenu des kits'!$U$2:$U$1856,'Contenu des kits'!$B$2:$B$1856,B49,'Contenu des kits'!$C$2:$C$1856,C49)</f>
        <v>6300</v>
      </c>
    </row>
    <row r="50" customFormat="false" ht="15" hidden="false" customHeight="false" outlineLevel="0" collapsed="false">
      <c r="A50" s="7" t="s">
        <v>60</v>
      </c>
      <c r="B50" s="7" t="s">
        <v>63</v>
      </c>
      <c r="C50" s="7" t="s">
        <v>49</v>
      </c>
      <c r="D50" s="7" t="n">
        <v>44</v>
      </c>
      <c r="E50" s="8" t="n">
        <v>37500</v>
      </c>
      <c r="F50" s="8" t="n">
        <f aca="false">SUMIFS('Contenu des kits'!$M$2:$M$1856,'Contenu des kits'!$B$2:$B$1856,B50,'Contenu des kits'!$C$2:$C$1856,C50)</f>
        <v>74730</v>
      </c>
      <c r="G50" s="8" t="n">
        <f aca="false">IF(E50="","",F50-E50)</f>
        <v>37230</v>
      </c>
      <c r="H50" s="7" t="n">
        <f aca="false">COUNTIFS('Contenu des kits'!$B$2:$B$1856,B50,'Contenu des kits'!$C$2:$C$1856,C50,'Contenu des kits'!$L$2:$L$1856,"Oui",'Contenu des kits'!$K$2:$K$1856,"Principal")</f>
        <v>33</v>
      </c>
      <c r="I50" s="7" t="n">
        <v>19</v>
      </c>
      <c r="J50" s="7" t="n">
        <f aca="false">COUNTIFS('Contenu des kits'!$B$2:$B$1856,B50,'Contenu des kits'!$C$2:$C$1856,C50,'Contenu des kits'!$N$2:$N$1856,"MANQUE")</f>
        <v>2</v>
      </c>
      <c r="K50" s="7"/>
      <c r="L50" s="8" t="n">
        <f aca="false">SUMIFS('Contenu des kits'!$S$2:$S$1856,'Contenu des kits'!$B$2:$B$1856,B50,'Contenu des kits'!$C$2:$C$1856,C50)</f>
        <v>51040</v>
      </c>
      <c r="M50" s="8" t="n">
        <f aca="false">SUMIFS('Contenu des kits'!$T$2:$T$1856,'Contenu des kits'!$B$2:$B$1856,B50,'Contenu des kits'!$C$2:$C$1856,C50)</f>
        <v>16290</v>
      </c>
      <c r="N50" s="10" t="n">
        <f aca="false">IF(F50-O50=0,"",M50/(F50-O50))</f>
        <v>0.241942670429229</v>
      </c>
      <c r="O50" s="8" t="n">
        <f aca="false">SUMIFS('Contenu des kits'!$U$2:$U$1856,'Contenu des kits'!$B$2:$B$1856,B50,'Contenu des kits'!$C$2:$C$1856,C50)</f>
        <v>7400</v>
      </c>
    </row>
    <row r="51" customFormat="false" ht="15" hidden="false" customHeight="false" outlineLevel="0" collapsed="false">
      <c r="A51" s="7" t="s">
        <v>60</v>
      </c>
      <c r="B51" s="7" t="s">
        <v>63</v>
      </c>
      <c r="C51" s="7" t="s">
        <v>50</v>
      </c>
      <c r="D51" s="7" t="n">
        <v>45</v>
      </c>
      <c r="E51" s="8" t="n">
        <v>75520</v>
      </c>
      <c r="F51" s="8" t="n">
        <f aca="false">SUMIFS('Contenu des kits'!$M$2:$M$1856,'Contenu des kits'!$B$2:$B$1856,B51,'Contenu des kits'!$C$2:$C$1856,C51)</f>
        <v>89620</v>
      </c>
      <c r="G51" s="8" t="n">
        <f aca="false">IF(E51="","",F51-E51)</f>
        <v>14100</v>
      </c>
      <c r="H51" s="7" t="n">
        <f aca="false">COUNTIFS('Contenu des kits'!$B$2:$B$1856,B51,'Contenu des kits'!$C$2:$C$1856,C51,'Contenu des kits'!$L$2:$L$1856,"Oui",'Contenu des kits'!$K$2:$K$1856,"Principal")</f>
        <v>37</v>
      </c>
      <c r="I51" s="7" t="n">
        <v>29</v>
      </c>
      <c r="J51" s="7" t="n">
        <f aca="false">COUNTIFS('Contenu des kits'!$B$2:$B$1856,B51,'Contenu des kits'!$C$2:$C$1856,C51,'Contenu des kits'!$N$2:$N$1856,"MANQUE")</f>
        <v>4</v>
      </c>
      <c r="K51" s="7"/>
      <c r="L51" s="8" t="n">
        <f aca="false">SUMIFS('Contenu des kits'!$S$2:$S$1856,'Contenu des kits'!$B$2:$B$1856,B51,'Contenu des kits'!$C$2:$C$1856,C51)</f>
        <v>61730</v>
      </c>
      <c r="M51" s="8" t="n">
        <f aca="false">SUMIFS('Contenu des kits'!$T$2:$T$1856,'Contenu des kits'!$B$2:$B$1856,B51,'Contenu des kits'!$C$2:$C$1856,C51)</f>
        <v>20490</v>
      </c>
      <c r="N51" s="10" t="n">
        <f aca="false">IF(F51-O51=0,"",M51/(F51-O51))</f>
        <v>0.249209438092921</v>
      </c>
      <c r="O51" s="8" t="n">
        <f aca="false">SUMIFS('Contenu des kits'!$U$2:$U$1856,'Contenu des kits'!$B$2:$B$1856,B51,'Contenu des kits'!$C$2:$C$1856,C51)</f>
        <v>7400</v>
      </c>
    </row>
    <row r="53" customFormat="false" ht="15" hidden="false" customHeight="false" outlineLevel="0" collapsed="false">
      <c r="A53" s="7" t="s">
        <v>60</v>
      </c>
      <c r="B53" s="7" t="s">
        <v>64</v>
      </c>
      <c r="C53" s="7" t="s">
        <v>48</v>
      </c>
      <c r="D53" s="7" t="n">
        <v>46</v>
      </c>
      <c r="E53" s="8" t="n">
        <v>13000</v>
      </c>
      <c r="F53" s="8" t="n">
        <f aca="false">SUMIFS('Contenu des kits'!$M$2:$M$1856,'Contenu des kits'!$B$2:$B$1856,B53,'Contenu des kits'!$C$2:$C$1856,C53)</f>
        <v>17570</v>
      </c>
      <c r="G53" s="8" t="n">
        <f aca="false">IF(E53="","",F53-E53)</f>
        <v>4570</v>
      </c>
      <c r="H53" s="7" t="n">
        <f aca="false">COUNTIFS('Contenu des kits'!$B$2:$B$1856,B53,'Contenu des kits'!$C$2:$C$1856,C53,'Contenu des kits'!$L$2:$L$1856,"Oui",'Contenu des kits'!$K$2:$K$1856,"Principal")</f>
        <v>16</v>
      </c>
      <c r="I53" s="7" t="n">
        <v>13</v>
      </c>
      <c r="J53" s="7" t="n">
        <f aca="false">COUNTIFS('Contenu des kits'!$B$2:$B$1856,B53,'Contenu des kits'!$C$2:$C$1856,C53,'Contenu des kits'!$N$2:$N$1856,"MANQUE")</f>
        <v>2</v>
      </c>
      <c r="K53" s="9" t="str">
        <f aca="false">IF(AND(F53&lt;F54,F54&lt;F55),"OK","À REVOIR")</f>
        <v>OK</v>
      </c>
      <c r="L53" s="8" t="n">
        <f aca="false">SUMIFS('Contenu des kits'!$S$2:$S$1856,'Contenu des kits'!$B$2:$B$1856,B53,'Contenu des kits'!$C$2:$C$1856,C53)</f>
        <v>7070</v>
      </c>
      <c r="M53" s="8" t="n">
        <f aca="false">SUMIFS('Contenu des kits'!$T$2:$T$1856,'Contenu des kits'!$B$2:$B$1856,B53,'Contenu des kits'!$C$2:$C$1856,C53)</f>
        <v>3400</v>
      </c>
      <c r="N53" s="10" t="n">
        <f aca="false">IF(F53-O53=0,"",M53/(F53-O53))</f>
        <v>0.324737344794651</v>
      </c>
      <c r="O53" s="8" t="n">
        <f aca="false">SUMIFS('Contenu des kits'!$U$2:$U$1856,'Contenu des kits'!$B$2:$B$1856,B53,'Contenu des kits'!$C$2:$C$1856,C53)</f>
        <v>7100</v>
      </c>
    </row>
    <row r="54" customFormat="false" ht="15" hidden="false" customHeight="false" outlineLevel="0" collapsed="false">
      <c r="A54" s="7" t="s">
        <v>60</v>
      </c>
      <c r="B54" s="7" t="s">
        <v>64</v>
      </c>
      <c r="C54" s="7" t="s">
        <v>49</v>
      </c>
      <c r="D54" s="7" t="n">
        <v>47</v>
      </c>
      <c r="E54" s="8" t="n">
        <v>40300</v>
      </c>
      <c r="F54" s="8" t="n">
        <f aca="false">SUMIFS('Contenu des kits'!$M$2:$M$1856,'Contenu des kits'!$B$2:$B$1856,B54,'Contenu des kits'!$C$2:$C$1856,C54)</f>
        <v>85810</v>
      </c>
      <c r="G54" s="8" t="n">
        <f aca="false">IF(E54="","",F54-E54)</f>
        <v>45510</v>
      </c>
      <c r="H54" s="7" t="n">
        <f aca="false">COUNTIFS('Contenu des kits'!$B$2:$B$1856,B54,'Contenu des kits'!$C$2:$C$1856,C54,'Contenu des kits'!$L$2:$L$1856,"Oui",'Contenu des kits'!$K$2:$K$1856,"Principal")</f>
        <v>34</v>
      </c>
      <c r="I54" s="7" t="n">
        <v>20</v>
      </c>
      <c r="J54" s="7" t="n">
        <f aca="false">COUNTIFS('Contenu des kits'!$B$2:$B$1856,B54,'Contenu des kits'!$C$2:$C$1856,C54,'Contenu des kits'!$N$2:$N$1856,"MANQUE")</f>
        <v>3</v>
      </c>
      <c r="K54" s="7"/>
      <c r="L54" s="8" t="n">
        <f aca="false">SUMIFS('Contenu des kits'!$S$2:$S$1856,'Contenu des kits'!$B$2:$B$1856,B54,'Contenu des kits'!$C$2:$C$1856,C54)</f>
        <v>60520</v>
      </c>
      <c r="M54" s="8" t="n">
        <f aca="false">SUMIFS('Contenu des kits'!$T$2:$T$1856,'Contenu des kits'!$B$2:$B$1856,B54,'Contenu des kits'!$C$2:$C$1856,C54)</f>
        <v>18890</v>
      </c>
      <c r="N54" s="10" t="n">
        <f aca="false">IF(F54-O54=0,"",M54/(F54-O54))</f>
        <v>0.23787936028208</v>
      </c>
      <c r="O54" s="8" t="n">
        <f aca="false">SUMIFS('Contenu des kits'!$U$2:$U$1856,'Contenu des kits'!$B$2:$B$1856,B54,'Contenu des kits'!$C$2:$C$1856,C54)</f>
        <v>6400</v>
      </c>
    </row>
    <row r="55" customFormat="false" ht="15" hidden="false" customHeight="false" outlineLevel="0" collapsed="false">
      <c r="A55" s="7" t="s">
        <v>60</v>
      </c>
      <c r="B55" s="7" t="s">
        <v>64</v>
      </c>
      <c r="C55" s="7" t="s">
        <v>50</v>
      </c>
      <c r="D55" s="7" t="n">
        <v>48</v>
      </c>
      <c r="E55" s="8" t="n">
        <v>92420</v>
      </c>
      <c r="F55" s="8" t="n">
        <f aca="false">SUMIFS('Contenu des kits'!$M$2:$M$1856,'Contenu des kits'!$B$2:$B$1856,B55,'Contenu des kits'!$C$2:$C$1856,C55)</f>
        <v>112670</v>
      </c>
      <c r="G55" s="8" t="n">
        <f aca="false">IF(E55="","",F55-E55)</f>
        <v>20250</v>
      </c>
      <c r="H55" s="7" t="n">
        <f aca="false">COUNTIFS('Contenu des kits'!$B$2:$B$1856,B55,'Contenu des kits'!$C$2:$C$1856,C55,'Contenu des kits'!$L$2:$L$1856,"Oui",'Contenu des kits'!$K$2:$K$1856,"Principal")</f>
        <v>39</v>
      </c>
      <c r="I55" s="7" t="n">
        <v>32</v>
      </c>
      <c r="J55" s="7" t="n">
        <f aca="false">COUNTIFS('Contenu des kits'!$B$2:$B$1856,B55,'Contenu des kits'!$C$2:$C$1856,C55,'Contenu des kits'!$N$2:$N$1856,"MANQUE")</f>
        <v>4</v>
      </c>
      <c r="K55" s="7"/>
      <c r="L55" s="8" t="n">
        <f aca="false">SUMIFS('Contenu des kits'!$S$2:$S$1856,'Contenu des kits'!$B$2:$B$1856,B55,'Contenu des kits'!$C$2:$C$1856,C55)</f>
        <v>81180</v>
      </c>
      <c r="M55" s="8" t="n">
        <f aca="false">SUMIFS('Contenu des kits'!$T$2:$T$1856,'Contenu des kits'!$B$2:$B$1856,B55,'Contenu des kits'!$C$2:$C$1856,C55)</f>
        <v>25090</v>
      </c>
      <c r="N55" s="10" t="n">
        <f aca="false">IF(F55-O55=0,"",M55/(F55-O55))</f>
        <v>0.236096734732286</v>
      </c>
      <c r="O55" s="8" t="n">
        <f aca="false">SUMIFS('Contenu des kits'!$U$2:$U$1856,'Contenu des kits'!$B$2:$B$1856,B55,'Contenu des kits'!$C$2:$C$1856,C55)</f>
        <v>6400</v>
      </c>
    </row>
    <row r="57" customFormat="false" ht="15" hidden="false" customHeight="false" outlineLevel="0" collapsed="false">
      <c r="A57" s="7" t="s">
        <v>65</v>
      </c>
      <c r="B57" s="7" t="s">
        <v>66</v>
      </c>
      <c r="C57" s="7" t="s">
        <v>48</v>
      </c>
      <c r="D57" s="7" t="n">
        <v>49</v>
      </c>
      <c r="E57" s="8" t="n">
        <v>8350</v>
      </c>
      <c r="F57" s="8" t="n">
        <f aca="false">SUMIFS('Contenu des kits'!$M$2:$M$1856,'Contenu des kits'!$B$2:$B$1856,B57,'Contenu des kits'!$C$2:$C$1856,C57)</f>
        <v>14470</v>
      </c>
      <c r="G57" s="8" t="n">
        <f aca="false">IF(E57="","",F57-E57)</f>
        <v>6120</v>
      </c>
      <c r="H57" s="7" t="n">
        <f aca="false">COUNTIFS('Contenu des kits'!$B$2:$B$1856,B57,'Contenu des kits'!$C$2:$C$1856,C57,'Contenu des kits'!$L$2:$L$1856,"Oui",'Contenu des kits'!$K$2:$K$1856,"Principal")</f>
        <v>15</v>
      </c>
      <c r="I57" s="7" t="n">
        <v>10</v>
      </c>
      <c r="J57" s="7" t="n">
        <f aca="false">COUNTIFS('Contenu des kits'!$B$2:$B$1856,B57,'Contenu des kits'!$C$2:$C$1856,C57,'Contenu des kits'!$N$2:$N$1856,"MANQUE")</f>
        <v>1</v>
      </c>
      <c r="K57" s="9" t="str">
        <f aca="false">IF(AND(F57&lt;F58,F58&lt;F59),"OK","À REVOIR")</f>
        <v>OK</v>
      </c>
      <c r="L57" s="8" t="n">
        <f aca="false">SUMIFS('Contenu des kits'!$S$2:$S$1856,'Contenu des kits'!$B$2:$B$1856,B57,'Contenu des kits'!$C$2:$C$1856,C57)</f>
        <v>3820</v>
      </c>
      <c r="M57" s="8" t="n">
        <f aca="false">SUMIFS('Contenu des kits'!$T$2:$T$1856,'Contenu des kits'!$B$2:$B$1856,B57,'Contenu des kits'!$C$2:$C$1856,C57)</f>
        <v>1150</v>
      </c>
      <c r="N57" s="10" t="n">
        <f aca="false">IF(F57-O57=0,"",M57/(F57-O57))</f>
        <v>0.231388329979879</v>
      </c>
      <c r="O57" s="8" t="n">
        <f aca="false">SUMIFS('Contenu des kits'!$U$2:$U$1856,'Contenu des kits'!$B$2:$B$1856,B57,'Contenu des kits'!$C$2:$C$1856,C57)</f>
        <v>9500</v>
      </c>
    </row>
    <row r="58" customFormat="false" ht="15" hidden="false" customHeight="false" outlineLevel="0" collapsed="false">
      <c r="A58" s="7" t="s">
        <v>65</v>
      </c>
      <c r="B58" s="7" t="s">
        <v>66</v>
      </c>
      <c r="C58" s="7" t="s">
        <v>49</v>
      </c>
      <c r="D58" s="7" t="n">
        <v>50</v>
      </c>
      <c r="E58" s="8" t="n">
        <v>21700</v>
      </c>
      <c r="F58" s="8" t="n">
        <f aca="false">SUMIFS('Contenu des kits'!$M$2:$M$1856,'Contenu des kits'!$B$2:$B$1856,B58,'Contenu des kits'!$C$2:$C$1856,C58)</f>
        <v>42850</v>
      </c>
      <c r="G58" s="8" t="n">
        <f aca="false">IF(E58="","",F58-E58)</f>
        <v>21150</v>
      </c>
      <c r="H58" s="7" t="n">
        <f aca="false">COUNTIFS('Contenu des kits'!$B$2:$B$1856,B58,'Contenu des kits'!$C$2:$C$1856,C58,'Contenu des kits'!$L$2:$L$1856,"Oui",'Contenu des kits'!$K$2:$K$1856,"Principal")</f>
        <v>23</v>
      </c>
      <c r="I58" s="7" t="n">
        <v>13</v>
      </c>
      <c r="J58" s="7" t="n">
        <f aca="false">COUNTIFS('Contenu des kits'!$B$2:$B$1856,B58,'Contenu des kits'!$C$2:$C$1856,C58,'Contenu des kits'!$N$2:$N$1856,"MANQUE")</f>
        <v>3</v>
      </c>
      <c r="K58" s="7"/>
      <c r="L58" s="8" t="n">
        <f aca="false">SUMIFS('Contenu des kits'!$S$2:$S$1856,'Contenu des kits'!$B$2:$B$1856,B58,'Contenu des kits'!$C$2:$C$1856,C58)</f>
        <v>27760</v>
      </c>
      <c r="M58" s="8" t="n">
        <f aca="false">SUMIFS('Contenu des kits'!$T$2:$T$1856,'Contenu des kits'!$B$2:$B$1856,B58,'Contenu des kits'!$C$2:$C$1856,C58)</f>
        <v>8190</v>
      </c>
      <c r="N58" s="10" t="n">
        <f aca="false">IF(F58-O58=0,"",M58/(F58-O58))</f>
        <v>0.227816411682893</v>
      </c>
      <c r="O58" s="8" t="n">
        <f aca="false">SUMIFS('Contenu des kits'!$U$2:$U$1856,'Contenu des kits'!$B$2:$B$1856,B58,'Contenu des kits'!$C$2:$C$1856,C58)</f>
        <v>6900</v>
      </c>
    </row>
    <row r="59" customFormat="false" ht="15" hidden="false" customHeight="false" outlineLevel="0" collapsed="false">
      <c r="A59" s="7" t="s">
        <v>65</v>
      </c>
      <c r="B59" s="7" t="s">
        <v>66</v>
      </c>
      <c r="C59" s="7" t="s">
        <v>50</v>
      </c>
      <c r="D59" s="7" t="n">
        <v>51</v>
      </c>
      <c r="E59" s="8" t="n">
        <v>36770</v>
      </c>
      <c r="F59" s="8" t="n">
        <f aca="false">SUMIFS('Contenu des kits'!$M$2:$M$1856,'Contenu des kits'!$B$2:$B$1856,B59,'Contenu des kits'!$C$2:$C$1856,C59)</f>
        <v>49200</v>
      </c>
      <c r="G59" s="8" t="n">
        <f aca="false">IF(E59="","",F59-E59)</f>
        <v>12430</v>
      </c>
      <c r="H59" s="7" t="n">
        <f aca="false">COUNTIFS('Contenu des kits'!$B$2:$B$1856,B59,'Contenu des kits'!$C$2:$C$1856,C59,'Contenu des kits'!$L$2:$L$1856,"Oui",'Contenu des kits'!$K$2:$K$1856,"Principal")</f>
        <v>25</v>
      </c>
      <c r="I59" s="7" t="n">
        <v>18</v>
      </c>
      <c r="J59" s="7" t="n">
        <f aca="false">COUNTIFS('Contenu des kits'!$B$2:$B$1856,B59,'Contenu des kits'!$C$2:$C$1856,C59,'Contenu des kits'!$N$2:$N$1856,"MANQUE")</f>
        <v>3</v>
      </c>
      <c r="K59" s="7"/>
      <c r="L59" s="8" t="n">
        <f aca="false">SUMIFS('Contenu des kits'!$S$2:$S$1856,'Contenu des kits'!$B$2:$B$1856,B59,'Contenu des kits'!$C$2:$C$1856,C59)</f>
        <v>32210</v>
      </c>
      <c r="M59" s="8" t="n">
        <f aca="false">SUMIFS('Contenu des kits'!$T$2:$T$1856,'Contenu des kits'!$B$2:$B$1856,B59,'Contenu des kits'!$C$2:$C$1856,C59)</f>
        <v>10090</v>
      </c>
      <c r="N59" s="10" t="n">
        <f aca="false">IF(F59-O59=0,"",M59/(F59-O59))</f>
        <v>0.238534278959811</v>
      </c>
      <c r="O59" s="8" t="n">
        <f aca="false">SUMIFS('Contenu des kits'!$U$2:$U$1856,'Contenu des kits'!$B$2:$B$1856,B59,'Contenu des kits'!$C$2:$C$1856,C59)</f>
        <v>6900</v>
      </c>
    </row>
    <row r="61" customFormat="false" ht="15" hidden="false" customHeight="false" outlineLevel="0" collapsed="false">
      <c r="A61" s="7" t="s">
        <v>65</v>
      </c>
      <c r="B61" s="7" t="s">
        <v>67</v>
      </c>
      <c r="C61" s="7" t="s">
        <v>48</v>
      </c>
      <c r="D61" s="7" t="n">
        <v>52</v>
      </c>
      <c r="E61" s="8" t="n">
        <v>14950</v>
      </c>
      <c r="F61" s="8" t="n">
        <f aca="false">SUMIFS('Contenu des kits'!$M$2:$M$1856,'Contenu des kits'!$B$2:$B$1856,B61,'Contenu des kits'!$C$2:$C$1856,C61)</f>
        <v>20970</v>
      </c>
      <c r="G61" s="8" t="n">
        <f aca="false">IF(E61="","",F61-E61)</f>
        <v>6020</v>
      </c>
      <c r="H61" s="7" t="n">
        <f aca="false">COUNTIFS('Contenu des kits'!$B$2:$B$1856,B61,'Contenu des kits'!$C$2:$C$1856,C61,'Contenu des kits'!$L$2:$L$1856,"Oui",'Contenu des kits'!$K$2:$K$1856,"Principal")</f>
        <v>16</v>
      </c>
      <c r="I61" s="7" t="n">
        <v>13</v>
      </c>
      <c r="J61" s="7" t="n">
        <f aca="false">COUNTIFS('Contenu des kits'!$B$2:$B$1856,B61,'Contenu des kits'!$C$2:$C$1856,C61,'Contenu des kits'!$N$2:$N$1856,"MANQUE")</f>
        <v>4</v>
      </c>
      <c r="K61" s="9" t="str">
        <f aca="false">IF(AND(F61&lt;F62,F62&lt;F63),"OK","À REVOIR")</f>
        <v>OK</v>
      </c>
      <c r="L61" s="8" t="n">
        <f aca="false">SUMIFS('Contenu des kits'!$S$2:$S$1856,'Contenu des kits'!$B$2:$B$1856,B61,'Contenu des kits'!$C$2:$C$1856,C61)</f>
        <v>7870</v>
      </c>
      <c r="M61" s="8" t="n">
        <f aca="false">SUMIFS('Contenu des kits'!$T$2:$T$1856,'Contenu des kits'!$B$2:$B$1856,B61,'Contenu des kits'!$C$2:$C$1856,C61)</f>
        <v>2300</v>
      </c>
      <c r="N61" s="10" t="n">
        <f aca="false">IF(F61-O61=0,"",M61/(F61-O61))</f>
        <v>0.226155358898722</v>
      </c>
      <c r="O61" s="8" t="n">
        <f aca="false">SUMIFS('Contenu des kits'!$U$2:$U$1856,'Contenu des kits'!$B$2:$B$1856,B61,'Contenu des kits'!$C$2:$C$1856,C61)</f>
        <v>10800</v>
      </c>
    </row>
    <row r="62" customFormat="false" ht="15" hidden="false" customHeight="false" outlineLevel="0" collapsed="false">
      <c r="A62" s="7" t="s">
        <v>65</v>
      </c>
      <c r="B62" s="7" t="s">
        <v>67</v>
      </c>
      <c r="C62" s="7" t="s">
        <v>49</v>
      </c>
      <c r="D62" s="7" t="n">
        <v>53</v>
      </c>
      <c r="E62" s="8" t="n">
        <v>33350</v>
      </c>
      <c r="F62" s="8" t="n">
        <f aca="false">SUMIFS('Contenu des kits'!$M$2:$M$1856,'Contenu des kits'!$B$2:$B$1856,B62,'Contenu des kits'!$C$2:$C$1856,C62)</f>
        <v>63860</v>
      </c>
      <c r="G62" s="8" t="n">
        <f aca="false">IF(E62="","",F62-E62)</f>
        <v>30510</v>
      </c>
      <c r="H62" s="7" t="n">
        <f aca="false">COUNTIFS('Contenu des kits'!$B$2:$B$1856,B62,'Contenu des kits'!$C$2:$C$1856,C62,'Contenu des kits'!$L$2:$L$1856,"Oui",'Contenu des kits'!$K$2:$K$1856,"Principal")</f>
        <v>27</v>
      </c>
      <c r="I62" s="7" t="n">
        <v>15</v>
      </c>
      <c r="J62" s="7" t="n">
        <f aca="false">COUNTIFS('Contenu des kits'!$B$2:$B$1856,B62,'Contenu des kits'!$C$2:$C$1856,C62,'Contenu des kits'!$N$2:$N$1856,"MANQUE")</f>
        <v>6</v>
      </c>
      <c r="K62" s="7"/>
      <c r="L62" s="8" t="n">
        <f aca="false">SUMIFS('Contenu des kits'!$S$2:$S$1856,'Contenu des kits'!$B$2:$B$1856,B62,'Contenu des kits'!$C$2:$C$1856,C62)</f>
        <v>43920</v>
      </c>
      <c r="M62" s="8" t="n">
        <f aca="false">SUMIFS('Contenu des kits'!$T$2:$T$1856,'Contenu des kits'!$B$2:$B$1856,B62,'Contenu des kits'!$C$2:$C$1856,C62)</f>
        <v>12640</v>
      </c>
      <c r="N62" s="10" t="n">
        <f aca="false">IF(F62-O62=0,"",M62/(F62-O62))</f>
        <v>0.223479490806223</v>
      </c>
      <c r="O62" s="8" t="n">
        <f aca="false">SUMIFS('Contenu des kits'!$U$2:$U$1856,'Contenu des kits'!$B$2:$B$1856,B62,'Contenu des kits'!$C$2:$C$1856,C62)</f>
        <v>7300</v>
      </c>
    </row>
    <row r="63" customFormat="false" ht="15" hidden="false" customHeight="false" outlineLevel="0" collapsed="false">
      <c r="A63" s="7" t="s">
        <v>65</v>
      </c>
      <c r="B63" s="7" t="s">
        <v>67</v>
      </c>
      <c r="C63" s="7" t="s">
        <v>50</v>
      </c>
      <c r="D63" s="7" t="n">
        <v>54</v>
      </c>
      <c r="E63" s="8" t="n">
        <v>92970</v>
      </c>
      <c r="F63" s="8" t="n">
        <f aca="false">SUMIFS('Contenu des kits'!$M$2:$M$1856,'Contenu des kits'!$B$2:$B$1856,B63,'Contenu des kits'!$C$2:$C$1856,C63)</f>
        <v>93120</v>
      </c>
      <c r="G63" s="8" t="n">
        <f aca="false">IF(E63="","",F63-E63)</f>
        <v>150</v>
      </c>
      <c r="H63" s="7" t="n">
        <f aca="false">COUNTIFS('Contenu des kits'!$B$2:$B$1856,B63,'Contenu des kits'!$C$2:$C$1856,C63,'Contenu des kits'!$L$2:$L$1856,"Oui",'Contenu des kits'!$K$2:$K$1856,"Principal")</f>
        <v>30</v>
      </c>
      <c r="I63" s="7" t="n">
        <v>25</v>
      </c>
      <c r="J63" s="7" t="n">
        <f aca="false">COUNTIFS('Contenu des kits'!$B$2:$B$1856,B63,'Contenu des kits'!$C$2:$C$1856,C63,'Contenu des kits'!$N$2:$N$1856,"MANQUE")</f>
        <v>9</v>
      </c>
      <c r="K63" s="7"/>
      <c r="L63" s="8" t="n">
        <f aca="false">SUMIFS('Contenu des kits'!$S$2:$S$1856,'Contenu des kits'!$B$2:$B$1856,B63,'Contenu des kits'!$C$2:$C$1856,C63)</f>
        <v>67030</v>
      </c>
      <c r="M63" s="8" t="n">
        <f aca="false">SUMIFS('Contenu des kits'!$T$2:$T$1856,'Contenu des kits'!$B$2:$B$1856,B63,'Contenu des kits'!$C$2:$C$1856,C63)</f>
        <v>18790</v>
      </c>
      <c r="N63" s="10" t="n">
        <f aca="false">IF(F63-O63=0,"",M63/(F63-O63))</f>
        <v>0.2189466324866</v>
      </c>
      <c r="O63" s="8" t="n">
        <f aca="false">SUMIFS('Contenu des kits'!$U$2:$U$1856,'Contenu des kits'!$B$2:$B$1856,B63,'Contenu des kits'!$C$2:$C$1856,C63)</f>
        <v>7300</v>
      </c>
    </row>
    <row r="65" customFormat="false" ht="15" hidden="false" customHeight="false" outlineLevel="0" collapsed="false">
      <c r="A65" s="7" t="s">
        <v>65</v>
      </c>
      <c r="B65" s="7" t="s">
        <v>68</v>
      </c>
      <c r="C65" s="7" t="s">
        <v>48</v>
      </c>
      <c r="D65" s="7" t="n">
        <v>511</v>
      </c>
      <c r="E65" s="8" t="n">
        <v>7950</v>
      </c>
      <c r="F65" s="8" t="n">
        <f aca="false">SUMIFS('Contenu des kits'!$M$2:$M$1856,'Contenu des kits'!$B$2:$B$1856,B65,'Contenu des kits'!$C$2:$C$1856,C65)</f>
        <v>14470</v>
      </c>
      <c r="G65" s="8" t="n">
        <f aca="false">IF(E65="","",F65-E65)</f>
        <v>6520</v>
      </c>
      <c r="H65" s="7" t="n">
        <f aca="false">COUNTIFS('Contenu des kits'!$B$2:$B$1856,B65,'Contenu des kits'!$C$2:$C$1856,C65,'Contenu des kits'!$L$2:$L$1856,"Oui",'Contenu des kits'!$K$2:$K$1856,"Principal")</f>
        <v>15</v>
      </c>
      <c r="I65" s="7" t="n">
        <v>10</v>
      </c>
      <c r="J65" s="7" t="n">
        <f aca="false">COUNTIFS('Contenu des kits'!$B$2:$B$1856,B65,'Contenu des kits'!$C$2:$C$1856,C65,'Contenu des kits'!$N$2:$N$1856,"MANQUE")</f>
        <v>0</v>
      </c>
      <c r="K65" s="9" t="str">
        <f aca="false">IF(AND(F65&lt;F66,F66&lt;F67),"OK","À REVOIR")</f>
        <v>OK</v>
      </c>
      <c r="L65" s="8" t="n">
        <f aca="false">SUMIFS('Contenu des kits'!$S$2:$S$1856,'Contenu des kits'!$B$2:$B$1856,B65,'Contenu des kits'!$C$2:$C$1856,C65)</f>
        <v>3820</v>
      </c>
      <c r="M65" s="8" t="n">
        <f aca="false">SUMIFS('Contenu des kits'!$T$2:$T$1856,'Contenu des kits'!$B$2:$B$1856,B65,'Contenu des kits'!$C$2:$C$1856,C65)</f>
        <v>1150</v>
      </c>
      <c r="N65" s="10" t="n">
        <f aca="false">IF(F65-O65=0,"",M65/(F65-O65))</f>
        <v>0.231388329979879</v>
      </c>
      <c r="O65" s="8" t="n">
        <f aca="false">SUMIFS('Contenu des kits'!$U$2:$U$1856,'Contenu des kits'!$B$2:$B$1856,B65,'Contenu des kits'!$C$2:$C$1856,C65)</f>
        <v>9500</v>
      </c>
    </row>
    <row r="66" customFormat="false" ht="15" hidden="false" customHeight="false" outlineLevel="0" collapsed="false">
      <c r="A66" s="7" t="s">
        <v>65</v>
      </c>
      <c r="B66" s="7" t="s">
        <v>68</v>
      </c>
      <c r="C66" s="7" t="s">
        <v>49</v>
      </c>
      <c r="D66" s="7" t="n">
        <v>512</v>
      </c>
      <c r="E66" s="8" t="n">
        <v>23400</v>
      </c>
      <c r="F66" s="8" t="n">
        <f aca="false">SUMIFS('Contenu des kits'!$M$2:$M$1856,'Contenu des kits'!$B$2:$B$1856,B66,'Contenu des kits'!$C$2:$C$1856,C66)</f>
        <v>48050</v>
      </c>
      <c r="G66" s="8" t="n">
        <f aca="false">IF(E66="","",F66-E66)</f>
        <v>24650</v>
      </c>
      <c r="H66" s="7" t="n">
        <f aca="false">COUNTIFS('Contenu des kits'!$B$2:$B$1856,B66,'Contenu des kits'!$C$2:$C$1856,C66,'Contenu des kits'!$L$2:$L$1856,"Oui",'Contenu des kits'!$K$2:$K$1856,"Principal")</f>
        <v>25</v>
      </c>
      <c r="I66" s="7" t="n">
        <v>14</v>
      </c>
      <c r="J66" s="7" t="n">
        <f aca="false">COUNTIFS('Contenu des kits'!$B$2:$B$1856,B66,'Contenu des kits'!$C$2:$C$1856,C66,'Contenu des kits'!$N$2:$N$1856,"MANQUE")</f>
        <v>1</v>
      </c>
      <c r="K66" s="7"/>
      <c r="L66" s="8" t="n">
        <f aca="false">SUMIFS('Contenu des kits'!$S$2:$S$1856,'Contenu des kits'!$B$2:$B$1856,B66,'Contenu des kits'!$C$2:$C$1856,C66)</f>
        <v>30960</v>
      </c>
      <c r="M66" s="8" t="n">
        <f aca="false">SUMIFS('Contenu des kits'!$T$2:$T$1856,'Contenu des kits'!$B$2:$B$1856,B66,'Contenu des kits'!$C$2:$C$1856,C66)</f>
        <v>10190</v>
      </c>
      <c r="N66" s="10" t="n">
        <f aca="false">IF(F66-O66=0,"",M66/(F66-O66))</f>
        <v>0.247630619684083</v>
      </c>
      <c r="O66" s="8" t="n">
        <f aca="false">SUMIFS('Contenu des kits'!$U$2:$U$1856,'Contenu des kits'!$B$2:$B$1856,B66,'Contenu des kits'!$C$2:$C$1856,C66)</f>
        <v>6900</v>
      </c>
    </row>
    <row r="67" customFormat="false" ht="15" hidden="false" customHeight="false" outlineLevel="0" collapsed="false">
      <c r="A67" s="7" t="s">
        <v>65</v>
      </c>
      <c r="B67" s="7" t="s">
        <v>68</v>
      </c>
      <c r="C67" s="7" t="s">
        <v>50</v>
      </c>
      <c r="D67" s="7" t="n">
        <v>513</v>
      </c>
      <c r="E67" s="8" t="n">
        <v>42670</v>
      </c>
      <c r="F67" s="8" t="n">
        <f aca="false">SUMIFS('Contenu des kits'!$M$2:$M$1856,'Contenu des kits'!$B$2:$B$1856,B67,'Contenu des kits'!$C$2:$C$1856,C67)</f>
        <v>57200</v>
      </c>
      <c r="G67" s="8" t="n">
        <f aca="false">IF(E67="","",F67-E67)</f>
        <v>14530</v>
      </c>
      <c r="H67" s="7" t="n">
        <f aca="false">COUNTIFS('Contenu des kits'!$B$2:$B$1856,B67,'Contenu des kits'!$C$2:$C$1856,C67,'Contenu des kits'!$L$2:$L$1856,"Oui",'Contenu des kits'!$K$2:$K$1856,"Principal")</f>
        <v>28</v>
      </c>
      <c r="I67" s="7" t="n">
        <v>20</v>
      </c>
      <c r="J67" s="7" t="n">
        <f aca="false">COUNTIFS('Contenu des kits'!$B$2:$B$1856,B67,'Contenu des kits'!$C$2:$C$1856,C67,'Contenu des kits'!$N$2:$N$1856,"MANQUE")</f>
        <v>2</v>
      </c>
      <c r="K67" s="7"/>
      <c r="L67" s="8" t="n">
        <f aca="false">SUMIFS('Contenu des kits'!$S$2:$S$1856,'Contenu des kits'!$B$2:$B$1856,B67,'Contenu des kits'!$C$2:$C$1856,C67)</f>
        <v>37210</v>
      </c>
      <c r="M67" s="8" t="n">
        <f aca="false">SUMIFS('Contenu des kits'!$T$2:$T$1856,'Contenu des kits'!$B$2:$B$1856,B67,'Contenu des kits'!$C$2:$C$1856,C67)</f>
        <v>13090</v>
      </c>
      <c r="N67" s="10" t="n">
        <f aca="false">IF(F67-O67=0,"",M67/(F67-O67))</f>
        <v>0.260238568588469</v>
      </c>
      <c r="O67" s="8" t="n">
        <f aca="false">SUMIFS('Contenu des kits'!$U$2:$U$1856,'Contenu des kits'!$B$2:$B$1856,B67,'Contenu des kits'!$C$2:$C$1856,C67)</f>
        <v>6900</v>
      </c>
    </row>
    <row r="69" customFormat="false" ht="15" hidden="false" customHeight="false" outlineLevel="0" collapsed="false">
      <c r="A69" s="7" t="s">
        <v>65</v>
      </c>
      <c r="B69" s="7" t="s">
        <v>69</v>
      </c>
      <c r="C69" s="7" t="s">
        <v>48</v>
      </c>
      <c r="D69" s="7" t="n">
        <v>514</v>
      </c>
      <c r="E69" s="8" t="n">
        <v>7450</v>
      </c>
      <c r="F69" s="8" t="n">
        <f aca="false">SUMIFS('Contenu des kits'!$M$2:$M$1856,'Contenu des kits'!$B$2:$B$1856,B69,'Contenu des kits'!$C$2:$C$1856,C69)</f>
        <v>14470</v>
      </c>
      <c r="G69" s="8" t="n">
        <f aca="false">IF(E69="","",F69-E69)</f>
        <v>7020</v>
      </c>
      <c r="H69" s="7" t="n">
        <f aca="false">COUNTIFS('Contenu des kits'!$B$2:$B$1856,B69,'Contenu des kits'!$C$2:$C$1856,C69,'Contenu des kits'!$L$2:$L$1856,"Oui",'Contenu des kits'!$K$2:$K$1856,"Principal")</f>
        <v>15</v>
      </c>
      <c r="I69" s="7" t="n">
        <v>10</v>
      </c>
      <c r="J69" s="7" t="n">
        <f aca="false">COUNTIFS('Contenu des kits'!$B$2:$B$1856,B69,'Contenu des kits'!$C$2:$C$1856,C69,'Contenu des kits'!$N$2:$N$1856,"MANQUE")</f>
        <v>0</v>
      </c>
      <c r="K69" s="9" t="str">
        <f aca="false">IF(AND(F69&lt;F70,F70&lt;F71),"OK","À REVOIR")</f>
        <v>OK</v>
      </c>
      <c r="L69" s="8" t="n">
        <f aca="false">SUMIFS('Contenu des kits'!$S$2:$S$1856,'Contenu des kits'!$B$2:$B$1856,B69,'Contenu des kits'!$C$2:$C$1856,C69)</f>
        <v>3820</v>
      </c>
      <c r="M69" s="8" t="n">
        <f aca="false">SUMIFS('Contenu des kits'!$T$2:$T$1856,'Contenu des kits'!$B$2:$B$1856,B69,'Contenu des kits'!$C$2:$C$1856,C69)</f>
        <v>1150</v>
      </c>
      <c r="N69" s="10" t="n">
        <f aca="false">IF(F69-O69=0,"",M69/(F69-O69))</f>
        <v>0.231388329979879</v>
      </c>
      <c r="O69" s="8" t="n">
        <f aca="false">SUMIFS('Contenu des kits'!$U$2:$U$1856,'Contenu des kits'!$B$2:$B$1856,B69,'Contenu des kits'!$C$2:$C$1856,C69)</f>
        <v>9500</v>
      </c>
    </row>
    <row r="70" customFormat="false" ht="15" hidden="false" customHeight="false" outlineLevel="0" collapsed="false">
      <c r="A70" s="7" t="s">
        <v>65</v>
      </c>
      <c r="B70" s="7" t="s">
        <v>69</v>
      </c>
      <c r="C70" s="7" t="s">
        <v>49</v>
      </c>
      <c r="D70" s="7" t="n">
        <v>515</v>
      </c>
      <c r="E70" s="8" t="n">
        <v>21800</v>
      </c>
      <c r="F70" s="8" t="n">
        <f aca="false">SUMIFS('Contenu des kits'!$M$2:$M$1856,'Contenu des kits'!$B$2:$B$1856,B70,'Contenu des kits'!$C$2:$C$1856,C70)</f>
        <v>48050</v>
      </c>
      <c r="G70" s="8" t="n">
        <f aca="false">IF(E70="","",F70-E70)</f>
        <v>26250</v>
      </c>
      <c r="H70" s="7" t="n">
        <f aca="false">COUNTIFS('Contenu des kits'!$B$2:$B$1856,B70,'Contenu des kits'!$C$2:$C$1856,C70,'Contenu des kits'!$L$2:$L$1856,"Oui",'Contenu des kits'!$K$2:$K$1856,"Principal")</f>
        <v>25</v>
      </c>
      <c r="I70" s="7" t="n">
        <v>14</v>
      </c>
      <c r="J70" s="7" t="n">
        <f aca="false">COUNTIFS('Contenu des kits'!$B$2:$B$1856,B70,'Contenu des kits'!$C$2:$C$1856,C70,'Contenu des kits'!$N$2:$N$1856,"MANQUE")</f>
        <v>1</v>
      </c>
      <c r="K70" s="7"/>
      <c r="L70" s="8" t="n">
        <f aca="false">SUMIFS('Contenu des kits'!$S$2:$S$1856,'Contenu des kits'!$B$2:$B$1856,B70,'Contenu des kits'!$C$2:$C$1856,C70)</f>
        <v>30960</v>
      </c>
      <c r="M70" s="8" t="n">
        <f aca="false">SUMIFS('Contenu des kits'!$T$2:$T$1856,'Contenu des kits'!$B$2:$B$1856,B70,'Contenu des kits'!$C$2:$C$1856,C70)</f>
        <v>10190</v>
      </c>
      <c r="N70" s="10" t="n">
        <f aca="false">IF(F70-O70=0,"",M70/(F70-O70))</f>
        <v>0.247630619684083</v>
      </c>
      <c r="O70" s="8" t="n">
        <f aca="false">SUMIFS('Contenu des kits'!$U$2:$U$1856,'Contenu des kits'!$B$2:$B$1856,B70,'Contenu des kits'!$C$2:$C$1856,C70)</f>
        <v>6900</v>
      </c>
    </row>
    <row r="71" customFormat="false" ht="15" hidden="false" customHeight="false" outlineLevel="0" collapsed="false">
      <c r="A71" s="7" t="s">
        <v>65</v>
      </c>
      <c r="B71" s="7" t="s">
        <v>69</v>
      </c>
      <c r="C71" s="7" t="s">
        <v>50</v>
      </c>
      <c r="D71" s="7" t="n">
        <v>516</v>
      </c>
      <c r="E71" s="8" t="n">
        <v>41070</v>
      </c>
      <c r="F71" s="8" t="n">
        <f aca="false">SUMIFS('Contenu des kits'!$M$2:$M$1856,'Contenu des kits'!$B$2:$B$1856,B71,'Contenu des kits'!$C$2:$C$1856,C71)</f>
        <v>57200</v>
      </c>
      <c r="G71" s="8" t="n">
        <f aca="false">IF(E71="","",F71-E71)</f>
        <v>16130</v>
      </c>
      <c r="H71" s="7" t="n">
        <f aca="false">COUNTIFS('Contenu des kits'!$B$2:$B$1856,B71,'Contenu des kits'!$C$2:$C$1856,C71,'Contenu des kits'!$L$2:$L$1856,"Oui",'Contenu des kits'!$K$2:$K$1856,"Principal")</f>
        <v>28</v>
      </c>
      <c r="I71" s="7" t="n">
        <v>20</v>
      </c>
      <c r="J71" s="7" t="n">
        <f aca="false">COUNTIFS('Contenu des kits'!$B$2:$B$1856,B71,'Contenu des kits'!$C$2:$C$1856,C71,'Contenu des kits'!$N$2:$N$1856,"MANQUE")</f>
        <v>2</v>
      </c>
      <c r="K71" s="7"/>
      <c r="L71" s="8" t="n">
        <f aca="false">SUMIFS('Contenu des kits'!$S$2:$S$1856,'Contenu des kits'!$B$2:$B$1856,B71,'Contenu des kits'!$C$2:$C$1856,C71)</f>
        <v>37210</v>
      </c>
      <c r="M71" s="8" t="n">
        <f aca="false">SUMIFS('Contenu des kits'!$T$2:$T$1856,'Contenu des kits'!$B$2:$B$1856,B71,'Contenu des kits'!$C$2:$C$1856,C71)</f>
        <v>13090</v>
      </c>
      <c r="N71" s="10" t="n">
        <f aca="false">IF(F71-O71=0,"",M71/(F71-O71))</f>
        <v>0.260238568588469</v>
      </c>
      <c r="O71" s="8" t="n">
        <f aca="false">SUMIFS('Contenu des kits'!$U$2:$U$1856,'Contenu des kits'!$B$2:$B$1856,B71,'Contenu des kits'!$C$2:$C$1856,C71)</f>
        <v>6900</v>
      </c>
    </row>
    <row r="73" customFormat="false" ht="15" hidden="false" customHeight="false" outlineLevel="0" collapsed="false">
      <c r="A73" s="7" t="s">
        <v>65</v>
      </c>
      <c r="B73" s="7" t="s">
        <v>70</v>
      </c>
      <c r="C73" s="7" t="s">
        <v>48</v>
      </c>
      <c r="D73" s="7" t="n">
        <v>154</v>
      </c>
      <c r="E73" s="8" t="n">
        <v>14900</v>
      </c>
      <c r="F73" s="8" t="n">
        <f aca="false">SUMIFS('Contenu des kits'!$M$2:$M$1856,'Contenu des kits'!$B$2:$B$1856,B73,'Contenu des kits'!$C$2:$C$1856,C73)</f>
        <v>20970</v>
      </c>
      <c r="G73" s="8" t="n">
        <f aca="false">IF(E73="","",F73-E73)</f>
        <v>6070</v>
      </c>
      <c r="H73" s="7" t="n">
        <f aca="false">COUNTIFS('Contenu des kits'!$B$2:$B$1856,B73,'Contenu des kits'!$C$2:$C$1856,C73,'Contenu des kits'!$L$2:$L$1856,"Oui",'Contenu des kits'!$K$2:$K$1856,"Principal")</f>
        <v>16</v>
      </c>
      <c r="I73" s="7" t="n">
        <v>13</v>
      </c>
      <c r="J73" s="7" t="n">
        <f aca="false">COUNTIFS('Contenu des kits'!$B$2:$B$1856,B73,'Contenu des kits'!$C$2:$C$1856,C73,'Contenu des kits'!$N$2:$N$1856,"MANQUE")</f>
        <v>0</v>
      </c>
      <c r="K73" s="9" t="str">
        <f aca="false">IF(AND(F73&lt;F74,F74&lt;F75),"OK","À REVOIR")</f>
        <v>OK</v>
      </c>
      <c r="L73" s="8" t="n">
        <f aca="false">SUMIFS('Contenu des kits'!$S$2:$S$1856,'Contenu des kits'!$B$2:$B$1856,B73,'Contenu des kits'!$C$2:$C$1856,C73)</f>
        <v>7870</v>
      </c>
      <c r="M73" s="8" t="n">
        <f aca="false">SUMIFS('Contenu des kits'!$T$2:$T$1856,'Contenu des kits'!$B$2:$B$1856,B73,'Contenu des kits'!$C$2:$C$1856,C73)</f>
        <v>2300</v>
      </c>
      <c r="N73" s="10" t="n">
        <f aca="false">IF(F73-O73=0,"",M73/(F73-O73))</f>
        <v>0.226155358898722</v>
      </c>
      <c r="O73" s="8" t="n">
        <f aca="false">SUMIFS('Contenu des kits'!$U$2:$U$1856,'Contenu des kits'!$B$2:$B$1856,B73,'Contenu des kits'!$C$2:$C$1856,C73)</f>
        <v>10800</v>
      </c>
    </row>
    <row r="74" customFormat="false" ht="15" hidden="false" customHeight="false" outlineLevel="0" collapsed="false">
      <c r="A74" s="7" t="s">
        <v>65</v>
      </c>
      <c r="B74" s="7" t="s">
        <v>70</v>
      </c>
      <c r="C74" s="7" t="s">
        <v>49</v>
      </c>
      <c r="D74" s="7" t="n">
        <v>155</v>
      </c>
      <c r="E74" s="8" t="n">
        <v>35300</v>
      </c>
      <c r="F74" s="8" t="n">
        <f aca="false">SUMIFS('Contenu des kits'!$M$2:$M$1856,'Contenu des kits'!$B$2:$B$1856,B74,'Contenu des kits'!$C$2:$C$1856,C74)</f>
        <v>134750</v>
      </c>
      <c r="G74" s="8" t="n">
        <f aca="false">IF(E74="","",F74-E74)</f>
        <v>99450</v>
      </c>
      <c r="H74" s="7" t="n">
        <f aca="false">COUNTIFS('Contenu des kits'!$B$2:$B$1856,B74,'Contenu des kits'!$C$2:$C$1856,C74,'Contenu des kits'!$L$2:$L$1856,"Oui",'Contenu des kits'!$K$2:$K$1856,"Principal")</f>
        <v>31</v>
      </c>
      <c r="I74" s="7" t="n">
        <v>16</v>
      </c>
      <c r="J74" s="7" t="n">
        <f aca="false">COUNTIFS('Contenu des kits'!$B$2:$B$1856,B74,'Contenu des kits'!$C$2:$C$1856,C74,'Contenu des kits'!$N$2:$N$1856,"MANQUE")</f>
        <v>2</v>
      </c>
      <c r="K74" s="7"/>
      <c r="L74" s="8" t="n">
        <f aca="false">SUMIFS('Contenu des kits'!$S$2:$S$1856,'Contenu des kits'!$B$2:$B$1856,B74,'Contenu des kits'!$C$2:$C$1856,C74)</f>
        <v>100210</v>
      </c>
      <c r="M74" s="8" t="n">
        <f aca="false">SUMIFS('Contenu des kits'!$T$2:$T$1856,'Contenu des kits'!$B$2:$B$1856,B74,'Contenu des kits'!$C$2:$C$1856,C74)</f>
        <v>27240</v>
      </c>
      <c r="N74" s="10" t="n">
        <f aca="false">IF(F74-O74=0,"",M74/(F74-O74))</f>
        <v>0.213730874852883</v>
      </c>
      <c r="O74" s="8" t="n">
        <f aca="false">SUMIFS('Contenu des kits'!$U$2:$U$1856,'Contenu des kits'!$B$2:$B$1856,B74,'Contenu des kits'!$C$2:$C$1856,C74)</f>
        <v>7300</v>
      </c>
    </row>
    <row r="75" customFormat="false" ht="15" hidden="false" customHeight="false" outlineLevel="0" collapsed="false">
      <c r="A75" s="7" t="s">
        <v>65</v>
      </c>
      <c r="B75" s="7" t="s">
        <v>70</v>
      </c>
      <c r="C75" s="7" t="s">
        <v>50</v>
      </c>
      <c r="D75" s="7" t="n">
        <v>156</v>
      </c>
      <c r="E75" s="8" t="n">
        <v>83460</v>
      </c>
      <c r="F75" s="8" t="n">
        <f aca="false">SUMIFS('Contenu des kits'!$M$2:$M$1856,'Contenu des kits'!$B$2:$B$1856,B75,'Contenu des kits'!$C$2:$C$1856,C75)</f>
        <v>135350</v>
      </c>
      <c r="G75" s="8" t="n">
        <f aca="false">IF(E75="","",F75-E75)</f>
        <v>51890</v>
      </c>
      <c r="H75" s="7" t="n">
        <f aca="false">COUNTIFS('Contenu des kits'!$B$2:$B$1856,B75,'Contenu des kits'!$C$2:$C$1856,C75,'Contenu des kits'!$L$2:$L$1856,"Oui",'Contenu des kits'!$K$2:$K$1856,"Principal")</f>
        <v>31</v>
      </c>
      <c r="I75" s="7" t="n">
        <v>25</v>
      </c>
      <c r="J75" s="7" t="n">
        <f aca="false">COUNTIFS('Contenu des kits'!$B$2:$B$1856,B75,'Contenu des kits'!$C$2:$C$1856,C75,'Contenu des kits'!$N$2:$N$1856,"MANQUE")</f>
        <v>2</v>
      </c>
      <c r="K75" s="7"/>
      <c r="L75" s="8" t="n">
        <f aca="false">SUMIFS('Contenu des kits'!$S$2:$S$1856,'Contenu des kits'!$B$2:$B$1856,B75,'Contenu des kits'!$C$2:$C$1856,C75)</f>
        <v>100660</v>
      </c>
      <c r="M75" s="8" t="n">
        <f aca="false">SUMIFS('Contenu des kits'!$T$2:$T$1856,'Contenu des kits'!$B$2:$B$1856,B75,'Contenu des kits'!$C$2:$C$1856,C75)</f>
        <v>27390</v>
      </c>
      <c r="N75" s="10" t="n">
        <f aca="false">IF(F75-O75=0,"",M75/(F75-O75))</f>
        <v>0.213900819992191</v>
      </c>
      <c r="O75" s="8" t="n">
        <f aca="false">SUMIFS('Contenu des kits'!$U$2:$U$1856,'Contenu des kits'!$B$2:$B$1856,B75,'Contenu des kits'!$C$2:$C$1856,C75)</f>
        <v>7300</v>
      </c>
    </row>
    <row r="77" customFormat="false" ht="15" hidden="false" customHeight="false" outlineLevel="0" collapsed="false">
      <c r="A77" s="7" t="s">
        <v>65</v>
      </c>
      <c r="B77" s="7" t="s">
        <v>71</v>
      </c>
      <c r="C77" s="7" t="s">
        <v>48</v>
      </c>
      <c r="D77" s="7" t="n">
        <v>157</v>
      </c>
      <c r="E77" s="8" t="n">
        <v>13600</v>
      </c>
      <c r="F77" s="8" t="n">
        <f aca="false">SUMIFS('Contenu des kits'!$M$2:$M$1856,'Contenu des kits'!$B$2:$B$1856,B77,'Contenu des kits'!$C$2:$C$1856,C77)</f>
        <v>20970</v>
      </c>
      <c r="G77" s="8" t="n">
        <f aca="false">IF(E77="","",F77-E77)</f>
        <v>7370</v>
      </c>
      <c r="H77" s="7" t="n">
        <f aca="false">COUNTIFS('Contenu des kits'!$B$2:$B$1856,B77,'Contenu des kits'!$C$2:$C$1856,C77,'Contenu des kits'!$L$2:$L$1856,"Oui",'Contenu des kits'!$K$2:$K$1856,"Principal")</f>
        <v>16</v>
      </c>
      <c r="I77" s="7" t="n">
        <v>13</v>
      </c>
      <c r="J77" s="7" t="n">
        <f aca="false">COUNTIFS('Contenu des kits'!$B$2:$B$1856,B77,'Contenu des kits'!$C$2:$C$1856,C77,'Contenu des kits'!$N$2:$N$1856,"MANQUE")</f>
        <v>0</v>
      </c>
      <c r="K77" s="9" t="str">
        <f aca="false">IF(AND(F77&lt;F78,F78&lt;F79),"OK","À REVOIR")</f>
        <v>OK</v>
      </c>
      <c r="L77" s="8" t="n">
        <f aca="false">SUMIFS('Contenu des kits'!$S$2:$S$1856,'Contenu des kits'!$B$2:$B$1856,B77,'Contenu des kits'!$C$2:$C$1856,C77)</f>
        <v>7870</v>
      </c>
      <c r="M77" s="8" t="n">
        <f aca="false">SUMIFS('Contenu des kits'!$T$2:$T$1856,'Contenu des kits'!$B$2:$B$1856,B77,'Contenu des kits'!$C$2:$C$1856,C77)</f>
        <v>2300</v>
      </c>
      <c r="N77" s="10" t="n">
        <f aca="false">IF(F77-O77=0,"",M77/(F77-O77))</f>
        <v>0.226155358898722</v>
      </c>
      <c r="O77" s="8" t="n">
        <f aca="false">SUMIFS('Contenu des kits'!$U$2:$U$1856,'Contenu des kits'!$B$2:$B$1856,B77,'Contenu des kits'!$C$2:$C$1856,C77)</f>
        <v>10800</v>
      </c>
    </row>
    <row r="78" customFormat="false" ht="15" hidden="false" customHeight="false" outlineLevel="0" collapsed="false">
      <c r="A78" s="7" t="s">
        <v>65</v>
      </c>
      <c r="B78" s="7" t="s">
        <v>71</v>
      </c>
      <c r="C78" s="7" t="s">
        <v>49</v>
      </c>
      <c r="D78" s="7" t="n">
        <v>158</v>
      </c>
      <c r="E78" s="8" t="n">
        <v>33000</v>
      </c>
      <c r="F78" s="8" t="n">
        <f aca="false">SUMIFS('Contenu des kits'!$M$2:$M$1856,'Contenu des kits'!$B$2:$B$1856,B78,'Contenu des kits'!$C$2:$C$1856,C78)</f>
        <v>69190</v>
      </c>
      <c r="G78" s="8" t="n">
        <f aca="false">IF(E78="","",F78-E78)</f>
        <v>36190</v>
      </c>
      <c r="H78" s="7" t="n">
        <f aca="false">COUNTIFS('Contenu des kits'!$B$2:$B$1856,B78,'Contenu des kits'!$C$2:$C$1856,C78,'Contenu des kits'!$L$2:$L$1856,"Oui",'Contenu des kits'!$K$2:$K$1856,"Principal")</f>
        <v>28</v>
      </c>
      <c r="I78" s="7" t="n">
        <v>16</v>
      </c>
      <c r="J78" s="7" t="n">
        <f aca="false">COUNTIFS('Contenu des kits'!$B$2:$B$1856,B78,'Contenu des kits'!$C$2:$C$1856,C78,'Contenu des kits'!$N$2:$N$1856,"MANQUE")</f>
        <v>2</v>
      </c>
      <c r="K78" s="7"/>
      <c r="L78" s="8" t="n">
        <f aca="false">SUMIFS('Contenu des kits'!$S$2:$S$1856,'Contenu des kits'!$B$2:$B$1856,B78,'Contenu des kits'!$C$2:$C$1856,C78)</f>
        <v>47650</v>
      </c>
      <c r="M78" s="8" t="n">
        <f aca="false">SUMIFS('Contenu des kits'!$T$2:$T$1856,'Contenu des kits'!$B$2:$B$1856,B78,'Contenu des kits'!$C$2:$C$1856,C78)</f>
        <v>14240</v>
      </c>
      <c r="N78" s="10" t="n">
        <f aca="false">IF(F78-O78=0,"",M78/(F78-O78))</f>
        <v>0.230085635805461</v>
      </c>
      <c r="O78" s="8" t="n">
        <f aca="false">SUMIFS('Contenu des kits'!$U$2:$U$1856,'Contenu des kits'!$B$2:$B$1856,B78,'Contenu des kits'!$C$2:$C$1856,C78)</f>
        <v>7300</v>
      </c>
    </row>
    <row r="79" customFormat="false" ht="15" hidden="false" customHeight="false" outlineLevel="0" collapsed="false">
      <c r="A79" s="7" t="s">
        <v>65</v>
      </c>
      <c r="B79" s="7" t="s">
        <v>71</v>
      </c>
      <c r="C79" s="7" t="s">
        <v>50</v>
      </c>
      <c r="D79" s="7" t="n">
        <v>159</v>
      </c>
      <c r="E79" s="8" t="n">
        <v>72160</v>
      </c>
      <c r="F79" s="8" t="n">
        <f aca="false">SUMIFS('Contenu des kits'!$M$2:$M$1856,'Contenu des kits'!$B$2:$B$1856,B79,'Contenu des kits'!$C$2:$C$1856,C79)</f>
        <v>132790</v>
      </c>
      <c r="G79" s="8" t="n">
        <f aca="false">IF(E79="","",F79-E79)</f>
        <v>60630</v>
      </c>
      <c r="H79" s="7" t="n">
        <f aca="false">COUNTIFS('Contenu des kits'!$B$2:$B$1856,B79,'Contenu des kits'!$C$2:$C$1856,C79,'Contenu des kits'!$L$2:$L$1856,"Oui",'Contenu des kits'!$K$2:$K$1856,"Principal")</f>
        <v>33</v>
      </c>
      <c r="I79" s="7" t="n">
        <v>25</v>
      </c>
      <c r="J79" s="7" t="n">
        <f aca="false">COUNTIFS('Contenu des kits'!$B$2:$B$1856,B79,'Contenu des kits'!$C$2:$C$1856,C79,'Contenu des kits'!$N$2:$N$1856,"MANQUE")</f>
        <v>2</v>
      </c>
      <c r="K79" s="7"/>
      <c r="L79" s="8" t="n">
        <f aca="false">SUMIFS('Contenu des kits'!$S$2:$S$1856,'Contenu des kits'!$B$2:$B$1856,B79,'Contenu des kits'!$C$2:$C$1856,C79)</f>
        <v>98500</v>
      </c>
      <c r="M79" s="8" t="n">
        <f aca="false">SUMIFS('Contenu des kits'!$T$2:$T$1856,'Contenu des kits'!$B$2:$B$1856,B79,'Contenu des kits'!$C$2:$C$1856,C79)</f>
        <v>26990</v>
      </c>
      <c r="N79" s="10" t="n">
        <f aca="false">IF(F79-O79=0,"",M79/(F79-O79))</f>
        <v>0.215076898557654</v>
      </c>
      <c r="O79" s="8" t="n">
        <f aca="false">SUMIFS('Contenu des kits'!$U$2:$U$1856,'Contenu des kits'!$B$2:$B$1856,B79,'Contenu des kits'!$C$2:$C$1856,C79)</f>
        <v>7300</v>
      </c>
    </row>
    <row r="81" customFormat="false" ht="15" hidden="false" customHeight="false" outlineLevel="0" collapsed="false">
      <c r="A81" s="7" t="s">
        <v>65</v>
      </c>
      <c r="B81" s="7" t="s">
        <v>72</v>
      </c>
      <c r="C81" s="7" t="s">
        <v>48</v>
      </c>
      <c r="D81" s="7" t="n">
        <v>532</v>
      </c>
      <c r="E81" s="8" t="n">
        <v>9350</v>
      </c>
      <c r="F81" s="8" t="n">
        <f aca="false">SUMIFS('Contenu des kits'!$M$2:$M$1856,'Contenu des kits'!$B$2:$B$1856,B81,'Contenu des kits'!$C$2:$C$1856,C81)</f>
        <v>14470</v>
      </c>
      <c r="G81" s="8" t="n">
        <f aca="false">IF(E81="","",F81-E81)</f>
        <v>5120</v>
      </c>
      <c r="H81" s="7" t="n">
        <f aca="false">COUNTIFS('Contenu des kits'!$B$2:$B$1856,B81,'Contenu des kits'!$C$2:$C$1856,C81,'Contenu des kits'!$L$2:$L$1856,"Oui",'Contenu des kits'!$K$2:$K$1856,"Principal")</f>
        <v>15</v>
      </c>
      <c r="I81" s="7" t="n">
        <v>10</v>
      </c>
      <c r="J81" s="7" t="n">
        <f aca="false">COUNTIFS('Contenu des kits'!$B$2:$B$1856,B81,'Contenu des kits'!$C$2:$C$1856,C81,'Contenu des kits'!$N$2:$N$1856,"MANQUE")</f>
        <v>1</v>
      </c>
      <c r="K81" s="9" t="str">
        <f aca="false">IF(AND(F81&lt;F82,F82&lt;F83),"OK","À REVOIR")</f>
        <v>OK</v>
      </c>
      <c r="L81" s="8" t="n">
        <f aca="false">SUMIFS('Contenu des kits'!$S$2:$S$1856,'Contenu des kits'!$B$2:$B$1856,B81,'Contenu des kits'!$C$2:$C$1856,C81)</f>
        <v>3820</v>
      </c>
      <c r="M81" s="8" t="n">
        <f aca="false">SUMIFS('Contenu des kits'!$T$2:$T$1856,'Contenu des kits'!$B$2:$B$1856,B81,'Contenu des kits'!$C$2:$C$1856,C81)</f>
        <v>1150</v>
      </c>
      <c r="N81" s="10" t="n">
        <f aca="false">IF(F81-O81=0,"",M81/(F81-O81))</f>
        <v>0.231388329979879</v>
      </c>
      <c r="O81" s="8" t="n">
        <f aca="false">SUMIFS('Contenu des kits'!$U$2:$U$1856,'Contenu des kits'!$B$2:$B$1856,B81,'Contenu des kits'!$C$2:$C$1856,C81)</f>
        <v>9500</v>
      </c>
    </row>
    <row r="82" customFormat="false" ht="15" hidden="false" customHeight="false" outlineLevel="0" collapsed="false">
      <c r="A82" s="7" t="s">
        <v>65</v>
      </c>
      <c r="B82" s="7" t="s">
        <v>72</v>
      </c>
      <c r="C82" s="7" t="s">
        <v>49</v>
      </c>
      <c r="D82" s="7" t="n">
        <v>533</v>
      </c>
      <c r="E82" s="8" t="n">
        <v>25900</v>
      </c>
      <c r="F82" s="8" t="n">
        <f aca="false">SUMIFS('Contenu des kits'!$M$2:$M$1856,'Contenu des kits'!$B$2:$B$1856,B82,'Contenu des kits'!$C$2:$C$1856,C82)</f>
        <v>41750</v>
      </c>
      <c r="G82" s="8" t="n">
        <f aca="false">IF(E82="","",F82-E82)</f>
        <v>15850</v>
      </c>
      <c r="H82" s="7" t="n">
        <f aca="false">COUNTIFS('Contenu des kits'!$B$2:$B$1856,B82,'Contenu des kits'!$C$2:$C$1856,C82,'Contenu des kits'!$L$2:$L$1856,"Oui",'Contenu des kits'!$K$2:$K$1856,"Principal")</f>
        <v>23</v>
      </c>
      <c r="I82" s="7" t="n">
        <v>14</v>
      </c>
      <c r="J82" s="7" t="n">
        <f aca="false">COUNTIFS('Contenu des kits'!$B$2:$B$1856,B82,'Contenu des kits'!$C$2:$C$1856,C82,'Contenu des kits'!$N$2:$N$1856,"MANQUE")</f>
        <v>2</v>
      </c>
      <c r="K82" s="7"/>
      <c r="L82" s="8" t="n">
        <f aca="false">SUMIFS('Contenu des kits'!$S$2:$S$1856,'Contenu des kits'!$B$2:$B$1856,B82,'Contenu des kits'!$C$2:$C$1856,C82)</f>
        <v>26660</v>
      </c>
      <c r="M82" s="8" t="n">
        <f aca="false">SUMIFS('Contenu des kits'!$T$2:$T$1856,'Contenu des kits'!$B$2:$B$1856,B82,'Contenu des kits'!$C$2:$C$1856,C82)</f>
        <v>8190</v>
      </c>
      <c r="N82" s="10" t="n">
        <f aca="false">IF(F82-O82=0,"",M82/(F82-O82))</f>
        <v>0.235007173601148</v>
      </c>
      <c r="O82" s="8" t="n">
        <f aca="false">SUMIFS('Contenu des kits'!$U$2:$U$1856,'Contenu des kits'!$B$2:$B$1856,B82,'Contenu des kits'!$C$2:$C$1856,C82)</f>
        <v>6900</v>
      </c>
    </row>
    <row r="83" customFormat="false" ht="15" hidden="false" customHeight="false" outlineLevel="0" collapsed="false">
      <c r="A83" s="7" t="s">
        <v>65</v>
      </c>
      <c r="B83" s="7" t="s">
        <v>72</v>
      </c>
      <c r="C83" s="7" t="s">
        <v>50</v>
      </c>
      <c r="D83" s="7" t="n">
        <v>534</v>
      </c>
      <c r="E83" s="8" t="n">
        <v>44670</v>
      </c>
      <c r="F83" s="8" t="n">
        <f aca="false">SUMIFS('Contenu des kits'!$M$2:$M$1856,'Contenu des kits'!$B$2:$B$1856,B83,'Contenu des kits'!$C$2:$C$1856,C83)</f>
        <v>50900</v>
      </c>
      <c r="G83" s="8" t="n">
        <f aca="false">IF(E83="","",F83-E83)</f>
        <v>6230</v>
      </c>
      <c r="H83" s="7" t="n">
        <f aca="false">COUNTIFS('Contenu des kits'!$B$2:$B$1856,B83,'Contenu des kits'!$C$2:$C$1856,C83,'Contenu des kits'!$L$2:$L$1856,"Oui",'Contenu des kits'!$K$2:$K$1856,"Principal")</f>
        <v>26</v>
      </c>
      <c r="I83" s="7" t="n">
        <v>20</v>
      </c>
      <c r="J83" s="7" t="n">
        <f aca="false">COUNTIFS('Contenu des kits'!$B$2:$B$1856,B83,'Contenu des kits'!$C$2:$C$1856,C83,'Contenu des kits'!$N$2:$N$1856,"MANQUE")</f>
        <v>3</v>
      </c>
      <c r="K83" s="7"/>
      <c r="L83" s="8" t="n">
        <f aca="false">SUMIFS('Contenu des kits'!$S$2:$S$1856,'Contenu des kits'!$B$2:$B$1856,B83,'Contenu des kits'!$C$2:$C$1856,C83)</f>
        <v>32910</v>
      </c>
      <c r="M83" s="8" t="n">
        <f aca="false">SUMIFS('Contenu des kits'!$T$2:$T$1856,'Contenu des kits'!$B$2:$B$1856,B83,'Contenu des kits'!$C$2:$C$1856,C83)</f>
        <v>11090</v>
      </c>
      <c r="N83" s="10" t="n">
        <f aca="false">IF(F83-O83=0,"",M83/(F83-O83))</f>
        <v>0.252045454545455</v>
      </c>
      <c r="O83" s="8" t="n">
        <f aca="false">SUMIFS('Contenu des kits'!$U$2:$U$1856,'Contenu des kits'!$B$2:$B$1856,B83,'Contenu des kits'!$C$2:$C$1856,C83)</f>
        <v>6900</v>
      </c>
    </row>
    <row r="85" customFormat="false" ht="15" hidden="false" customHeight="false" outlineLevel="0" collapsed="false">
      <c r="A85" s="7" t="s">
        <v>65</v>
      </c>
      <c r="B85" s="7" t="s">
        <v>73</v>
      </c>
      <c r="C85" s="7" t="s">
        <v>48</v>
      </c>
      <c r="D85" s="7" t="n">
        <v>535</v>
      </c>
      <c r="E85" s="8" t="n">
        <v>8850</v>
      </c>
      <c r="F85" s="8" t="n">
        <f aca="false">SUMIFS('Contenu des kits'!$M$2:$M$1856,'Contenu des kits'!$B$2:$B$1856,B85,'Contenu des kits'!$C$2:$C$1856,C85)</f>
        <v>14470</v>
      </c>
      <c r="G85" s="8" t="n">
        <f aca="false">IF(E85="","",F85-E85)</f>
        <v>5620</v>
      </c>
      <c r="H85" s="7" t="n">
        <f aca="false">COUNTIFS('Contenu des kits'!$B$2:$B$1856,B85,'Contenu des kits'!$C$2:$C$1856,C85,'Contenu des kits'!$L$2:$L$1856,"Oui",'Contenu des kits'!$K$2:$K$1856,"Principal")</f>
        <v>15</v>
      </c>
      <c r="I85" s="7" t="n">
        <v>10</v>
      </c>
      <c r="J85" s="7" t="n">
        <f aca="false">COUNTIFS('Contenu des kits'!$B$2:$B$1856,B85,'Contenu des kits'!$C$2:$C$1856,C85,'Contenu des kits'!$N$2:$N$1856,"MANQUE")</f>
        <v>1</v>
      </c>
      <c r="K85" s="9" t="str">
        <f aca="false">IF(AND(F85&lt;F86,F86&lt;F87),"OK","À REVOIR")</f>
        <v>OK</v>
      </c>
      <c r="L85" s="8" t="n">
        <f aca="false">SUMIFS('Contenu des kits'!$S$2:$S$1856,'Contenu des kits'!$B$2:$B$1856,B85,'Contenu des kits'!$C$2:$C$1856,C85)</f>
        <v>3820</v>
      </c>
      <c r="M85" s="8" t="n">
        <f aca="false">SUMIFS('Contenu des kits'!$T$2:$T$1856,'Contenu des kits'!$B$2:$B$1856,B85,'Contenu des kits'!$C$2:$C$1856,C85)</f>
        <v>1150</v>
      </c>
      <c r="N85" s="10" t="n">
        <f aca="false">IF(F85-O85=0,"",M85/(F85-O85))</f>
        <v>0.231388329979879</v>
      </c>
      <c r="O85" s="8" t="n">
        <f aca="false">SUMIFS('Contenu des kits'!$U$2:$U$1856,'Contenu des kits'!$B$2:$B$1856,B85,'Contenu des kits'!$C$2:$C$1856,C85)</f>
        <v>9500</v>
      </c>
    </row>
    <row r="86" customFormat="false" ht="15" hidden="false" customHeight="false" outlineLevel="0" collapsed="false">
      <c r="A86" s="7" t="s">
        <v>65</v>
      </c>
      <c r="B86" s="7" t="s">
        <v>73</v>
      </c>
      <c r="C86" s="7" t="s">
        <v>49</v>
      </c>
      <c r="D86" s="7" t="n">
        <v>536</v>
      </c>
      <c r="E86" s="8" t="n">
        <v>24300</v>
      </c>
      <c r="F86" s="8" t="n">
        <f aca="false">SUMIFS('Contenu des kits'!$M$2:$M$1856,'Contenu des kits'!$B$2:$B$1856,B86,'Contenu des kits'!$C$2:$C$1856,C86)</f>
        <v>41750</v>
      </c>
      <c r="G86" s="8" t="n">
        <f aca="false">IF(E86="","",F86-E86)</f>
        <v>17450</v>
      </c>
      <c r="H86" s="7" t="n">
        <f aca="false">COUNTIFS('Contenu des kits'!$B$2:$B$1856,B86,'Contenu des kits'!$C$2:$C$1856,C86,'Contenu des kits'!$L$2:$L$1856,"Oui",'Contenu des kits'!$K$2:$K$1856,"Principal")</f>
        <v>23</v>
      </c>
      <c r="I86" s="7" t="n">
        <v>14</v>
      </c>
      <c r="J86" s="7" t="n">
        <f aca="false">COUNTIFS('Contenu des kits'!$B$2:$B$1856,B86,'Contenu des kits'!$C$2:$C$1856,C86,'Contenu des kits'!$N$2:$N$1856,"MANQUE")</f>
        <v>2</v>
      </c>
      <c r="K86" s="7"/>
      <c r="L86" s="8" t="n">
        <f aca="false">SUMIFS('Contenu des kits'!$S$2:$S$1856,'Contenu des kits'!$B$2:$B$1856,B86,'Contenu des kits'!$C$2:$C$1856,C86)</f>
        <v>26660</v>
      </c>
      <c r="M86" s="8" t="n">
        <f aca="false">SUMIFS('Contenu des kits'!$T$2:$T$1856,'Contenu des kits'!$B$2:$B$1856,B86,'Contenu des kits'!$C$2:$C$1856,C86)</f>
        <v>8190</v>
      </c>
      <c r="N86" s="10" t="n">
        <f aca="false">IF(F86-O86=0,"",M86/(F86-O86))</f>
        <v>0.235007173601148</v>
      </c>
      <c r="O86" s="8" t="n">
        <f aca="false">SUMIFS('Contenu des kits'!$U$2:$U$1856,'Contenu des kits'!$B$2:$B$1856,B86,'Contenu des kits'!$C$2:$C$1856,C86)</f>
        <v>6900</v>
      </c>
    </row>
    <row r="87" customFormat="false" ht="15" hidden="false" customHeight="false" outlineLevel="0" collapsed="false">
      <c r="A87" s="7" t="s">
        <v>65</v>
      </c>
      <c r="B87" s="7" t="s">
        <v>73</v>
      </c>
      <c r="C87" s="7" t="s">
        <v>50</v>
      </c>
      <c r="D87" s="7" t="n">
        <v>537</v>
      </c>
      <c r="E87" s="8" t="n">
        <v>43070</v>
      </c>
      <c r="F87" s="8" t="n">
        <f aca="false">SUMIFS('Contenu des kits'!$M$2:$M$1856,'Contenu des kits'!$B$2:$B$1856,B87,'Contenu des kits'!$C$2:$C$1856,C87)</f>
        <v>50900</v>
      </c>
      <c r="G87" s="8" t="n">
        <f aca="false">IF(E87="","",F87-E87)</f>
        <v>7830</v>
      </c>
      <c r="H87" s="7" t="n">
        <f aca="false">COUNTIFS('Contenu des kits'!$B$2:$B$1856,B87,'Contenu des kits'!$C$2:$C$1856,C87,'Contenu des kits'!$L$2:$L$1856,"Oui",'Contenu des kits'!$K$2:$K$1856,"Principal")</f>
        <v>26</v>
      </c>
      <c r="I87" s="7" t="n">
        <v>20</v>
      </c>
      <c r="J87" s="7" t="n">
        <f aca="false">COUNTIFS('Contenu des kits'!$B$2:$B$1856,B87,'Contenu des kits'!$C$2:$C$1856,C87,'Contenu des kits'!$N$2:$N$1856,"MANQUE")</f>
        <v>3</v>
      </c>
      <c r="K87" s="7"/>
      <c r="L87" s="8" t="n">
        <f aca="false">SUMIFS('Contenu des kits'!$S$2:$S$1856,'Contenu des kits'!$B$2:$B$1856,B87,'Contenu des kits'!$C$2:$C$1856,C87)</f>
        <v>32910</v>
      </c>
      <c r="M87" s="8" t="n">
        <f aca="false">SUMIFS('Contenu des kits'!$T$2:$T$1856,'Contenu des kits'!$B$2:$B$1856,B87,'Contenu des kits'!$C$2:$C$1856,C87)</f>
        <v>11090</v>
      </c>
      <c r="N87" s="10" t="n">
        <f aca="false">IF(F87-O87=0,"",M87/(F87-O87))</f>
        <v>0.252045454545455</v>
      </c>
      <c r="O87" s="8" t="n">
        <f aca="false">SUMIFS('Contenu des kits'!$U$2:$U$1856,'Contenu des kits'!$B$2:$B$1856,B87,'Contenu des kits'!$C$2:$C$1856,C87)</f>
        <v>6900</v>
      </c>
    </row>
    <row r="89" customFormat="false" ht="15" hidden="false" customHeight="false" outlineLevel="0" collapsed="false">
      <c r="A89" s="7" t="s">
        <v>65</v>
      </c>
      <c r="B89" s="7" t="s">
        <v>74</v>
      </c>
      <c r="C89" s="7" t="s">
        <v>48</v>
      </c>
      <c r="D89" s="7" t="n">
        <v>163</v>
      </c>
      <c r="E89" s="8" t="n">
        <v>15800</v>
      </c>
      <c r="F89" s="8" t="n">
        <f aca="false">SUMIFS('Contenu des kits'!$M$2:$M$1856,'Contenu des kits'!$B$2:$B$1856,B89,'Contenu des kits'!$C$2:$C$1856,C89)</f>
        <v>20970</v>
      </c>
      <c r="G89" s="8" t="n">
        <f aca="false">IF(E89="","",F89-E89)</f>
        <v>5170</v>
      </c>
      <c r="H89" s="7" t="n">
        <f aca="false">COUNTIFS('Contenu des kits'!$B$2:$B$1856,B89,'Contenu des kits'!$C$2:$C$1856,C89,'Contenu des kits'!$L$2:$L$1856,"Oui",'Contenu des kits'!$K$2:$K$1856,"Principal")</f>
        <v>16</v>
      </c>
      <c r="I89" s="7" t="n">
        <v>13</v>
      </c>
      <c r="J89" s="7" t="n">
        <f aca="false">COUNTIFS('Contenu des kits'!$B$2:$B$1856,B89,'Contenu des kits'!$C$2:$C$1856,C89,'Contenu des kits'!$N$2:$N$1856,"MANQUE")</f>
        <v>1</v>
      </c>
      <c r="K89" s="9" t="str">
        <f aca="false">IF(AND(F89&lt;F90,F90&lt;F91),"OK","À REVOIR")</f>
        <v>OK</v>
      </c>
      <c r="L89" s="8" t="n">
        <f aca="false">SUMIFS('Contenu des kits'!$S$2:$S$1856,'Contenu des kits'!$B$2:$B$1856,B89,'Contenu des kits'!$C$2:$C$1856,C89)</f>
        <v>7870</v>
      </c>
      <c r="M89" s="8" t="n">
        <f aca="false">SUMIFS('Contenu des kits'!$T$2:$T$1856,'Contenu des kits'!$B$2:$B$1856,B89,'Contenu des kits'!$C$2:$C$1856,C89)</f>
        <v>2300</v>
      </c>
      <c r="N89" s="10" t="n">
        <f aca="false">IF(F89-O89=0,"",M89/(F89-O89))</f>
        <v>0.226155358898722</v>
      </c>
      <c r="O89" s="8" t="n">
        <f aca="false">SUMIFS('Contenu des kits'!$U$2:$U$1856,'Contenu des kits'!$B$2:$B$1856,B89,'Contenu des kits'!$C$2:$C$1856,C89)</f>
        <v>10800</v>
      </c>
    </row>
    <row r="90" customFormat="false" ht="15" hidden="false" customHeight="false" outlineLevel="0" collapsed="false">
      <c r="A90" s="7" t="s">
        <v>65</v>
      </c>
      <c r="B90" s="7" t="s">
        <v>74</v>
      </c>
      <c r="C90" s="7" t="s">
        <v>49</v>
      </c>
      <c r="D90" s="7" t="n">
        <v>164</v>
      </c>
      <c r="E90" s="8" t="n">
        <v>34100</v>
      </c>
      <c r="F90" s="8" t="n">
        <f aca="false">SUMIFS('Contenu des kits'!$M$2:$M$1856,'Contenu des kits'!$B$2:$B$1856,B90,'Contenu des kits'!$C$2:$C$1856,C90)</f>
        <v>166150</v>
      </c>
      <c r="G90" s="8" t="n">
        <f aca="false">IF(E90="","",F90-E90)</f>
        <v>132050</v>
      </c>
      <c r="H90" s="7" t="n">
        <f aca="false">COUNTIFS('Contenu des kits'!$B$2:$B$1856,B90,'Contenu des kits'!$C$2:$C$1856,C90,'Contenu des kits'!$L$2:$L$1856,"Oui",'Contenu des kits'!$K$2:$K$1856,"Principal")</f>
        <v>30</v>
      </c>
      <c r="I90" s="7" t="n">
        <v>15</v>
      </c>
      <c r="J90" s="7" t="n">
        <f aca="false">COUNTIFS('Contenu des kits'!$B$2:$B$1856,B90,'Contenu des kits'!$C$2:$C$1856,C90,'Contenu des kits'!$N$2:$N$1856,"MANQUE")</f>
        <v>3</v>
      </c>
      <c r="K90" s="7"/>
      <c r="L90" s="8" t="n">
        <f aca="false">SUMIFS('Contenu des kits'!$S$2:$S$1856,'Contenu des kits'!$B$2:$B$1856,B90,'Contenu des kits'!$C$2:$C$1856,C90)</f>
        <v>126210</v>
      </c>
      <c r="M90" s="8" t="n">
        <f aca="false">SUMIFS('Contenu des kits'!$T$2:$T$1856,'Contenu des kits'!$B$2:$B$1856,B90,'Contenu des kits'!$C$2:$C$1856,C90)</f>
        <v>32640</v>
      </c>
      <c r="N90" s="10" t="n">
        <f aca="false">IF(F90-O90=0,"",M90/(F90-O90))</f>
        <v>0.20547686496695</v>
      </c>
      <c r="O90" s="8" t="n">
        <f aca="false">SUMIFS('Contenu des kits'!$U$2:$U$1856,'Contenu des kits'!$B$2:$B$1856,B90,'Contenu des kits'!$C$2:$C$1856,C90)</f>
        <v>7300</v>
      </c>
    </row>
    <row r="91" customFormat="false" ht="15" hidden="false" customHeight="false" outlineLevel="0" collapsed="false">
      <c r="A91" s="7" t="s">
        <v>65</v>
      </c>
      <c r="B91" s="7" t="s">
        <v>74</v>
      </c>
      <c r="C91" s="7" t="s">
        <v>50</v>
      </c>
      <c r="D91" s="7" t="n">
        <v>165</v>
      </c>
      <c r="E91" s="8" t="n">
        <v>68760</v>
      </c>
      <c r="F91" s="8" t="n">
        <f aca="false">SUMIFS('Contenu des kits'!$M$2:$M$1856,'Contenu des kits'!$B$2:$B$1856,B91,'Contenu des kits'!$C$2:$C$1856,C91)</f>
        <v>166750</v>
      </c>
      <c r="G91" s="8" t="n">
        <f aca="false">IF(E91="","",F91-E91)</f>
        <v>97990</v>
      </c>
      <c r="H91" s="7" t="n">
        <f aca="false">COUNTIFS('Contenu des kits'!$B$2:$B$1856,B91,'Contenu des kits'!$C$2:$C$1856,C91,'Contenu des kits'!$L$2:$L$1856,"Oui",'Contenu des kits'!$K$2:$K$1856,"Principal")</f>
        <v>30</v>
      </c>
      <c r="I91" s="7" t="n">
        <v>23</v>
      </c>
      <c r="J91" s="7" t="n">
        <f aca="false">COUNTIFS('Contenu des kits'!$B$2:$B$1856,B91,'Contenu des kits'!$C$2:$C$1856,C91,'Contenu des kits'!$N$2:$N$1856,"MANQUE")</f>
        <v>3</v>
      </c>
      <c r="K91" s="7"/>
      <c r="L91" s="8" t="n">
        <f aca="false">SUMIFS('Contenu des kits'!$S$2:$S$1856,'Contenu des kits'!$B$2:$B$1856,B91,'Contenu des kits'!$C$2:$C$1856,C91)</f>
        <v>126660</v>
      </c>
      <c r="M91" s="8" t="n">
        <f aca="false">SUMIFS('Contenu des kits'!$T$2:$T$1856,'Contenu des kits'!$B$2:$B$1856,B91,'Contenu des kits'!$C$2:$C$1856,C91)</f>
        <v>32790</v>
      </c>
      <c r="N91" s="10" t="n">
        <f aca="false">IF(F91-O91=0,"",M91/(F91-O91))</f>
        <v>0.205644402634055</v>
      </c>
      <c r="O91" s="8" t="n">
        <f aca="false">SUMIFS('Contenu des kits'!$U$2:$U$1856,'Contenu des kits'!$B$2:$B$1856,B91,'Contenu des kits'!$C$2:$C$1856,C91)</f>
        <v>7300</v>
      </c>
    </row>
    <row r="93" customFormat="false" ht="15" hidden="false" customHeight="false" outlineLevel="0" collapsed="false">
      <c r="A93" s="7" t="s">
        <v>65</v>
      </c>
      <c r="B93" s="7" t="s">
        <v>75</v>
      </c>
      <c r="C93" s="7" t="s">
        <v>48</v>
      </c>
      <c r="D93" s="7" t="n">
        <v>166</v>
      </c>
      <c r="E93" s="8" t="n">
        <v>14500</v>
      </c>
      <c r="F93" s="8" t="n">
        <f aca="false">SUMIFS('Contenu des kits'!$M$2:$M$1856,'Contenu des kits'!$B$2:$B$1856,B93,'Contenu des kits'!$C$2:$C$1856,C93)</f>
        <v>20970</v>
      </c>
      <c r="G93" s="8" t="n">
        <f aca="false">IF(E93="","",F93-E93)</f>
        <v>6470</v>
      </c>
      <c r="H93" s="7" t="n">
        <f aca="false">COUNTIFS('Contenu des kits'!$B$2:$B$1856,B93,'Contenu des kits'!$C$2:$C$1856,C93,'Contenu des kits'!$L$2:$L$1856,"Oui",'Contenu des kits'!$K$2:$K$1856,"Principal")</f>
        <v>16</v>
      </c>
      <c r="I93" s="7" t="n">
        <v>13</v>
      </c>
      <c r="J93" s="7" t="n">
        <f aca="false">COUNTIFS('Contenu des kits'!$B$2:$B$1856,B93,'Contenu des kits'!$C$2:$C$1856,C93,'Contenu des kits'!$N$2:$N$1856,"MANQUE")</f>
        <v>3</v>
      </c>
      <c r="K93" s="9" t="str">
        <f aca="false">IF(AND(F93&lt;F94,F94&lt;F95),"OK","À REVOIR")</f>
        <v>OK</v>
      </c>
      <c r="L93" s="8" t="n">
        <f aca="false">SUMIFS('Contenu des kits'!$S$2:$S$1856,'Contenu des kits'!$B$2:$B$1856,B93,'Contenu des kits'!$C$2:$C$1856,C93)</f>
        <v>7870</v>
      </c>
      <c r="M93" s="8" t="n">
        <f aca="false">SUMIFS('Contenu des kits'!$T$2:$T$1856,'Contenu des kits'!$B$2:$B$1856,B93,'Contenu des kits'!$C$2:$C$1856,C93)</f>
        <v>2300</v>
      </c>
      <c r="N93" s="10" t="n">
        <f aca="false">IF(F93-O93=0,"",M93/(F93-O93))</f>
        <v>0.226155358898722</v>
      </c>
      <c r="O93" s="8" t="n">
        <f aca="false">SUMIFS('Contenu des kits'!$U$2:$U$1856,'Contenu des kits'!$B$2:$B$1856,B93,'Contenu des kits'!$C$2:$C$1856,C93)</f>
        <v>10800</v>
      </c>
    </row>
    <row r="94" customFormat="false" ht="15" hidden="false" customHeight="false" outlineLevel="0" collapsed="false">
      <c r="A94" s="7" t="s">
        <v>65</v>
      </c>
      <c r="B94" s="7" t="s">
        <v>75</v>
      </c>
      <c r="C94" s="7" t="s">
        <v>49</v>
      </c>
      <c r="D94" s="7" t="n">
        <v>167</v>
      </c>
      <c r="E94" s="8" t="n">
        <v>31800</v>
      </c>
      <c r="F94" s="8" t="n">
        <f aca="false">SUMIFS('Contenu des kits'!$M$2:$M$1856,'Contenu des kits'!$B$2:$B$1856,B94,'Contenu des kits'!$C$2:$C$1856,C94)</f>
        <v>70870</v>
      </c>
      <c r="G94" s="8" t="n">
        <f aca="false">IF(E94="","",F94-E94)</f>
        <v>39070</v>
      </c>
      <c r="H94" s="7" t="n">
        <f aca="false">COUNTIFS('Contenu des kits'!$B$2:$B$1856,B94,'Contenu des kits'!$C$2:$C$1856,C94,'Contenu des kits'!$L$2:$L$1856,"Oui",'Contenu des kits'!$K$2:$K$1856,"Principal")</f>
        <v>26</v>
      </c>
      <c r="I94" s="7" t="n">
        <v>15</v>
      </c>
      <c r="J94" s="7" t="n">
        <f aca="false">COUNTIFS('Contenu des kits'!$B$2:$B$1856,B94,'Contenu des kits'!$C$2:$C$1856,C94,'Contenu des kits'!$N$2:$N$1856,"MANQUE")</f>
        <v>5</v>
      </c>
      <c r="K94" s="7"/>
      <c r="L94" s="8" t="n">
        <f aca="false">SUMIFS('Contenu des kits'!$S$2:$S$1856,'Contenu des kits'!$B$2:$B$1856,B94,'Contenu des kits'!$C$2:$C$1856,C94)</f>
        <v>49930</v>
      </c>
      <c r="M94" s="8" t="n">
        <f aca="false">SUMIFS('Contenu des kits'!$T$2:$T$1856,'Contenu des kits'!$B$2:$B$1856,B94,'Contenu des kits'!$C$2:$C$1856,C94)</f>
        <v>13640</v>
      </c>
      <c r="N94" s="10" t="n">
        <f aca="false">IF(F94-O94=0,"",M94/(F94-O94))</f>
        <v>0.214566619474595</v>
      </c>
      <c r="O94" s="8" t="n">
        <f aca="false">SUMIFS('Contenu des kits'!$U$2:$U$1856,'Contenu des kits'!$B$2:$B$1856,B94,'Contenu des kits'!$C$2:$C$1856,C94)</f>
        <v>7300</v>
      </c>
    </row>
    <row r="95" customFormat="false" ht="15" hidden="false" customHeight="false" outlineLevel="0" collapsed="false">
      <c r="A95" s="7" t="s">
        <v>65</v>
      </c>
      <c r="B95" s="7" t="s">
        <v>75</v>
      </c>
      <c r="C95" s="7" t="s">
        <v>50</v>
      </c>
      <c r="D95" s="7" t="n">
        <v>168</v>
      </c>
      <c r="E95" s="8" t="n">
        <v>76460</v>
      </c>
      <c r="F95" s="8" t="n">
        <f aca="false">SUMIFS('Contenu des kits'!$M$2:$M$1856,'Contenu des kits'!$B$2:$B$1856,B95,'Contenu des kits'!$C$2:$C$1856,C95)</f>
        <v>71470</v>
      </c>
      <c r="G95" s="8" t="n">
        <f aca="false">IF(E95="","",F95-E95)</f>
        <v>-4990</v>
      </c>
      <c r="H95" s="7" t="n">
        <f aca="false">COUNTIFS('Contenu des kits'!$B$2:$B$1856,B95,'Contenu des kits'!$C$2:$C$1856,C95,'Contenu des kits'!$L$2:$L$1856,"Oui",'Contenu des kits'!$K$2:$K$1856,"Principal")</f>
        <v>26</v>
      </c>
      <c r="I95" s="7" t="n">
        <v>24</v>
      </c>
      <c r="J95" s="7" t="n">
        <f aca="false">COUNTIFS('Contenu des kits'!$B$2:$B$1856,B95,'Contenu des kits'!$C$2:$C$1856,C95,'Contenu des kits'!$N$2:$N$1856,"MANQUE")</f>
        <v>6</v>
      </c>
      <c r="K95" s="7"/>
      <c r="L95" s="8" t="n">
        <f aca="false">SUMIFS('Contenu des kits'!$S$2:$S$1856,'Contenu des kits'!$B$2:$B$1856,B95,'Contenu des kits'!$C$2:$C$1856,C95)</f>
        <v>50380</v>
      </c>
      <c r="M95" s="8" t="n">
        <f aca="false">SUMIFS('Contenu des kits'!$T$2:$T$1856,'Contenu des kits'!$B$2:$B$1856,B95,'Contenu des kits'!$C$2:$C$1856,C95)</f>
        <v>13790</v>
      </c>
      <c r="N95" s="10" t="n">
        <f aca="false">IF(F95-O95=0,"",M95/(F95-O95))</f>
        <v>0.214897927380396</v>
      </c>
      <c r="O95" s="8" t="n">
        <f aca="false">SUMIFS('Contenu des kits'!$U$2:$U$1856,'Contenu des kits'!$B$2:$B$1856,B95,'Contenu des kits'!$C$2:$C$1856,C95)</f>
        <v>7300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0"/>
    <col collapsed="false" customWidth="true" hidden="false" outlineLevel="0" max="7" min="5" style="0" width="44"/>
    <col collapsed="false" customWidth="true" hidden="false" outlineLevel="0" max="8" min="8" style="0" width="13"/>
  </cols>
  <sheetData>
    <row r="1" customFormat="false" ht="17.35" hidden="false" customHeight="false" outlineLevel="0" collapsed="false">
      <c r="A1" s="4" t="s">
        <v>76</v>
      </c>
    </row>
    <row r="2" customFormat="false" ht="15" hidden="false" customHeight="false" outlineLevel="0" collapsed="false">
      <c r="A2" s="5" t="s">
        <v>77</v>
      </c>
    </row>
    <row r="4" customFormat="false" ht="15" hidden="false" customHeight="false" outlineLevel="0" collapsed="false">
      <c r="A4" s="11" t="s">
        <v>78</v>
      </c>
    </row>
    <row r="5" customFormat="false" ht="15" hidden="false" customHeight="false" outlineLevel="0" collapsed="false">
      <c r="A5" s="6" t="s">
        <v>79</v>
      </c>
      <c r="B5" s="6" t="s">
        <v>48</v>
      </c>
      <c r="C5" s="6" t="s">
        <v>49</v>
      </c>
      <c r="D5" s="6" t="s">
        <v>50</v>
      </c>
      <c r="E5" s="6" t="s">
        <v>80</v>
      </c>
      <c r="F5" s="6" t="s">
        <v>81</v>
      </c>
      <c r="G5" s="6" t="s">
        <v>82</v>
      </c>
      <c r="H5" s="6" t="s">
        <v>83</v>
      </c>
    </row>
    <row r="6" customFormat="false" ht="15" hidden="false" customHeight="false" outlineLevel="0" collapsed="false">
      <c r="A6" s="7" t="s">
        <v>84</v>
      </c>
      <c r="B6" s="12" t="n">
        <v>1</v>
      </c>
      <c r="C6" s="12" t="n">
        <v>1</v>
      </c>
      <c r="D6" s="12" t="n">
        <v>1</v>
      </c>
      <c r="E6" s="13" t="s">
        <v>85</v>
      </c>
      <c r="F6" s="13" t="s">
        <v>85</v>
      </c>
      <c r="G6" s="13" t="s">
        <v>85</v>
      </c>
      <c r="H6" s="14"/>
    </row>
    <row r="7" customFormat="false" ht="15" hidden="false" customHeight="false" outlineLevel="0" collapsed="false">
      <c r="A7" s="7" t="s">
        <v>86</v>
      </c>
      <c r="B7" s="12" t="n">
        <v>1</v>
      </c>
      <c r="C7" s="12" t="n">
        <v>1</v>
      </c>
      <c r="D7" s="12" t="n">
        <v>1</v>
      </c>
      <c r="E7" s="13" t="s">
        <v>87</v>
      </c>
      <c r="F7" s="13" t="s">
        <v>87</v>
      </c>
      <c r="G7" s="13" t="s">
        <v>87</v>
      </c>
      <c r="H7" s="14"/>
    </row>
    <row r="8" customFormat="false" ht="15" hidden="false" customHeight="false" outlineLevel="0" collapsed="false">
      <c r="A8" s="7" t="s">
        <v>88</v>
      </c>
      <c r="B8" s="12" t="n">
        <v>1</v>
      </c>
      <c r="C8" s="12" t="n">
        <v>1</v>
      </c>
      <c r="D8" s="12" t="n">
        <v>1</v>
      </c>
      <c r="E8" s="13" t="s">
        <v>89</v>
      </c>
      <c r="F8" s="13" t="s">
        <v>90</v>
      </c>
      <c r="G8" s="13" t="s">
        <v>90</v>
      </c>
      <c r="H8" s="14"/>
    </row>
    <row r="9" customFormat="false" ht="15" hidden="false" customHeight="false" outlineLevel="0" collapsed="false">
      <c r="A9" s="7" t="s">
        <v>91</v>
      </c>
      <c r="B9" s="12" t="n">
        <v>1</v>
      </c>
      <c r="C9" s="12" t="n">
        <v>1</v>
      </c>
      <c r="D9" s="12" t="n">
        <v>1</v>
      </c>
      <c r="E9" s="13" t="s">
        <v>92</v>
      </c>
      <c r="F9" s="13" t="s">
        <v>92</v>
      </c>
      <c r="G9" s="13" t="s">
        <v>92</v>
      </c>
      <c r="H9" s="14"/>
    </row>
    <row r="10" customFormat="false" ht="15" hidden="false" customHeight="false" outlineLevel="0" collapsed="false">
      <c r="A10" s="7" t="s">
        <v>93</v>
      </c>
      <c r="B10" s="12" t="n">
        <v>2</v>
      </c>
      <c r="C10" s="12" t="n">
        <v>2</v>
      </c>
      <c r="D10" s="12" t="n">
        <v>2</v>
      </c>
      <c r="E10" s="13" t="s">
        <v>94</v>
      </c>
      <c r="F10" s="13" t="s">
        <v>94</v>
      </c>
      <c r="G10" s="13" t="s">
        <v>94</v>
      </c>
      <c r="H10" s="14"/>
    </row>
    <row r="11" customFormat="false" ht="15" hidden="false" customHeight="false" outlineLevel="0" collapsed="false">
      <c r="A11" s="7" t="s">
        <v>95</v>
      </c>
      <c r="B11" s="12" t="n">
        <v>1</v>
      </c>
      <c r="C11" s="12" t="n">
        <v>1</v>
      </c>
      <c r="D11" s="12" t="n">
        <v>1</v>
      </c>
      <c r="E11" s="13" t="s">
        <v>96</v>
      </c>
      <c r="F11" s="13" t="s">
        <v>96</v>
      </c>
      <c r="G11" s="13" t="s">
        <v>96</v>
      </c>
      <c r="H11" s="14"/>
    </row>
    <row r="12" customFormat="false" ht="15" hidden="false" customHeight="false" outlineLevel="0" collapsed="false">
      <c r="A12" s="7" t="s">
        <v>97</v>
      </c>
      <c r="B12" s="12" t="n">
        <v>2</v>
      </c>
      <c r="C12" s="12" t="n">
        <v>2</v>
      </c>
      <c r="D12" s="12" t="n">
        <v>4</v>
      </c>
      <c r="E12" s="13" t="s">
        <v>98</v>
      </c>
      <c r="F12" s="13" t="s">
        <v>98</v>
      </c>
      <c r="G12" s="13" t="s">
        <v>98</v>
      </c>
      <c r="H12" s="14"/>
    </row>
    <row r="13" customFormat="false" ht="15" hidden="false" customHeight="false" outlineLevel="0" collapsed="false">
      <c r="A13" s="7" t="s">
        <v>99</v>
      </c>
      <c r="B13" s="12" t="n">
        <v>1</v>
      </c>
      <c r="C13" s="12" t="n">
        <v>1</v>
      </c>
      <c r="D13" s="12" t="n">
        <v>1</v>
      </c>
      <c r="E13" s="13" t="s">
        <v>100</v>
      </c>
      <c r="F13" s="13" t="s">
        <v>101</v>
      </c>
      <c r="G13" s="13" t="s">
        <v>101</v>
      </c>
      <c r="H13" s="14"/>
    </row>
    <row r="14" customFormat="false" ht="15" hidden="false" customHeight="false" outlineLevel="0" collapsed="false">
      <c r="A14" s="7" t="s">
        <v>102</v>
      </c>
      <c r="B14" s="12" t="n">
        <v>1</v>
      </c>
      <c r="C14" s="12" t="n">
        <v>1</v>
      </c>
      <c r="D14" s="12" t="n">
        <v>1</v>
      </c>
      <c r="E14" s="13" t="s">
        <v>103</v>
      </c>
      <c r="F14" s="13" t="s">
        <v>103</v>
      </c>
      <c r="G14" s="13" t="s">
        <v>103</v>
      </c>
      <c r="H14" s="14"/>
    </row>
    <row r="15" customFormat="false" ht="15" hidden="false" customHeight="false" outlineLevel="0" collapsed="false">
      <c r="A15" s="7" t="s">
        <v>104</v>
      </c>
      <c r="B15" s="12" t="n">
        <v>1</v>
      </c>
      <c r="C15" s="12" t="n">
        <v>1</v>
      </c>
      <c r="D15" s="12" t="n">
        <v>1</v>
      </c>
      <c r="E15" s="13" t="s">
        <v>105</v>
      </c>
      <c r="F15" s="13" t="s">
        <v>105</v>
      </c>
      <c r="G15" s="13" t="s">
        <v>106</v>
      </c>
      <c r="H15" s="14"/>
    </row>
    <row r="16" customFormat="false" ht="15" hidden="false" customHeight="false" outlineLevel="0" collapsed="false">
      <c r="A16" s="7" t="s">
        <v>107</v>
      </c>
      <c r="B16" s="12" t="n">
        <v>2</v>
      </c>
      <c r="C16" s="12" t="n">
        <v>2</v>
      </c>
      <c r="D16" s="12" t="n">
        <v>4</v>
      </c>
      <c r="E16" s="13" t="s">
        <v>108</v>
      </c>
      <c r="F16" s="13" t="s">
        <v>109</v>
      </c>
      <c r="G16" s="13" t="s">
        <v>109</v>
      </c>
      <c r="H16" s="14"/>
    </row>
    <row r="17" customFormat="false" ht="15" hidden="false" customHeight="false" outlineLevel="0" collapsed="false">
      <c r="A17" s="7" t="s">
        <v>110</v>
      </c>
      <c r="B17" s="12" t="n">
        <v>1</v>
      </c>
      <c r="C17" s="12" t="n">
        <v>1</v>
      </c>
      <c r="D17" s="12" t="n">
        <v>1</v>
      </c>
      <c r="E17" s="13" t="s">
        <v>111</v>
      </c>
      <c r="F17" s="13" t="s">
        <v>112</v>
      </c>
      <c r="G17" s="13" t="s">
        <v>112</v>
      </c>
      <c r="H17" s="14"/>
    </row>
    <row r="18" customFormat="false" ht="15" hidden="false" customHeight="false" outlineLevel="0" collapsed="false">
      <c r="A18" s="7" t="s">
        <v>113</v>
      </c>
      <c r="B18" s="12" t="n">
        <v>1</v>
      </c>
      <c r="C18" s="12" t="n">
        <v>1</v>
      </c>
      <c r="D18" s="12" t="n">
        <v>1</v>
      </c>
      <c r="E18" s="13" t="s">
        <v>114</v>
      </c>
      <c r="F18" s="13" t="s">
        <v>114</v>
      </c>
      <c r="G18" s="13" t="s">
        <v>114</v>
      </c>
      <c r="H18" s="14"/>
    </row>
    <row r="19" customFormat="false" ht="15" hidden="false" customHeight="false" outlineLevel="0" collapsed="false">
      <c r="A19" s="7" t="s">
        <v>115</v>
      </c>
      <c r="B19" s="12" t="n">
        <v>1</v>
      </c>
      <c r="C19" s="12" t="n">
        <v>1</v>
      </c>
      <c r="D19" s="12" t="n">
        <v>1</v>
      </c>
      <c r="E19" s="13" t="s">
        <v>116</v>
      </c>
      <c r="F19" s="13" t="s">
        <v>116</v>
      </c>
      <c r="G19" s="13" t="s">
        <v>116</v>
      </c>
      <c r="H19" s="14"/>
    </row>
    <row r="20" customFormat="false" ht="15" hidden="false" customHeight="false" outlineLevel="0" collapsed="false">
      <c r="A20" s="7" t="s">
        <v>117</v>
      </c>
      <c r="B20" s="12" t="n">
        <v>1</v>
      </c>
      <c r="C20" s="12" t="n">
        <v>1</v>
      </c>
      <c r="D20" s="12" t="n">
        <v>1</v>
      </c>
      <c r="E20" s="13" t="s">
        <v>118</v>
      </c>
      <c r="F20" s="13" t="s">
        <v>119</v>
      </c>
      <c r="G20" s="13" t="s">
        <v>119</v>
      </c>
      <c r="H20" s="14"/>
    </row>
    <row r="21" customFormat="false" ht="15" hidden="false" customHeight="false" outlineLevel="0" collapsed="false">
      <c r="A21" s="7" t="s">
        <v>120</v>
      </c>
      <c r="B21" s="12" t="s">
        <v>121</v>
      </c>
      <c r="C21" s="12" t="s">
        <v>121</v>
      </c>
      <c r="D21" s="12" t="n">
        <v>1</v>
      </c>
      <c r="E21" s="13" t="s">
        <v>122</v>
      </c>
      <c r="F21" s="13" t="s">
        <v>122</v>
      </c>
      <c r="G21" s="13" t="s">
        <v>122</v>
      </c>
      <c r="H21" s="14"/>
    </row>
    <row r="22" customFormat="false" ht="15" hidden="false" customHeight="false" outlineLevel="0" collapsed="false">
      <c r="A22" s="7" t="s">
        <v>123</v>
      </c>
      <c r="B22" s="12" t="s">
        <v>124</v>
      </c>
      <c r="C22" s="12" t="n">
        <v>1</v>
      </c>
      <c r="D22" s="12" t="n">
        <v>2</v>
      </c>
      <c r="E22" s="13"/>
      <c r="F22" s="13" t="s">
        <v>125</v>
      </c>
      <c r="G22" s="13" t="s">
        <v>125</v>
      </c>
      <c r="H22" s="14"/>
    </row>
    <row r="23" customFormat="false" ht="15" hidden="false" customHeight="false" outlineLevel="0" collapsed="false">
      <c r="A23" s="15" t="s">
        <v>126</v>
      </c>
      <c r="B23" s="12" t="s">
        <v>124</v>
      </c>
      <c r="C23" s="12" t="n">
        <v>1</v>
      </c>
      <c r="D23" s="12" t="n">
        <v>1</v>
      </c>
      <c r="E23" s="13"/>
      <c r="F23" s="13" t="s">
        <v>127</v>
      </c>
      <c r="G23" s="13" t="s">
        <v>127</v>
      </c>
      <c r="H23" s="16" t="s">
        <v>128</v>
      </c>
    </row>
    <row r="24" customFormat="false" ht="15" hidden="false" customHeight="false" outlineLevel="0" collapsed="false">
      <c r="A24" s="15" t="s">
        <v>129</v>
      </c>
      <c r="B24" s="12" t="s">
        <v>124</v>
      </c>
      <c r="C24" s="12" t="n">
        <v>1</v>
      </c>
      <c r="D24" s="12" t="n">
        <v>1</v>
      </c>
      <c r="E24" s="13"/>
      <c r="F24" s="13" t="s">
        <v>127</v>
      </c>
      <c r="G24" s="13" t="s">
        <v>127</v>
      </c>
      <c r="H24" s="16" t="s">
        <v>128</v>
      </c>
    </row>
    <row r="25" customFormat="false" ht="15" hidden="false" customHeight="false" outlineLevel="0" collapsed="false">
      <c r="A25" s="15" t="s">
        <v>130</v>
      </c>
      <c r="B25" s="12" t="s">
        <v>124</v>
      </c>
      <c r="C25" s="12" t="n">
        <v>1</v>
      </c>
      <c r="D25" s="12" t="n">
        <v>1</v>
      </c>
      <c r="E25" s="13"/>
      <c r="F25" s="13" t="s">
        <v>127</v>
      </c>
      <c r="G25" s="13" t="s">
        <v>127</v>
      </c>
      <c r="H25" s="16" t="s">
        <v>128</v>
      </c>
    </row>
    <row r="26" customFormat="false" ht="15" hidden="false" customHeight="false" outlineLevel="0" collapsed="false">
      <c r="A26" s="7" t="s">
        <v>131</v>
      </c>
      <c r="B26" s="12" t="s">
        <v>124</v>
      </c>
      <c r="C26" s="12" t="n">
        <v>1</v>
      </c>
      <c r="D26" s="12" t="n">
        <v>1</v>
      </c>
      <c r="E26" s="13"/>
      <c r="F26" s="13" t="s">
        <v>132</v>
      </c>
      <c r="G26" s="13" t="s">
        <v>132</v>
      </c>
      <c r="H26" s="14"/>
    </row>
    <row r="27" customFormat="false" ht="15" hidden="false" customHeight="false" outlineLevel="0" collapsed="false">
      <c r="A27" s="7" t="s">
        <v>133</v>
      </c>
      <c r="B27" s="12" t="s">
        <v>124</v>
      </c>
      <c r="C27" s="12" t="n">
        <v>1</v>
      </c>
      <c r="D27" s="12" t="n">
        <v>1</v>
      </c>
      <c r="E27" s="13"/>
      <c r="F27" s="13" t="s">
        <v>134</v>
      </c>
      <c r="G27" s="13" t="s">
        <v>134</v>
      </c>
      <c r="H27" s="14"/>
    </row>
    <row r="28" customFormat="false" ht="15" hidden="false" customHeight="false" outlineLevel="0" collapsed="false">
      <c r="A28" s="7" t="s">
        <v>135</v>
      </c>
      <c r="B28" s="12" t="s">
        <v>124</v>
      </c>
      <c r="C28" s="12" t="n">
        <v>1</v>
      </c>
      <c r="D28" s="12" t="n">
        <v>1</v>
      </c>
      <c r="E28" s="13"/>
      <c r="F28" s="13" t="s">
        <v>136</v>
      </c>
      <c r="G28" s="13" t="s">
        <v>136</v>
      </c>
      <c r="H28" s="14"/>
    </row>
    <row r="29" customFormat="false" ht="15" hidden="false" customHeight="false" outlineLevel="0" collapsed="false">
      <c r="A29" s="7" t="s">
        <v>137</v>
      </c>
      <c r="B29" s="12" t="s">
        <v>124</v>
      </c>
      <c r="C29" s="12" t="s">
        <v>124</v>
      </c>
      <c r="D29" s="12" t="n">
        <v>1</v>
      </c>
      <c r="E29" s="13"/>
      <c r="F29" s="13"/>
      <c r="G29" s="13" t="s">
        <v>138</v>
      </c>
      <c r="H29" s="14"/>
    </row>
    <row r="30" customFormat="false" ht="15" hidden="false" customHeight="false" outlineLevel="0" collapsed="false">
      <c r="A30" s="17" t="s">
        <v>139</v>
      </c>
      <c r="B30" s="12" t="s">
        <v>124</v>
      </c>
      <c r="C30" s="12" t="s">
        <v>124</v>
      </c>
      <c r="D30" s="12" t="n">
        <v>1</v>
      </c>
      <c r="E30" s="13"/>
      <c r="F30" s="13"/>
      <c r="G30" s="13" t="s">
        <v>140</v>
      </c>
      <c r="H30" s="18" t="s">
        <v>141</v>
      </c>
    </row>
    <row r="31" customFormat="false" ht="15" hidden="false" customHeight="false" outlineLevel="0" collapsed="false">
      <c r="A31" s="15" t="s">
        <v>142</v>
      </c>
      <c r="B31" s="12" t="s">
        <v>124</v>
      </c>
      <c r="C31" s="12" t="s">
        <v>124</v>
      </c>
      <c r="D31" s="12" t="n">
        <v>1</v>
      </c>
      <c r="E31" s="13"/>
      <c r="F31" s="13"/>
      <c r="G31" s="13" t="s">
        <v>127</v>
      </c>
      <c r="H31" s="16" t="s">
        <v>128</v>
      </c>
    </row>
    <row r="32" customFormat="false" ht="15" hidden="false" customHeight="false" outlineLevel="0" collapsed="false">
      <c r="A32" s="7" t="s">
        <v>143</v>
      </c>
      <c r="B32" s="12" t="s">
        <v>124</v>
      </c>
      <c r="C32" s="12" t="s">
        <v>124</v>
      </c>
      <c r="D32" s="12" t="n">
        <v>1</v>
      </c>
      <c r="E32" s="13"/>
      <c r="F32" s="13"/>
      <c r="G32" s="13" t="s">
        <v>144</v>
      </c>
      <c r="H32" s="14"/>
    </row>
    <row r="33" customFormat="false" ht="15" hidden="false" customHeight="false" outlineLevel="0" collapsed="false">
      <c r="A33" s="7" t="s">
        <v>145</v>
      </c>
      <c r="B33" s="12" t="s">
        <v>124</v>
      </c>
      <c r="C33" s="12" t="s">
        <v>124</v>
      </c>
      <c r="D33" s="12" t="n">
        <v>1</v>
      </c>
      <c r="E33" s="13"/>
      <c r="F33" s="13"/>
      <c r="G33" s="13" t="s">
        <v>146</v>
      </c>
      <c r="H33" s="14"/>
    </row>
    <row r="34" customFormat="false" ht="15" hidden="false" customHeight="false" outlineLevel="0" collapsed="false">
      <c r="A34" s="7" t="s">
        <v>147</v>
      </c>
      <c r="B34" s="12" t="s">
        <v>124</v>
      </c>
      <c r="C34" s="12" t="s">
        <v>124</v>
      </c>
      <c r="D34" s="12" t="n">
        <v>1</v>
      </c>
      <c r="E34" s="13"/>
      <c r="F34" s="13"/>
      <c r="G34" s="13" t="s">
        <v>148</v>
      </c>
      <c r="H34" s="14"/>
    </row>
    <row r="35" customFormat="false" ht="15" hidden="false" customHeight="false" outlineLevel="0" collapsed="false">
      <c r="A35" s="19" t="s">
        <v>149</v>
      </c>
      <c r="B35" s="20" t="n">
        <f aca="false">'Récap par kit'!F5</f>
        <v>12940</v>
      </c>
      <c r="C35" s="20" t="n">
        <f aca="false">'Récap par kit'!F6</f>
        <v>21500</v>
      </c>
      <c r="D35" s="20" t="n">
        <f aca="false">'Récap par kit'!F7</f>
        <v>38400</v>
      </c>
    </row>
    <row r="37" customFormat="false" ht="15" hidden="false" customHeight="false" outlineLevel="0" collapsed="false">
      <c r="A37" s="11" t="s">
        <v>150</v>
      </c>
    </row>
    <row r="38" customFormat="false" ht="15" hidden="false" customHeight="false" outlineLevel="0" collapsed="false">
      <c r="A38" s="6" t="s">
        <v>79</v>
      </c>
      <c r="B38" s="6" t="s">
        <v>48</v>
      </c>
      <c r="C38" s="6" t="s">
        <v>49</v>
      </c>
      <c r="D38" s="6" t="s">
        <v>50</v>
      </c>
      <c r="E38" s="6" t="s">
        <v>80</v>
      </c>
      <c r="F38" s="6" t="s">
        <v>81</v>
      </c>
      <c r="G38" s="6" t="s">
        <v>82</v>
      </c>
      <c r="H38" s="6" t="s">
        <v>83</v>
      </c>
    </row>
    <row r="39" customFormat="false" ht="15" hidden="false" customHeight="false" outlineLevel="0" collapsed="false">
      <c r="A39" s="7" t="s">
        <v>151</v>
      </c>
      <c r="B39" s="12" t="n">
        <v>1</v>
      </c>
      <c r="C39" s="12" t="n">
        <v>1</v>
      </c>
      <c r="D39" s="12" t="n">
        <v>1</v>
      </c>
      <c r="E39" s="13" t="s">
        <v>152</v>
      </c>
      <c r="F39" s="13" t="s">
        <v>152</v>
      </c>
      <c r="G39" s="13" t="s">
        <v>152</v>
      </c>
      <c r="H39" s="14"/>
    </row>
    <row r="40" customFormat="false" ht="15" hidden="false" customHeight="false" outlineLevel="0" collapsed="false">
      <c r="A40" s="7" t="s">
        <v>86</v>
      </c>
      <c r="B40" s="12" t="n">
        <v>1</v>
      </c>
      <c r="C40" s="12" t="n">
        <v>1</v>
      </c>
      <c r="D40" s="12" t="n">
        <v>1</v>
      </c>
      <c r="E40" s="13" t="s">
        <v>87</v>
      </c>
      <c r="F40" s="13" t="s">
        <v>87</v>
      </c>
      <c r="G40" s="13" t="s">
        <v>87</v>
      </c>
      <c r="H40" s="14"/>
    </row>
    <row r="41" customFormat="false" ht="15" hidden="false" customHeight="false" outlineLevel="0" collapsed="false">
      <c r="A41" s="7" t="s">
        <v>88</v>
      </c>
      <c r="B41" s="12" t="n">
        <v>1</v>
      </c>
      <c r="C41" s="12" t="n">
        <v>1</v>
      </c>
      <c r="D41" s="12" t="n">
        <v>1</v>
      </c>
      <c r="E41" s="13" t="s">
        <v>89</v>
      </c>
      <c r="F41" s="13" t="s">
        <v>90</v>
      </c>
      <c r="G41" s="13" t="s">
        <v>90</v>
      </c>
      <c r="H41" s="14"/>
    </row>
    <row r="42" customFormat="false" ht="15" hidden="false" customHeight="false" outlineLevel="0" collapsed="false">
      <c r="A42" s="7" t="s">
        <v>91</v>
      </c>
      <c r="B42" s="12" t="n">
        <v>1</v>
      </c>
      <c r="C42" s="12" t="n">
        <v>1</v>
      </c>
      <c r="D42" s="12" t="n">
        <v>1</v>
      </c>
      <c r="E42" s="13" t="s">
        <v>92</v>
      </c>
      <c r="F42" s="13" t="s">
        <v>92</v>
      </c>
      <c r="G42" s="13" t="s">
        <v>92</v>
      </c>
      <c r="H42" s="14"/>
    </row>
    <row r="43" customFormat="false" ht="15" hidden="false" customHeight="false" outlineLevel="0" collapsed="false">
      <c r="A43" s="7" t="s">
        <v>93</v>
      </c>
      <c r="B43" s="12" t="n">
        <v>2</v>
      </c>
      <c r="C43" s="12" t="n">
        <v>2</v>
      </c>
      <c r="D43" s="12" t="n">
        <v>4</v>
      </c>
      <c r="E43" s="13" t="s">
        <v>94</v>
      </c>
      <c r="F43" s="13" t="s">
        <v>94</v>
      </c>
      <c r="G43" s="13" t="s">
        <v>94</v>
      </c>
      <c r="H43" s="14"/>
    </row>
    <row r="44" customFormat="false" ht="15" hidden="false" customHeight="false" outlineLevel="0" collapsed="false">
      <c r="A44" s="7" t="s">
        <v>95</v>
      </c>
      <c r="B44" s="12" t="n">
        <v>1</v>
      </c>
      <c r="C44" s="12" t="n">
        <v>1</v>
      </c>
      <c r="D44" s="12" t="n">
        <v>1</v>
      </c>
      <c r="E44" s="13" t="s">
        <v>96</v>
      </c>
      <c r="F44" s="13" t="s">
        <v>96</v>
      </c>
      <c r="G44" s="13" t="s">
        <v>96</v>
      </c>
      <c r="H44" s="14"/>
    </row>
    <row r="45" customFormat="false" ht="15" hidden="false" customHeight="false" outlineLevel="0" collapsed="false">
      <c r="A45" s="7" t="s">
        <v>97</v>
      </c>
      <c r="B45" s="12" t="n">
        <v>2</v>
      </c>
      <c r="C45" s="12" t="n">
        <v>2</v>
      </c>
      <c r="D45" s="12" t="n">
        <v>4</v>
      </c>
      <c r="E45" s="13" t="s">
        <v>98</v>
      </c>
      <c r="F45" s="13" t="s">
        <v>98</v>
      </c>
      <c r="G45" s="13" t="s">
        <v>98</v>
      </c>
      <c r="H45" s="14"/>
    </row>
    <row r="46" customFormat="false" ht="15" hidden="false" customHeight="false" outlineLevel="0" collapsed="false">
      <c r="A46" s="7" t="s">
        <v>99</v>
      </c>
      <c r="B46" s="12" t="n">
        <v>1</v>
      </c>
      <c r="C46" s="12" t="n">
        <v>1</v>
      </c>
      <c r="D46" s="12" t="n">
        <v>2</v>
      </c>
      <c r="E46" s="13" t="s">
        <v>100</v>
      </c>
      <c r="F46" s="13" t="s">
        <v>101</v>
      </c>
      <c r="G46" s="13" t="s">
        <v>101</v>
      </c>
      <c r="H46" s="14"/>
    </row>
    <row r="47" customFormat="false" ht="15" hidden="false" customHeight="false" outlineLevel="0" collapsed="false">
      <c r="A47" s="7" t="s">
        <v>102</v>
      </c>
      <c r="B47" s="12" t="n">
        <v>1</v>
      </c>
      <c r="C47" s="12" t="n">
        <v>1</v>
      </c>
      <c r="D47" s="12" t="n">
        <v>1</v>
      </c>
      <c r="E47" s="13" t="s">
        <v>103</v>
      </c>
      <c r="F47" s="13" t="s">
        <v>103</v>
      </c>
      <c r="G47" s="13" t="s">
        <v>103</v>
      </c>
      <c r="H47" s="14"/>
    </row>
    <row r="48" customFormat="false" ht="15" hidden="false" customHeight="false" outlineLevel="0" collapsed="false">
      <c r="A48" s="7" t="s">
        <v>104</v>
      </c>
      <c r="B48" s="12" t="n">
        <v>1</v>
      </c>
      <c r="C48" s="12" t="n">
        <v>1</v>
      </c>
      <c r="D48" s="12" t="n">
        <v>1</v>
      </c>
      <c r="E48" s="13" t="s">
        <v>105</v>
      </c>
      <c r="F48" s="13" t="s">
        <v>105</v>
      </c>
      <c r="G48" s="13" t="s">
        <v>106</v>
      </c>
      <c r="H48" s="14"/>
    </row>
    <row r="49" customFormat="false" ht="15" hidden="false" customHeight="false" outlineLevel="0" collapsed="false">
      <c r="A49" s="7" t="s">
        <v>107</v>
      </c>
      <c r="B49" s="12" t="n">
        <v>2</v>
      </c>
      <c r="C49" s="12" t="n">
        <v>2</v>
      </c>
      <c r="D49" s="12" t="n">
        <v>4</v>
      </c>
      <c r="E49" s="13" t="s">
        <v>108</v>
      </c>
      <c r="F49" s="13" t="s">
        <v>109</v>
      </c>
      <c r="G49" s="13" t="s">
        <v>109</v>
      </c>
      <c r="H49" s="14"/>
    </row>
    <row r="50" customFormat="false" ht="15" hidden="false" customHeight="false" outlineLevel="0" collapsed="false">
      <c r="A50" s="7" t="s">
        <v>110</v>
      </c>
      <c r="B50" s="12" t="n">
        <v>1</v>
      </c>
      <c r="C50" s="12" t="n">
        <v>1</v>
      </c>
      <c r="D50" s="12" t="n">
        <v>1</v>
      </c>
      <c r="E50" s="13" t="s">
        <v>111</v>
      </c>
      <c r="F50" s="13" t="s">
        <v>112</v>
      </c>
      <c r="G50" s="13" t="s">
        <v>112</v>
      </c>
      <c r="H50" s="14"/>
    </row>
    <row r="51" customFormat="false" ht="15" hidden="false" customHeight="false" outlineLevel="0" collapsed="false">
      <c r="A51" s="7" t="s">
        <v>113</v>
      </c>
      <c r="B51" s="12" t="n">
        <v>1</v>
      </c>
      <c r="C51" s="12" t="n">
        <v>1</v>
      </c>
      <c r="D51" s="12" t="n">
        <v>1</v>
      </c>
      <c r="E51" s="13" t="s">
        <v>114</v>
      </c>
      <c r="F51" s="13" t="s">
        <v>114</v>
      </c>
      <c r="G51" s="13" t="s">
        <v>114</v>
      </c>
      <c r="H51" s="14"/>
    </row>
    <row r="52" customFormat="false" ht="15" hidden="false" customHeight="false" outlineLevel="0" collapsed="false">
      <c r="A52" s="7" t="s">
        <v>115</v>
      </c>
      <c r="B52" s="12" t="n">
        <v>1</v>
      </c>
      <c r="C52" s="12" t="n">
        <v>1</v>
      </c>
      <c r="D52" s="12" t="n">
        <v>1</v>
      </c>
      <c r="E52" s="13" t="s">
        <v>116</v>
      </c>
      <c r="F52" s="13" t="s">
        <v>116</v>
      </c>
      <c r="G52" s="13" t="s">
        <v>116</v>
      </c>
      <c r="H52" s="14"/>
    </row>
    <row r="53" customFormat="false" ht="15" hidden="false" customHeight="false" outlineLevel="0" collapsed="false">
      <c r="A53" s="7" t="s">
        <v>117</v>
      </c>
      <c r="B53" s="12" t="n">
        <v>1</v>
      </c>
      <c r="C53" s="12" t="n">
        <v>1</v>
      </c>
      <c r="D53" s="12" t="n">
        <v>1</v>
      </c>
      <c r="E53" s="13" t="s">
        <v>118</v>
      </c>
      <c r="F53" s="13" t="s">
        <v>119</v>
      </c>
      <c r="G53" s="13" t="s">
        <v>119</v>
      </c>
      <c r="H53" s="14"/>
    </row>
    <row r="54" customFormat="false" ht="15" hidden="false" customHeight="false" outlineLevel="0" collapsed="false">
      <c r="A54" s="7" t="s">
        <v>120</v>
      </c>
      <c r="B54" s="12" t="s">
        <v>121</v>
      </c>
      <c r="C54" s="12" t="s">
        <v>121</v>
      </c>
      <c r="D54" s="12" t="n">
        <v>1</v>
      </c>
      <c r="E54" s="13" t="s">
        <v>122</v>
      </c>
      <c r="F54" s="13" t="s">
        <v>122</v>
      </c>
      <c r="G54" s="13" t="s">
        <v>122</v>
      </c>
      <c r="H54" s="14"/>
    </row>
    <row r="55" customFormat="false" ht="15" hidden="false" customHeight="false" outlineLevel="0" collapsed="false">
      <c r="A55" s="7" t="s">
        <v>123</v>
      </c>
      <c r="B55" s="12" t="s">
        <v>124</v>
      </c>
      <c r="C55" s="12" t="n">
        <v>1</v>
      </c>
      <c r="D55" s="12" t="n">
        <v>1</v>
      </c>
      <c r="E55" s="13"/>
      <c r="F55" s="13" t="s">
        <v>125</v>
      </c>
      <c r="G55" s="13" t="s">
        <v>125</v>
      </c>
      <c r="H55" s="14"/>
    </row>
    <row r="56" customFormat="false" ht="15" hidden="false" customHeight="false" outlineLevel="0" collapsed="false">
      <c r="A56" s="15" t="s">
        <v>126</v>
      </c>
      <c r="B56" s="12" t="s">
        <v>124</v>
      </c>
      <c r="C56" s="12" t="n">
        <v>1</v>
      </c>
      <c r="D56" s="12" t="n">
        <v>1</v>
      </c>
      <c r="E56" s="13"/>
      <c r="F56" s="13" t="s">
        <v>127</v>
      </c>
      <c r="G56" s="13" t="s">
        <v>127</v>
      </c>
      <c r="H56" s="16" t="s">
        <v>128</v>
      </c>
    </row>
    <row r="57" customFormat="false" ht="15" hidden="false" customHeight="false" outlineLevel="0" collapsed="false">
      <c r="A57" s="15" t="s">
        <v>129</v>
      </c>
      <c r="B57" s="12" t="s">
        <v>124</v>
      </c>
      <c r="C57" s="12" t="n">
        <v>1</v>
      </c>
      <c r="D57" s="12" t="n">
        <v>1</v>
      </c>
      <c r="E57" s="13"/>
      <c r="F57" s="13" t="s">
        <v>127</v>
      </c>
      <c r="G57" s="13" t="s">
        <v>127</v>
      </c>
      <c r="H57" s="16" t="s">
        <v>128</v>
      </c>
    </row>
    <row r="58" customFormat="false" ht="15" hidden="false" customHeight="false" outlineLevel="0" collapsed="false">
      <c r="A58" s="7" t="s">
        <v>131</v>
      </c>
      <c r="B58" s="12" t="s">
        <v>124</v>
      </c>
      <c r="C58" s="12" t="n">
        <v>1</v>
      </c>
      <c r="D58" s="12" t="n">
        <v>1</v>
      </c>
      <c r="E58" s="13"/>
      <c r="F58" s="13" t="s">
        <v>132</v>
      </c>
      <c r="G58" s="13" t="s">
        <v>132</v>
      </c>
      <c r="H58" s="14"/>
    </row>
    <row r="59" customFormat="false" ht="15" hidden="false" customHeight="false" outlineLevel="0" collapsed="false">
      <c r="A59" s="7" t="s">
        <v>153</v>
      </c>
      <c r="B59" s="12" t="s">
        <v>124</v>
      </c>
      <c r="C59" s="12" t="n">
        <v>1</v>
      </c>
      <c r="D59" s="12" t="n">
        <v>1</v>
      </c>
      <c r="E59" s="13"/>
      <c r="F59" s="13" t="s">
        <v>154</v>
      </c>
      <c r="G59" s="13" t="s">
        <v>154</v>
      </c>
      <c r="H59" s="14"/>
    </row>
    <row r="60" customFormat="false" ht="15" hidden="false" customHeight="false" outlineLevel="0" collapsed="false">
      <c r="A60" s="7" t="s">
        <v>137</v>
      </c>
      <c r="B60" s="12" t="s">
        <v>124</v>
      </c>
      <c r="C60" s="12" t="s">
        <v>124</v>
      </c>
      <c r="D60" s="12" t="n">
        <v>1</v>
      </c>
      <c r="E60" s="13"/>
      <c r="F60" s="13"/>
      <c r="G60" s="13" t="s">
        <v>138</v>
      </c>
      <c r="H60" s="14"/>
    </row>
    <row r="61" customFormat="false" ht="15" hidden="false" customHeight="false" outlineLevel="0" collapsed="false">
      <c r="A61" s="15" t="s">
        <v>130</v>
      </c>
      <c r="B61" s="12" t="s">
        <v>124</v>
      </c>
      <c r="C61" s="12" t="s">
        <v>124</v>
      </c>
      <c r="D61" s="12" t="n">
        <v>1</v>
      </c>
      <c r="E61" s="13"/>
      <c r="F61" s="13"/>
      <c r="G61" s="13" t="s">
        <v>127</v>
      </c>
      <c r="H61" s="16" t="s">
        <v>128</v>
      </c>
    </row>
    <row r="62" customFormat="false" ht="15" hidden="false" customHeight="false" outlineLevel="0" collapsed="false">
      <c r="A62" s="17" t="s">
        <v>139</v>
      </c>
      <c r="B62" s="12" t="s">
        <v>124</v>
      </c>
      <c r="C62" s="12" t="s">
        <v>124</v>
      </c>
      <c r="D62" s="12" t="n">
        <v>1</v>
      </c>
      <c r="E62" s="13"/>
      <c r="F62" s="13"/>
      <c r="G62" s="13" t="s">
        <v>140</v>
      </c>
      <c r="H62" s="18" t="s">
        <v>141</v>
      </c>
    </row>
    <row r="63" customFormat="false" ht="15" hidden="false" customHeight="false" outlineLevel="0" collapsed="false">
      <c r="A63" s="15" t="s">
        <v>142</v>
      </c>
      <c r="B63" s="12" t="s">
        <v>124</v>
      </c>
      <c r="C63" s="12" t="s">
        <v>124</v>
      </c>
      <c r="D63" s="12" t="n">
        <v>1</v>
      </c>
      <c r="E63" s="13"/>
      <c r="F63" s="13"/>
      <c r="G63" s="13" t="s">
        <v>127</v>
      </c>
      <c r="H63" s="16" t="s">
        <v>128</v>
      </c>
    </row>
    <row r="64" customFormat="false" ht="15" hidden="false" customHeight="false" outlineLevel="0" collapsed="false">
      <c r="A64" s="7" t="s">
        <v>143</v>
      </c>
      <c r="B64" s="12" t="s">
        <v>124</v>
      </c>
      <c r="C64" s="12" t="s">
        <v>124</v>
      </c>
      <c r="D64" s="12" t="n">
        <v>1</v>
      </c>
      <c r="E64" s="13"/>
      <c r="F64" s="13"/>
      <c r="G64" s="13" t="s">
        <v>144</v>
      </c>
      <c r="H64" s="14"/>
    </row>
    <row r="65" customFormat="false" ht="15" hidden="false" customHeight="false" outlineLevel="0" collapsed="false">
      <c r="A65" s="7" t="s">
        <v>145</v>
      </c>
      <c r="B65" s="12" t="s">
        <v>124</v>
      </c>
      <c r="C65" s="12" t="s">
        <v>124</v>
      </c>
      <c r="D65" s="12" t="n">
        <v>1</v>
      </c>
      <c r="E65" s="13"/>
      <c r="F65" s="13"/>
      <c r="G65" s="13" t="s">
        <v>146</v>
      </c>
      <c r="H65" s="14"/>
    </row>
    <row r="66" customFormat="false" ht="15" hidden="false" customHeight="false" outlineLevel="0" collapsed="false">
      <c r="A66" s="19" t="s">
        <v>149</v>
      </c>
      <c r="B66" s="20" t="n">
        <f aca="false">'Récap par kit'!F9</f>
        <v>12490</v>
      </c>
      <c r="C66" s="20" t="n">
        <f aca="false">'Récap par kit'!F10</f>
        <v>19050</v>
      </c>
      <c r="D66" s="20" t="n">
        <f aca="false">'Récap par kit'!F11</f>
        <v>35450</v>
      </c>
    </row>
    <row r="68" customFormat="false" ht="15" hidden="false" customHeight="false" outlineLevel="0" collapsed="false">
      <c r="A68" s="11" t="s">
        <v>155</v>
      </c>
    </row>
    <row r="69" customFormat="false" ht="15" hidden="false" customHeight="false" outlineLevel="0" collapsed="false">
      <c r="A69" s="6" t="s">
        <v>79</v>
      </c>
      <c r="B69" s="6" t="s">
        <v>48</v>
      </c>
      <c r="C69" s="6" t="s">
        <v>49</v>
      </c>
      <c r="D69" s="6" t="s">
        <v>50</v>
      </c>
      <c r="E69" s="6" t="s">
        <v>80</v>
      </c>
      <c r="F69" s="6" t="s">
        <v>81</v>
      </c>
      <c r="G69" s="6" t="s">
        <v>82</v>
      </c>
      <c r="H69" s="6" t="s">
        <v>83</v>
      </c>
    </row>
    <row r="70" customFormat="false" ht="15" hidden="false" customHeight="false" outlineLevel="0" collapsed="false">
      <c r="A70" s="7" t="s">
        <v>151</v>
      </c>
      <c r="B70" s="12" t="n">
        <v>2</v>
      </c>
      <c r="C70" s="12" t="n">
        <v>2</v>
      </c>
      <c r="D70" s="12" t="n">
        <v>2</v>
      </c>
      <c r="E70" s="13" t="s">
        <v>152</v>
      </c>
      <c r="F70" s="13" t="s">
        <v>152</v>
      </c>
      <c r="G70" s="13" t="s">
        <v>152</v>
      </c>
      <c r="H70" s="14"/>
    </row>
    <row r="71" customFormat="false" ht="15" hidden="false" customHeight="false" outlineLevel="0" collapsed="false">
      <c r="A71" s="7" t="s">
        <v>86</v>
      </c>
      <c r="B71" s="12" t="n">
        <v>1</v>
      </c>
      <c r="C71" s="12" t="n">
        <v>1</v>
      </c>
      <c r="D71" s="12" t="n">
        <v>1</v>
      </c>
      <c r="E71" s="13" t="s">
        <v>87</v>
      </c>
      <c r="F71" s="13" t="s">
        <v>87</v>
      </c>
      <c r="G71" s="13" t="s">
        <v>87</v>
      </c>
      <c r="H71" s="14"/>
    </row>
    <row r="72" customFormat="false" ht="15" hidden="false" customHeight="false" outlineLevel="0" collapsed="false">
      <c r="A72" s="7" t="s">
        <v>88</v>
      </c>
      <c r="B72" s="12" t="n">
        <v>1</v>
      </c>
      <c r="C72" s="12" t="n">
        <v>1</v>
      </c>
      <c r="D72" s="12" t="n">
        <v>1</v>
      </c>
      <c r="E72" s="13" t="s">
        <v>89</v>
      </c>
      <c r="F72" s="13" t="s">
        <v>90</v>
      </c>
      <c r="G72" s="13" t="s">
        <v>90</v>
      </c>
      <c r="H72" s="14"/>
    </row>
    <row r="73" customFormat="false" ht="15" hidden="false" customHeight="false" outlineLevel="0" collapsed="false">
      <c r="A73" s="7" t="s">
        <v>91</v>
      </c>
      <c r="B73" s="12" t="n">
        <v>1</v>
      </c>
      <c r="C73" s="12" t="n">
        <v>1</v>
      </c>
      <c r="D73" s="12" t="n">
        <v>1</v>
      </c>
      <c r="E73" s="13" t="s">
        <v>92</v>
      </c>
      <c r="F73" s="13" t="s">
        <v>92</v>
      </c>
      <c r="G73" s="13" t="s">
        <v>92</v>
      </c>
      <c r="H73" s="14"/>
    </row>
    <row r="74" customFormat="false" ht="15" hidden="false" customHeight="false" outlineLevel="0" collapsed="false">
      <c r="A74" s="7" t="s">
        <v>93</v>
      </c>
      <c r="B74" s="12" t="n">
        <v>2</v>
      </c>
      <c r="C74" s="12" t="n">
        <v>2</v>
      </c>
      <c r="D74" s="12" t="n">
        <v>6</v>
      </c>
      <c r="E74" s="13" t="s">
        <v>94</v>
      </c>
      <c r="F74" s="13" t="s">
        <v>94</v>
      </c>
      <c r="G74" s="13" t="s">
        <v>94</v>
      </c>
      <c r="H74" s="14"/>
    </row>
    <row r="75" customFormat="false" ht="15" hidden="false" customHeight="false" outlineLevel="0" collapsed="false">
      <c r="A75" s="7" t="s">
        <v>95</v>
      </c>
      <c r="B75" s="12" t="n">
        <v>1</v>
      </c>
      <c r="C75" s="12" t="n">
        <v>1</v>
      </c>
      <c r="D75" s="12" t="n">
        <v>1</v>
      </c>
      <c r="E75" s="13" t="s">
        <v>96</v>
      </c>
      <c r="F75" s="13" t="s">
        <v>96</v>
      </c>
      <c r="G75" s="13" t="s">
        <v>96</v>
      </c>
      <c r="H75" s="14"/>
    </row>
    <row r="76" customFormat="false" ht="15" hidden="false" customHeight="false" outlineLevel="0" collapsed="false">
      <c r="A76" s="7" t="s">
        <v>97</v>
      </c>
      <c r="B76" s="12" t="n">
        <v>2</v>
      </c>
      <c r="C76" s="12" t="n">
        <v>2</v>
      </c>
      <c r="D76" s="12" t="n">
        <v>4</v>
      </c>
      <c r="E76" s="13" t="s">
        <v>98</v>
      </c>
      <c r="F76" s="13" t="s">
        <v>98</v>
      </c>
      <c r="G76" s="13" t="s">
        <v>98</v>
      </c>
      <c r="H76" s="14"/>
    </row>
    <row r="77" customFormat="false" ht="15" hidden="false" customHeight="false" outlineLevel="0" collapsed="false">
      <c r="A77" s="7" t="s">
        <v>99</v>
      </c>
      <c r="B77" s="12" t="n">
        <v>1</v>
      </c>
      <c r="C77" s="12" t="n">
        <v>1</v>
      </c>
      <c r="D77" s="12" t="n">
        <v>2</v>
      </c>
      <c r="E77" s="13" t="s">
        <v>100</v>
      </c>
      <c r="F77" s="13" t="s">
        <v>101</v>
      </c>
      <c r="G77" s="13" t="s">
        <v>101</v>
      </c>
      <c r="H77" s="14"/>
    </row>
    <row r="78" customFormat="false" ht="15" hidden="false" customHeight="false" outlineLevel="0" collapsed="false">
      <c r="A78" s="7" t="s">
        <v>102</v>
      </c>
      <c r="B78" s="12" t="n">
        <v>1</v>
      </c>
      <c r="C78" s="12" t="n">
        <v>1</v>
      </c>
      <c r="D78" s="12" t="n">
        <v>1</v>
      </c>
      <c r="E78" s="13" t="s">
        <v>103</v>
      </c>
      <c r="F78" s="13" t="s">
        <v>103</v>
      </c>
      <c r="G78" s="13" t="s">
        <v>103</v>
      </c>
      <c r="H78" s="14"/>
    </row>
    <row r="79" customFormat="false" ht="15" hidden="false" customHeight="false" outlineLevel="0" collapsed="false">
      <c r="A79" s="7" t="s">
        <v>104</v>
      </c>
      <c r="B79" s="12" t="n">
        <v>1</v>
      </c>
      <c r="C79" s="12" t="n">
        <v>1</v>
      </c>
      <c r="D79" s="12" t="n">
        <v>1</v>
      </c>
      <c r="E79" s="13" t="s">
        <v>105</v>
      </c>
      <c r="F79" s="13" t="s">
        <v>105</v>
      </c>
      <c r="G79" s="13" t="s">
        <v>106</v>
      </c>
      <c r="H79" s="14"/>
    </row>
    <row r="80" customFormat="false" ht="15" hidden="false" customHeight="false" outlineLevel="0" collapsed="false">
      <c r="A80" s="7" t="s">
        <v>107</v>
      </c>
      <c r="B80" s="12" t="n">
        <v>2</v>
      </c>
      <c r="C80" s="12" t="n">
        <v>2</v>
      </c>
      <c r="D80" s="12" t="n">
        <v>4</v>
      </c>
      <c r="E80" s="13" t="s">
        <v>108</v>
      </c>
      <c r="F80" s="13" t="s">
        <v>109</v>
      </c>
      <c r="G80" s="13" t="s">
        <v>109</v>
      </c>
      <c r="H80" s="14"/>
    </row>
    <row r="81" customFormat="false" ht="15" hidden="false" customHeight="false" outlineLevel="0" collapsed="false">
      <c r="A81" s="7" t="s">
        <v>110</v>
      </c>
      <c r="B81" s="12" t="n">
        <v>1</v>
      </c>
      <c r="C81" s="12" t="n">
        <v>1</v>
      </c>
      <c r="D81" s="12" t="n">
        <v>1</v>
      </c>
      <c r="E81" s="13" t="s">
        <v>111</v>
      </c>
      <c r="F81" s="13" t="s">
        <v>112</v>
      </c>
      <c r="G81" s="13" t="s">
        <v>112</v>
      </c>
      <c r="H81" s="14"/>
    </row>
    <row r="82" customFormat="false" ht="15" hidden="false" customHeight="false" outlineLevel="0" collapsed="false">
      <c r="A82" s="7" t="s">
        <v>113</v>
      </c>
      <c r="B82" s="12" t="n">
        <v>1</v>
      </c>
      <c r="C82" s="12" t="n">
        <v>1</v>
      </c>
      <c r="D82" s="12" t="n">
        <v>1</v>
      </c>
      <c r="E82" s="13" t="s">
        <v>114</v>
      </c>
      <c r="F82" s="13" t="s">
        <v>114</v>
      </c>
      <c r="G82" s="13" t="s">
        <v>114</v>
      </c>
      <c r="H82" s="14"/>
    </row>
    <row r="83" customFormat="false" ht="15" hidden="false" customHeight="false" outlineLevel="0" collapsed="false">
      <c r="A83" s="7" t="s">
        <v>115</v>
      </c>
      <c r="B83" s="12" t="n">
        <v>1</v>
      </c>
      <c r="C83" s="12" t="n">
        <v>1</v>
      </c>
      <c r="D83" s="12" t="n">
        <v>1</v>
      </c>
      <c r="E83" s="13" t="s">
        <v>116</v>
      </c>
      <c r="F83" s="13" t="s">
        <v>116</v>
      </c>
      <c r="G83" s="13" t="s">
        <v>116</v>
      </c>
      <c r="H83" s="14"/>
    </row>
    <row r="84" customFormat="false" ht="15" hidden="false" customHeight="false" outlineLevel="0" collapsed="false">
      <c r="A84" s="7" t="s">
        <v>117</v>
      </c>
      <c r="B84" s="12" t="n">
        <v>1</v>
      </c>
      <c r="C84" s="12" t="n">
        <v>1</v>
      </c>
      <c r="D84" s="12" t="n">
        <v>1</v>
      </c>
      <c r="E84" s="13" t="s">
        <v>118</v>
      </c>
      <c r="F84" s="13" t="s">
        <v>119</v>
      </c>
      <c r="G84" s="13" t="s">
        <v>119</v>
      </c>
      <c r="H84" s="14"/>
    </row>
    <row r="85" customFormat="false" ht="15" hidden="false" customHeight="false" outlineLevel="0" collapsed="false">
      <c r="A85" s="7" t="s">
        <v>120</v>
      </c>
      <c r="B85" s="12" t="s">
        <v>121</v>
      </c>
      <c r="C85" s="12" t="s">
        <v>121</v>
      </c>
      <c r="D85" s="12" t="n">
        <v>1</v>
      </c>
      <c r="E85" s="13" t="s">
        <v>122</v>
      </c>
      <c r="F85" s="13" t="s">
        <v>122</v>
      </c>
      <c r="G85" s="13" t="s">
        <v>122</v>
      </c>
      <c r="H85" s="14"/>
    </row>
    <row r="86" customFormat="false" ht="15" hidden="false" customHeight="false" outlineLevel="0" collapsed="false">
      <c r="A86" s="7" t="s">
        <v>123</v>
      </c>
      <c r="B86" s="12" t="s">
        <v>124</v>
      </c>
      <c r="C86" s="12" t="n">
        <v>1</v>
      </c>
      <c r="D86" s="12" t="n">
        <v>1</v>
      </c>
      <c r="E86" s="13"/>
      <c r="F86" s="13" t="s">
        <v>125</v>
      </c>
      <c r="G86" s="13" t="s">
        <v>125</v>
      </c>
      <c r="H86" s="14"/>
    </row>
    <row r="87" customFormat="false" ht="15" hidden="false" customHeight="false" outlineLevel="0" collapsed="false">
      <c r="A87" s="15" t="s">
        <v>126</v>
      </c>
      <c r="B87" s="12" t="s">
        <v>124</v>
      </c>
      <c r="C87" s="12" t="n">
        <v>1</v>
      </c>
      <c r="D87" s="12" t="n">
        <v>1</v>
      </c>
      <c r="E87" s="13"/>
      <c r="F87" s="13" t="s">
        <v>127</v>
      </c>
      <c r="G87" s="13" t="s">
        <v>127</v>
      </c>
      <c r="H87" s="16" t="s">
        <v>128</v>
      </c>
    </row>
    <row r="88" customFormat="false" ht="15" hidden="false" customHeight="false" outlineLevel="0" collapsed="false">
      <c r="A88" s="15" t="s">
        <v>129</v>
      </c>
      <c r="B88" s="12" t="s">
        <v>124</v>
      </c>
      <c r="C88" s="12" t="n">
        <v>1</v>
      </c>
      <c r="D88" s="12" t="n">
        <v>1</v>
      </c>
      <c r="E88" s="13"/>
      <c r="F88" s="13" t="s">
        <v>127</v>
      </c>
      <c r="G88" s="13" t="s">
        <v>127</v>
      </c>
      <c r="H88" s="16" t="s">
        <v>128</v>
      </c>
    </row>
    <row r="89" customFormat="false" ht="15" hidden="false" customHeight="false" outlineLevel="0" collapsed="false">
      <c r="A89" s="7" t="s">
        <v>131</v>
      </c>
      <c r="B89" s="12" t="s">
        <v>124</v>
      </c>
      <c r="C89" s="12" t="n">
        <v>1</v>
      </c>
      <c r="D89" s="12" t="n">
        <v>1</v>
      </c>
      <c r="E89" s="13"/>
      <c r="F89" s="13" t="s">
        <v>132</v>
      </c>
      <c r="G89" s="13" t="s">
        <v>132</v>
      </c>
      <c r="H89" s="14"/>
    </row>
    <row r="90" customFormat="false" ht="15" hidden="false" customHeight="false" outlineLevel="0" collapsed="false">
      <c r="A90" s="7" t="s">
        <v>156</v>
      </c>
      <c r="B90" s="12" t="s">
        <v>124</v>
      </c>
      <c r="C90" s="12" t="n">
        <v>1</v>
      </c>
      <c r="D90" s="12" t="n">
        <v>1</v>
      </c>
      <c r="E90" s="13"/>
      <c r="F90" s="13" t="s">
        <v>157</v>
      </c>
      <c r="G90" s="13" t="s">
        <v>157</v>
      </c>
      <c r="H90" s="14"/>
    </row>
    <row r="91" customFormat="false" ht="15" hidden="false" customHeight="false" outlineLevel="0" collapsed="false">
      <c r="A91" s="7" t="s">
        <v>137</v>
      </c>
      <c r="B91" s="12" t="s">
        <v>124</v>
      </c>
      <c r="C91" s="12" t="s">
        <v>124</v>
      </c>
      <c r="D91" s="12" t="n">
        <v>1</v>
      </c>
      <c r="E91" s="13"/>
      <c r="F91" s="13"/>
      <c r="G91" s="13" t="s">
        <v>138</v>
      </c>
      <c r="H91" s="14"/>
    </row>
    <row r="92" customFormat="false" ht="15" hidden="false" customHeight="false" outlineLevel="0" collapsed="false">
      <c r="A92" s="15" t="s">
        <v>130</v>
      </c>
      <c r="B92" s="12" t="s">
        <v>124</v>
      </c>
      <c r="C92" s="12" t="s">
        <v>124</v>
      </c>
      <c r="D92" s="12" t="n">
        <v>1</v>
      </c>
      <c r="E92" s="13"/>
      <c r="F92" s="13"/>
      <c r="G92" s="13" t="s">
        <v>127</v>
      </c>
      <c r="H92" s="16" t="s">
        <v>128</v>
      </c>
    </row>
    <row r="93" customFormat="false" ht="15" hidden="false" customHeight="false" outlineLevel="0" collapsed="false">
      <c r="A93" s="17" t="s">
        <v>139</v>
      </c>
      <c r="B93" s="12" t="s">
        <v>124</v>
      </c>
      <c r="C93" s="12" t="s">
        <v>124</v>
      </c>
      <c r="D93" s="12" t="n">
        <v>1</v>
      </c>
      <c r="E93" s="13"/>
      <c r="F93" s="13"/>
      <c r="G93" s="13" t="s">
        <v>140</v>
      </c>
      <c r="H93" s="18" t="s">
        <v>141</v>
      </c>
    </row>
    <row r="94" customFormat="false" ht="15" hidden="false" customHeight="false" outlineLevel="0" collapsed="false">
      <c r="A94" s="15" t="s">
        <v>142</v>
      </c>
      <c r="B94" s="12" t="s">
        <v>124</v>
      </c>
      <c r="C94" s="12" t="s">
        <v>124</v>
      </c>
      <c r="D94" s="12" t="n">
        <v>1</v>
      </c>
      <c r="E94" s="13"/>
      <c r="F94" s="13"/>
      <c r="G94" s="13" t="s">
        <v>127</v>
      </c>
      <c r="H94" s="16" t="s">
        <v>128</v>
      </c>
    </row>
    <row r="95" customFormat="false" ht="15" hidden="false" customHeight="false" outlineLevel="0" collapsed="false">
      <c r="A95" s="7" t="s">
        <v>143</v>
      </c>
      <c r="B95" s="12" t="s">
        <v>124</v>
      </c>
      <c r="C95" s="12" t="s">
        <v>124</v>
      </c>
      <c r="D95" s="12" t="n">
        <v>1</v>
      </c>
      <c r="E95" s="13"/>
      <c r="F95" s="13"/>
      <c r="G95" s="13" t="s">
        <v>144</v>
      </c>
      <c r="H95" s="14"/>
    </row>
    <row r="96" customFormat="false" ht="15" hidden="false" customHeight="false" outlineLevel="0" collapsed="false">
      <c r="A96" s="7" t="s">
        <v>145</v>
      </c>
      <c r="B96" s="12" t="s">
        <v>124</v>
      </c>
      <c r="C96" s="12" t="s">
        <v>124</v>
      </c>
      <c r="D96" s="12" t="n">
        <v>1</v>
      </c>
      <c r="E96" s="13"/>
      <c r="F96" s="13"/>
      <c r="G96" s="13" t="s">
        <v>146</v>
      </c>
      <c r="H96" s="14"/>
    </row>
    <row r="97" customFormat="false" ht="15" hidden="false" customHeight="false" outlineLevel="0" collapsed="false">
      <c r="A97" s="19" t="s">
        <v>149</v>
      </c>
      <c r="B97" s="20" t="n">
        <f aca="false">'Récap par kit'!F13</f>
        <v>12940</v>
      </c>
      <c r="C97" s="20" t="n">
        <f aca="false">'Récap par kit'!F14</f>
        <v>19500</v>
      </c>
      <c r="D97" s="20" t="n">
        <f aca="false">'Récap par kit'!F15</f>
        <v>36700</v>
      </c>
    </row>
    <row r="99" customFormat="false" ht="15" hidden="false" customHeight="false" outlineLevel="0" collapsed="false">
      <c r="A99" s="11" t="s">
        <v>54</v>
      </c>
    </row>
    <row r="100" customFormat="false" ht="15" hidden="false" customHeight="false" outlineLevel="0" collapsed="false">
      <c r="A100" s="6" t="s">
        <v>79</v>
      </c>
      <c r="B100" s="6" t="s">
        <v>48</v>
      </c>
      <c r="C100" s="6" t="s">
        <v>49</v>
      </c>
      <c r="D100" s="6" t="s">
        <v>50</v>
      </c>
      <c r="E100" s="6" t="s">
        <v>80</v>
      </c>
      <c r="F100" s="6" t="s">
        <v>81</v>
      </c>
      <c r="G100" s="6" t="s">
        <v>82</v>
      </c>
      <c r="H100" s="6" t="s">
        <v>83</v>
      </c>
    </row>
    <row r="101" customFormat="false" ht="15" hidden="false" customHeight="false" outlineLevel="0" collapsed="false">
      <c r="A101" s="7" t="s">
        <v>158</v>
      </c>
      <c r="B101" s="12" t="n">
        <v>6</v>
      </c>
      <c r="C101" s="12" t="n">
        <v>6</v>
      </c>
      <c r="D101" s="12" t="n">
        <v>6</v>
      </c>
      <c r="E101" s="13" t="s">
        <v>159</v>
      </c>
      <c r="F101" s="13" t="s">
        <v>159</v>
      </c>
      <c r="G101" s="13" t="s">
        <v>159</v>
      </c>
      <c r="H101" s="14"/>
    </row>
    <row r="102" customFormat="false" ht="15" hidden="false" customHeight="false" outlineLevel="0" collapsed="false">
      <c r="A102" s="7" t="s">
        <v>88</v>
      </c>
      <c r="B102" s="12" t="n">
        <v>1</v>
      </c>
      <c r="C102" s="12" t="n">
        <v>1</v>
      </c>
      <c r="D102" s="12" t="n">
        <v>1</v>
      </c>
      <c r="E102" s="13" t="s">
        <v>89</v>
      </c>
      <c r="F102" s="13" t="s">
        <v>90</v>
      </c>
      <c r="G102" s="13" t="s">
        <v>90</v>
      </c>
      <c r="H102" s="14"/>
    </row>
    <row r="103" customFormat="false" ht="15" hidden="false" customHeight="false" outlineLevel="0" collapsed="false">
      <c r="A103" s="7" t="s">
        <v>160</v>
      </c>
      <c r="B103" s="12" t="n">
        <v>7</v>
      </c>
      <c r="C103" s="12" t="n">
        <v>7</v>
      </c>
      <c r="D103" s="12" t="n">
        <v>7</v>
      </c>
      <c r="E103" s="13" t="s">
        <v>161</v>
      </c>
      <c r="F103" s="13" t="s">
        <v>161</v>
      </c>
      <c r="G103" s="13" t="s">
        <v>161</v>
      </c>
      <c r="H103" s="14"/>
    </row>
    <row r="104" customFormat="false" ht="15" hidden="false" customHeight="false" outlineLevel="0" collapsed="false">
      <c r="A104" s="7" t="s">
        <v>97</v>
      </c>
      <c r="B104" s="12" t="n">
        <v>2</v>
      </c>
      <c r="C104" s="12" t="s">
        <v>124</v>
      </c>
      <c r="D104" s="12" t="s">
        <v>124</v>
      </c>
      <c r="E104" s="13" t="s">
        <v>98</v>
      </c>
      <c r="F104" s="13"/>
      <c r="G104" s="13"/>
      <c r="H104" s="14"/>
    </row>
    <row r="105" customFormat="false" ht="15" hidden="false" customHeight="false" outlineLevel="0" collapsed="false">
      <c r="A105" s="7" t="s">
        <v>162</v>
      </c>
      <c r="B105" s="12" t="n">
        <v>1</v>
      </c>
      <c r="C105" s="12" t="n">
        <v>2</v>
      </c>
      <c r="D105" s="12" t="n">
        <v>2</v>
      </c>
      <c r="E105" s="13" t="s">
        <v>163</v>
      </c>
      <c r="F105" s="13" t="s">
        <v>163</v>
      </c>
      <c r="G105" s="13" t="s">
        <v>163</v>
      </c>
      <c r="H105" s="14"/>
    </row>
    <row r="106" customFormat="false" ht="15" hidden="false" customHeight="false" outlineLevel="0" collapsed="false">
      <c r="A106" s="7" t="s">
        <v>99</v>
      </c>
      <c r="B106" s="12" t="n">
        <v>1</v>
      </c>
      <c r="C106" s="12" t="n">
        <v>2</v>
      </c>
      <c r="D106" s="12" t="n">
        <v>2</v>
      </c>
      <c r="E106" s="13" t="s">
        <v>100</v>
      </c>
      <c r="F106" s="13" t="s">
        <v>101</v>
      </c>
      <c r="G106" s="13" t="s">
        <v>101</v>
      </c>
      <c r="H106" s="14"/>
    </row>
    <row r="107" customFormat="false" ht="15" hidden="false" customHeight="false" outlineLevel="0" collapsed="false">
      <c r="A107" s="7" t="s">
        <v>164</v>
      </c>
      <c r="B107" s="12" t="n">
        <v>1</v>
      </c>
      <c r="C107" s="12" t="s">
        <v>124</v>
      </c>
      <c r="D107" s="12" t="s">
        <v>124</v>
      </c>
      <c r="E107" s="13" t="s">
        <v>165</v>
      </c>
      <c r="F107" s="13"/>
      <c r="G107" s="13"/>
      <c r="H107" s="14"/>
    </row>
    <row r="108" customFormat="false" ht="15" hidden="false" customHeight="false" outlineLevel="0" collapsed="false">
      <c r="A108" s="7" t="s">
        <v>131</v>
      </c>
      <c r="B108" s="12" t="n">
        <v>1</v>
      </c>
      <c r="C108" s="12" t="n">
        <v>1</v>
      </c>
      <c r="D108" s="12" t="n">
        <v>1</v>
      </c>
      <c r="E108" s="13" t="s">
        <v>132</v>
      </c>
      <c r="F108" s="13" t="s">
        <v>132</v>
      </c>
      <c r="G108" s="13" t="s">
        <v>132</v>
      </c>
      <c r="H108" s="14"/>
    </row>
    <row r="109" customFormat="false" ht="15" hidden="false" customHeight="false" outlineLevel="0" collapsed="false">
      <c r="A109" s="7" t="s">
        <v>104</v>
      </c>
      <c r="B109" s="12" t="n">
        <v>1</v>
      </c>
      <c r="C109" s="12" t="n">
        <v>1</v>
      </c>
      <c r="D109" s="12" t="n">
        <v>1</v>
      </c>
      <c r="E109" s="13" t="s">
        <v>105</v>
      </c>
      <c r="F109" s="13" t="s">
        <v>105</v>
      </c>
      <c r="G109" s="13" t="s">
        <v>106</v>
      </c>
      <c r="H109" s="14"/>
    </row>
    <row r="110" customFormat="false" ht="15" hidden="false" customHeight="false" outlineLevel="0" collapsed="false">
      <c r="A110" s="7" t="s">
        <v>166</v>
      </c>
      <c r="B110" s="12" t="n">
        <v>1</v>
      </c>
      <c r="C110" s="12" t="n">
        <v>2</v>
      </c>
      <c r="D110" s="12" t="n">
        <v>2</v>
      </c>
      <c r="E110" s="13" t="s">
        <v>108</v>
      </c>
      <c r="F110" s="13" t="s">
        <v>109</v>
      </c>
      <c r="G110" s="13" t="s">
        <v>109</v>
      </c>
      <c r="H110" s="14"/>
    </row>
    <row r="111" customFormat="false" ht="15" hidden="false" customHeight="false" outlineLevel="0" collapsed="false">
      <c r="A111" s="7" t="s">
        <v>110</v>
      </c>
      <c r="B111" s="12" t="n">
        <v>1</v>
      </c>
      <c r="C111" s="12" t="n">
        <v>1</v>
      </c>
      <c r="D111" s="12" t="n">
        <v>1</v>
      </c>
      <c r="E111" s="13" t="s">
        <v>111</v>
      </c>
      <c r="F111" s="13" t="s">
        <v>112</v>
      </c>
      <c r="G111" s="13" t="s">
        <v>112</v>
      </c>
      <c r="H111" s="14"/>
    </row>
    <row r="112" customFormat="false" ht="15" hidden="false" customHeight="false" outlineLevel="0" collapsed="false">
      <c r="A112" s="7" t="s">
        <v>167</v>
      </c>
      <c r="B112" s="12" t="n">
        <v>1</v>
      </c>
      <c r="C112" s="12" t="n">
        <v>1</v>
      </c>
      <c r="D112" s="12" t="n">
        <v>1</v>
      </c>
      <c r="E112" s="13" t="s">
        <v>168</v>
      </c>
      <c r="F112" s="13" t="s">
        <v>169</v>
      </c>
      <c r="G112" s="13" t="s">
        <v>169</v>
      </c>
      <c r="H112" s="14"/>
    </row>
    <row r="113" customFormat="false" ht="15" hidden="false" customHeight="false" outlineLevel="0" collapsed="false">
      <c r="A113" s="21" t="s">
        <v>170</v>
      </c>
      <c r="B113" s="12" t="n">
        <v>20</v>
      </c>
      <c r="C113" s="12" t="n">
        <v>20</v>
      </c>
      <c r="D113" s="12" t="n">
        <v>20</v>
      </c>
      <c r="E113" s="13" t="s">
        <v>171</v>
      </c>
      <c r="F113" s="13" t="s">
        <v>171</v>
      </c>
      <c r="G113" s="13" t="s">
        <v>171</v>
      </c>
      <c r="H113" s="22" t="s">
        <v>172</v>
      </c>
    </row>
    <row r="114" customFormat="false" ht="15" hidden="false" customHeight="false" outlineLevel="0" collapsed="false">
      <c r="A114" s="7" t="s">
        <v>173</v>
      </c>
      <c r="B114" s="12" t="n">
        <v>1</v>
      </c>
      <c r="C114" s="12" t="n">
        <v>1</v>
      </c>
      <c r="D114" s="12" t="n">
        <v>1</v>
      </c>
      <c r="E114" s="13" t="s">
        <v>148</v>
      </c>
      <c r="F114" s="13" t="s">
        <v>148</v>
      </c>
      <c r="G114" s="13" t="s">
        <v>148</v>
      </c>
      <c r="H114" s="14"/>
    </row>
    <row r="115" customFormat="false" ht="15" hidden="false" customHeight="false" outlineLevel="0" collapsed="false">
      <c r="A115" s="7" t="s">
        <v>174</v>
      </c>
      <c r="B115" s="12" t="n">
        <v>1</v>
      </c>
      <c r="C115" s="12" t="n">
        <v>1</v>
      </c>
      <c r="D115" s="12" t="n">
        <v>1</v>
      </c>
      <c r="E115" s="13" t="s">
        <v>175</v>
      </c>
      <c r="F115" s="13" t="s">
        <v>175</v>
      </c>
      <c r="G115" s="13" t="s">
        <v>175</v>
      </c>
      <c r="H115" s="14"/>
    </row>
    <row r="116" customFormat="false" ht="15" hidden="false" customHeight="false" outlineLevel="0" collapsed="false">
      <c r="A116" s="7" t="s">
        <v>176</v>
      </c>
      <c r="B116" s="12" t="n">
        <v>1</v>
      </c>
      <c r="C116" s="12" t="n">
        <v>1</v>
      </c>
      <c r="D116" s="12" t="n">
        <v>1</v>
      </c>
      <c r="E116" s="13" t="s">
        <v>177</v>
      </c>
      <c r="F116" s="13" t="s">
        <v>177</v>
      </c>
      <c r="G116" s="13" t="s">
        <v>177</v>
      </c>
      <c r="H116" s="14"/>
    </row>
    <row r="117" customFormat="false" ht="15" hidden="false" customHeight="false" outlineLevel="0" collapsed="false">
      <c r="A117" s="7" t="s">
        <v>117</v>
      </c>
      <c r="B117" s="12" t="n">
        <v>1</v>
      </c>
      <c r="C117" s="12" t="n">
        <v>1</v>
      </c>
      <c r="D117" s="12" t="n">
        <v>1</v>
      </c>
      <c r="E117" s="13" t="s">
        <v>118</v>
      </c>
      <c r="F117" s="13" t="s">
        <v>178</v>
      </c>
      <c r="G117" s="13" t="s">
        <v>178</v>
      </c>
      <c r="H117" s="14"/>
    </row>
    <row r="118" customFormat="false" ht="15" hidden="false" customHeight="false" outlineLevel="0" collapsed="false">
      <c r="A118" s="23" t="s">
        <v>179</v>
      </c>
      <c r="B118" s="12" t="s">
        <v>180</v>
      </c>
      <c r="C118" s="12" t="n">
        <v>1</v>
      </c>
      <c r="D118" s="12" t="n">
        <v>1</v>
      </c>
      <c r="E118" s="13" t="s">
        <v>181</v>
      </c>
      <c r="F118" s="13" t="s">
        <v>181</v>
      </c>
      <c r="G118" s="13" t="s">
        <v>181</v>
      </c>
      <c r="H118" s="24" t="s">
        <v>182</v>
      </c>
    </row>
    <row r="119" customFormat="false" ht="15" hidden="false" customHeight="false" outlineLevel="0" collapsed="false">
      <c r="A119" s="7" t="s">
        <v>183</v>
      </c>
      <c r="B119" s="12" t="s">
        <v>180</v>
      </c>
      <c r="C119" s="12" t="n">
        <v>1</v>
      </c>
      <c r="D119" s="12" t="n">
        <v>1</v>
      </c>
      <c r="E119" s="13" t="s">
        <v>184</v>
      </c>
      <c r="F119" s="13" t="s">
        <v>184</v>
      </c>
      <c r="G119" s="13" t="s">
        <v>184</v>
      </c>
      <c r="H119" s="14"/>
    </row>
    <row r="120" customFormat="false" ht="15" hidden="false" customHeight="false" outlineLevel="0" collapsed="false">
      <c r="A120" s="7" t="s">
        <v>185</v>
      </c>
      <c r="B120" s="12" t="s">
        <v>180</v>
      </c>
      <c r="C120" s="12" t="n">
        <v>1</v>
      </c>
      <c r="D120" s="12" t="n">
        <v>1</v>
      </c>
      <c r="E120" s="13" t="s">
        <v>186</v>
      </c>
      <c r="F120" s="13" t="s">
        <v>186</v>
      </c>
      <c r="G120" s="13" t="s">
        <v>186</v>
      </c>
      <c r="H120" s="14"/>
    </row>
    <row r="121" customFormat="false" ht="15" hidden="false" customHeight="false" outlineLevel="0" collapsed="false">
      <c r="A121" s="7" t="s">
        <v>120</v>
      </c>
      <c r="B121" s="12" t="s">
        <v>121</v>
      </c>
      <c r="C121" s="12" t="s">
        <v>121</v>
      </c>
      <c r="D121" s="12" t="s">
        <v>121</v>
      </c>
      <c r="E121" s="13" t="s">
        <v>187</v>
      </c>
      <c r="F121" s="13" t="s">
        <v>187</v>
      </c>
      <c r="G121" s="13" t="s">
        <v>187</v>
      </c>
      <c r="H121" s="14"/>
    </row>
    <row r="122" customFormat="false" ht="15" hidden="false" customHeight="false" outlineLevel="0" collapsed="false">
      <c r="A122" s="7" t="s">
        <v>188</v>
      </c>
      <c r="B122" s="12" t="s">
        <v>124</v>
      </c>
      <c r="C122" s="12" t="n">
        <v>1</v>
      </c>
      <c r="D122" s="12" t="n">
        <v>1</v>
      </c>
      <c r="E122" s="13"/>
      <c r="F122" s="13" t="s">
        <v>189</v>
      </c>
      <c r="G122" s="13" t="s">
        <v>189</v>
      </c>
      <c r="H122" s="14"/>
    </row>
    <row r="123" customFormat="false" ht="15" hidden="false" customHeight="false" outlineLevel="0" collapsed="false">
      <c r="A123" s="7" t="s">
        <v>102</v>
      </c>
      <c r="B123" s="12" t="s">
        <v>124</v>
      </c>
      <c r="C123" s="12" t="n">
        <v>1</v>
      </c>
      <c r="D123" s="12" t="n">
        <v>1</v>
      </c>
      <c r="E123" s="13"/>
      <c r="F123" s="13" t="s">
        <v>103</v>
      </c>
      <c r="G123" s="13" t="s">
        <v>103</v>
      </c>
      <c r="H123" s="14"/>
    </row>
    <row r="124" customFormat="false" ht="15" hidden="false" customHeight="false" outlineLevel="0" collapsed="false">
      <c r="A124" s="7" t="s">
        <v>190</v>
      </c>
      <c r="B124" s="12" t="s">
        <v>124</v>
      </c>
      <c r="C124" s="12" t="s">
        <v>124</v>
      </c>
      <c r="D124" s="12" t="n">
        <v>1</v>
      </c>
      <c r="E124" s="13"/>
      <c r="F124" s="13"/>
      <c r="G124" s="13" t="s">
        <v>191</v>
      </c>
      <c r="H124" s="14"/>
    </row>
    <row r="125" customFormat="false" ht="15" hidden="false" customHeight="false" outlineLevel="0" collapsed="false">
      <c r="A125" s="7" t="s">
        <v>192</v>
      </c>
      <c r="B125" s="12" t="s">
        <v>124</v>
      </c>
      <c r="C125" s="12" t="s">
        <v>124</v>
      </c>
      <c r="D125" s="12" t="n">
        <v>1</v>
      </c>
      <c r="E125" s="13"/>
      <c r="F125" s="13"/>
      <c r="G125" s="13" t="s">
        <v>193</v>
      </c>
      <c r="H125" s="14"/>
    </row>
    <row r="126" customFormat="false" ht="15" hidden="false" customHeight="false" outlineLevel="0" collapsed="false">
      <c r="A126" s="17" t="s">
        <v>194</v>
      </c>
      <c r="B126" s="12" t="s">
        <v>124</v>
      </c>
      <c r="C126" s="12" t="s">
        <v>124</v>
      </c>
      <c r="D126" s="12" t="n">
        <v>1</v>
      </c>
      <c r="E126" s="13"/>
      <c r="F126" s="13"/>
      <c r="G126" s="13" t="s">
        <v>195</v>
      </c>
      <c r="H126" s="18" t="s">
        <v>141</v>
      </c>
    </row>
    <row r="127" customFormat="false" ht="15" hidden="false" customHeight="false" outlineLevel="0" collapsed="false">
      <c r="A127" s="19" t="s">
        <v>149</v>
      </c>
      <c r="B127" s="20" t="n">
        <f aca="false">'Récap par kit'!F17</f>
        <v>12420</v>
      </c>
      <c r="C127" s="20" t="n">
        <f aca="false">'Récap par kit'!F18</f>
        <v>27080</v>
      </c>
      <c r="D127" s="20" t="n">
        <f aca="false">'Récap par kit'!F19</f>
        <v>36520</v>
      </c>
    </row>
    <row r="129" customFormat="false" ht="15" hidden="false" customHeight="false" outlineLevel="0" collapsed="false">
      <c r="A129" s="11" t="s">
        <v>55</v>
      </c>
    </row>
    <row r="130" customFormat="false" ht="15" hidden="false" customHeight="false" outlineLevel="0" collapsed="false">
      <c r="A130" s="6" t="s">
        <v>79</v>
      </c>
      <c r="B130" s="6" t="s">
        <v>48</v>
      </c>
      <c r="C130" s="6" t="s">
        <v>49</v>
      </c>
      <c r="D130" s="6" t="s">
        <v>50</v>
      </c>
      <c r="E130" s="6" t="s">
        <v>80</v>
      </c>
      <c r="F130" s="6" t="s">
        <v>81</v>
      </c>
      <c r="G130" s="6" t="s">
        <v>82</v>
      </c>
      <c r="H130" s="6" t="s">
        <v>83</v>
      </c>
    </row>
    <row r="131" customFormat="false" ht="15" hidden="false" customHeight="false" outlineLevel="0" collapsed="false">
      <c r="A131" s="7" t="s">
        <v>151</v>
      </c>
      <c r="B131" s="12" t="n">
        <v>3</v>
      </c>
      <c r="C131" s="12" t="n">
        <v>3</v>
      </c>
      <c r="D131" s="12" t="n">
        <v>3</v>
      </c>
      <c r="E131" s="13" t="s">
        <v>152</v>
      </c>
      <c r="F131" s="13" t="s">
        <v>152</v>
      </c>
      <c r="G131" s="13" t="s">
        <v>152</v>
      </c>
      <c r="H131" s="14"/>
    </row>
    <row r="132" customFormat="false" ht="15" hidden="false" customHeight="false" outlineLevel="0" collapsed="false">
      <c r="A132" s="7" t="s">
        <v>158</v>
      </c>
      <c r="B132" s="12" t="n">
        <v>3</v>
      </c>
      <c r="C132" s="12" t="n">
        <v>3</v>
      </c>
      <c r="D132" s="12" t="n">
        <v>3</v>
      </c>
      <c r="E132" s="13" t="s">
        <v>159</v>
      </c>
      <c r="F132" s="13" t="s">
        <v>159</v>
      </c>
      <c r="G132" s="13" t="s">
        <v>159</v>
      </c>
      <c r="H132" s="14"/>
    </row>
    <row r="133" customFormat="false" ht="15" hidden="false" customHeight="false" outlineLevel="0" collapsed="false">
      <c r="A133" s="15" t="s">
        <v>196</v>
      </c>
      <c r="B133" s="12" t="n">
        <v>2</v>
      </c>
      <c r="C133" s="12" t="n">
        <v>2</v>
      </c>
      <c r="D133" s="12" t="n">
        <v>2</v>
      </c>
      <c r="E133" s="13" t="s">
        <v>127</v>
      </c>
      <c r="F133" s="13" t="s">
        <v>127</v>
      </c>
      <c r="G133" s="13" t="s">
        <v>127</v>
      </c>
      <c r="H133" s="16" t="s">
        <v>128</v>
      </c>
    </row>
    <row r="134" customFormat="false" ht="15" hidden="false" customHeight="false" outlineLevel="0" collapsed="false">
      <c r="A134" s="7" t="s">
        <v>88</v>
      </c>
      <c r="B134" s="12" t="n">
        <v>1</v>
      </c>
      <c r="C134" s="12" t="n">
        <v>1</v>
      </c>
      <c r="D134" s="12" t="n">
        <v>1</v>
      </c>
      <c r="E134" s="13" t="s">
        <v>89</v>
      </c>
      <c r="F134" s="13" t="s">
        <v>90</v>
      </c>
      <c r="G134" s="13" t="s">
        <v>90</v>
      </c>
      <c r="H134" s="14"/>
    </row>
    <row r="135" customFormat="false" ht="15" hidden="false" customHeight="false" outlineLevel="0" collapsed="false">
      <c r="A135" s="7" t="s">
        <v>160</v>
      </c>
      <c r="B135" s="12" t="n">
        <v>9</v>
      </c>
      <c r="C135" s="12" t="n">
        <v>9</v>
      </c>
      <c r="D135" s="12" t="n">
        <v>9</v>
      </c>
      <c r="E135" s="13" t="s">
        <v>161</v>
      </c>
      <c r="F135" s="13" t="s">
        <v>161</v>
      </c>
      <c r="G135" s="13" t="s">
        <v>161</v>
      </c>
      <c r="H135" s="14"/>
    </row>
    <row r="136" customFormat="false" ht="15" hidden="false" customHeight="false" outlineLevel="0" collapsed="false">
      <c r="A136" s="7" t="s">
        <v>97</v>
      </c>
      <c r="B136" s="12" t="n">
        <v>2</v>
      </c>
      <c r="C136" s="12" t="s">
        <v>124</v>
      </c>
      <c r="D136" s="12" t="s">
        <v>124</v>
      </c>
      <c r="E136" s="13" t="s">
        <v>98</v>
      </c>
      <c r="F136" s="13"/>
      <c r="G136" s="13"/>
      <c r="H136" s="14"/>
    </row>
    <row r="137" customFormat="false" ht="15" hidden="false" customHeight="false" outlineLevel="0" collapsed="false">
      <c r="A137" s="7" t="s">
        <v>162</v>
      </c>
      <c r="B137" s="12" t="n">
        <v>2</v>
      </c>
      <c r="C137" s="12" t="n">
        <v>2</v>
      </c>
      <c r="D137" s="12" t="n">
        <v>2</v>
      </c>
      <c r="E137" s="13" t="s">
        <v>163</v>
      </c>
      <c r="F137" s="13" t="s">
        <v>163</v>
      </c>
      <c r="G137" s="13" t="s">
        <v>163</v>
      </c>
      <c r="H137" s="14"/>
    </row>
    <row r="138" customFormat="false" ht="15" hidden="false" customHeight="false" outlineLevel="0" collapsed="false">
      <c r="A138" s="7" t="s">
        <v>197</v>
      </c>
      <c r="B138" s="12" t="n">
        <v>1</v>
      </c>
      <c r="C138" s="12" t="n">
        <v>1</v>
      </c>
      <c r="D138" s="12" t="n">
        <v>1</v>
      </c>
      <c r="E138" s="13" t="s">
        <v>198</v>
      </c>
      <c r="F138" s="13" t="s">
        <v>198</v>
      </c>
      <c r="G138" s="13" t="s">
        <v>198</v>
      </c>
      <c r="H138" s="14"/>
    </row>
    <row r="139" customFormat="false" ht="15" hidden="false" customHeight="false" outlineLevel="0" collapsed="false">
      <c r="A139" s="7" t="s">
        <v>99</v>
      </c>
      <c r="B139" s="12" t="n">
        <v>1</v>
      </c>
      <c r="C139" s="12" t="n">
        <v>2</v>
      </c>
      <c r="D139" s="12" t="n">
        <v>2</v>
      </c>
      <c r="E139" s="13" t="s">
        <v>100</v>
      </c>
      <c r="F139" s="13" t="s">
        <v>101</v>
      </c>
      <c r="G139" s="13" t="s">
        <v>101</v>
      </c>
      <c r="H139" s="14"/>
    </row>
    <row r="140" customFormat="false" ht="15" hidden="false" customHeight="false" outlineLevel="0" collapsed="false">
      <c r="A140" s="7" t="s">
        <v>102</v>
      </c>
      <c r="B140" s="12" t="n">
        <v>1</v>
      </c>
      <c r="C140" s="12" t="n">
        <v>1</v>
      </c>
      <c r="D140" s="12" t="n">
        <v>1</v>
      </c>
      <c r="E140" s="13" t="s">
        <v>103</v>
      </c>
      <c r="F140" s="13" t="s">
        <v>103</v>
      </c>
      <c r="G140" s="13" t="s">
        <v>103</v>
      </c>
      <c r="H140" s="14"/>
    </row>
    <row r="141" customFormat="false" ht="15" hidden="false" customHeight="false" outlineLevel="0" collapsed="false">
      <c r="A141" s="7" t="s">
        <v>131</v>
      </c>
      <c r="B141" s="12" t="n">
        <v>1</v>
      </c>
      <c r="C141" s="12" t="n">
        <v>1</v>
      </c>
      <c r="D141" s="12" t="n">
        <v>1</v>
      </c>
      <c r="E141" s="13" t="s">
        <v>132</v>
      </c>
      <c r="F141" s="13" t="s">
        <v>132</v>
      </c>
      <c r="G141" s="13" t="s">
        <v>132</v>
      </c>
      <c r="H141" s="14"/>
    </row>
    <row r="142" customFormat="false" ht="15" hidden="false" customHeight="false" outlineLevel="0" collapsed="false">
      <c r="A142" s="7" t="s">
        <v>199</v>
      </c>
      <c r="B142" s="12" t="n">
        <v>1</v>
      </c>
      <c r="C142" s="12" t="n">
        <v>1</v>
      </c>
      <c r="D142" s="12" t="n">
        <v>1</v>
      </c>
      <c r="E142" s="13" t="s">
        <v>200</v>
      </c>
      <c r="F142" s="13" t="s">
        <v>201</v>
      </c>
      <c r="G142" s="13" t="s">
        <v>201</v>
      </c>
      <c r="H142" s="14"/>
    </row>
    <row r="143" customFormat="false" ht="15" hidden="false" customHeight="false" outlineLevel="0" collapsed="false">
      <c r="A143" s="7" t="s">
        <v>104</v>
      </c>
      <c r="B143" s="12" t="n">
        <v>1</v>
      </c>
      <c r="C143" s="12" t="n">
        <v>1</v>
      </c>
      <c r="D143" s="12" t="n">
        <v>1</v>
      </c>
      <c r="E143" s="13" t="s">
        <v>105</v>
      </c>
      <c r="F143" s="13" t="s">
        <v>105</v>
      </c>
      <c r="G143" s="13" t="s">
        <v>106</v>
      </c>
      <c r="H143" s="14"/>
    </row>
    <row r="144" customFormat="false" ht="15" hidden="false" customHeight="false" outlineLevel="0" collapsed="false">
      <c r="A144" s="7" t="s">
        <v>166</v>
      </c>
      <c r="B144" s="12" t="n">
        <v>1</v>
      </c>
      <c r="C144" s="12" t="n">
        <v>2</v>
      </c>
      <c r="D144" s="12" t="n">
        <v>2</v>
      </c>
      <c r="E144" s="13" t="s">
        <v>108</v>
      </c>
      <c r="F144" s="13" t="s">
        <v>109</v>
      </c>
      <c r="G144" s="13" t="s">
        <v>109</v>
      </c>
      <c r="H144" s="14"/>
    </row>
    <row r="145" customFormat="false" ht="15" hidden="false" customHeight="false" outlineLevel="0" collapsed="false">
      <c r="A145" s="7" t="s">
        <v>110</v>
      </c>
      <c r="B145" s="12" t="n">
        <v>1</v>
      </c>
      <c r="C145" s="12" t="n">
        <v>1</v>
      </c>
      <c r="D145" s="12" t="n">
        <v>1</v>
      </c>
      <c r="E145" s="13" t="s">
        <v>111</v>
      </c>
      <c r="F145" s="13" t="s">
        <v>112</v>
      </c>
      <c r="G145" s="13" t="s">
        <v>112</v>
      </c>
      <c r="H145" s="14"/>
    </row>
    <row r="146" customFormat="false" ht="15" hidden="false" customHeight="false" outlineLevel="0" collapsed="false">
      <c r="A146" s="7" t="s">
        <v>167</v>
      </c>
      <c r="B146" s="12" t="n">
        <v>1</v>
      </c>
      <c r="C146" s="12" t="n">
        <v>1</v>
      </c>
      <c r="D146" s="12" t="n">
        <v>1</v>
      </c>
      <c r="E146" s="13" t="s">
        <v>168</v>
      </c>
      <c r="F146" s="13" t="s">
        <v>169</v>
      </c>
      <c r="G146" s="13" t="s">
        <v>169</v>
      </c>
      <c r="H146" s="14"/>
    </row>
    <row r="147" customFormat="false" ht="15" hidden="false" customHeight="false" outlineLevel="0" collapsed="false">
      <c r="A147" s="21" t="s">
        <v>170</v>
      </c>
      <c r="B147" s="12" t="n">
        <v>20</v>
      </c>
      <c r="C147" s="12" t="n">
        <v>20</v>
      </c>
      <c r="D147" s="12" t="n">
        <v>20</v>
      </c>
      <c r="E147" s="13" t="s">
        <v>171</v>
      </c>
      <c r="F147" s="13" t="s">
        <v>171</v>
      </c>
      <c r="G147" s="13" t="s">
        <v>171</v>
      </c>
      <c r="H147" s="22" t="s">
        <v>172</v>
      </c>
    </row>
    <row r="148" customFormat="false" ht="15" hidden="false" customHeight="false" outlineLevel="0" collapsed="false">
      <c r="A148" s="7" t="s">
        <v>173</v>
      </c>
      <c r="B148" s="12" t="n">
        <v>1</v>
      </c>
      <c r="C148" s="12" t="n">
        <v>1</v>
      </c>
      <c r="D148" s="12" t="n">
        <v>1</v>
      </c>
      <c r="E148" s="13" t="s">
        <v>148</v>
      </c>
      <c r="F148" s="13" t="s">
        <v>148</v>
      </c>
      <c r="G148" s="13" t="s">
        <v>148</v>
      </c>
      <c r="H148" s="14"/>
    </row>
    <row r="149" customFormat="false" ht="15" hidden="false" customHeight="false" outlineLevel="0" collapsed="false">
      <c r="A149" s="7" t="s">
        <v>174</v>
      </c>
      <c r="B149" s="12" t="n">
        <v>1</v>
      </c>
      <c r="C149" s="12" t="n">
        <v>1</v>
      </c>
      <c r="D149" s="12" t="n">
        <v>1</v>
      </c>
      <c r="E149" s="13" t="s">
        <v>175</v>
      </c>
      <c r="F149" s="13" t="s">
        <v>175</v>
      </c>
      <c r="G149" s="13" t="s">
        <v>175</v>
      </c>
      <c r="H149" s="14"/>
    </row>
    <row r="150" customFormat="false" ht="15" hidden="false" customHeight="false" outlineLevel="0" collapsed="false">
      <c r="A150" s="7" t="s">
        <v>176</v>
      </c>
      <c r="B150" s="12" t="n">
        <v>1</v>
      </c>
      <c r="C150" s="12" t="n">
        <v>1</v>
      </c>
      <c r="D150" s="12" t="n">
        <v>1</v>
      </c>
      <c r="E150" s="13" t="s">
        <v>177</v>
      </c>
      <c r="F150" s="13" t="s">
        <v>177</v>
      </c>
      <c r="G150" s="13" t="s">
        <v>177</v>
      </c>
      <c r="H150" s="14"/>
    </row>
    <row r="151" customFormat="false" ht="15" hidden="false" customHeight="false" outlineLevel="0" collapsed="false">
      <c r="A151" s="7" t="s">
        <v>117</v>
      </c>
      <c r="B151" s="12" t="n">
        <v>1</v>
      </c>
      <c r="C151" s="12" t="n">
        <v>1</v>
      </c>
      <c r="D151" s="12" t="n">
        <v>1</v>
      </c>
      <c r="E151" s="13" t="s">
        <v>118</v>
      </c>
      <c r="F151" s="13" t="s">
        <v>178</v>
      </c>
      <c r="G151" s="13" t="s">
        <v>178</v>
      </c>
      <c r="H151" s="14"/>
    </row>
    <row r="152" customFormat="false" ht="15" hidden="false" customHeight="false" outlineLevel="0" collapsed="false">
      <c r="A152" s="7" t="s">
        <v>202</v>
      </c>
      <c r="B152" s="12" t="s">
        <v>180</v>
      </c>
      <c r="C152" s="12" t="n">
        <v>1</v>
      </c>
      <c r="D152" s="12" t="n">
        <v>1</v>
      </c>
      <c r="E152" s="13" t="s">
        <v>203</v>
      </c>
      <c r="F152" s="13" t="s">
        <v>203</v>
      </c>
      <c r="G152" s="13" t="s">
        <v>203</v>
      </c>
      <c r="H152" s="14"/>
    </row>
    <row r="153" customFormat="false" ht="15" hidden="false" customHeight="false" outlineLevel="0" collapsed="false">
      <c r="A153" s="7" t="s">
        <v>204</v>
      </c>
      <c r="B153" s="12" t="s">
        <v>180</v>
      </c>
      <c r="C153" s="12" t="n">
        <v>1</v>
      </c>
      <c r="D153" s="12" t="n">
        <v>1</v>
      </c>
      <c r="E153" s="13" t="s">
        <v>205</v>
      </c>
      <c r="F153" s="13" t="s">
        <v>205</v>
      </c>
      <c r="G153" s="13" t="s">
        <v>205</v>
      </c>
      <c r="H153" s="14"/>
    </row>
    <row r="154" customFormat="false" ht="15" hidden="false" customHeight="false" outlineLevel="0" collapsed="false">
      <c r="A154" s="7" t="s">
        <v>206</v>
      </c>
      <c r="B154" s="12" t="s">
        <v>180</v>
      </c>
      <c r="C154" s="12" t="n">
        <v>1</v>
      </c>
      <c r="D154" s="12" t="n">
        <v>1</v>
      </c>
      <c r="E154" s="13" t="s">
        <v>207</v>
      </c>
      <c r="F154" s="13" t="s">
        <v>207</v>
      </c>
      <c r="G154" s="13" t="s">
        <v>207</v>
      </c>
      <c r="H154" s="14"/>
    </row>
    <row r="155" customFormat="false" ht="15" hidden="false" customHeight="false" outlineLevel="0" collapsed="false">
      <c r="A155" s="7" t="s">
        <v>208</v>
      </c>
      <c r="B155" s="12" t="s">
        <v>180</v>
      </c>
      <c r="C155" s="12" t="n">
        <v>1</v>
      </c>
      <c r="D155" s="12" t="n">
        <v>1</v>
      </c>
      <c r="E155" s="13" t="s">
        <v>209</v>
      </c>
      <c r="F155" s="13" t="s">
        <v>209</v>
      </c>
      <c r="G155" s="13" t="s">
        <v>209</v>
      </c>
      <c r="H155" s="14"/>
    </row>
    <row r="156" customFormat="false" ht="15" hidden="false" customHeight="false" outlineLevel="0" collapsed="false">
      <c r="A156" s="7" t="s">
        <v>120</v>
      </c>
      <c r="B156" s="12" t="s">
        <v>121</v>
      </c>
      <c r="C156" s="12" t="s">
        <v>121</v>
      </c>
      <c r="D156" s="12" t="s">
        <v>121</v>
      </c>
      <c r="E156" s="13" t="s">
        <v>187</v>
      </c>
      <c r="F156" s="13" t="s">
        <v>187</v>
      </c>
      <c r="G156" s="13" t="s">
        <v>187</v>
      </c>
      <c r="H156" s="14"/>
    </row>
    <row r="157" customFormat="false" ht="15" hidden="false" customHeight="false" outlineLevel="0" collapsed="false">
      <c r="A157" s="7" t="s">
        <v>188</v>
      </c>
      <c r="B157" s="12" t="s">
        <v>124</v>
      </c>
      <c r="C157" s="12" t="n">
        <v>1</v>
      </c>
      <c r="D157" s="12" t="n">
        <v>1</v>
      </c>
      <c r="E157" s="13"/>
      <c r="F157" s="13" t="s">
        <v>189</v>
      </c>
      <c r="G157" s="13" t="s">
        <v>189</v>
      </c>
      <c r="H157" s="14"/>
    </row>
    <row r="158" customFormat="false" ht="15" hidden="false" customHeight="false" outlineLevel="0" collapsed="false">
      <c r="A158" s="7" t="s">
        <v>210</v>
      </c>
      <c r="B158" s="12" t="s">
        <v>124</v>
      </c>
      <c r="C158" s="12" t="s">
        <v>124</v>
      </c>
      <c r="D158" s="12" t="n">
        <v>1</v>
      </c>
      <c r="E158" s="13"/>
      <c r="F158" s="13"/>
      <c r="G158" s="13" t="s">
        <v>211</v>
      </c>
      <c r="H158" s="14"/>
    </row>
    <row r="159" customFormat="false" ht="15" hidden="false" customHeight="false" outlineLevel="0" collapsed="false">
      <c r="A159" s="7" t="s">
        <v>212</v>
      </c>
      <c r="B159" s="12" t="s">
        <v>124</v>
      </c>
      <c r="C159" s="12" t="s">
        <v>124</v>
      </c>
      <c r="D159" s="12" t="n">
        <v>1</v>
      </c>
      <c r="E159" s="13"/>
      <c r="F159" s="13"/>
      <c r="G159" s="13" t="s">
        <v>213</v>
      </c>
      <c r="H159" s="14"/>
    </row>
    <row r="160" customFormat="false" ht="15" hidden="false" customHeight="false" outlineLevel="0" collapsed="false">
      <c r="A160" s="7" t="s">
        <v>214</v>
      </c>
      <c r="B160" s="12" t="s">
        <v>124</v>
      </c>
      <c r="C160" s="12" t="s">
        <v>124</v>
      </c>
      <c r="D160" s="12" t="n">
        <v>1</v>
      </c>
      <c r="E160" s="13"/>
      <c r="F160" s="13"/>
      <c r="G160" s="13" t="s">
        <v>215</v>
      </c>
      <c r="H160" s="14"/>
    </row>
    <row r="161" customFormat="false" ht="15" hidden="false" customHeight="false" outlineLevel="0" collapsed="false">
      <c r="A161" s="7" t="s">
        <v>216</v>
      </c>
      <c r="B161" s="12" t="s">
        <v>124</v>
      </c>
      <c r="C161" s="12" t="s">
        <v>124</v>
      </c>
      <c r="D161" s="12" t="n">
        <v>1</v>
      </c>
      <c r="E161" s="13"/>
      <c r="F161" s="13"/>
      <c r="G161" s="13" t="s">
        <v>217</v>
      </c>
      <c r="H161" s="14"/>
    </row>
    <row r="162" customFormat="false" ht="15" hidden="false" customHeight="false" outlineLevel="0" collapsed="false">
      <c r="A162" s="7" t="s">
        <v>218</v>
      </c>
      <c r="B162" s="12" t="s">
        <v>124</v>
      </c>
      <c r="C162" s="12" t="s">
        <v>124</v>
      </c>
      <c r="D162" s="12" t="n">
        <v>1</v>
      </c>
      <c r="E162" s="13"/>
      <c r="F162" s="13"/>
      <c r="G162" s="13" t="s">
        <v>219</v>
      </c>
      <c r="H162" s="14"/>
    </row>
    <row r="163" customFormat="false" ht="15" hidden="false" customHeight="false" outlineLevel="0" collapsed="false">
      <c r="A163" s="7" t="s">
        <v>220</v>
      </c>
      <c r="B163" s="12" t="s">
        <v>124</v>
      </c>
      <c r="C163" s="12" t="s">
        <v>124</v>
      </c>
      <c r="D163" s="12" t="n">
        <v>1</v>
      </c>
      <c r="E163" s="13"/>
      <c r="F163" s="13"/>
      <c r="G163" s="13" t="s">
        <v>221</v>
      </c>
      <c r="H163" s="14"/>
    </row>
    <row r="164" customFormat="false" ht="15" hidden="false" customHeight="false" outlineLevel="0" collapsed="false">
      <c r="A164" s="19" t="s">
        <v>149</v>
      </c>
      <c r="B164" s="20" t="n">
        <f aca="false">'Récap par kit'!F21</f>
        <v>15245</v>
      </c>
      <c r="C164" s="20" t="n">
        <f aca="false">'Récap par kit'!F22</f>
        <v>32445</v>
      </c>
      <c r="D164" s="20" t="n">
        <f aca="false">'Récap par kit'!F23</f>
        <v>50755</v>
      </c>
    </row>
    <row r="166" customFormat="false" ht="15" hidden="false" customHeight="false" outlineLevel="0" collapsed="false">
      <c r="A166" s="11" t="s">
        <v>56</v>
      </c>
    </row>
    <row r="167" customFormat="false" ht="15" hidden="false" customHeight="false" outlineLevel="0" collapsed="false">
      <c r="A167" s="6" t="s">
        <v>79</v>
      </c>
      <c r="B167" s="6" t="s">
        <v>48</v>
      </c>
      <c r="C167" s="6" t="s">
        <v>49</v>
      </c>
      <c r="D167" s="6" t="s">
        <v>50</v>
      </c>
      <c r="E167" s="6" t="s">
        <v>80</v>
      </c>
      <c r="F167" s="6" t="s">
        <v>81</v>
      </c>
      <c r="G167" s="6" t="s">
        <v>82</v>
      </c>
      <c r="H167" s="6" t="s">
        <v>83</v>
      </c>
    </row>
    <row r="168" customFormat="false" ht="15" hidden="false" customHeight="false" outlineLevel="0" collapsed="false">
      <c r="A168" s="7" t="s">
        <v>151</v>
      </c>
      <c r="B168" s="12" t="n">
        <v>4</v>
      </c>
      <c r="C168" s="12" t="n">
        <v>4</v>
      </c>
      <c r="D168" s="12" t="n">
        <v>4</v>
      </c>
      <c r="E168" s="13" t="s">
        <v>152</v>
      </c>
      <c r="F168" s="13" t="s">
        <v>152</v>
      </c>
      <c r="G168" s="13" t="s">
        <v>152</v>
      </c>
      <c r="H168" s="14"/>
    </row>
    <row r="169" customFormat="false" ht="15" hidden="false" customHeight="false" outlineLevel="0" collapsed="false">
      <c r="A169" s="7" t="s">
        <v>158</v>
      </c>
      <c r="B169" s="12" t="n">
        <v>4</v>
      </c>
      <c r="C169" s="12" t="n">
        <v>4</v>
      </c>
      <c r="D169" s="12" t="n">
        <v>4</v>
      </c>
      <c r="E169" s="13" t="s">
        <v>159</v>
      </c>
      <c r="F169" s="13" t="s">
        <v>159</v>
      </c>
      <c r="G169" s="13" t="s">
        <v>159</v>
      </c>
      <c r="H169" s="14"/>
    </row>
    <row r="170" customFormat="false" ht="15" hidden="false" customHeight="false" outlineLevel="0" collapsed="false">
      <c r="A170" s="7" t="s">
        <v>88</v>
      </c>
      <c r="B170" s="12" t="n">
        <v>1</v>
      </c>
      <c r="C170" s="12" t="n">
        <v>1</v>
      </c>
      <c r="D170" s="12" t="n">
        <v>1</v>
      </c>
      <c r="E170" s="13" t="s">
        <v>89</v>
      </c>
      <c r="F170" s="13" t="s">
        <v>90</v>
      </c>
      <c r="G170" s="13" t="s">
        <v>90</v>
      </c>
      <c r="H170" s="14"/>
    </row>
    <row r="171" customFormat="false" ht="15" hidden="false" customHeight="false" outlineLevel="0" collapsed="false">
      <c r="A171" s="7" t="s">
        <v>160</v>
      </c>
      <c r="B171" s="12" t="n">
        <v>9</v>
      </c>
      <c r="C171" s="12" t="n">
        <v>9</v>
      </c>
      <c r="D171" s="12" t="n">
        <v>9</v>
      </c>
      <c r="E171" s="13" t="s">
        <v>161</v>
      </c>
      <c r="F171" s="13" t="s">
        <v>161</v>
      </c>
      <c r="G171" s="13" t="s">
        <v>161</v>
      </c>
      <c r="H171" s="14"/>
    </row>
    <row r="172" customFormat="false" ht="15" hidden="false" customHeight="false" outlineLevel="0" collapsed="false">
      <c r="A172" s="7" t="s">
        <v>97</v>
      </c>
      <c r="B172" s="12" t="n">
        <v>2</v>
      </c>
      <c r="C172" s="12" t="s">
        <v>124</v>
      </c>
      <c r="D172" s="12" t="s">
        <v>124</v>
      </c>
      <c r="E172" s="13" t="s">
        <v>98</v>
      </c>
      <c r="F172" s="13"/>
      <c r="G172" s="13"/>
      <c r="H172" s="14"/>
    </row>
    <row r="173" customFormat="false" ht="15" hidden="false" customHeight="false" outlineLevel="0" collapsed="false">
      <c r="A173" s="7" t="s">
        <v>162</v>
      </c>
      <c r="B173" s="12" t="n">
        <v>2</v>
      </c>
      <c r="C173" s="12" t="n">
        <v>2</v>
      </c>
      <c r="D173" s="12" t="n">
        <v>2</v>
      </c>
      <c r="E173" s="13" t="s">
        <v>163</v>
      </c>
      <c r="F173" s="13" t="s">
        <v>163</v>
      </c>
      <c r="G173" s="13" t="s">
        <v>163</v>
      </c>
      <c r="H173" s="14"/>
    </row>
    <row r="174" customFormat="false" ht="15" hidden="false" customHeight="false" outlineLevel="0" collapsed="false">
      <c r="A174" s="7" t="s">
        <v>197</v>
      </c>
      <c r="B174" s="12" t="n">
        <v>1</v>
      </c>
      <c r="C174" s="12" t="n">
        <v>1</v>
      </c>
      <c r="D174" s="12" t="n">
        <v>1</v>
      </c>
      <c r="E174" s="13" t="s">
        <v>198</v>
      </c>
      <c r="F174" s="13" t="s">
        <v>198</v>
      </c>
      <c r="G174" s="13" t="s">
        <v>198</v>
      </c>
      <c r="H174" s="14"/>
    </row>
    <row r="175" customFormat="false" ht="15" hidden="false" customHeight="false" outlineLevel="0" collapsed="false">
      <c r="A175" s="7" t="s">
        <v>99</v>
      </c>
      <c r="B175" s="12" t="n">
        <v>2</v>
      </c>
      <c r="C175" s="12" t="n">
        <v>2</v>
      </c>
      <c r="D175" s="12" t="n">
        <v>2</v>
      </c>
      <c r="E175" s="13" t="s">
        <v>100</v>
      </c>
      <c r="F175" s="13" t="s">
        <v>101</v>
      </c>
      <c r="G175" s="13" t="s">
        <v>101</v>
      </c>
      <c r="H175" s="14"/>
    </row>
    <row r="176" customFormat="false" ht="15" hidden="false" customHeight="false" outlineLevel="0" collapsed="false">
      <c r="A176" s="7" t="s">
        <v>164</v>
      </c>
      <c r="B176" s="12" t="n">
        <v>1</v>
      </c>
      <c r="C176" s="12" t="s">
        <v>124</v>
      </c>
      <c r="D176" s="12" t="s">
        <v>124</v>
      </c>
      <c r="E176" s="13" t="s">
        <v>165</v>
      </c>
      <c r="F176" s="13"/>
      <c r="G176" s="13"/>
      <c r="H176" s="14"/>
    </row>
    <row r="177" customFormat="false" ht="15" hidden="false" customHeight="false" outlineLevel="0" collapsed="false">
      <c r="A177" s="23" t="s">
        <v>199</v>
      </c>
      <c r="B177" s="12" t="n">
        <v>1</v>
      </c>
      <c r="C177" s="12" t="n">
        <v>1</v>
      </c>
      <c r="D177" s="12" t="n">
        <v>1</v>
      </c>
      <c r="E177" s="13" t="s">
        <v>222</v>
      </c>
      <c r="F177" s="13" t="s">
        <v>222</v>
      </c>
      <c r="G177" s="13" t="s">
        <v>222</v>
      </c>
      <c r="H177" s="24" t="s">
        <v>182</v>
      </c>
    </row>
    <row r="178" customFormat="false" ht="15" hidden="false" customHeight="false" outlineLevel="0" collapsed="false">
      <c r="A178" s="7" t="s">
        <v>104</v>
      </c>
      <c r="B178" s="12" t="n">
        <v>1</v>
      </c>
      <c r="C178" s="12" t="n">
        <v>1</v>
      </c>
      <c r="D178" s="12" t="n">
        <v>1</v>
      </c>
      <c r="E178" s="13" t="s">
        <v>105</v>
      </c>
      <c r="F178" s="13" t="s">
        <v>105</v>
      </c>
      <c r="G178" s="13" t="s">
        <v>106</v>
      </c>
      <c r="H178" s="14"/>
    </row>
    <row r="179" customFormat="false" ht="15" hidden="false" customHeight="false" outlineLevel="0" collapsed="false">
      <c r="A179" s="7" t="s">
        <v>166</v>
      </c>
      <c r="B179" s="12" t="n">
        <v>1</v>
      </c>
      <c r="C179" s="12" t="n">
        <v>2</v>
      </c>
      <c r="D179" s="12" t="n">
        <v>2</v>
      </c>
      <c r="E179" s="13" t="s">
        <v>108</v>
      </c>
      <c r="F179" s="13" t="s">
        <v>109</v>
      </c>
      <c r="G179" s="13" t="s">
        <v>109</v>
      </c>
      <c r="H179" s="14"/>
    </row>
    <row r="180" customFormat="false" ht="15" hidden="false" customHeight="false" outlineLevel="0" collapsed="false">
      <c r="A180" s="7" t="s">
        <v>110</v>
      </c>
      <c r="B180" s="12" t="n">
        <v>1</v>
      </c>
      <c r="C180" s="12" t="n">
        <v>1</v>
      </c>
      <c r="D180" s="12" t="n">
        <v>1</v>
      </c>
      <c r="E180" s="13" t="s">
        <v>111</v>
      </c>
      <c r="F180" s="13" t="s">
        <v>112</v>
      </c>
      <c r="G180" s="13" t="s">
        <v>112</v>
      </c>
      <c r="H180" s="14"/>
    </row>
    <row r="181" customFormat="false" ht="15" hidden="false" customHeight="false" outlineLevel="0" collapsed="false">
      <c r="A181" s="7" t="s">
        <v>167</v>
      </c>
      <c r="B181" s="12" t="n">
        <v>1</v>
      </c>
      <c r="C181" s="12" t="n">
        <v>1</v>
      </c>
      <c r="D181" s="12" t="n">
        <v>1</v>
      </c>
      <c r="E181" s="13" t="s">
        <v>168</v>
      </c>
      <c r="F181" s="13" t="s">
        <v>169</v>
      </c>
      <c r="G181" s="13" t="s">
        <v>169</v>
      </c>
      <c r="H181" s="14"/>
    </row>
    <row r="182" customFormat="false" ht="15" hidden="false" customHeight="false" outlineLevel="0" collapsed="false">
      <c r="A182" s="21" t="s">
        <v>170</v>
      </c>
      <c r="B182" s="12" t="n">
        <v>20</v>
      </c>
      <c r="C182" s="12" t="n">
        <v>20</v>
      </c>
      <c r="D182" s="12" t="n">
        <v>20</v>
      </c>
      <c r="E182" s="13" t="s">
        <v>171</v>
      </c>
      <c r="F182" s="13" t="s">
        <v>171</v>
      </c>
      <c r="G182" s="13" t="s">
        <v>171</v>
      </c>
      <c r="H182" s="22" t="s">
        <v>172</v>
      </c>
    </row>
    <row r="183" customFormat="false" ht="15" hidden="false" customHeight="false" outlineLevel="0" collapsed="false">
      <c r="A183" s="7" t="s">
        <v>173</v>
      </c>
      <c r="B183" s="12" t="n">
        <v>1</v>
      </c>
      <c r="C183" s="12" t="n">
        <v>1</v>
      </c>
      <c r="D183" s="12" t="n">
        <v>1</v>
      </c>
      <c r="E183" s="13" t="s">
        <v>148</v>
      </c>
      <c r="F183" s="13" t="s">
        <v>148</v>
      </c>
      <c r="G183" s="13" t="s">
        <v>148</v>
      </c>
      <c r="H183" s="14"/>
    </row>
    <row r="184" customFormat="false" ht="15" hidden="false" customHeight="false" outlineLevel="0" collapsed="false">
      <c r="A184" s="7" t="s">
        <v>176</v>
      </c>
      <c r="B184" s="12" t="n">
        <v>1</v>
      </c>
      <c r="C184" s="12" t="n">
        <v>1</v>
      </c>
      <c r="D184" s="12" t="n">
        <v>1</v>
      </c>
      <c r="E184" s="13" t="s">
        <v>177</v>
      </c>
      <c r="F184" s="13" t="s">
        <v>177</v>
      </c>
      <c r="G184" s="13" t="s">
        <v>177</v>
      </c>
      <c r="H184" s="14"/>
    </row>
    <row r="185" customFormat="false" ht="15" hidden="false" customHeight="false" outlineLevel="0" collapsed="false">
      <c r="A185" s="7" t="s">
        <v>117</v>
      </c>
      <c r="B185" s="12" t="n">
        <v>1</v>
      </c>
      <c r="C185" s="12" t="n">
        <v>1</v>
      </c>
      <c r="D185" s="12" t="n">
        <v>1</v>
      </c>
      <c r="E185" s="13" t="s">
        <v>118</v>
      </c>
      <c r="F185" s="13" t="s">
        <v>178</v>
      </c>
      <c r="G185" s="13" t="s">
        <v>178</v>
      </c>
      <c r="H185" s="14"/>
    </row>
    <row r="186" customFormat="false" ht="15" hidden="false" customHeight="false" outlineLevel="0" collapsed="false">
      <c r="A186" s="7" t="s">
        <v>223</v>
      </c>
      <c r="B186" s="12" t="s">
        <v>180</v>
      </c>
      <c r="C186" s="12" t="n">
        <v>1</v>
      </c>
      <c r="D186" s="12" t="n">
        <v>1</v>
      </c>
      <c r="E186" s="13" t="s">
        <v>224</v>
      </c>
      <c r="F186" s="13" t="s">
        <v>224</v>
      </c>
      <c r="G186" s="13" t="s">
        <v>224</v>
      </c>
      <c r="H186" s="14"/>
    </row>
    <row r="187" customFormat="false" ht="15" hidden="false" customHeight="false" outlineLevel="0" collapsed="false">
      <c r="A187" s="7" t="s">
        <v>225</v>
      </c>
      <c r="B187" s="12" t="s">
        <v>180</v>
      </c>
      <c r="C187" s="12" t="n">
        <v>1</v>
      </c>
      <c r="D187" s="12" t="n">
        <v>1</v>
      </c>
      <c r="E187" s="13" t="s">
        <v>226</v>
      </c>
      <c r="F187" s="13" t="s">
        <v>226</v>
      </c>
      <c r="G187" s="13" t="s">
        <v>226</v>
      </c>
      <c r="H187" s="14"/>
    </row>
    <row r="188" customFormat="false" ht="15" hidden="false" customHeight="false" outlineLevel="0" collapsed="false">
      <c r="A188" s="7" t="s">
        <v>227</v>
      </c>
      <c r="B188" s="12" t="s">
        <v>180</v>
      </c>
      <c r="C188" s="12" t="n">
        <v>1</v>
      </c>
      <c r="D188" s="12" t="n">
        <v>1</v>
      </c>
      <c r="E188" s="13" t="s">
        <v>228</v>
      </c>
      <c r="F188" s="13" t="s">
        <v>228</v>
      </c>
      <c r="G188" s="13" t="s">
        <v>228</v>
      </c>
      <c r="H188" s="14"/>
    </row>
    <row r="189" customFormat="false" ht="15" hidden="false" customHeight="false" outlineLevel="0" collapsed="false">
      <c r="A189" s="7" t="s">
        <v>229</v>
      </c>
      <c r="B189" s="12" t="s">
        <v>180</v>
      </c>
      <c r="C189" s="12" t="n">
        <v>1</v>
      </c>
      <c r="D189" s="12" t="n">
        <v>1</v>
      </c>
      <c r="E189" s="13" t="s">
        <v>230</v>
      </c>
      <c r="F189" s="13" t="s">
        <v>230</v>
      </c>
      <c r="G189" s="13" t="s">
        <v>230</v>
      </c>
      <c r="H189" s="14"/>
    </row>
    <row r="190" customFormat="false" ht="15" hidden="false" customHeight="false" outlineLevel="0" collapsed="false">
      <c r="A190" s="7" t="s">
        <v>120</v>
      </c>
      <c r="B190" s="12" t="s">
        <v>121</v>
      </c>
      <c r="C190" s="12" t="s">
        <v>121</v>
      </c>
      <c r="D190" s="12" t="s">
        <v>121</v>
      </c>
      <c r="E190" s="13" t="s">
        <v>187</v>
      </c>
      <c r="F190" s="13" t="s">
        <v>187</v>
      </c>
      <c r="G190" s="13" t="s">
        <v>187</v>
      </c>
      <c r="H190" s="14"/>
    </row>
    <row r="191" customFormat="false" ht="15" hidden="false" customHeight="false" outlineLevel="0" collapsed="false">
      <c r="A191" s="7" t="s">
        <v>188</v>
      </c>
      <c r="B191" s="12" t="s">
        <v>124</v>
      </c>
      <c r="C191" s="12" t="n">
        <v>1</v>
      </c>
      <c r="D191" s="12" t="n">
        <v>1</v>
      </c>
      <c r="E191" s="13"/>
      <c r="F191" s="13" t="s">
        <v>189</v>
      </c>
      <c r="G191" s="13" t="s">
        <v>189</v>
      </c>
      <c r="H191" s="14"/>
    </row>
    <row r="192" customFormat="false" ht="15" hidden="false" customHeight="false" outlineLevel="0" collapsed="false">
      <c r="A192" s="7" t="s">
        <v>102</v>
      </c>
      <c r="B192" s="12" t="s">
        <v>124</v>
      </c>
      <c r="C192" s="12" t="n">
        <v>1</v>
      </c>
      <c r="D192" s="12" t="n">
        <v>1</v>
      </c>
      <c r="E192" s="13"/>
      <c r="F192" s="13" t="s">
        <v>103</v>
      </c>
      <c r="G192" s="13" t="s">
        <v>103</v>
      </c>
      <c r="H192" s="14"/>
    </row>
    <row r="193" customFormat="false" ht="15" hidden="false" customHeight="false" outlineLevel="0" collapsed="false">
      <c r="A193" s="7" t="s">
        <v>231</v>
      </c>
      <c r="B193" s="12" t="s">
        <v>124</v>
      </c>
      <c r="C193" s="12" t="s">
        <v>124</v>
      </c>
      <c r="D193" s="12" t="n">
        <v>1</v>
      </c>
      <c r="E193" s="13"/>
      <c r="F193" s="13"/>
      <c r="G193" s="13" t="s">
        <v>232</v>
      </c>
      <c r="H193" s="14"/>
    </row>
    <row r="194" customFormat="false" ht="15" hidden="false" customHeight="false" outlineLevel="0" collapsed="false">
      <c r="A194" s="7" t="s">
        <v>233</v>
      </c>
      <c r="B194" s="12" t="s">
        <v>124</v>
      </c>
      <c r="C194" s="12" t="s">
        <v>124</v>
      </c>
      <c r="D194" s="12" t="n">
        <v>1</v>
      </c>
      <c r="E194" s="13"/>
      <c r="F194" s="13"/>
      <c r="G194" s="13" t="s">
        <v>234</v>
      </c>
      <c r="H194" s="14"/>
    </row>
    <row r="195" customFormat="false" ht="15" hidden="false" customHeight="false" outlineLevel="0" collapsed="false">
      <c r="A195" s="7" t="s">
        <v>235</v>
      </c>
      <c r="B195" s="12" t="s">
        <v>124</v>
      </c>
      <c r="C195" s="12" t="s">
        <v>124</v>
      </c>
      <c r="D195" s="12" t="n">
        <v>1</v>
      </c>
      <c r="E195" s="13"/>
      <c r="F195" s="13"/>
      <c r="G195" s="13" t="s">
        <v>236</v>
      </c>
      <c r="H195" s="14"/>
    </row>
    <row r="196" customFormat="false" ht="15" hidden="false" customHeight="false" outlineLevel="0" collapsed="false">
      <c r="A196" s="19" t="s">
        <v>149</v>
      </c>
      <c r="B196" s="20" t="n">
        <f aca="false">'Récap par kit'!F25</f>
        <v>15620</v>
      </c>
      <c r="C196" s="20" t="n">
        <f aca="false">'Récap par kit'!F26</f>
        <v>35250</v>
      </c>
      <c r="D196" s="20" t="n">
        <f aca="false">'Récap par kit'!F27</f>
        <v>44980</v>
      </c>
    </row>
    <row r="198" customFormat="false" ht="15" hidden="false" customHeight="false" outlineLevel="0" collapsed="false">
      <c r="A198" s="11" t="s">
        <v>57</v>
      </c>
    </row>
    <row r="199" customFormat="false" ht="15" hidden="false" customHeight="false" outlineLevel="0" collapsed="false">
      <c r="A199" s="6" t="s">
        <v>79</v>
      </c>
      <c r="B199" s="6" t="s">
        <v>48</v>
      </c>
      <c r="C199" s="6" t="s">
        <v>49</v>
      </c>
      <c r="D199" s="6" t="s">
        <v>50</v>
      </c>
      <c r="E199" s="6" t="s">
        <v>80</v>
      </c>
      <c r="F199" s="6" t="s">
        <v>81</v>
      </c>
      <c r="G199" s="6" t="s">
        <v>82</v>
      </c>
      <c r="H199" s="6" t="s">
        <v>83</v>
      </c>
    </row>
    <row r="200" customFormat="false" ht="15" hidden="false" customHeight="false" outlineLevel="0" collapsed="false">
      <c r="A200" s="7" t="s">
        <v>151</v>
      </c>
      <c r="B200" s="12" t="n">
        <v>4</v>
      </c>
      <c r="C200" s="12" t="n">
        <v>4</v>
      </c>
      <c r="D200" s="12" t="n">
        <v>4</v>
      </c>
      <c r="E200" s="13" t="s">
        <v>152</v>
      </c>
      <c r="F200" s="13" t="s">
        <v>152</v>
      </c>
      <c r="G200" s="13" t="s">
        <v>152</v>
      </c>
      <c r="H200" s="14"/>
    </row>
    <row r="201" customFormat="false" ht="15" hidden="false" customHeight="false" outlineLevel="0" collapsed="false">
      <c r="A201" s="7" t="s">
        <v>158</v>
      </c>
      <c r="B201" s="12" t="n">
        <v>4</v>
      </c>
      <c r="C201" s="12" t="n">
        <v>4</v>
      </c>
      <c r="D201" s="12" t="n">
        <v>4</v>
      </c>
      <c r="E201" s="13" t="s">
        <v>159</v>
      </c>
      <c r="F201" s="13" t="s">
        <v>159</v>
      </c>
      <c r="G201" s="13" t="s">
        <v>159</v>
      </c>
      <c r="H201" s="14"/>
    </row>
    <row r="202" customFormat="false" ht="15" hidden="false" customHeight="false" outlineLevel="0" collapsed="false">
      <c r="A202" s="7" t="s">
        <v>88</v>
      </c>
      <c r="B202" s="12" t="n">
        <v>1</v>
      </c>
      <c r="C202" s="12" t="n">
        <v>1</v>
      </c>
      <c r="D202" s="12" t="n">
        <v>1</v>
      </c>
      <c r="E202" s="13" t="s">
        <v>89</v>
      </c>
      <c r="F202" s="13" t="s">
        <v>90</v>
      </c>
      <c r="G202" s="13" t="s">
        <v>90</v>
      </c>
      <c r="H202" s="14"/>
    </row>
    <row r="203" customFormat="false" ht="15" hidden="false" customHeight="false" outlineLevel="0" collapsed="false">
      <c r="A203" s="7" t="s">
        <v>160</v>
      </c>
      <c r="B203" s="12" t="n">
        <v>9</v>
      </c>
      <c r="C203" s="12" t="n">
        <v>9</v>
      </c>
      <c r="D203" s="12" t="n">
        <v>9</v>
      </c>
      <c r="E203" s="13" t="s">
        <v>161</v>
      </c>
      <c r="F203" s="13" t="s">
        <v>161</v>
      </c>
      <c r="G203" s="13" t="s">
        <v>161</v>
      </c>
      <c r="H203" s="14"/>
    </row>
    <row r="204" customFormat="false" ht="15" hidden="false" customHeight="false" outlineLevel="0" collapsed="false">
      <c r="A204" s="7" t="s">
        <v>97</v>
      </c>
      <c r="B204" s="12" t="n">
        <v>2</v>
      </c>
      <c r="C204" s="12" t="s">
        <v>124</v>
      </c>
      <c r="D204" s="12" t="s">
        <v>124</v>
      </c>
      <c r="E204" s="13" t="s">
        <v>98</v>
      </c>
      <c r="F204" s="13"/>
      <c r="G204" s="13"/>
      <c r="H204" s="14"/>
    </row>
    <row r="205" customFormat="false" ht="15" hidden="false" customHeight="false" outlineLevel="0" collapsed="false">
      <c r="A205" s="7" t="s">
        <v>162</v>
      </c>
      <c r="B205" s="12" t="n">
        <v>2</v>
      </c>
      <c r="C205" s="12" t="n">
        <v>2</v>
      </c>
      <c r="D205" s="12" t="n">
        <v>2</v>
      </c>
      <c r="E205" s="13" t="s">
        <v>163</v>
      </c>
      <c r="F205" s="13" t="s">
        <v>163</v>
      </c>
      <c r="G205" s="13" t="s">
        <v>163</v>
      </c>
      <c r="H205" s="14"/>
    </row>
    <row r="206" customFormat="false" ht="15" hidden="false" customHeight="false" outlineLevel="0" collapsed="false">
      <c r="A206" s="7" t="s">
        <v>197</v>
      </c>
      <c r="B206" s="12" t="n">
        <v>1</v>
      </c>
      <c r="C206" s="12" t="n">
        <v>1</v>
      </c>
      <c r="D206" s="12" t="n">
        <v>1</v>
      </c>
      <c r="E206" s="13" t="s">
        <v>198</v>
      </c>
      <c r="F206" s="13" t="s">
        <v>198</v>
      </c>
      <c r="G206" s="13" t="s">
        <v>198</v>
      </c>
      <c r="H206" s="14"/>
    </row>
    <row r="207" customFormat="false" ht="15" hidden="false" customHeight="false" outlineLevel="0" collapsed="false">
      <c r="A207" s="7" t="s">
        <v>99</v>
      </c>
      <c r="B207" s="12" t="n">
        <v>2</v>
      </c>
      <c r="C207" s="12" t="n">
        <v>2</v>
      </c>
      <c r="D207" s="12" t="n">
        <v>2</v>
      </c>
      <c r="E207" s="13" t="s">
        <v>100</v>
      </c>
      <c r="F207" s="13" t="s">
        <v>101</v>
      </c>
      <c r="G207" s="13" t="s">
        <v>101</v>
      </c>
      <c r="H207" s="14"/>
    </row>
    <row r="208" customFormat="false" ht="15" hidden="false" customHeight="false" outlineLevel="0" collapsed="false">
      <c r="A208" s="7" t="s">
        <v>164</v>
      </c>
      <c r="B208" s="12" t="n">
        <v>1</v>
      </c>
      <c r="C208" s="12" t="s">
        <v>124</v>
      </c>
      <c r="D208" s="12" t="s">
        <v>124</v>
      </c>
      <c r="E208" s="13" t="s">
        <v>165</v>
      </c>
      <c r="F208" s="13"/>
      <c r="G208" s="13"/>
      <c r="H208" s="14"/>
    </row>
    <row r="209" customFormat="false" ht="15" hidden="false" customHeight="false" outlineLevel="0" collapsed="false">
      <c r="A209" s="23" t="s">
        <v>199</v>
      </c>
      <c r="B209" s="12" t="n">
        <v>1</v>
      </c>
      <c r="C209" s="12" t="n">
        <v>1</v>
      </c>
      <c r="D209" s="12" t="n">
        <v>1</v>
      </c>
      <c r="E209" s="13" t="s">
        <v>222</v>
      </c>
      <c r="F209" s="13" t="s">
        <v>222</v>
      </c>
      <c r="G209" s="13" t="s">
        <v>222</v>
      </c>
      <c r="H209" s="24" t="s">
        <v>182</v>
      </c>
    </row>
    <row r="210" customFormat="false" ht="15" hidden="false" customHeight="false" outlineLevel="0" collapsed="false">
      <c r="A210" s="7" t="s">
        <v>104</v>
      </c>
      <c r="B210" s="12" t="n">
        <v>1</v>
      </c>
      <c r="C210" s="12" t="n">
        <v>1</v>
      </c>
      <c r="D210" s="12" t="n">
        <v>1</v>
      </c>
      <c r="E210" s="13" t="s">
        <v>105</v>
      </c>
      <c r="F210" s="13" t="s">
        <v>105</v>
      </c>
      <c r="G210" s="13" t="s">
        <v>106</v>
      </c>
      <c r="H210" s="14"/>
    </row>
    <row r="211" customFormat="false" ht="15" hidden="false" customHeight="false" outlineLevel="0" collapsed="false">
      <c r="A211" s="7" t="s">
        <v>166</v>
      </c>
      <c r="B211" s="12" t="n">
        <v>1</v>
      </c>
      <c r="C211" s="12" t="n">
        <v>2</v>
      </c>
      <c r="D211" s="12" t="n">
        <v>2</v>
      </c>
      <c r="E211" s="13" t="s">
        <v>108</v>
      </c>
      <c r="F211" s="13" t="s">
        <v>109</v>
      </c>
      <c r="G211" s="13" t="s">
        <v>109</v>
      </c>
      <c r="H211" s="14"/>
    </row>
    <row r="212" customFormat="false" ht="15" hidden="false" customHeight="false" outlineLevel="0" collapsed="false">
      <c r="A212" s="7" t="s">
        <v>110</v>
      </c>
      <c r="B212" s="12" t="n">
        <v>1</v>
      </c>
      <c r="C212" s="12" t="n">
        <v>1</v>
      </c>
      <c r="D212" s="12" t="n">
        <v>1</v>
      </c>
      <c r="E212" s="13" t="s">
        <v>111</v>
      </c>
      <c r="F212" s="13" t="s">
        <v>112</v>
      </c>
      <c r="G212" s="13" t="s">
        <v>112</v>
      </c>
      <c r="H212" s="14"/>
    </row>
    <row r="213" customFormat="false" ht="15" hidden="false" customHeight="false" outlineLevel="0" collapsed="false">
      <c r="A213" s="7" t="s">
        <v>167</v>
      </c>
      <c r="B213" s="12" t="n">
        <v>1</v>
      </c>
      <c r="C213" s="12" t="n">
        <v>1</v>
      </c>
      <c r="D213" s="12" t="n">
        <v>1</v>
      </c>
      <c r="E213" s="13" t="s">
        <v>168</v>
      </c>
      <c r="F213" s="13" t="s">
        <v>169</v>
      </c>
      <c r="G213" s="13" t="s">
        <v>169</v>
      </c>
      <c r="H213" s="14"/>
    </row>
    <row r="214" customFormat="false" ht="15" hidden="false" customHeight="false" outlineLevel="0" collapsed="false">
      <c r="A214" s="21" t="s">
        <v>170</v>
      </c>
      <c r="B214" s="12" t="n">
        <v>20</v>
      </c>
      <c r="C214" s="12" t="n">
        <v>20</v>
      </c>
      <c r="D214" s="12" t="n">
        <v>20</v>
      </c>
      <c r="E214" s="13" t="s">
        <v>171</v>
      </c>
      <c r="F214" s="13" t="s">
        <v>171</v>
      </c>
      <c r="G214" s="13" t="s">
        <v>171</v>
      </c>
      <c r="H214" s="22" t="s">
        <v>172</v>
      </c>
    </row>
    <row r="215" customFormat="false" ht="15" hidden="false" customHeight="false" outlineLevel="0" collapsed="false">
      <c r="A215" s="7" t="s">
        <v>173</v>
      </c>
      <c r="B215" s="12" t="n">
        <v>1</v>
      </c>
      <c r="C215" s="12" t="n">
        <v>1</v>
      </c>
      <c r="D215" s="12" t="n">
        <v>1</v>
      </c>
      <c r="E215" s="13" t="s">
        <v>148</v>
      </c>
      <c r="F215" s="13" t="s">
        <v>148</v>
      </c>
      <c r="G215" s="13" t="s">
        <v>148</v>
      </c>
      <c r="H215" s="14"/>
    </row>
    <row r="216" customFormat="false" ht="15" hidden="false" customHeight="false" outlineLevel="0" collapsed="false">
      <c r="A216" s="7" t="s">
        <v>176</v>
      </c>
      <c r="B216" s="12" t="n">
        <v>1</v>
      </c>
      <c r="C216" s="12" t="n">
        <v>1</v>
      </c>
      <c r="D216" s="12" t="n">
        <v>1</v>
      </c>
      <c r="E216" s="13" t="s">
        <v>177</v>
      </c>
      <c r="F216" s="13" t="s">
        <v>177</v>
      </c>
      <c r="G216" s="13" t="s">
        <v>177</v>
      </c>
      <c r="H216" s="14"/>
    </row>
    <row r="217" customFormat="false" ht="15" hidden="false" customHeight="false" outlineLevel="0" collapsed="false">
      <c r="A217" s="7" t="s">
        <v>117</v>
      </c>
      <c r="B217" s="12" t="n">
        <v>1</v>
      </c>
      <c r="C217" s="12" t="n">
        <v>1</v>
      </c>
      <c r="D217" s="12" t="n">
        <v>1</v>
      </c>
      <c r="E217" s="13" t="s">
        <v>118</v>
      </c>
      <c r="F217" s="13" t="s">
        <v>178</v>
      </c>
      <c r="G217" s="13" t="s">
        <v>178</v>
      </c>
      <c r="H217" s="14"/>
    </row>
    <row r="218" customFormat="false" ht="15" hidden="false" customHeight="false" outlineLevel="0" collapsed="false">
      <c r="A218" s="7" t="s">
        <v>237</v>
      </c>
      <c r="B218" s="12" t="s">
        <v>180</v>
      </c>
      <c r="C218" s="12" t="n">
        <v>1</v>
      </c>
      <c r="D218" s="12" t="n">
        <v>1</v>
      </c>
      <c r="E218" s="13" t="s">
        <v>238</v>
      </c>
      <c r="F218" s="13" t="s">
        <v>238</v>
      </c>
      <c r="G218" s="13" t="s">
        <v>238</v>
      </c>
      <c r="H218" s="14"/>
    </row>
    <row r="219" customFormat="false" ht="15" hidden="false" customHeight="false" outlineLevel="0" collapsed="false">
      <c r="A219" s="7" t="s">
        <v>239</v>
      </c>
      <c r="B219" s="12" t="s">
        <v>180</v>
      </c>
      <c r="C219" s="12" t="n">
        <v>1</v>
      </c>
      <c r="D219" s="12" t="n">
        <v>1</v>
      </c>
      <c r="E219" s="13" t="s">
        <v>240</v>
      </c>
      <c r="F219" s="13" t="s">
        <v>240</v>
      </c>
      <c r="G219" s="13" t="s">
        <v>240</v>
      </c>
      <c r="H219" s="14"/>
    </row>
    <row r="220" customFormat="false" ht="15" hidden="false" customHeight="false" outlineLevel="0" collapsed="false">
      <c r="A220" s="7" t="s">
        <v>241</v>
      </c>
      <c r="B220" s="12" t="s">
        <v>180</v>
      </c>
      <c r="C220" s="12" t="n">
        <v>1</v>
      </c>
      <c r="D220" s="12" t="n">
        <v>1</v>
      </c>
      <c r="E220" s="13" t="s">
        <v>242</v>
      </c>
      <c r="F220" s="13" t="s">
        <v>242</v>
      </c>
      <c r="G220" s="13" t="s">
        <v>242</v>
      </c>
      <c r="H220" s="14"/>
    </row>
    <row r="221" customFormat="false" ht="15" hidden="false" customHeight="false" outlineLevel="0" collapsed="false">
      <c r="A221" s="7" t="s">
        <v>243</v>
      </c>
      <c r="B221" s="12" t="s">
        <v>180</v>
      </c>
      <c r="C221" s="12" t="n">
        <v>1</v>
      </c>
      <c r="D221" s="12" t="n">
        <v>1</v>
      </c>
      <c r="E221" s="13" t="s">
        <v>244</v>
      </c>
      <c r="F221" s="13" t="s">
        <v>244</v>
      </c>
      <c r="G221" s="13" t="s">
        <v>244</v>
      </c>
      <c r="H221" s="14"/>
    </row>
    <row r="222" customFormat="false" ht="15" hidden="false" customHeight="false" outlineLevel="0" collapsed="false">
      <c r="A222" s="7" t="s">
        <v>120</v>
      </c>
      <c r="B222" s="12" t="s">
        <v>121</v>
      </c>
      <c r="C222" s="12" t="s">
        <v>121</v>
      </c>
      <c r="D222" s="12" t="s">
        <v>121</v>
      </c>
      <c r="E222" s="13" t="s">
        <v>187</v>
      </c>
      <c r="F222" s="13" t="s">
        <v>187</v>
      </c>
      <c r="G222" s="13" t="s">
        <v>187</v>
      </c>
      <c r="H222" s="14"/>
    </row>
    <row r="223" customFormat="false" ht="15" hidden="false" customHeight="false" outlineLevel="0" collapsed="false">
      <c r="A223" s="7" t="s">
        <v>188</v>
      </c>
      <c r="B223" s="12" t="s">
        <v>124</v>
      </c>
      <c r="C223" s="12" t="n">
        <v>1</v>
      </c>
      <c r="D223" s="12" t="n">
        <v>1</v>
      </c>
      <c r="E223" s="13"/>
      <c r="F223" s="13" t="s">
        <v>189</v>
      </c>
      <c r="G223" s="13" t="s">
        <v>189</v>
      </c>
      <c r="H223" s="14"/>
    </row>
    <row r="224" customFormat="false" ht="15" hidden="false" customHeight="false" outlineLevel="0" collapsed="false">
      <c r="A224" s="7" t="s">
        <v>102</v>
      </c>
      <c r="B224" s="12" t="s">
        <v>124</v>
      </c>
      <c r="C224" s="12" t="n">
        <v>1</v>
      </c>
      <c r="D224" s="12" t="n">
        <v>1</v>
      </c>
      <c r="E224" s="13"/>
      <c r="F224" s="13" t="s">
        <v>103</v>
      </c>
      <c r="G224" s="13" t="s">
        <v>103</v>
      </c>
      <c r="H224" s="14"/>
    </row>
    <row r="225" customFormat="false" ht="15" hidden="false" customHeight="false" outlineLevel="0" collapsed="false">
      <c r="A225" s="7" t="s">
        <v>245</v>
      </c>
      <c r="B225" s="12" t="s">
        <v>124</v>
      </c>
      <c r="C225" s="12" t="s">
        <v>124</v>
      </c>
      <c r="D225" s="12" t="n">
        <v>1</v>
      </c>
      <c r="E225" s="13"/>
      <c r="F225" s="13"/>
      <c r="G225" s="13" t="s">
        <v>246</v>
      </c>
      <c r="H225" s="14"/>
    </row>
    <row r="226" customFormat="false" ht="15" hidden="false" customHeight="false" outlineLevel="0" collapsed="false">
      <c r="A226" s="7" t="s">
        <v>247</v>
      </c>
      <c r="B226" s="12" t="s">
        <v>124</v>
      </c>
      <c r="C226" s="12" t="s">
        <v>124</v>
      </c>
      <c r="D226" s="12" t="n">
        <v>1</v>
      </c>
      <c r="E226" s="13"/>
      <c r="F226" s="13"/>
      <c r="G226" s="13" t="s">
        <v>248</v>
      </c>
      <c r="H226" s="14"/>
    </row>
    <row r="227" customFormat="false" ht="15" hidden="false" customHeight="false" outlineLevel="0" collapsed="false">
      <c r="A227" s="7" t="s">
        <v>249</v>
      </c>
      <c r="B227" s="12" t="s">
        <v>124</v>
      </c>
      <c r="C227" s="12" t="s">
        <v>124</v>
      </c>
      <c r="D227" s="12" t="n">
        <v>1</v>
      </c>
      <c r="E227" s="13"/>
      <c r="F227" s="13"/>
      <c r="G227" s="13" t="s">
        <v>250</v>
      </c>
      <c r="H227" s="14"/>
    </row>
    <row r="228" customFormat="false" ht="15" hidden="false" customHeight="false" outlineLevel="0" collapsed="false">
      <c r="A228" s="7" t="s">
        <v>251</v>
      </c>
      <c r="B228" s="12" t="s">
        <v>124</v>
      </c>
      <c r="C228" s="12" t="s">
        <v>124</v>
      </c>
      <c r="D228" s="12" t="n">
        <v>1</v>
      </c>
      <c r="E228" s="13"/>
      <c r="F228" s="13"/>
      <c r="G228" s="13" t="s">
        <v>252</v>
      </c>
      <c r="H228" s="14"/>
    </row>
    <row r="229" customFormat="false" ht="15" hidden="false" customHeight="false" outlineLevel="0" collapsed="false">
      <c r="A229" s="7" t="s">
        <v>253</v>
      </c>
      <c r="B229" s="12" t="s">
        <v>124</v>
      </c>
      <c r="C229" s="12" t="s">
        <v>124</v>
      </c>
      <c r="D229" s="12" t="n">
        <v>1</v>
      </c>
      <c r="E229" s="13"/>
      <c r="F229" s="13"/>
      <c r="G229" s="13" t="s">
        <v>254</v>
      </c>
      <c r="H229" s="14"/>
    </row>
    <row r="230" customFormat="false" ht="15" hidden="false" customHeight="false" outlineLevel="0" collapsed="false">
      <c r="A230" s="19" t="s">
        <v>149</v>
      </c>
      <c r="B230" s="20" t="n">
        <f aca="false">'Récap par kit'!F29</f>
        <v>15620</v>
      </c>
      <c r="C230" s="20" t="n">
        <f aca="false">'Récap par kit'!F30</f>
        <v>35250</v>
      </c>
      <c r="D230" s="20" t="n">
        <f aca="false">'Récap par kit'!F31</f>
        <v>51990</v>
      </c>
    </row>
    <row r="232" customFormat="false" ht="15" hidden="false" customHeight="false" outlineLevel="0" collapsed="false">
      <c r="A232" s="11" t="s">
        <v>58</v>
      </c>
    </row>
    <row r="233" customFormat="false" ht="15" hidden="false" customHeight="false" outlineLevel="0" collapsed="false">
      <c r="A233" s="6" t="s">
        <v>79</v>
      </c>
      <c r="B233" s="6" t="s">
        <v>48</v>
      </c>
      <c r="C233" s="6" t="s">
        <v>49</v>
      </c>
      <c r="D233" s="6" t="s">
        <v>50</v>
      </c>
      <c r="E233" s="6" t="s">
        <v>80</v>
      </c>
      <c r="F233" s="6" t="s">
        <v>81</v>
      </c>
      <c r="G233" s="6" t="s">
        <v>82</v>
      </c>
      <c r="H233" s="6" t="s">
        <v>83</v>
      </c>
    </row>
    <row r="234" customFormat="false" ht="15" hidden="false" customHeight="false" outlineLevel="0" collapsed="false">
      <c r="A234" s="7" t="s">
        <v>151</v>
      </c>
      <c r="B234" s="12" t="n">
        <v>5</v>
      </c>
      <c r="C234" s="12" t="n">
        <v>5</v>
      </c>
      <c r="D234" s="12" t="n">
        <v>5</v>
      </c>
      <c r="E234" s="13" t="s">
        <v>152</v>
      </c>
      <c r="F234" s="13" t="s">
        <v>152</v>
      </c>
      <c r="G234" s="13" t="s">
        <v>152</v>
      </c>
      <c r="H234" s="14"/>
    </row>
    <row r="235" customFormat="false" ht="15" hidden="false" customHeight="false" outlineLevel="0" collapsed="false">
      <c r="A235" s="7" t="s">
        <v>158</v>
      </c>
      <c r="B235" s="12" t="n">
        <v>4</v>
      </c>
      <c r="C235" s="12" t="n">
        <v>4</v>
      </c>
      <c r="D235" s="12" t="n">
        <v>4</v>
      </c>
      <c r="E235" s="13" t="s">
        <v>159</v>
      </c>
      <c r="F235" s="13" t="s">
        <v>159</v>
      </c>
      <c r="G235" s="13" t="s">
        <v>159</v>
      </c>
      <c r="H235" s="14"/>
    </row>
    <row r="236" customFormat="false" ht="15" hidden="false" customHeight="false" outlineLevel="0" collapsed="false">
      <c r="A236" s="7" t="s">
        <v>88</v>
      </c>
      <c r="B236" s="12" t="n">
        <v>1</v>
      </c>
      <c r="C236" s="12" t="n">
        <v>1</v>
      </c>
      <c r="D236" s="12" t="n">
        <v>1</v>
      </c>
      <c r="E236" s="13" t="s">
        <v>89</v>
      </c>
      <c r="F236" s="13" t="s">
        <v>90</v>
      </c>
      <c r="G236" s="13" t="s">
        <v>90</v>
      </c>
      <c r="H236" s="14"/>
    </row>
    <row r="237" customFormat="false" ht="15" hidden="false" customHeight="false" outlineLevel="0" collapsed="false">
      <c r="A237" s="7" t="s">
        <v>160</v>
      </c>
      <c r="B237" s="12" t="n">
        <v>10</v>
      </c>
      <c r="C237" s="12" t="n">
        <v>10</v>
      </c>
      <c r="D237" s="12" t="n">
        <v>10</v>
      </c>
      <c r="E237" s="13" t="s">
        <v>161</v>
      </c>
      <c r="F237" s="13" t="s">
        <v>161</v>
      </c>
      <c r="G237" s="13" t="s">
        <v>161</v>
      </c>
      <c r="H237" s="14"/>
    </row>
    <row r="238" customFormat="false" ht="15" hidden="false" customHeight="false" outlineLevel="0" collapsed="false">
      <c r="A238" s="7" t="s">
        <v>97</v>
      </c>
      <c r="B238" s="12" t="n">
        <v>2</v>
      </c>
      <c r="C238" s="12" t="s">
        <v>124</v>
      </c>
      <c r="D238" s="12" t="s">
        <v>124</v>
      </c>
      <c r="E238" s="13" t="s">
        <v>98</v>
      </c>
      <c r="F238" s="13"/>
      <c r="G238" s="13"/>
      <c r="H238" s="14"/>
    </row>
    <row r="239" customFormat="false" ht="15" hidden="false" customHeight="false" outlineLevel="0" collapsed="false">
      <c r="A239" s="7" t="s">
        <v>255</v>
      </c>
      <c r="B239" s="12" t="n">
        <v>1</v>
      </c>
      <c r="C239" s="12" t="n">
        <v>1</v>
      </c>
      <c r="D239" s="12" t="n">
        <v>1</v>
      </c>
      <c r="E239" s="13" t="s">
        <v>256</v>
      </c>
      <c r="F239" s="13" t="s">
        <v>256</v>
      </c>
      <c r="G239" s="13" t="s">
        <v>256</v>
      </c>
      <c r="H239" s="14"/>
    </row>
    <row r="240" customFormat="false" ht="15" hidden="false" customHeight="false" outlineLevel="0" collapsed="false">
      <c r="A240" s="7" t="s">
        <v>257</v>
      </c>
      <c r="B240" s="12" t="n">
        <v>1</v>
      </c>
      <c r="C240" s="12" t="n">
        <v>2</v>
      </c>
      <c r="D240" s="12" t="n">
        <v>2</v>
      </c>
      <c r="E240" s="13" t="s">
        <v>163</v>
      </c>
      <c r="F240" s="13" t="s">
        <v>163</v>
      </c>
      <c r="G240" s="13" t="s">
        <v>163</v>
      </c>
      <c r="H240" s="14"/>
    </row>
    <row r="241" customFormat="false" ht="15" hidden="false" customHeight="false" outlineLevel="0" collapsed="false">
      <c r="A241" s="7" t="s">
        <v>99</v>
      </c>
      <c r="B241" s="12" t="n">
        <v>2</v>
      </c>
      <c r="C241" s="12" t="n">
        <v>2</v>
      </c>
      <c r="D241" s="12" t="n">
        <v>2</v>
      </c>
      <c r="E241" s="13" t="s">
        <v>100</v>
      </c>
      <c r="F241" s="13" t="s">
        <v>101</v>
      </c>
      <c r="G241" s="13" t="s">
        <v>101</v>
      </c>
      <c r="H241" s="14"/>
    </row>
    <row r="242" customFormat="false" ht="15" hidden="false" customHeight="false" outlineLevel="0" collapsed="false">
      <c r="A242" s="7" t="s">
        <v>102</v>
      </c>
      <c r="B242" s="12" t="n">
        <v>1</v>
      </c>
      <c r="C242" s="12" t="n">
        <v>1</v>
      </c>
      <c r="D242" s="12" t="n">
        <v>1</v>
      </c>
      <c r="E242" s="13" t="s">
        <v>103</v>
      </c>
      <c r="F242" s="13" t="s">
        <v>103</v>
      </c>
      <c r="G242" s="13" t="s">
        <v>103</v>
      </c>
      <c r="H242" s="14"/>
    </row>
    <row r="243" customFormat="false" ht="15" hidden="false" customHeight="false" outlineLevel="0" collapsed="false">
      <c r="A243" s="23" t="s">
        <v>199</v>
      </c>
      <c r="B243" s="12" t="n">
        <v>1</v>
      </c>
      <c r="C243" s="12" t="n">
        <v>1</v>
      </c>
      <c r="D243" s="12" t="n">
        <v>1</v>
      </c>
      <c r="E243" s="13" t="s">
        <v>222</v>
      </c>
      <c r="F243" s="13" t="s">
        <v>222</v>
      </c>
      <c r="G243" s="13" t="s">
        <v>222</v>
      </c>
      <c r="H243" s="24" t="s">
        <v>182</v>
      </c>
    </row>
    <row r="244" customFormat="false" ht="15" hidden="false" customHeight="false" outlineLevel="0" collapsed="false">
      <c r="A244" s="7" t="s">
        <v>104</v>
      </c>
      <c r="B244" s="12" t="n">
        <v>1</v>
      </c>
      <c r="C244" s="12" t="n">
        <v>1</v>
      </c>
      <c r="D244" s="12" t="n">
        <v>1</v>
      </c>
      <c r="E244" s="13" t="s">
        <v>105</v>
      </c>
      <c r="F244" s="13" t="s">
        <v>105</v>
      </c>
      <c r="G244" s="13" t="s">
        <v>106</v>
      </c>
      <c r="H244" s="14"/>
    </row>
    <row r="245" customFormat="false" ht="15" hidden="false" customHeight="false" outlineLevel="0" collapsed="false">
      <c r="A245" s="7" t="s">
        <v>166</v>
      </c>
      <c r="B245" s="12" t="n">
        <v>2</v>
      </c>
      <c r="C245" s="12" t="n">
        <v>3</v>
      </c>
      <c r="D245" s="12" t="n">
        <v>3</v>
      </c>
      <c r="E245" s="13" t="s">
        <v>108</v>
      </c>
      <c r="F245" s="13" t="s">
        <v>109</v>
      </c>
      <c r="G245" s="13" t="s">
        <v>109</v>
      </c>
      <c r="H245" s="14"/>
    </row>
    <row r="246" customFormat="false" ht="15" hidden="false" customHeight="false" outlineLevel="0" collapsed="false">
      <c r="A246" s="7" t="s">
        <v>110</v>
      </c>
      <c r="B246" s="12" t="n">
        <v>1</v>
      </c>
      <c r="C246" s="12" t="n">
        <v>1</v>
      </c>
      <c r="D246" s="12" t="n">
        <v>1</v>
      </c>
      <c r="E246" s="13" t="s">
        <v>111</v>
      </c>
      <c r="F246" s="13" t="s">
        <v>112</v>
      </c>
      <c r="G246" s="13" t="s">
        <v>112</v>
      </c>
      <c r="H246" s="14"/>
    </row>
    <row r="247" customFormat="false" ht="15" hidden="false" customHeight="false" outlineLevel="0" collapsed="false">
      <c r="A247" s="7" t="s">
        <v>167</v>
      </c>
      <c r="B247" s="12" t="n">
        <v>1</v>
      </c>
      <c r="C247" s="12" t="n">
        <v>1</v>
      </c>
      <c r="D247" s="12" t="n">
        <v>1</v>
      </c>
      <c r="E247" s="13" t="s">
        <v>168</v>
      </c>
      <c r="F247" s="13" t="s">
        <v>169</v>
      </c>
      <c r="G247" s="13" t="s">
        <v>169</v>
      </c>
      <c r="H247" s="14"/>
    </row>
    <row r="248" customFormat="false" ht="15" hidden="false" customHeight="false" outlineLevel="0" collapsed="false">
      <c r="A248" s="21" t="s">
        <v>170</v>
      </c>
      <c r="B248" s="12" t="n">
        <v>20</v>
      </c>
      <c r="C248" s="12" t="n">
        <v>20</v>
      </c>
      <c r="D248" s="12" t="n">
        <v>20</v>
      </c>
      <c r="E248" s="13" t="s">
        <v>171</v>
      </c>
      <c r="F248" s="13" t="s">
        <v>171</v>
      </c>
      <c r="G248" s="13" t="s">
        <v>171</v>
      </c>
      <c r="H248" s="22" t="s">
        <v>172</v>
      </c>
    </row>
    <row r="249" customFormat="false" ht="15" hidden="false" customHeight="false" outlineLevel="0" collapsed="false">
      <c r="A249" s="7" t="s">
        <v>173</v>
      </c>
      <c r="B249" s="12" t="n">
        <v>1</v>
      </c>
      <c r="C249" s="12" t="n">
        <v>1</v>
      </c>
      <c r="D249" s="12" t="n">
        <v>1</v>
      </c>
      <c r="E249" s="13" t="s">
        <v>148</v>
      </c>
      <c r="F249" s="13" t="s">
        <v>148</v>
      </c>
      <c r="G249" s="13" t="s">
        <v>148</v>
      </c>
      <c r="H249" s="14"/>
    </row>
    <row r="250" customFormat="false" ht="15" hidden="false" customHeight="false" outlineLevel="0" collapsed="false">
      <c r="A250" s="7" t="s">
        <v>176</v>
      </c>
      <c r="B250" s="12" t="n">
        <v>1</v>
      </c>
      <c r="C250" s="12" t="n">
        <v>1</v>
      </c>
      <c r="D250" s="12" t="n">
        <v>1</v>
      </c>
      <c r="E250" s="13" t="s">
        <v>177</v>
      </c>
      <c r="F250" s="13" t="s">
        <v>177</v>
      </c>
      <c r="G250" s="13" t="s">
        <v>177</v>
      </c>
      <c r="H250" s="14"/>
    </row>
    <row r="251" customFormat="false" ht="15" hidden="false" customHeight="false" outlineLevel="0" collapsed="false">
      <c r="A251" s="7" t="s">
        <v>117</v>
      </c>
      <c r="B251" s="12" t="n">
        <v>1</v>
      </c>
      <c r="C251" s="12" t="n">
        <v>1</v>
      </c>
      <c r="D251" s="12" t="n">
        <v>1</v>
      </c>
      <c r="E251" s="13" t="s">
        <v>118</v>
      </c>
      <c r="F251" s="13" t="s">
        <v>178</v>
      </c>
      <c r="G251" s="13" t="s">
        <v>178</v>
      </c>
      <c r="H251" s="14"/>
    </row>
    <row r="252" customFormat="false" ht="15" hidden="false" customHeight="false" outlineLevel="0" collapsed="false">
      <c r="A252" s="7" t="s">
        <v>258</v>
      </c>
      <c r="B252" s="12" t="s">
        <v>180</v>
      </c>
      <c r="C252" s="12" t="n">
        <v>1</v>
      </c>
      <c r="D252" s="12" t="n">
        <v>1</v>
      </c>
      <c r="E252" s="13" t="s">
        <v>259</v>
      </c>
      <c r="F252" s="13" t="s">
        <v>259</v>
      </c>
      <c r="G252" s="13" t="s">
        <v>259</v>
      </c>
      <c r="H252" s="14"/>
    </row>
    <row r="253" customFormat="false" ht="15" hidden="false" customHeight="false" outlineLevel="0" collapsed="false">
      <c r="A253" s="7" t="s">
        <v>260</v>
      </c>
      <c r="B253" s="12" t="s">
        <v>180</v>
      </c>
      <c r="C253" s="12" t="n">
        <v>1</v>
      </c>
      <c r="D253" s="12" t="n">
        <v>1</v>
      </c>
      <c r="E253" s="13" t="s">
        <v>261</v>
      </c>
      <c r="F253" s="13" t="s">
        <v>261</v>
      </c>
      <c r="G253" s="13" t="s">
        <v>261</v>
      </c>
      <c r="H253" s="14"/>
    </row>
    <row r="254" customFormat="false" ht="15" hidden="false" customHeight="false" outlineLevel="0" collapsed="false">
      <c r="A254" s="7" t="s">
        <v>262</v>
      </c>
      <c r="B254" s="12" t="s">
        <v>180</v>
      </c>
      <c r="C254" s="12" t="n">
        <v>1</v>
      </c>
      <c r="D254" s="12" t="n">
        <v>1</v>
      </c>
      <c r="E254" s="13" t="s">
        <v>263</v>
      </c>
      <c r="F254" s="13" t="s">
        <v>263</v>
      </c>
      <c r="G254" s="13" t="s">
        <v>263</v>
      </c>
      <c r="H254" s="14"/>
    </row>
    <row r="255" customFormat="false" ht="15" hidden="false" customHeight="false" outlineLevel="0" collapsed="false">
      <c r="A255" s="7" t="s">
        <v>264</v>
      </c>
      <c r="B255" s="12" t="s">
        <v>180</v>
      </c>
      <c r="C255" s="12" t="n">
        <v>1</v>
      </c>
      <c r="D255" s="12" t="n">
        <v>1</v>
      </c>
      <c r="E255" s="13" t="s">
        <v>265</v>
      </c>
      <c r="F255" s="13" t="s">
        <v>265</v>
      </c>
      <c r="G255" s="13" t="s">
        <v>265</v>
      </c>
      <c r="H255" s="14"/>
    </row>
    <row r="256" customFormat="false" ht="15" hidden="false" customHeight="false" outlineLevel="0" collapsed="false">
      <c r="A256" s="7" t="s">
        <v>120</v>
      </c>
      <c r="B256" s="12" t="s">
        <v>121</v>
      </c>
      <c r="C256" s="12" t="s">
        <v>121</v>
      </c>
      <c r="D256" s="12" t="s">
        <v>121</v>
      </c>
      <c r="E256" s="13" t="s">
        <v>187</v>
      </c>
      <c r="F256" s="13" t="s">
        <v>187</v>
      </c>
      <c r="G256" s="13" t="s">
        <v>187</v>
      </c>
      <c r="H256" s="14"/>
    </row>
    <row r="257" customFormat="false" ht="15" hidden="false" customHeight="false" outlineLevel="0" collapsed="false">
      <c r="A257" s="7" t="s">
        <v>188</v>
      </c>
      <c r="B257" s="12" t="s">
        <v>124</v>
      </c>
      <c r="C257" s="12" t="n">
        <v>1</v>
      </c>
      <c r="D257" s="12" t="n">
        <v>1</v>
      </c>
      <c r="E257" s="13"/>
      <c r="F257" s="13" t="s">
        <v>189</v>
      </c>
      <c r="G257" s="13" t="s">
        <v>189</v>
      </c>
      <c r="H257" s="14"/>
    </row>
    <row r="258" customFormat="false" ht="15" hidden="false" customHeight="false" outlineLevel="0" collapsed="false">
      <c r="A258" s="7" t="s">
        <v>266</v>
      </c>
      <c r="B258" s="12" t="s">
        <v>124</v>
      </c>
      <c r="C258" s="12" t="s">
        <v>124</v>
      </c>
      <c r="D258" s="12" t="n">
        <v>1</v>
      </c>
      <c r="E258" s="13"/>
      <c r="F258" s="13"/>
      <c r="G258" s="13" t="s">
        <v>267</v>
      </c>
      <c r="H258" s="14"/>
    </row>
    <row r="259" customFormat="false" ht="15" hidden="false" customHeight="false" outlineLevel="0" collapsed="false">
      <c r="A259" s="7" t="s">
        <v>268</v>
      </c>
      <c r="B259" s="12" t="s">
        <v>124</v>
      </c>
      <c r="C259" s="12" t="s">
        <v>124</v>
      </c>
      <c r="D259" s="12" t="n">
        <v>1</v>
      </c>
      <c r="E259" s="13"/>
      <c r="F259" s="13"/>
      <c r="G259" s="13" t="s">
        <v>269</v>
      </c>
      <c r="H259" s="14"/>
    </row>
    <row r="260" customFormat="false" ht="15" hidden="false" customHeight="false" outlineLevel="0" collapsed="false">
      <c r="A260" s="7" t="s">
        <v>270</v>
      </c>
      <c r="B260" s="12" t="s">
        <v>124</v>
      </c>
      <c r="C260" s="12" t="s">
        <v>124</v>
      </c>
      <c r="D260" s="12" t="n">
        <v>1</v>
      </c>
      <c r="E260" s="13"/>
      <c r="F260" s="13"/>
      <c r="G260" s="13" t="s">
        <v>271</v>
      </c>
      <c r="H260" s="14"/>
    </row>
    <row r="261" customFormat="false" ht="15" hidden="false" customHeight="false" outlineLevel="0" collapsed="false">
      <c r="A261" s="7" t="s">
        <v>272</v>
      </c>
      <c r="B261" s="12" t="s">
        <v>124</v>
      </c>
      <c r="C261" s="12" t="s">
        <v>124</v>
      </c>
      <c r="D261" s="12" t="n">
        <v>1</v>
      </c>
      <c r="E261" s="13"/>
      <c r="F261" s="13"/>
      <c r="G261" s="13" t="s">
        <v>273</v>
      </c>
      <c r="H261" s="14"/>
    </row>
    <row r="262" customFormat="false" ht="15" hidden="false" customHeight="false" outlineLevel="0" collapsed="false">
      <c r="A262" s="19" t="s">
        <v>149</v>
      </c>
      <c r="B262" s="20" t="n">
        <f aca="false">'Récap par kit'!F33</f>
        <v>17290</v>
      </c>
      <c r="C262" s="20" t="n">
        <f aca="false">'Récap par kit'!F34</f>
        <v>36850</v>
      </c>
      <c r="D262" s="20" t="n">
        <f aca="false">'Récap par kit'!F35</f>
        <v>51270</v>
      </c>
    </row>
    <row r="264" customFormat="false" ht="15" hidden="false" customHeight="false" outlineLevel="0" collapsed="false">
      <c r="A264" s="11" t="s">
        <v>59</v>
      </c>
    </row>
    <row r="265" customFormat="false" ht="15" hidden="false" customHeight="false" outlineLevel="0" collapsed="false">
      <c r="A265" s="6" t="s">
        <v>79</v>
      </c>
      <c r="B265" s="6" t="s">
        <v>48</v>
      </c>
      <c r="C265" s="6" t="s">
        <v>49</v>
      </c>
      <c r="D265" s="6" t="s">
        <v>50</v>
      </c>
      <c r="E265" s="6" t="s">
        <v>80</v>
      </c>
      <c r="F265" s="6" t="s">
        <v>81</v>
      </c>
      <c r="G265" s="6" t="s">
        <v>82</v>
      </c>
      <c r="H265" s="6" t="s">
        <v>83</v>
      </c>
    </row>
    <row r="266" customFormat="false" ht="15" hidden="false" customHeight="false" outlineLevel="0" collapsed="false">
      <c r="A266" s="7" t="s">
        <v>151</v>
      </c>
      <c r="B266" s="12" t="n">
        <v>5</v>
      </c>
      <c r="C266" s="12" t="n">
        <v>5</v>
      </c>
      <c r="D266" s="12" t="n">
        <v>5</v>
      </c>
      <c r="E266" s="13" t="s">
        <v>152</v>
      </c>
      <c r="F266" s="13" t="s">
        <v>152</v>
      </c>
      <c r="G266" s="13" t="s">
        <v>152</v>
      </c>
      <c r="H266" s="14"/>
    </row>
    <row r="267" customFormat="false" ht="15" hidden="false" customHeight="false" outlineLevel="0" collapsed="false">
      <c r="A267" s="7" t="s">
        <v>158</v>
      </c>
      <c r="B267" s="12" t="n">
        <v>4</v>
      </c>
      <c r="C267" s="12" t="n">
        <v>4</v>
      </c>
      <c r="D267" s="12" t="n">
        <v>4</v>
      </c>
      <c r="E267" s="13" t="s">
        <v>159</v>
      </c>
      <c r="F267" s="13" t="s">
        <v>159</v>
      </c>
      <c r="G267" s="13" t="s">
        <v>159</v>
      </c>
      <c r="H267" s="14"/>
    </row>
    <row r="268" customFormat="false" ht="15" hidden="false" customHeight="false" outlineLevel="0" collapsed="false">
      <c r="A268" s="7" t="s">
        <v>88</v>
      </c>
      <c r="B268" s="12" t="n">
        <v>1</v>
      </c>
      <c r="C268" s="12" t="n">
        <v>1</v>
      </c>
      <c r="D268" s="12" t="n">
        <v>1</v>
      </c>
      <c r="E268" s="13" t="s">
        <v>89</v>
      </c>
      <c r="F268" s="13" t="s">
        <v>90</v>
      </c>
      <c r="G268" s="13" t="s">
        <v>90</v>
      </c>
      <c r="H268" s="14"/>
    </row>
    <row r="269" customFormat="false" ht="15" hidden="false" customHeight="false" outlineLevel="0" collapsed="false">
      <c r="A269" s="7" t="s">
        <v>160</v>
      </c>
      <c r="B269" s="12" t="n">
        <v>10</v>
      </c>
      <c r="C269" s="12" t="n">
        <v>10</v>
      </c>
      <c r="D269" s="12" t="n">
        <v>10</v>
      </c>
      <c r="E269" s="13" t="s">
        <v>161</v>
      </c>
      <c r="F269" s="13" t="s">
        <v>161</v>
      </c>
      <c r="G269" s="13" t="s">
        <v>161</v>
      </c>
      <c r="H269" s="14"/>
    </row>
    <row r="270" customFormat="false" ht="15" hidden="false" customHeight="false" outlineLevel="0" collapsed="false">
      <c r="A270" s="7" t="s">
        <v>97</v>
      </c>
      <c r="B270" s="12" t="n">
        <v>2</v>
      </c>
      <c r="C270" s="12" t="s">
        <v>124</v>
      </c>
      <c r="D270" s="12" t="s">
        <v>124</v>
      </c>
      <c r="E270" s="13" t="s">
        <v>98</v>
      </c>
      <c r="F270" s="13"/>
      <c r="G270" s="13"/>
      <c r="H270" s="14"/>
    </row>
    <row r="271" customFormat="false" ht="15" hidden="false" customHeight="false" outlineLevel="0" collapsed="false">
      <c r="A271" s="7" t="s">
        <v>255</v>
      </c>
      <c r="B271" s="12" t="n">
        <v>1</v>
      </c>
      <c r="C271" s="12" t="n">
        <v>1</v>
      </c>
      <c r="D271" s="12" t="n">
        <v>1</v>
      </c>
      <c r="E271" s="13" t="s">
        <v>256</v>
      </c>
      <c r="F271" s="13" t="s">
        <v>256</v>
      </c>
      <c r="G271" s="13" t="s">
        <v>256</v>
      </c>
      <c r="H271" s="14"/>
    </row>
    <row r="272" customFormat="false" ht="15" hidden="false" customHeight="false" outlineLevel="0" collapsed="false">
      <c r="A272" s="7" t="s">
        <v>257</v>
      </c>
      <c r="B272" s="12" t="n">
        <v>1</v>
      </c>
      <c r="C272" s="12" t="n">
        <v>2</v>
      </c>
      <c r="D272" s="12" t="n">
        <v>2</v>
      </c>
      <c r="E272" s="13" t="s">
        <v>163</v>
      </c>
      <c r="F272" s="13" t="s">
        <v>163</v>
      </c>
      <c r="G272" s="13" t="s">
        <v>163</v>
      </c>
      <c r="H272" s="14"/>
    </row>
    <row r="273" customFormat="false" ht="15" hidden="false" customHeight="false" outlineLevel="0" collapsed="false">
      <c r="A273" s="7" t="s">
        <v>99</v>
      </c>
      <c r="B273" s="12" t="n">
        <v>2</v>
      </c>
      <c r="C273" s="12" t="n">
        <v>2</v>
      </c>
      <c r="D273" s="12" t="n">
        <v>2</v>
      </c>
      <c r="E273" s="13" t="s">
        <v>100</v>
      </c>
      <c r="F273" s="13" t="s">
        <v>101</v>
      </c>
      <c r="G273" s="13" t="s">
        <v>101</v>
      </c>
      <c r="H273" s="14"/>
    </row>
    <row r="274" customFormat="false" ht="15" hidden="false" customHeight="false" outlineLevel="0" collapsed="false">
      <c r="A274" s="7" t="s">
        <v>102</v>
      </c>
      <c r="B274" s="12" t="n">
        <v>1</v>
      </c>
      <c r="C274" s="12" t="n">
        <v>1</v>
      </c>
      <c r="D274" s="12" t="n">
        <v>1</v>
      </c>
      <c r="E274" s="13" t="s">
        <v>103</v>
      </c>
      <c r="F274" s="13" t="s">
        <v>103</v>
      </c>
      <c r="G274" s="13" t="s">
        <v>103</v>
      </c>
      <c r="H274" s="14"/>
    </row>
    <row r="275" customFormat="false" ht="15" hidden="false" customHeight="false" outlineLevel="0" collapsed="false">
      <c r="A275" s="23" t="s">
        <v>199</v>
      </c>
      <c r="B275" s="12" t="n">
        <v>1</v>
      </c>
      <c r="C275" s="12" t="n">
        <v>1</v>
      </c>
      <c r="D275" s="12" t="n">
        <v>1</v>
      </c>
      <c r="E275" s="13" t="s">
        <v>222</v>
      </c>
      <c r="F275" s="13" t="s">
        <v>222</v>
      </c>
      <c r="G275" s="13" t="s">
        <v>222</v>
      </c>
      <c r="H275" s="24" t="s">
        <v>182</v>
      </c>
    </row>
    <row r="276" customFormat="false" ht="15" hidden="false" customHeight="false" outlineLevel="0" collapsed="false">
      <c r="A276" s="7" t="s">
        <v>104</v>
      </c>
      <c r="B276" s="12" t="n">
        <v>1</v>
      </c>
      <c r="C276" s="12" t="n">
        <v>1</v>
      </c>
      <c r="D276" s="12" t="n">
        <v>1</v>
      </c>
      <c r="E276" s="13" t="s">
        <v>105</v>
      </c>
      <c r="F276" s="13" t="s">
        <v>105</v>
      </c>
      <c r="G276" s="13" t="s">
        <v>106</v>
      </c>
      <c r="H276" s="14"/>
    </row>
    <row r="277" customFormat="false" ht="15" hidden="false" customHeight="false" outlineLevel="0" collapsed="false">
      <c r="A277" s="7" t="s">
        <v>166</v>
      </c>
      <c r="B277" s="12" t="n">
        <v>2</v>
      </c>
      <c r="C277" s="12" t="n">
        <v>3</v>
      </c>
      <c r="D277" s="12" t="n">
        <v>3</v>
      </c>
      <c r="E277" s="13" t="s">
        <v>108</v>
      </c>
      <c r="F277" s="13" t="s">
        <v>109</v>
      </c>
      <c r="G277" s="13" t="s">
        <v>109</v>
      </c>
      <c r="H277" s="14"/>
    </row>
    <row r="278" customFormat="false" ht="15" hidden="false" customHeight="false" outlineLevel="0" collapsed="false">
      <c r="A278" s="7" t="s">
        <v>110</v>
      </c>
      <c r="B278" s="12" t="n">
        <v>1</v>
      </c>
      <c r="C278" s="12" t="n">
        <v>1</v>
      </c>
      <c r="D278" s="12" t="n">
        <v>1</v>
      </c>
      <c r="E278" s="13" t="s">
        <v>111</v>
      </c>
      <c r="F278" s="13" t="s">
        <v>112</v>
      </c>
      <c r="G278" s="13" t="s">
        <v>112</v>
      </c>
      <c r="H278" s="14"/>
    </row>
    <row r="279" customFormat="false" ht="15" hidden="false" customHeight="false" outlineLevel="0" collapsed="false">
      <c r="A279" s="7" t="s">
        <v>167</v>
      </c>
      <c r="B279" s="12" t="n">
        <v>1</v>
      </c>
      <c r="C279" s="12" t="n">
        <v>1</v>
      </c>
      <c r="D279" s="12" t="n">
        <v>1</v>
      </c>
      <c r="E279" s="13" t="s">
        <v>168</v>
      </c>
      <c r="F279" s="13" t="s">
        <v>169</v>
      </c>
      <c r="G279" s="13" t="s">
        <v>169</v>
      </c>
      <c r="H279" s="14"/>
    </row>
    <row r="280" customFormat="false" ht="15" hidden="false" customHeight="false" outlineLevel="0" collapsed="false">
      <c r="A280" s="21" t="s">
        <v>170</v>
      </c>
      <c r="B280" s="12" t="n">
        <v>20</v>
      </c>
      <c r="C280" s="12" t="n">
        <v>20</v>
      </c>
      <c r="D280" s="12" t="n">
        <v>20</v>
      </c>
      <c r="E280" s="13" t="s">
        <v>171</v>
      </c>
      <c r="F280" s="13" t="s">
        <v>171</v>
      </c>
      <c r="G280" s="13" t="s">
        <v>171</v>
      </c>
      <c r="H280" s="22" t="s">
        <v>172</v>
      </c>
    </row>
    <row r="281" customFormat="false" ht="15" hidden="false" customHeight="false" outlineLevel="0" collapsed="false">
      <c r="A281" s="7" t="s">
        <v>173</v>
      </c>
      <c r="B281" s="12" t="n">
        <v>1</v>
      </c>
      <c r="C281" s="12" t="n">
        <v>1</v>
      </c>
      <c r="D281" s="12" t="n">
        <v>1</v>
      </c>
      <c r="E281" s="13" t="s">
        <v>148</v>
      </c>
      <c r="F281" s="13" t="s">
        <v>148</v>
      </c>
      <c r="G281" s="13" t="s">
        <v>148</v>
      </c>
      <c r="H281" s="14"/>
    </row>
    <row r="282" customFormat="false" ht="15" hidden="false" customHeight="false" outlineLevel="0" collapsed="false">
      <c r="A282" s="7" t="s">
        <v>176</v>
      </c>
      <c r="B282" s="12" t="n">
        <v>1</v>
      </c>
      <c r="C282" s="12" t="n">
        <v>1</v>
      </c>
      <c r="D282" s="12" t="n">
        <v>1</v>
      </c>
      <c r="E282" s="13" t="s">
        <v>177</v>
      </c>
      <c r="F282" s="13" t="s">
        <v>177</v>
      </c>
      <c r="G282" s="13" t="s">
        <v>177</v>
      </c>
      <c r="H282" s="14"/>
    </row>
    <row r="283" customFormat="false" ht="15" hidden="false" customHeight="false" outlineLevel="0" collapsed="false">
      <c r="A283" s="7" t="s">
        <v>117</v>
      </c>
      <c r="B283" s="12" t="n">
        <v>1</v>
      </c>
      <c r="C283" s="12" t="n">
        <v>1</v>
      </c>
      <c r="D283" s="12" t="n">
        <v>1</v>
      </c>
      <c r="E283" s="13" t="s">
        <v>118</v>
      </c>
      <c r="F283" s="13" t="s">
        <v>178</v>
      </c>
      <c r="G283" s="13" t="s">
        <v>178</v>
      </c>
      <c r="H283" s="14"/>
    </row>
    <row r="284" customFormat="false" ht="15" hidden="false" customHeight="false" outlineLevel="0" collapsed="false">
      <c r="A284" s="7" t="s">
        <v>274</v>
      </c>
      <c r="B284" s="12" t="s">
        <v>180</v>
      </c>
      <c r="C284" s="12" t="n">
        <v>1</v>
      </c>
      <c r="D284" s="12" t="n">
        <v>1</v>
      </c>
      <c r="E284" s="13" t="s">
        <v>275</v>
      </c>
      <c r="F284" s="13" t="s">
        <v>275</v>
      </c>
      <c r="G284" s="13" t="s">
        <v>275</v>
      </c>
      <c r="H284" s="14"/>
    </row>
    <row r="285" customFormat="false" ht="15" hidden="false" customHeight="false" outlineLevel="0" collapsed="false">
      <c r="A285" s="23" t="s">
        <v>276</v>
      </c>
      <c r="B285" s="12" t="s">
        <v>180</v>
      </c>
      <c r="C285" s="12" t="n">
        <v>1</v>
      </c>
      <c r="D285" s="12" t="n">
        <v>1</v>
      </c>
      <c r="E285" s="13" t="s">
        <v>277</v>
      </c>
      <c r="F285" s="13" t="s">
        <v>277</v>
      </c>
      <c r="G285" s="13" t="s">
        <v>277</v>
      </c>
      <c r="H285" s="24" t="s">
        <v>182</v>
      </c>
    </row>
    <row r="286" customFormat="false" ht="15" hidden="false" customHeight="false" outlineLevel="0" collapsed="false">
      <c r="A286" s="7" t="s">
        <v>278</v>
      </c>
      <c r="B286" s="12" t="s">
        <v>180</v>
      </c>
      <c r="C286" s="12" t="n">
        <v>1</v>
      </c>
      <c r="D286" s="12" t="n">
        <v>1</v>
      </c>
      <c r="E286" s="13" t="s">
        <v>279</v>
      </c>
      <c r="F286" s="13" t="s">
        <v>279</v>
      </c>
      <c r="G286" s="13" t="s">
        <v>279</v>
      </c>
      <c r="H286" s="14"/>
    </row>
    <row r="287" customFormat="false" ht="15" hidden="false" customHeight="false" outlineLevel="0" collapsed="false">
      <c r="A287" s="7" t="s">
        <v>280</v>
      </c>
      <c r="B287" s="12" t="s">
        <v>180</v>
      </c>
      <c r="C287" s="12" t="n">
        <v>1</v>
      </c>
      <c r="D287" s="12" t="n">
        <v>1</v>
      </c>
      <c r="E287" s="13" t="s">
        <v>281</v>
      </c>
      <c r="F287" s="13" t="s">
        <v>281</v>
      </c>
      <c r="G287" s="13" t="s">
        <v>281</v>
      </c>
      <c r="H287" s="14"/>
    </row>
    <row r="288" customFormat="false" ht="15" hidden="false" customHeight="false" outlineLevel="0" collapsed="false">
      <c r="A288" s="7" t="s">
        <v>282</v>
      </c>
      <c r="B288" s="12" t="s">
        <v>180</v>
      </c>
      <c r="C288" s="12" t="n">
        <v>1</v>
      </c>
      <c r="D288" s="12" t="n">
        <v>1</v>
      </c>
      <c r="E288" s="13" t="s">
        <v>283</v>
      </c>
      <c r="F288" s="13" t="s">
        <v>283</v>
      </c>
      <c r="G288" s="13" t="s">
        <v>283</v>
      </c>
      <c r="H288" s="14"/>
    </row>
    <row r="289" customFormat="false" ht="15" hidden="false" customHeight="false" outlineLevel="0" collapsed="false">
      <c r="A289" s="7" t="s">
        <v>120</v>
      </c>
      <c r="B289" s="12" t="s">
        <v>121</v>
      </c>
      <c r="C289" s="12" t="s">
        <v>121</v>
      </c>
      <c r="D289" s="12" t="s">
        <v>121</v>
      </c>
      <c r="E289" s="13" t="s">
        <v>187</v>
      </c>
      <c r="F289" s="13" t="s">
        <v>187</v>
      </c>
      <c r="G289" s="13" t="s">
        <v>187</v>
      </c>
      <c r="H289" s="14"/>
    </row>
    <row r="290" customFormat="false" ht="15" hidden="false" customHeight="false" outlineLevel="0" collapsed="false">
      <c r="A290" s="7" t="s">
        <v>188</v>
      </c>
      <c r="B290" s="12" t="s">
        <v>124</v>
      </c>
      <c r="C290" s="12" t="n">
        <v>1</v>
      </c>
      <c r="D290" s="12" t="n">
        <v>1</v>
      </c>
      <c r="E290" s="13"/>
      <c r="F290" s="13" t="s">
        <v>189</v>
      </c>
      <c r="G290" s="13" t="s">
        <v>189</v>
      </c>
      <c r="H290" s="14"/>
    </row>
    <row r="291" customFormat="false" ht="15" hidden="false" customHeight="false" outlineLevel="0" collapsed="false">
      <c r="A291" s="7" t="s">
        <v>284</v>
      </c>
      <c r="B291" s="12" t="s">
        <v>124</v>
      </c>
      <c r="C291" s="12" t="s">
        <v>124</v>
      </c>
      <c r="D291" s="12" t="n">
        <v>1</v>
      </c>
      <c r="E291" s="13"/>
      <c r="F291" s="13"/>
      <c r="G291" s="13" t="s">
        <v>285</v>
      </c>
      <c r="H291" s="14"/>
    </row>
    <row r="292" customFormat="false" ht="15" hidden="false" customHeight="false" outlineLevel="0" collapsed="false">
      <c r="A292" s="7" t="s">
        <v>286</v>
      </c>
      <c r="B292" s="12" t="s">
        <v>124</v>
      </c>
      <c r="C292" s="12" t="s">
        <v>124</v>
      </c>
      <c r="D292" s="12" t="n">
        <v>1</v>
      </c>
      <c r="E292" s="13"/>
      <c r="F292" s="13"/>
      <c r="G292" s="13" t="s">
        <v>287</v>
      </c>
      <c r="H292" s="14"/>
    </row>
    <row r="293" customFormat="false" ht="15" hidden="false" customHeight="false" outlineLevel="0" collapsed="false">
      <c r="A293" s="7" t="s">
        <v>288</v>
      </c>
      <c r="B293" s="12" t="s">
        <v>124</v>
      </c>
      <c r="C293" s="12" t="s">
        <v>124</v>
      </c>
      <c r="D293" s="12" t="n">
        <v>1</v>
      </c>
      <c r="E293" s="13"/>
      <c r="F293" s="13"/>
      <c r="G293" s="13" t="s">
        <v>289</v>
      </c>
      <c r="H293" s="14"/>
    </row>
    <row r="294" customFormat="false" ht="15" hidden="false" customHeight="false" outlineLevel="0" collapsed="false">
      <c r="A294" s="7" t="s">
        <v>290</v>
      </c>
      <c r="B294" s="12" t="s">
        <v>124</v>
      </c>
      <c r="C294" s="12" t="s">
        <v>124</v>
      </c>
      <c r="D294" s="12" t="n">
        <v>1</v>
      </c>
      <c r="E294" s="13"/>
      <c r="F294" s="13"/>
      <c r="G294" s="13" t="s">
        <v>291</v>
      </c>
      <c r="H294" s="14"/>
    </row>
    <row r="295" customFormat="false" ht="15" hidden="false" customHeight="false" outlineLevel="0" collapsed="false">
      <c r="A295" s="7" t="s">
        <v>292</v>
      </c>
      <c r="B295" s="12" t="s">
        <v>124</v>
      </c>
      <c r="C295" s="12" t="s">
        <v>124</v>
      </c>
      <c r="D295" s="12" t="n">
        <v>1</v>
      </c>
      <c r="E295" s="13"/>
      <c r="F295" s="13"/>
      <c r="G295" s="13" t="s">
        <v>293</v>
      </c>
      <c r="H295" s="14"/>
    </row>
    <row r="296" customFormat="false" ht="15" hidden="false" customHeight="false" outlineLevel="0" collapsed="false">
      <c r="A296" s="19" t="s">
        <v>149</v>
      </c>
      <c r="B296" s="20" t="n">
        <f aca="false">'Récap par kit'!F37</f>
        <v>17290</v>
      </c>
      <c r="C296" s="20" t="n">
        <f aca="false">'Récap par kit'!F38</f>
        <v>41500</v>
      </c>
      <c r="D296" s="20" t="n">
        <f aca="false">'Récap par kit'!F39</f>
        <v>59160</v>
      </c>
    </row>
    <row r="298" customFormat="false" ht="15" hidden="false" customHeight="false" outlineLevel="0" collapsed="false">
      <c r="A298" s="11" t="s">
        <v>294</v>
      </c>
    </row>
    <row r="299" customFormat="false" ht="15" hidden="false" customHeight="false" outlineLevel="0" collapsed="false">
      <c r="A299" s="6" t="s">
        <v>79</v>
      </c>
      <c r="B299" s="6" t="s">
        <v>48</v>
      </c>
      <c r="C299" s="6" t="s">
        <v>49</v>
      </c>
      <c r="D299" s="6" t="s">
        <v>50</v>
      </c>
      <c r="E299" s="6" t="s">
        <v>80</v>
      </c>
      <c r="F299" s="6" t="s">
        <v>81</v>
      </c>
      <c r="G299" s="6" t="s">
        <v>82</v>
      </c>
      <c r="H299" s="6" t="s">
        <v>83</v>
      </c>
    </row>
    <row r="300" customFormat="false" ht="15" hidden="false" customHeight="false" outlineLevel="0" collapsed="false">
      <c r="A300" s="7" t="s">
        <v>295</v>
      </c>
      <c r="B300" s="12" t="n">
        <v>2</v>
      </c>
      <c r="C300" s="12" t="n">
        <v>2</v>
      </c>
      <c r="D300" s="12" t="n">
        <v>2</v>
      </c>
      <c r="E300" s="13" t="s">
        <v>152</v>
      </c>
      <c r="F300" s="13" t="s">
        <v>152</v>
      </c>
      <c r="G300" s="13" t="s">
        <v>152</v>
      </c>
      <c r="H300" s="14"/>
    </row>
    <row r="301" customFormat="false" ht="15" hidden="false" customHeight="false" outlineLevel="0" collapsed="false">
      <c r="A301" s="7" t="s">
        <v>296</v>
      </c>
      <c r="B301" s="12" t="n">
        <v>5</v>
      </c>
      <c r="C301" s="12" t="n">
        <v>5</v>
      </c>
      <c r="D301" s="12" t="n">
        <v>5</v>
      </c>
      <c r="E301" s="13" t="s">
        <v>297</v>
      </c>
      <c r="F301" s="13" t="s">
        <v>297</v>
      </c>
      <c r="G301" s="13" t="s">
        <v>297</v>
      </c>
      <c r="H301" s="14"/>
    </row>
    <row r="302" customFormat="false" ht="15" hidden="false" customHeight="false" outlineLevel="0" collapsed="false">
      <c r="A302" s="7" t="s">
        <v>298</v>
      </c>
      <c r="B302" s="12" t="n">
        <v>2</v>
      </c>
      <c r="C302" s="12" t="n">
        <v>2</v>
      </c>
      <c r="D302" s="12" t="n">
        <v>2</v>
      </c>
      <c r="E302" s="13" t="s">
        <v>299</v>
      </c>
      <c r="F302" s="13" t="s">
        <v>300</v>
      </c>
      <c r="G302" s="13" t="s">
        <v>300</v>
      </c>
      <c r="H302" s="14"/>
    </row>
    <row r="303" customFormat="false" ht="15" hidden="false" customHeight="false" outlineLevel="0" collapsed="false">
      <c r="A303" s="7" t="s">
        <v>301</v>
      </c>
      <c r="B303" s="12" t="n">
        <v>1</v>
      </c>
      <c r="C303" s="12" t="n">
        <v>1</v>
      </c>
      <c r="D303" s="12" t="n">
        <v>1</v>
      </c>
      <c r="E303" s="13" t="s">
        <v>85</v>
      </c>
      <c r="F303" s="13" t="s">
        <v>85</v>
      </c>
      <c r="G303" s="13" t="s">
        <v>85</v>
      </c>
      <c r="H303" s="14"/>
    </row>
    <row r="304" customFormat="false" ht="15" hidden="false" customHeight="false" outlineLevel="0" collapsed="false">
      <c r="A304" s="23" t="s">
        <v>302</v>
      </c>
      <c r="B304" s="12" t="n">
        <v>1</v>
      </c>
      <c r="C304" s="12" t="n">
        <v>1</v>
      </c>
      <c r="D304" s="12" t="n">
        <v>1</v>
      </c>
      <c r="E304" s="13" t="s">
        <v>303</v>
      </c>
      <c r="F304" s="13" t="s">
        <v>303</v>
      </c>
      <c r="G304" s="13" t="s">
        <v>303</v>
      </c>
      <c r="H304" s="24" t="s">
        <v>182</v>
      </c>
    </row>
    <row r="305" customFormat="false" ht="15" hidden="false" customHeight="false" outlineLevel="0" collapsed="false">
      <c r="A305" s="7" t="s">
        <v>255</v>
      </c>
      <c r="B305" s="12" t="n">
        <v>1</v>
      </c>
      <c r="C305" s="12" t="n">
        <v>1</v>
      </c>
      <c r="D305" s="12" t="n">
        <v>1</v>
      </c>
      <c r="E305" s="13" t="s">
        <v>256</v>
      </c>
      <c r="F305" s="13" t="s">
        <v>256</v>
      </c>
      <c r="G305" s="13" t="s">
        <v>256</v>
      </c>
      <c r="H305" s="14"/>
    </row>
    <row r="306" customFormat="false" ht="15" hidden="false" customHeight="false" outlineLevel="0" collapsed="false">
      <c r="A306" s="7" t="s">
        <v>257</v>
      </c>
      <c r="B306" s="12" t="n">
        <v>1</v>
      </c>
      <c r="C306" s="12" t="n">
        <v>1</v>
      </c>
      <c r="D306" s="12" t="n">
        <v>1</v>
      </c>
      <c r="E306" s="13" t="s">
        <v>163</v>
      </c>
      <c r="F306" s="13" t="s">
        <v>163</v>
      </c>
      <c r="G306" s="13" t="s">
        <v>163</v>
      </c>
      <c r="H306" s="14"/>
    </row>
    <row r="307" customFormat="false" ht="15" hidden="false" customHeight="false" outlineLevel="0" collapsed="false">
      <c r="A307" s="7" t="s">
        <v>97</v>
      </c>
      <c r="B307" s="12" t="n">
        <v>2</v>
      </c>
      <c r="C307" s="12" t="s">
        <v>124</v>
      </c>
      <c r="D307" s="12" t="s">
        <v>124</v>
      </c>
      <c r="E307" s="13" t="s">
        <v>98</v>
      </c>
      <c r="F307" s="13"/>
      <c r="G307" s="13"/>
      <c r="H307" s="14"/>
    </row>
    <row r="308" customFormat="false" ht="15" hidden="false" customHeight="false" outlineLevel="0" collapsed="false">
      <c r="A308" s="7" t="s">
        <v>99</v>
      </c>
      <c r="B308" s="12" t="n">
        <v>1</v>
      </c>
      <c r="C308" s="12" t="n">
        <v>1</v>
      </c>
      <c r="D308" s="12" t="n">
        <v>1</v>
      </c>
      <c r="E308" s="13" t="s">
        <v>100</v>
      </c>
      <c r="F308" s="13" t="s">
        <v>101</v>
      </c>
      <c r="G308" s="13" t="s">
        <v>101</v>
      </c>
      <c r="H308" s="14"/>
    </row>
    <row r="309" customFormat="false" ht="15" hidden="false" customHeight="false" outlineLevel="0" collapsed="false">
      <c r="A309" s="7" t="s">
        <v>164</v>
      </c>
      <c r="B309" s="12" t="n">
        <v>1</v>
      </c>
      <c r="C309" s="12" t="n">
        <v>1</v>
      </c>
      <c r="D309" s="12" t="n">
        <v>1</v>
      </c>
      <c r="E309" s="13" t="s">
        <v>165</v>
      </c>
      <c r="F309" s="13" t="s">
        <v>103</v>
      </c>
      <c r="G309" s="13" t="s">
        <v>103</v>
      </c>
      <c r="H309" s="14"/>
    </row>
    <row r="310" customFormat="false" ht="15" hidden="false" customHeight="false" outlineLevel="0" collapsed="false">
      <c r="A310" s="7" t="s">
        <v>166</v>
      </c>
      <c r="B310" s="12" t="n">
        <v>1</v>
      </c>
      <c r="C310" s="12" t="n">
        <v>2</v>
      </c>
      <c r="D310" s="12" t="n">
        <v>2</v>
      </c>
      <c r="E310" s="13" t="s">
        <v>108</v>
      </c>
      <c r="F310" s="13" t="s">
        <v>109</v>
      </c>
      <c r="G310" s="13" t="s">
        <v>109</v>
      </c>
      <c r="H310" s="14"/>
    </row>
    <row r="311" customFormat="false" ht="15" hidden="false" customHeight="false" outlineLevel="0" collapsed="false">
      <c r="A311" s="7" t="s">
        <v>304</v>
      </c>
      <c r="B311" s="12" t="n">
        <v>1</v>
      </c>
      <c r="C311" s="12" t="n">
        <v>1</v>
      </c>
      <c r="D311" s="12" t="n">
        <v>1</v>
      </c>
      <c r="E311" s="13" t="s">
        <v>111</v>
      </c>
      <c r="F311" s="13" t="s">
        <v>112</v>
      </c>
      <c r="G311" s="13" t="s">
        <v>112</v>
      </c>
      <c r="H311" s="14"/>
    </row>
    <row r="312" customFormat="false" ht="15" hidden="false" customHeight="false" outlineLevel="0" collapsed="false">
      <c r="A312" s="23" t="s">
        <v>199</v>
      </c>
      <c r="B312" s="12" t="n">
        <v>1</v>
      </c>
      <c r="C312" s="12" t="n">
        <v>1</v>
      </c>
      <c r="D312" s="12" t="n">
        <v>1</v>
      </c>
      <c r="E312" s="13" t="s">
        <v>222</v>
      </c>
      <c r="F312" s="13" t="s">
        <v>222</v>
      </c>
      <c r="G312" s="13" t="s">
        <v>222</v>
      </c>
      <c r="H312" s="24" t="s">
        <v>182</v>
      </c>
    </row>
    <row r="313" customFormat="false" ht="15" hidden="false" customHeight="false" outlineLevel="0" collapsed="false">
      <c r="A313" s="7" t="s">
        <v>305</v>
      </c>
      <c r="B313" s="12" t="n">
        <v>1</v>
      </c>
      <c r="C313" s="12" t="n">
        <v>1</v>
      </c>
      <c r="D313" s="12" t="n">
        <v>1</v>
      </c>
      <c r="E313" s="13" t="s">
        <v>306</v>
      </c>
      <c r="F313" s="13" t="s">
        <v>307</v>
      </c>
      <c r="G313" s="13" t="s">
        <v>307</v>
      </c>
      <c r="H313" s="14"/>
    </row>
    <row r="314" customFormat="false" ht="15" hidden="false" customHeight="false" outlineLevel="0" collapsed="false">
      <c r="A314" s="7" t="s">
        <v>176</v>
      </c>
      <c r="B314" s="12" t="n">
        <v>1</v>
      </c>
      <c r="C314" s="12" t="n">
        <v>1</v>
      </c>
      <c r="D314" s="12" t="n">
        <v>1</v>
      </c>
      <c r="E314" s="13" t="s">
        <v>177</v>
      </c>
      <c r="F314" s="13" t="s">
        <v>177</v>
      </c>
      <c r="G314" s="13" t="s">
        <v>177</v>
      </c>
      <c r="H314" s="14"/>
    </row>
    <row r="315" customFormat="false" ht="15" hidden="false" customHeight="false" outlineLevel="0" collapsed="false">
      <c r="A315" s="15" t="s">
        <v>308</v>
      </c>
      <c r="B315" s="12" t="s">
        <v>180</v>
      </c>
      <c r="C315" s="12" t="n">
        <v>1</v>
      </c>
      <c r="D315" s="12" t="n">
        <v>1</v>
      </c>
      <c r="E315" s="13" t="s">
        <v>127</v>
      </c>
      <c r="F315" s="13" t="s">
        <v>127</v>
      </c>
      <c r="G315" s="13" t="s">
        <v>127</v>
      </c>
      <c r="H315" s="16" t="s">
        <v>128</v>
      </c>
    </row>
    <row r="316" customFormat="false" ht="15" hidden="false" customHeight="false" outlineLevel="0" collapsed="false">
      <c r="A316" s="7" t="s">
        <v>309</v>
      </c>
      <c r="B316" s="12" t="s">
        <v>180</v>
      </c>
      <c r="C316" s="12" t="n">
        <v>1</v>
      </c>
      <c r="D316" s="12" t="n">
        <v>1</v>
      </c>
      <c r="E316" s="13" t="s">
        <v>310</v>
      </c>
      <c r="F316" s="13" t="s">
        <v>310</v>
      </c>
      <c r="G316" s="13" t="s">
        <v>310</v>
      </c>
      <c r="H316" s="14"/>
    </row>
    <row r="317" customFormat="false" ht="15" hidden="false" customHeight="false" outlineLevel="0" collapsed="false">
      <c r="A317" s="7" t="s">
        <v>311</v>
      </c>
      <c r="B317" s="12" t="s">
        <v>180</v>
      </c>
      <c r="C317" s="12" t="n">
        <v>1</v>
      </c>
      <c r="D317" s="12" t="n">
        <v>1</v>
      </c>
      <c r="E317" s="13" t="s">
        <v>312</v>
      </c>
      <c r="F317" s="13" t="s">
        <v>312</v>
      </c>
      <c r="G317" s="13" t="s">
        <v>312</v>
      </c>
      <c r="H317" s="14"/>
    </row>
    <row r="318" customFormat="false" ht="15" hidden="false" customHeight="false" outlineLevel="0" collapsed="false">
      <c r="A318" s="7" t="s">
        <v>313</v>
      </c>
      <c r="B318" s="12" t="s">
        <v>180</v>
      </c>
      <c r="C318" s="12" t="n">
        <v>1</v>
      </c>
      <c r="D318" s="12" t="n">
        <v>1</v>
      </c>
      <c r="E318" s="13" t="s">
        <v>314</v>
      </c>
      <c r="F318" s="13" t="s">
        <v>314</v>
      </c>
      <c r="G318" s="13" t="s">
        <v>314</v>
      </c>
      <c r="H318" s="14"/>
    </row>
    <row r="319" customFormat="false" ht="15" hidden="false" customHeight="false" outlineLevel="0" collapsed="false">
      <c r="A319" s="7" t="s">
        <v>315</v>
      </c>
      <c r="B319" s="12" t="s">
        <v>180</v>
      </c>
      <c r="C319" s="12" t="n">
        <v>1</v>
      </c>
      <c r="D319" s="12" t="n">
        <v>1</v>
      </c>
      <c r="E319" s="13" t="s">
        <v>316</v>
      </c>
      <c r="F319" s="13" t="s">
        <v>316</v>
      </c>
      <c r="G319" s="13" t="s">
        <v>316</v>
      </c>
      <c r="H319" s="14"/>
    </row>
    <row r="320" customFormat="false" ht="15" hidden="false" customHeight="false" outlineLevel="0" collapsed="false">
      <c r="A320" s="7" t="s">
        <v>317</v>
      </c>
      <c r="B320" s="12" t="s">
        <v>180</v>
      </c>
      <c r="C320" s="12" t="n">
        <v>1</v>
      </c>
      <c r="D320" s="12" t="n">
        <v>1</v>
      </c>
      <c r="E320" s="13" t="s">
        <v>318</v>
      </c>
      <c r="F320" s="13" t="s">
        <v>318</v>
      </c>
      <c r="G320" s="13" t="s">
        <v>318</v>
      </c>
      <c r="H320" s="14"/>
    </row>
    <row r="321" customFormat="false" ht="15" hidden="false" customHeight="false" outlineLevel="0" collapsed="false">
      <c r="A321" s="15" t="s">
        <v>319</v>
      </c>
      <c r="B321" s="12" t="s">
        <v>180</v>
      </c>
      <c r="C321" s="12" t="n">
        <v>1</v>
      </c>
      <c r="D321" s="12" t="n">
        <v>1</v>
      </c>
      <c r="E321" s="13" t="s">
        <v>127</v>
      </c>
      <c r="F321" s="13" t="s">
        <v>127</v>
      </c>
      <c r="G321" s="13" t="s">
        <v>127</v>
      </c>
      <c r="H321" s="16" t="s">
        <v>128</v>
      </c>
    </row>
    <row r="322" customFormat="false" ht="15" hidden="false" customHeight="false" outlineLevel="0" collapsed="false">
      <c r="A322" s="15" t="s">
        <v>320</v>
      </c>
      <c r="B322" s="12" t="s">
        <v>180</v>
      </c>
      <c r="C322" s="12" t="n">
        <v>1</v>
      </c>
      <c r="D322" s="12" t="n">
        <v>1</v>
      </c>
      <c r="E322" s="13" t="s">
        <v>127</v>
      </c>
      <c r="F322" s="13" t="s">
        <v>127</v>
      </c>
      <c r="G322" s="13" t="s">
        <v>127</v>
      </c>
      <c r="H322" s="16" t="s">
        <v>128</v>
      </c>
    </row>
    <row r="323" customFormat="false" ht="15" hidden="false" customHeight="false" outlineLevel="0" collapsed="false">
      <c r="A323" s="7" t="s">
        <v>321</v>
      </c>
      <c r="B323" s="12" t="s">
        <v>121</v>
      </c>
      <c r="C323" s="12" t="n">
        <v>1</v>
      </c>
      <c r="D323" s="12" t="n">
        <v>1</v>
      </c>
      <c r="E323" s="13" t="s">
        <v>322</v>
      </c>
      <c r="F323" s="13" t="s">
        <v>322</v>
      </c>
      <c r="G323" s="13" t="s">
        <v>322</v>
      </c>
      <c r="H323" s="14"/>
    </row>
    <row r="324" customFormat="false" ht="15" hidden="false" customHeight="false" outlineLevel="0" collapsed="false">
      <c r="A324" s="7" t="s">
        <v>188</v>
      </c>
      <c r="B324" s="12" t="s">
        <v>124</v>
      </c>
      <c r="C324" s="12" t="n">
        <v>1</v>
      </c>
      <c r="D324" s="12" t="n">
        <v>1</v>
      </c>
      <c r="E324" s="13"/>
      <c r="F324" s="13" t="s">
        <v>189</v>
      </c>
      <c r="G324" s="13" t="s">
        <v>189</v>
      </c>
      <c r="H324" s="14"/>
    </row>
    <row r="325" customFormat="false" ht="15" hidden="false" customHeight="false" outlineLevel="0" collapsed="false">
      <c r="A325" s="7" t="s">
        <v>323</v>
      </c>
      <c r="B325" s="12" t="s">
        <v>124</v>
      </c>
      <c r="C325" s="12" t="n">
        <v>1</v>
      </c>
      <c r="D325" s="12" t="n">
        <v>1</v>
      </c>
      <c r="E325" s="13"/>
      <c r="F325" s="13" t="s">
        <v>324</v>
      </c>
      <c r="G325" s="13" t="s">
        <v>324</v>
      </c>
      <c r="H325" s="14"/>
    </row>
    <row r="326" customFormat="false" ht="15" hidden="false" customHeight="false" outlineLevel="0" collapsed="false">
      <c r="A326" s="7" t="s">
        <v>325</v>
      </c>
      <c r="B326" s="12" t="s">
        <v>124</v>
      </c>
      <c r="C326" s="12" t="n">
        <v>1</v>
      </c>
      <c r="D326" s="12" t="n">
        <v>1</v>
      </c>
      <c r="E326" s="13"/>
      <c r="F326" s="13" t="s">
        <v>326</v>
      </c>
      <c r="G326" s="13" t="s">
        <v>327</v>
      </c>
      <c r="H326" s="14"/>
    </row>
    <row r="327" customFormat="false" ht="15" hidden="false" customHeight="false" outlineLevel="0" collapsed="false">
      <c r="A327" s="7" t="s">
        <v>104</v>
      </c>
      <c r="B327" s="12" t="s">
        <v>124</v>
      </c>
      <c r="C327" s="12" t="n">
        <v>1</v>
      </c>
      <c r="D327" s="12" t="n">
        <v>1</v>
      </c>
      <c r="E327" s="13"/>
      <c r="F327" s="13" t="s">
        <v>105</v>
      </c>
      <c r="G327" s="13" t="s">
        <v>106</v>
      </c>
      <c r="H327" s="14"/>
    </row>
    <row r="328" customFormat="false" ht="15" hidden="false" customHeight="false" outlineLevel="0" collapsed="false">
      <c r="A328" s="17" t="s">
        <v>328</v>
      </c>
      <c r="B328" s="12" t="s">
        <v>124</v>
      </c>
      <c r="C328" s="12" t="n">
        <v>1</v>
      </c>
      <c r="D328" s="12" t="n">
        <v>1</v>
      </c>
      <c r="E328" s="13"/>
      <c r="F328" s="13" t="s">
        <v>140</v>
      </c>
      <c r="G328" s="13" t="s">
        <v>140</v>
      </c>
      <c r="H328" s="18" t="s">
        <v>141</v>
      </c>
    </row>
    <row r="329" customFormat="false" ht="15" hidden="false" customHeight="false" outlineLevel="0" collapsed="false">
      <c r="A329" s="7" t="s">
        <v>329</v>
      </c>
      <c r="B329" s="12" t="s">
        <v>124</v>
      </c>
      <c r="C329" s="12" t="n">
        <v>1</v>
      </c>
      <c r="D329" s="12" t="n">
        <v>1</v>
      </c>
      <c r="E329" s="13"/>
      <c r="F329" s="13" t="s">
        <v>330</v>
      </c>
      <c r="G329" s="13" t="s">
        <v>330</v>
      </c>
      <c r="H329" s="14"/>
    </row>
    <row r="330" customFormat="false" ht="15" hidden="false" customHeight="false" outlineLevel="0" collapsed="false">
      <c r="A330" s="7" t="s">
        <v>331</v>
      </c>
      <c r="B330" s="12" t="s">
        <v>124</v>
      </c>
      <c r="C330" s="12" t="n">
        <v>1</v>
      </c>
      <c r="D330" s="12" t="n">
        <v>1</v>
      </c>
      <c r="E330" s="13"/>
      <c r="F330" s="13" t="s">
        <v>114</v>
      </c>
      <c r="G330" s="13" t="s">
        <v>114</v>
      </c>
      <c r="H330" s="14"/>
    </row>
    <row r="331" customFormat="false" ht="15" hidden="false" customHeight="false" outlineLevel="0" collapsed="false">
      <c r="A331" s="7" t="s">
        <v>117</v>
      </c>
      <c r="B331" s="12" t="s">
        <v>124</v>
      </c>
      <c r="C331" s="12" t="n">
        <v>1</v>
      </c>
      <c r="D331" s="12" t="n">
        <v>1</v>
      </c>
      <c r="E331" s="13"/>
      <c r="F331" s="13" t="s">
        <v>178</v>
      </c>
      <c r="G331" s="13" t="s">
        <v>178</v>
      </c>
      <c r="H331" s="14"/>
    </row>
    <row r="332" customFormat="false" ht="15" hidden="false" customHeight="false" outlineLevel="0" collapsed="false">
      <c r="A332" s="7" t="s">
        <v>332</v>
      </c>
      <c r="B332" s="12" t="s">
        <v>124</v>
      </c>
      <c r="C332" s="12" t="s">
        <v>124</v>
      </c>
      <c r="D332" s="12" t="n">
        <v>1</v>
      </c>
      <c r="E332" s="13"/>
      <c r="F332" s="13"/>
      <c r="G332" s="13" t="s">
        <v>333</v>
      </c>
      <c r="H332" s="14"/>
    </row>
    <row r="333" customFormat="false" ht="15" hidden="false" customHeight="false" outlineLevel="0" collapsed="false">
      <c r="A333" s="7" t="s">
        <v>334</v>
      </c>
      <c r="B333" s="12" t="s">
        <v>124</v>
      </c>
      <c r="C333" s="12" t="s">
        <v>124</v>
      </c>
      <c r="D333" s="12" t="n">
        <v>1</v>
      </c>
      <c r="E333" s="13"/>
      <c r="F333" s="13"/>
      <c r="G333" s="13" t="s">
        <v>335</v>
      </c>
      <c r="H333" s="14"/>
    </row>
    <row r="334" customFormat="false" ht="15" hidden="false" customHeight="false" outlineLevel="0" collapsed="false">
      <c r="A334" s="15" t="s">
        <v>336</v>
      </c>
      <c r="B334" s="12" t="s">
        <v>124</v>
      </c>
      <c r="C334" s="12" t="s">
        <v>124</v>
      </c>
      <c r="D334" s="12" t="n">
        <v>1</v>
      </c>
      <c r="E334" s="13"/>
      <c r="F334" s="13"/>
      <c r="G334" s="13" t="s">
        <v>127</v>
      </c>
      <c r="H334" s="16" t="s">
        <v>128</v>
      </c>
    </row>
    <row r="335" customFormat="false" ht="15" hidden="false" customHeight="false" outlineLevel="0" collapsed="false">
      <c r="A335" s="19" t="s">
        <v>149</v>
      </c>
      <c r="B335" s="20" t="n">
        <f aca="false">'Récap par kit'!F41</f>
        <v>15370</v>
      </c>
      <c r="C335" s="20" t="n">
        <f aca="false">'Récap par kit'!F42</f>
        <v>55670</v>
      </c>
      <c r="D335" s="20" t="n">
        <f aca="false">'Récap par kit'!F43</f>
        <v>63530</v>
      </c>
    </row>
    <row r="337" customFormat="false" ht="15" hidden="false" customHeight="false" outlineLevel="0" collapsed="false">
      <c r="A337" s="11" t="s">
        <v>337</v>
      </c>
    </row>
    <row r="338" customFormat="false" ht="15" hidden="false" customHeight="false" outlineLevel="0" collapsed="false">
      <c r="A338" s="6" t="s">
        <v>79</v>
      </c>
      <c r="B338" s="6" t="s">
        <v>48</v>
      </c>
      <c r="C338" s="6" t="s">
        <v>49</v>
      </c>
      <c r="D338" s="6" t="s">
        <v>50</v>
      </c>
      <c r="E338" s="6" t="s">
        <v>80</v>
      </c>
      <c r="F338" s="6" t="s">
        <v>81</v>
      </c>
      <c r="G338" s="6" t="s">
        <v>82</v>
      </c>
      <c r="H338" s="6" t="s">
        <v>83</v>
      </c>
    </row>
    <row r="339" customFormat="false" ht="15" hidden="false" customHeight="false" outlineLevel="0" collapsed="false">
      <c r="A339" s="7" t="s">
        <v>295</v>
      </c>
      <c r="B339" s="12" t="n">
        <v>2</v>
      </c>
      <c r="C339" s="12" t="n">
        <v>2</v>
      </c>
      <c r="D339" s="12" t="n">
        <v>2</v>
      </c>
      <c r="E339" s="13" t="s">
        <v>152</v>
      </c>
      <c r="F339" s="13" t="s">
        <v>152</v>
      </c>
      <c r="G339" s="13" t="s">
        <v>152</v>
      </c>
      <c r="H339" s="14"/>
    </row>
    <row r="340" customFormat="false" ht="15" hidden="false" customHeight="false" outlineLevel="0" collapsed="false">
      <c r="A340" s="7" t="s">
        <v>296</v>
      </c>
      <c r="B340" s="12" t="n">
        <v>4</v>
      </c>
      <c r="C340" s="12" t="n">
        <v>4</v>
      </c>
      <c r="D340" s="12" t="n">
        <v>4</v>
      </c>
      <c r="E340" s="13" t="s">
        <v>297</v>
      </c>
      <c r="F340" s="13" t="s">
        <v>297</v>
      </c>
      <c r="G340" s="13" t="s">
        <v>297</v>
      </c>
      <c r="H340" s="14"/>
    </row>
    <row r="341" customFormat="false" ht="15" hidden="false" customHeight="false" outlineLevel="0" collapsed="false">
      <c r="A341" s="7" t="s">
        <v>298</v>
      </c>
      <c r="B341" s="12" t="n">
        <v>1</v>
      </c>
      <c r="C341" s="12" t="n">
        <v>1</v>
      </c>
      <c r="D341" s="12" t="n">
        <v>1</v>
      </c>
      <c r="E341" s="13" t="s">
        <v>299</v>
      </c>
      <c r="F341" s="13" t="s">
        <v>300</v>
      </c>
      <c r="G341" s="13" t="s">
        <v>300</v>
      </c>
      <c r="H341" s="14"/>
    </row>
    <row r="342" customFormat="false" ht="15" hidden="false" customHeight="false" outlineLevel="0" collapsed="false">
      <c r="A342" s="7" t="s">
        <v>338</v>
      </c>
      <c r="B342" s="12" t="n">
        <v>2</v>
      </c>
      <c r="C342" s="12" t="n">
        <v>2</v>
      </c>
      <c r="D342" s="12" t="n">
        <v>2</v>
      </c>
      <c r="E342" s="13" t="s">
        <v>339</v>
      </c>
      <c r="F342" s="13" t="s">
        <v>340</v>
      </c>
      <c r="G342" s="13" t="s">
        <v>340</v>
      </c>
      <c r="H342" s="14"/>
    </row>
    <row r="343" customFormat="false" ht="15" hidden="false" customHeight="false" outlineLevel="0" collapsed="false">
      <c r="A343" s="7" t="s">
        <v>301</v>
      </c>
      <c r="B343" s="12" t="n">
        <v>1</v>
      </c>
      <c r="C343" s="12" t="n">
        <v>1</v>
      </c>
      <c r="D343" s="12" t="n">
        <v>1</v>
      </c>
      <c r="E343" s="13" t="s">
        <v>85</v>
      </c>
      <c r="F343" s="13" t="s">
        <v>85</v>
      </c>
      <c r="G343" s="13" t="s">
        <v>85</v>
      </c>
      <c r="H343" s="14"/>
    </row>
    <row r="344" customFormat="false" ht="15" hidden="false" customHeight="false" outlineLevel="0" collapsed="false">
      <c r="A344" s="23" t="s">
        <v>302</v>
      </c>
      <c r="B344" s="12" t="n">
        <v>1</v>
      </c>
      <c r="C344" s="12" t="n">
        <v>1</v>
      </c>
      <c r="D344" s="12" t="n">
        <v>1</v>
      </c>
      <c r="E344" s="13" t="s">
        <v>303</v>
      </c>
      <c r="F344" s="13" t="s">
        <v>303</v>
      </c>
      <c r="G344" s="13" t="s">
        <v>303</v>
      </c>
      <c r="H344" s="24" t="s">
        <v>182</v>
      </c>
    </row>
    <row r="345" customFormat="false" ht="15" hidden="false" customHeight="false" outlineLevel="0" collapsed="false">
      <c r="A345" s="7" t="s">
        <v>255</v>
      </c>
      <c r="B345" s="12" t="n">
        <v>1</v>
      </c>
      <c r="C345" s="12" t="n">
        <v>1</v>
      </c>
      <c r="D345" s="12" t="n">
        <v>1</v>
      </c>
      <c r="E345" s="13" t="s">
        <v>256</v>
      </c>
      <c r="F345" s="13" t="s">
        <v>256</v>
      </c>
      <c r="G345" s="13" t="s">
        <v>256</v>
      </c>
      <c r="H345" s="14"/>
    </row>
    <row r="346" customFormat="false" ht="15" hidden="false" customHeight="false" outlineLevel="0" collapsed="false">
      <c r="A346" s="7" t="s">
        <v>257</v>
      </c>
      <c r="B346" s="12" t="n">
        <v>1</v>
      </c>
      <c r="C346" s="12" t="n">
        <v>1</v>
      </c>
      <c r="D346" s="12" t="n">
        <v>1</v>
      </c>
      <c r="E346" s="13" t="s">
        <v>163</v>
      </c>
      <c r="F346" s="13" t="s">
        <v>163</v>
      </c>
      <c r="G346" s="13" t="s">
        <v>163</v>
      </c>
      <c r="H346" s="14"/>
    </row>
    <row r="347" customFormat="false" ht="15" hidden="false" customHeight="false" outlineLevel="0" collapsed="false">
      <c r="A347" s="7" t="s">
        <v>97</v>
      </c>
      <c r="B347" s="12" t="n">
        <v>2</v>
      </c>
      <c r="C347" s="12" t="s">
        <v>124</v>
      </c>
      <c r="D347" s="12" t="s">
        <v>124</v>
      </c>
      <c r="E347" s="13" t="s">
        <v>98</v>
      </c>
      <c r="F347" s="13"/>
      <c r="G347" s="13"/>
      <c r="H347" s="14"/>
    </row>
    <row r="348" customFormat="false" ht="15" hidden="false" customHeight="false" outlineLevel="0" collapsed="false">
      <c r="A348" s="7" t="s">
        <v>99</v>
      </c>
      <c r="B348" s="12" t="n">
        <v>1</v>
      </c>
      <c r="C348" s="12" t="n">
        <v>1</v>
      </c>
      <c r="D348" s="12" t="n">
        <v>1</v>
      </c>
      <c r="E348" s="13" t="s">
        <v>100</v>
      </c>
      <c r="F348" s="13" t="s">
        <v>101</v>
      </c>
      <c r="G348" s="13" t="s">
        <v>101</v>
      </c>
      <c r="H348" s="14"/>
    </row>
    <row r="349" customFormat="false" ht="15" hidden="false" customHeight="false" outlineLevel="0" collapsed="false">
      <c r="A349" s="7" t="s">
        <v>164</v>
      </c>
      <c r="B349" s="12" t="n">
        <v>1</v>
      </c>
      <c r="C349" s="12" t="n">
        <v>1</v>
      </c>
      <c r="D349" s="12" t="n">
        <v>1</v>
      </c>
      <c r="E349" s="13" t="s">
        <v>165</v>
      </c>
      <c r="F349" s="13" t="s">
        <v>103</v>
      </c>
      <c r="G349" s="13" t="s">
        <v>103</v>
      </c>
      <c r="H349" s="14"/>
    </row>
    <row r="350" customFormat="false" ht="15" hidden="false" customHeight="false" outlineLevel="0" collapsed="false">
      <c r="A350" s="7" t="s">
        <v>166</v>
      </c>
      <c r="B350" s="12" t="n">
        <v>1</v>
      </c>
      <c r="C350" s="12" t="n">
        <v>2</v>
      </c>
      <c r="D350" s="12" t="n">
        <v>2</v>
      </c>
      <c r="E350" s="13" t="s">
        <v>108</v>
      </c>
      <c r="F350" s="13" t="s">
        <v>109</v>
      </c>
      <c r="G350" s="13" t="s">
        <v>109</v>
      </c>
      <c r="H350" s="14"/>
    </row>
    <row r="351" customFormat="false" ht="15" hidden="false" customHeight="false" outlineLevel="0" collapsed="false">
      <c r="A351" s="7" t="s">
        <v>304</v>
      </c>
      <c r="B351" s="12" t="n">
        <v>1</v>
      </c>
      <c r="C351" s="12" t="n">
        <v>1</v>
      </c>
      <c r="D351" s="12" t="n">
        <v>1</v>
      </c>
      <c r="E351" s="13" t="s">
        <v>111</v>
      </c>
      <c r="F351" s="13" t="s">
        <v>112</v>
      </c>
      <c r="G351" s="13" t="s">
        <v>112</v>
      </c>
      <c r="H351" s="14"/>
    </row>
    <row r="352" customFormat="false" ht="15" hidden="false" customHeight="false" outlineLevel="0" collapsed="false">
      <c r="A352" s="23" t="s">
        <v>199</v>
      </c>
      <c r="B352" s="12" t="n">
        <v>1</v>
      </c>
      <c r="C352" s="12" t="n">
        <v>1</v>
      </c>
      <c r="D352" s="12" t="n">
        <v>1</v>
      </c>
      <c r="E352" s="13" t="s">
        <v>222</v>
      </c>
      <c r="F352" s="13" t="s">
        <v>222</v>
      </c>
      <c r="G352" s="13" t="s">
        <v>222</v>
      </c>
      <c r="H352" s="24" t="s">
        <v>182</v>
      </c>
    </row>
    <row r="353" customFormat="false" ht="15" hidden="false" customHeight="false" outlineLevel="0" collapsed="false">
      <c r="A353" s="7" t="s">
        <v>305</v>
      </c>
      <c r="B353" s="12" t="n">
        <v>1</v>
      </c>
      <c r="C353" s="12" t="n">
        <v>1</v>
      </c>
      <c r="D353" s="12" t="n">
        <v>1</v>
      </c>
      <c r="E353" s="13" t="s">
        <v>306</v>
      </c>
      <c r="F353" s="13" t="s">
        <v>307</v>
      </c>
      <c r="G353" s="13" t="s">
        <v>307</v>
      </c>
      <c r="H353" s="14"/>
    </row>
    <row r="354" customFormat="false" ht="15" hidden="false" customHeight="false" outlineLevel="0" collapsed="false">
      <c r="A354" s="7" t="s">
        <v>176</v>
      </c>
      <c r="B354" s="12" t="n">
        <v>1</v>
      </c>
      <c r="C354" s="12" t="n">
        <v>1</v>
      </c>
      <c r="D354" s="12" t="n">
        <v>1</v>
      </c>
      <c r="E354" s="13" t="s">
        <v>177</v>
      </c>
      <c r="F354" s="13" t="s">
        <v>177</v>
      </c>
      <c r="G354" s="13" t="s">
        <v>177</v>
      </c>
      <c r="H354" s="14"/>
    </row>
    <row r="355" customFormat="false" ht="15" hidden="false" customHeight="false" outlineLevel="0" collapsed="false">
      <c r="A355" s="7" t="s">
        <v>341</v>
      </c>
      <c r="B355" s="12" t="s">
        <v>180</v>
      </c>
      <c r="C355" s="12" t="n">
        <v>1</v>
      </c>
      <c r="D355" s="12" t="n">
        <v>1</v>
      </c>
      <c r="E355" s="13" t="s">
        <v>342</v>
      </c>
      <c r="F355" s="13" t="s">
        <v>342</v>
      </c>
      <c r="G355" s="13" t="s">
        <v>342</v>
      </c>
      <c r="H355" s="14"/>
    </row>
    <row r="356" customFormat="false" ht="15" hidden="false" customHeight="false" outlineLevel="0" collapsed="false">
      <c r="A356" s="7" t="s">
        <v>309</v>
      </c>
      <c r="B356" s="12" t="s">
        <v>180</v>
      </c>
      <c r="C356" s="12" t="n">
        <v>1</v>
      </c>
      <c r="D356" s="12" t="n">
        <v>1</v>
      </c>
      <c r="E356" s="13" t="s">
        <v>310</v>
      </c>
      <c r="F356" s="13" t="s">
        <v>310</v>
      </c>
      <c r="G356" s="13" t="s">
        <v>310</v>
      </c>
      <c r="H356" s="14"/>
    </row>
    <row r="357" customFormat="false" ht="15" hidden="false" customHeight="false" outlineLevel="0" collapsed="false">
      <c r="A357" s="7" t="s">
        <v>343</v>
      </c>
      <c r="B357" s="12" t="s">
        <v>180</v>
      </c>
      <c r="C357" s="12" t="n">
        <v>1</v>
      </c>
      <c r="D357" s="12" t="n">
        <v>1</v>
      </c>
      <c r="E357" s="13" t="s">
        <v>344</v>
      </c>
      <c r="F357" s="13" t="s">
        <v>344</v>
      </c>
      <c r="G357" s="13" t="s">
        <v>344</v>
      </c>
      <c r="H357" s="14"/>
    </row>
    <row r="358" customFormat="false" ht="15" hidden="false" customHeight="false" outlineLevel="0" collapsed="false">
      <c r="A358" s="7" t="s">
        <v>345</v>
      </c>
      <c r="B358" s="12" t="s">
        <v>180</v>
      </c>
      <c r="C358" s="12" t="n">
        <v>1</v>
      </c>
      <c r="D358" s="12" t="n">
        <v>1</v>
      </c>
      <c r="E358" s="13" t="s">
        <v>346</v>
      </c>
      <c r="F358" s="13" t="s">
        <v>346</v>
      </c>
      <c r="G358" s="13" t="s">
        <v>346</v>
      </c>
      <c r="H358" s="14"/>
    </row>
    <row r="359" customFormat="false" ht="15" hidden="false" customHeight="false" outlineLevel="0" collapsed="false">
      <c r="A359" s="7" t="s">
        <v>347</v>
      </c>
      <c r="B359" s="12" t="s">
        <v>180</v>
      </c>
      <c r="C359" s="12" t="n">
        <v>1</v>
      </c>
      <c r="D359" s="12" t="n">
        <v>1</v>
      </c>
      <c r="E359" s="13" t="s">
        <v>348</v>
      </c>
      <c r="F359" s="13" t="s">
        <v>348</v>
      </c>
      <c r="G359" s="13" t="s">
        <v>348</v>
      </c>
      <c r="H359" s="14"/>
    </row>
    <row r="360" customFormat="false" ht="15" hidden="false" customHeight="false" outlineLevel="0" collapsed="false">
      <c r="A360" s="7" t="s">
        <v>349</v>
      </c>
      <c r="B360" s="12" t="s">
        <v>180</v>
      </c>
      <c r="C360" s="12" t="n">
        <v>1</v>
      </c>
      <c r="D360" s="12" t="n">
        <v>1</v>
      </c>
      <c r="E360" s="13" t="s">
        <v>350</v>
      </c>
      <c r="F360" s="13" t="s">
        <v>350</v>
      </c>
      <c r="G360" s="13" t="s">
        <v>350</v>
      </c>
      <c r="H360" s="14"/>
    </row>
    <row r="361" customFormat="false" ht="15" hidden="false" customHeight="false" outlineLevel="0" collapsed="false">
      <c r="A361" s="7" t="s">
        <v>351</v>
      </c>
      <c r="B361" s="12" t="s">
        <v>180</v>
      </c>
      <c r="C361" s="12" t="n">
        <v>1</v>
      </c>
      <c r="D361" s="12" t="n">
        <v>1</v>
      </c>
      <c r="E361" s="13" t="s">
        <v>352</v>
      </c>
      <c r="F361" s="13" t="s">
        <v>352</v>
      </c>
      <c r="G361" s="13" t="s">
        <v>352</v>
      </c>
      <c r="H361" s="14"/>
    </row>
    <row r="362" customFormat="false" ht="15" hidden="false" customHeight="false" outlineLevel="0" collapsed="false">
      <c r="A362" s="15" t="s">
        <v>353</v>
      </c>
      <c r="B362" s="12" t="s">
        <v>180</v>
      </c>
      <c r="C362" s="12" t="n">
        <v>1</v>
      </c>
      <c r="D362" s="12" t="n">
        <v>1</v>
      </c>
      <c r="E362" s="13" t="s">
        <v>127</v>
      </c>
      <c r="F362" s="13" t="s">
        <v>127</v>
      </c>
      <c r="G362" s="13" t="s">
        <v>127</v>
      </c>
      <c r="H362" s="16" t="s">
        <v>128</v>
      </c>
    </row>
    <row r="363" customFormat="false" ht="15" hidden="false" customHeight="false" outlineLevel="0" collapsed="false">
      <c r="A363" s="7" t="s">
        <v>321</v>
      </c>
      <c r="B363" s="12" t="s">
        <v>121</v>
      </c>
      <c r="C363" s="12" t="n">
        <v>1</v>
      </c>
      <c r="D363" s="12" t="n">
        <v>1</v>
      </c>
      <c r="E363" s="13" t="s">
        <v>322</v>
      </c>
      <c r="F363" s="13" t="s">
        <v>322</v>
      </c>
      <c r="G363" s="13" t="s">
        <v>322</v>
      </c>
      <c r="H363" s="14"/>
    </row>
    <row r="364" customFormat="false" ht="15" hidden="false" customHeight="false" outlineLevel="0" collapsed="false">
      <c r="A364" s="7" t="s">
        <v>188</v>
      </c>
      <c r="B364" s="12" t="s">
        <v>124</v>
      </c>
      <c r="C364" s="12" t="n">
        <v>1</v>
      </c>
      <c r="D364" s="12" t="n">
        <v>1</v>
      </c>
      <c r="E364" s="13"/>
      <c r="F364" s="13" t="s">
        <v>189</v>
      </c>
      <c r="G364" s="13" t="s">
        <v>189</v>
      </c>
      <c r="H364" s="14"/>
    </row>
    <row r="365" customFormat="false" ht="15" hidden="false" customHeight="false" outlineLevel="0" collapsed="false">
      <c r="A365" s="7" t="s">
        <v>323</v>
      </c>
      <c r="B365" s="12" t="s">
        <v>124</v>
      </c>
      <c r="C365" s="12" t="n">
        <v>1</v>
      </c>
      <c r="D365" s="12" t="n">
        <v>1</v>
      </c>
      <c r="E365" s="13"/>
      <c r="F365" s="13" t="s">
        <v>324</v>
      </c>
      <c r="G365" s="13" t="s">
        <v>324</v>
      </c>
      <c r="H365" s="14"/>
    </row>
    <row r="366" customFormat="false" ht="15" hidden="false" customHeight="false" outlineLevel="0" collapsed="false">
      <c r="A366" s="7" t="s">
        <v>325</v>
      </c>
      <c r="B366" s="12" t="s">
        <v>124</v>
      </c>
      <c r="C366" s="12" t="n">
        <v>1</v>
      </c>
      <c r="D366" s="12" t="n">
        <v>1</v>
      </c>
      <c r="E366" s="13"/>
      <c r="F366" s="13" t="s">
        <v>326</v>
      </c>
      <c r="G366" s="13" t="s">
        <v>327</v>
      </c>
      <c r="H366" s="14"/>
    </row>
    <row r="367" customFormat="false" ht="15" hidden="false" customHeight="false" outlineLevel="0" collapsed="false">
      <c r="A367" s="7" t="s">
        <v>104</v>
      </c>
      <c r="B367" s="12" t="s">
        <v>124</v>
      </c>
      <c r="C367" s="12" t="n">
        <v>1</v>
      </c>
      <c r="D367" s="12" t="n">
        <v>1</v>
      </c>
      <c r="E367" s="13"/>
      <c r="F367" s="13" t="s">
        <v>105</v>
      </c>
      <c r="G367" s="13" t="s">
        <v>106</v>
      </c>
      <c r="H367" s="14"/>
    </row>
    <row r="368" customFormat="false" ht="15" hidden="false" customHeight="false" outlineLevel="0" collapsed="false">
      <c r="A368" s="17" t="s">
        <v>328</v>
      </c>
      <c r="B368" s="12" t="s">
        <v>124</v>
      </c>
      <c r="C368" s="12" t="n">
        <v>1</v>
      </c>
      <c r="D368" s="12" t="n">
        <v>1</v>
      </c>
      <c r="E368" s="13"/>
      <c r="F368" s="13" t="s">
        <v>140</v>
      </c>
      <c r="G368" s="13" t="s">
        <v>140</v>
      </c>
      <c r="H368" s="18" t="s">
        <v>141</v>
      </c>
    </row>
    <row r="369" customFormat="false" ht="15" hidden="false" customHeight="false" outlineLevel="0" collapsed="false">
      <c r="A369" s="7" t="s">
        <v>329</v>
      </c>
      <c r="B369" s="12" t="s">
        <v>124</v>
      </c>
      <c r="C369" s="12" t="n">
        <v>1</v>
      </c>
      <c r="D369" s="12" t="n">
        <v>1</v>
      </c>
      <c r="E369" s="13"/>
      <c r="F369" s="13" t="s">
        <v>330</v>
      </c>
      <c r="G369" s="13" t="s">
        <v>330</v>
      </c>
      <c r="H369" s="14"/>
    </row>
    <row r="370" customFormat="false" ht="15" hidden="false" customHeight="false" outlineLevel="0" collapsed="false">
      <c r="A370" s="7" t="s">
        <v>331</v>
      </c>
      <c r="B370" s="12" t="s">
        <v>124</v>
      </c>
      <c r="C370" s="12" t="n">
        <v>1</v>
      </c>
      <c r="D370" s="12" t="n">
        <v>1</v>
      </c>
      <c r="E370" s="13"/>
      <c r="F370" s="13" t="s">
        <v>114</v>
      </c>
      <c r="G370" s="13" t="s">
        <v>114</v>
      </c>
      <c r="H370" s="14"/>
    </row>
    <row r="371" customFormat="false" ht="15" hidden="false" customHeight="false" outlineLevel="0" collapsed="false">
      <c r="A371" s="7" t="s">
        <v>117</v>
      </c>
      <c r="B371" s="12" t="s">
        <v>124</v>
      </c>
      <c r="C371" s="12" t="n">
        <v>1</v>
      </c>
      <c r="D371" s="12" t="n">
        <v>1</v>
      </c>
      <c r="E371" s="13"/>
      <c r="F371" s="13" t="s">
        <v>178</v>
      </c>
      <c r="G371" s="13" t="s">
        <v>178</v>
      </c>
      <c r="H371" s="14"/>
    </row>
    <row r="372" customFormat="false" ht="15" hidden="false" customHeight="false" outlineLevel="0" collapsed="false">
      <c r="A372" s="7" t="s">
        <v>354</v>
      </c>
      <c r="B372" s="12" t="s">
        <v>124</v>
      </c>
      <c r="C372" s="12" t="s">
        <v>124</v>
      </c>
      <c r="D372" s="12" t="n">
        <v>1</v>
      </c>
      <c r="E372" s="13"/>
      <c r="F372" s="13"/>
      <c r="G372" s="13" t="s">
        <v>355</v>
      </c>
      <c r="H372" s="14"/>
    </row>
    <row r="373" customFormat="false" ht="15" hidden="false" customHeight="false" outlineLevel="0" collapsed="false">
      <c r="A373" s="7" t="s">
        <v>356</v>
      </c>
      <c r="B373" s="12" t="s">
        <v>124</v>
      </c>
      <c r="C373" s="12" t="s">
        <v>124</v>
      </c>
      <c r="D373" s="12" t="n">
        <v>1</v>
      </c>
      <c r="E373" s="13"/>
      <c r="F373" s="13"/>
      <c r="G373" s="13" t="s">
        <v>357</v>
      </c>
      <c r="H373" s="14"/>
    </row>
    <row r="374" customFormat="false" ht="15" hidden="false" customHeight="false" outlineLevel="0" collapsed="false">
      <c r="A374" s="7" t="s">
        <v>358</v>
      </c>
      <c r="B374" s="12" t="s">
        <v>124</v>
      </c>
      <c r="C374" s="12" t="s">
        <v>124</v>
      </c>
      <c r="D374" s="12" t="n">
        <v>1</v>
      </c>
      <c r="E374" s="13"/>
      <c r="F374" s="13"/>
      <c r="G374" s="13" t="s">
        <v>359</v>
      </c>
      <c r="H374" s="14"/>
    </row>
    <row r="375" customFormat="false" ht="15" hidden="false" customHeight="false" outlineLevel="0" collapsed="false">
      <c r="A375" s="7" t="s">
        <v>360</v>
      </c>
      <c r="B375" s="12" t="s">
        <v>124</v>
      </c>
      <c r="C375" s="12" t="s">
        <v>124</v>
      </c>
      <c r="D375" s="12" t="n">
        <v>1</v>
      </c>
      <c r="E375" s="13"/>
      <c r="F375" s="13"/>
      <c r="G375" s="13" t="s">
        <v>361</v>
      </c>
      <c r="H375" s="14"/>
    </row>
    <row r="376" customFormat="false" ht="15" hidden="false" customHeight="false" outlineLevel="0" collapsed="false">
      <c r="A376" s="15" t="s">
        <v>336</v>
      </c>
      <c r="B376" s="12" t="s">
        <v>124</v>
      </c>
      <c r="C376" s="12" t="s">
        <v>124</v>
      </c>
      <c r="D376" s="12" t="n">
        <v>1</v>
      </c>
      <c r="E376" s="13"/>
      <c r="F376" s="13"/>
      <c r="G376" s="13" t="s">
        <v>127</v>
      </c>
      <c r="H376" s="16" t="s">
        <v>128</v>
      </c>
    </row>
    <row r="377" customFormat="false" ht="15" hidden="false" customHeight="false" outlineLevel="0" collapsed="false">
      <c r="A377" s="19" t="s">
        <v>149</v>
      </c>
      <c r="B377" s="20" t="n">
        <f aca="false">'Récap par kit'!F45</f>
        <v>16170</v>
      </c>
      <c r="C377" s="20" t="n">
        <f aca="false">'Récap par kit'!F46</f>
        <v>65430</v>
      </c>
      <c r="D377" s="20" t="n">
        <f aca="false">'Récap par kit'!F47</f>
        <v>80290</v>
      </c>
    </row>
    <row r="379" customFormat="false" ht="15" hidden="false" customHeight="false" outlineLevel="0" collapsed="false">
      <c r="A379" s="11" t="s">
        <v>362</v>
      </c>
    </row>
    <row r="380" customFormat="false" ht="15" hidden="false" customHeight="false" outlineLevel="0" collapsed="false">
      <c r="A380" s="6" t="s">
        <v>79</v>
      </c>
      <c r="B380" s="6" t="s">
        <v>48</v>
      </c>
      <c r="C380" s="6" t="s">
        <v>49</v>
      </c>
      <c r="D380" s="6" t="s">
        <v>50</v>
      </c>
      <c r="E380" s="6" t="s">
        <v>80</v>
      </c>
      <c r="F380" s="6" t="s">
        <v>81</v>
      </c>
      <c r="G380" s="6" t="s">
        <v>82</v>
      </c>
      <c r="H380" s="6" t="s">
        <v>83</v>
      </c>
    </row>
    <row r="381" customFormat="false" ht="15" hidden="false" customHeight="false" outlineLevel="0" collapsed="false">
      <c r="A381" s="7" t="s">
        <v>295</v>
      </c>
      <c r="B381" s="12" t="n">
        <v>3</v>
      </c>
      <c r="C381" s="12" t="n">
        <v>3</v>
      </c>
      <c r="D381" s="12" t="n">
        <v>3</v>
      </c>
      <c r="E381" s="13" t="s">
        <v>152</v>
      </c>
      <c r="F381" s="13" t="s">
        <v>152</v>
      </c>
      <c r="G381" s="13" t="s">
        <v>152</v>
      </c>
      <c r="H381" s="14"/>
    </row>
    <row r="382" customFormat="false" ht="15" hidden="false" customHeight="false" outlineLevel="0" collapsed="false">
      <c r="A382" s="7" t="s">
        <v>296</v>
      </c>
      <c r="B382" s="12" t="n">
        <v>3</v>
      </c>
      <c r="C382" s="12" t="n">
        <v>3</v>
      </c>
      <c r="D382" s="12" t="n">
        <v>3</v>
      </c>
      <c r="E382" s="13" t="s">
        <v>297</v>
      </c>
      <c r="F382" s="13" t="s">
        <v>297</v>
      </c>
      <c r="G382" s="13" t="s">
        <v>297</v>
      </c>
      <c r="H382" s="14"/>
    </row>
    <row r="383" customFormat="false" ht="15" hidden="false" customHeight="false" outlineLevel="0" collapsed="false">
      <c r="A383" s="7" t="s">
        <v>298</v>
      </c>
      <c r="B383" s="12" t="n">
        <v>4</v>
      </c>
      <c r="C383" s="12" t="n">
        <v>4</v>
      </c>
      <c r="D383" s="12" t="n">
        <v>4</v>
      </c>
      <c r="E383" s="13" t="s">
        <v>299</v>
      </c>
      <c r="F383" s="13" t="s">
        <v>300</v>
      </c>
      <c r="G383" s="13" t="s">
        <v>300</v>
      </c>
      <c r="H383" s="14"/>
    </row>
    <row r="384" customFormat="false" ht="15" hidden="false" customHeight="false" outlineLevel="0" collapsed="false">
      <c r="A384" s="7" t="s">
        <v>338</v>
      </c>
      <c r="B384" s="12" t="n">
        <v>1</v>
      </c>
      <c r="C384" s="12" t="n">
        <v>1</v>
      </c>
      <c r="D384" s="12" t="n">
        <v>1</v>
      </c>
      <c r="E384" s="13" t="s">
        <v>339</v>
      </c>
      <c r="F384" s="13" t="s">
        <v>340</v>
      </c>
      <c r="G384" s="13" t="s">
        <v>340</v>
      </c>
      <c r="H384" s="14"/>
    </row>
    <row r="385" customFormat="false" ht="15" hidden="false" customHeight="false" outlineLevel="0" collapsed="false">
      <c r="A385" s="7" t="s">
        <v>301</v>
      </c>
      <c r="B385" s="12" t="n">
        <v>1</v>
      </c>
      <c r="C385" s="12" t="n">
        <v>1</v>
      </c>
      <c r="D385" s="12" t="n">
        <v>1</v>
      </c>
      <c r="E385" s="13" t="s">
        <v>85</v>
      </c>
      <c r="F385" s="13" t="s">
        <v>85</v>
      </c>
      <c r="G385" s="13" t="s">
        <v>85</v>
      </c>
      <c r="H385" s="14"/>
    </row>
    <row r="386" customFormat="false" ht="15" hidden="false" customHeight="false" outlineLevel="0" collapsed="false">
      <c r="A386" s="23" t="s">
        <v>302</v>
      </c>
      <c r="B386" s="12" t="n">
        <v>1</v>
      </c>
      <c r="C386" s="12" t="n">
        <v>1</v>
      </c>
      <c r="D386" s="12" t="n">
        <v>1</v>
      </c>
      <c r="E386" s="13" t="s">
        <v>303</v>
      </c>
      <c r="F386" s="13" t="s">
        <v>303</v>
      </c>
      <c r="G386" s="13" t="s">
        <v>303</v>
      </c>
      <c r="H386" s="24" t="s">
        <v>182</v>
      </c>
    </row>
    <row r="387" customFormat="false" ht="15" hidden="false" customHeight="false" outlineLevel="0" collapsed="false">
      <c r="A387" s="7" t="s">
        <v>255</v>
      </c>
      <c r="B387" s="12" t="n">
        <v>1</v>
      </c>
      <c r="C387" s="12" t="n">
        <v>1</v>
      </c>
      <c r="D387" s="12" t="n">
        <v>1</v>
      </c>
      <c r="E387" s="13" t="s">
        <v>256</v>
      </c>
      <c r="F387" s="13" t="s">
        <v>256</v>
      </c>
      <c r="G387" s="13" t="s">
        <v>256</v>
      </c>
      <c r="H387" s="14"/>
    </row>
    <row r="388" customFormat="false" ht="15" hidden="false" customHeight="false" outlineLevel="0" collapsed="false">
      <c r="A388" s="7" t="s">
        <v>257</v>
      </c>
      <c r="B388" s="12" t="n">
        <v>1</v>
      </c>
      <c r="C388" s="12" t="n">
        <v>1</v>
      </c>
      <c r="D388" s="12" t="n">
        <v>1</v>
      </c>
      <c r="E388" s="13" t="s">
        <v>163</v>
      </c>
      <c r="F388" s="13" t="s">
        <v>163</v>
      </c>
      <c r="G388" s="13" t="s">
        <v>163</v>
      </c>
      <c r="H388" s="14"/>
    </row>
    <row r="389" customFormat="false" ht="15" hidden="false" customHeight="false" outlineLevel="0" collapsed="false">
      <c r="A389" s="7" t="s">
        <v>97</v>
      </c>
      <c r="B389" s="12" t="n">
        <v>2</v>
      </c>
      <c r="C389" s="12" t="s">
        <v>124</v>
      </c>
      <c r="D389" s="12" t="s">
        <v>124</v>
      </c>
      <c r="E389" s="13" t="s">
        <v>98</v>
      </c>
      <c r="F389" s="13"/>
      <c r="G389" s="13"/>
      <c r="H389" s="14"/>
    </row>
    <row r="390" customFormat="false" ht="15" hidden="false" customHeight="false" outlineLevel="0" collapsed="false">
      <c r="A390" s="7" t="s">
        <v>99</v>
      </c>
      <c r="B390" s="12" t="n">
        <v>1</v>
      </c>
      <c r="C390" s="12" t="n">
        <v>1</v>
      </c>
      <c r="D390" s="12" t="n">
        <v>1</v>
      </c>
      <c r="E390" s="13" t="s">
        <v>100</v>
      </c>
      <c r="F390" s="13" t="s">
        <v>101</v>
      </c>
      <c r="G390" s="13" t="s">
        <v>101</v>
      </c>
      <c r="H390" s="14"/>
    </row>
    <row r="391" customFormat="false" ht="15" hidden="false" customHeight="false" outlineLevel="0" collapsed="false">
      <c r="A391" s="7" t="s">
        <v>164</v>
      </c>
      <c r="B391" s="12" t="n">
        <v>1</v>
      </c>
      <c r="C391" s="12" t="n">
        <v>1</v>
      </c>
      <c r="D391" s="12" t="n">
        <v>1</v>
      </c>
      <c r="E391" s="13" t="s">
        <v>165</v>
      </c>
      <c r="F391" s="13" t="s">
        <v>103</v>
      </c>
      <c r="G391" s="13" t="s">
        <v>103</v>
      </c>
      <c r="H391" s="14"/>
    </row>
    <row r="392" customFormat="false" ht="15" hidden="false" customHeight="false" outlineLevel="0" collapsed="false">
      <c r="A392" s="7" t="s">
        <v>166</v>
      </c>
      <c r="B392" s="12" t="n">
        <v>1</v>
      </c>
      <c r="C392" s="12" t="n">
        <v>2</v>
      </c>
      <c r="D392" s="12" t="n">
        <v>2</v>
      </c>
      <c r="E392" s="13" t="s">
        <v>108</v>
      </c>
      <c r="F392" s="13" t="s">
        <v>109</v>
      </c>
      <c r="G392" s="13" t="s">
        <v>109</v>
      </c>
      <c r="H392" s="14"/>
    </row>
    <row r="393" customFormat="false" ht="15" hidden="false" customHeight="false" outlineLevel="0" collapsed="false">
      <c r="A393" s="7" t="s">
        <v>304</v>
      </c>
      <c r="B393" s="12" t="n">
        <v>1</v>
      </c>
      <c r="C393" s="12" t="n">
        <v>1</v>
      </c>
      <c r="D393" s="12" t="n">
        <v>1</v>
      </c>
      <c r="E393" s="13" t="s">
        <v>111</v>
      </c>
      <c r="F393" s="13" t="s">
        <v>112</v>
      </c>
      <c r="G393" s="13" t="s">
        <v>112</v>
      </c>
      <c r="H393" s="14"/>
    </row>
    <row r="394" customFormat="false" ht="15" hidden="false" customHeight="false" outlineLevel="0" collapsed="false">
      <c r="A394" s="23" t="s">
        <v>199</v>
      </c>
      <c r="B394" s="12" t="n">
        <v>1</v>
      </c>
      <c r="C394" s="12" t="n">
        <v>1</v>
      </c>
      <c r="D394" s="12" t="n">
        <v>1</v>
      </c>
      <c r="E394" s="13" t="s">
        <v>222</v>
      </c>
      <c r="F394" s="13" t="s">
        <v>222</v>
      </c>
      <c r="G394" s="13" t="s">
        <v>222</v>
      </c>
      <c r="H394" s="24" t="s">
        <v>182</v>
      </c>
    </row>
    <row r="395" customFormat="false" ht="15" hidden="false" customHeight="false" outlineLevel="0" collapsed="false">
      <c r="A395" s="7" t="s">
        <v>305</v>
      </c>
      <c r="B395" s="12" t="n">
        <v>1</v>
      </c>
      <c r="C395" s="12" t="n">
        <v>1</v>
      </c>
      <c r="D395" s="12" t="n">
        <v>1</v>
      </c>
      <c r="E395" s="13" t="s">
        <v>306</v>
      </c>
      <c r="F395" s="13" t="s">
        <v>307</v>
      </c>
      <c r="G395" s="13" t="s">
        <v>307</v>
      </c>
      <c r="H395" s="14"/>
    </row>
    <row r="396" customFormat="false" ht="15" hidden="false" customHeight="false" outlineLevel="0" collapsed="false">
      <c r="A396" s="7" t="s">
        <v>176</v>
      </c>
      <c r="B396" s="12" t="n">
        <v>1</v>
      </c>
      <c r="C396" s="12" t="n">
        <v>1</v>
      </c>
      <c r="D396" s="12" t="n">
        <v>1</v>
      </c>
      <c r="E396" s="13" t="s">
        <v>177</v>
      </c>
      <c r="F396" s="13" t="s">
        <v>177</v>
      </c>
      <c r="G396" s="13" t="s">
        <v>177</v>
      </c>
      <c r="H396" s="14"/>
    </row>
    <row r="397" customFormat="false" ht="15" hidden="false" customHeight="false" outlineLevel="0" collapsed="false">
      <c r="A397" s="15" t="s">
        <v>363</v>
      </c>
      <c r="B397" s="12" t="s">
        <v>180</v>
      </c>
      <c r="C397" s="12" t="n">
        <v>1</v>
      </c>
      <c r="D397" s="12" t="n">
        <v>1</v>
      </c>
      <c r="E397" s="13" t="s">
        <v>127</v>
      </c>
      <c r="F397" s="13" t="s">
        <v>127</v>
      </c>
      <c r="G397" s="13" t="s">
        <v>127</v>
      </c>
      <c r="H397" s="16" t="s">
        <v>128</v>
      </c>
    </row>
    <row r="398" customFormat="false" ht="15" hidden="false" customHeight="false" outlineLevel="0" collapsed="false">
      <c r="A398" s="7" t="s">
        <v>364</v>
      </c>
      <c r="B398" s="12" t="s">
        <v>180</v>
      </c>
      <c r="C398" s="12" t="n">
        <v>1</v>
      </c>
      <c r="D398" s="12" t="n">
        <v>1</v>
      </c>
      <c r="E398" s="13" t="s">
        <v>365</v>
      </c>
      <c r="F398" s="13" t="s">
        <v>365</v>
      </c>
      <c r="G398" s="13" t="s">
        <v>365</v>
      </c>
      <c r="H398" s="14"/>
    </row>
    <row r="399" customFormat="false" ht="15" hidden="false" customHeight="false" outlineLevel="0" collapsed="false">
      <c r="A399" s="7" t="s">
        <v>366</v>
      </c>
      <c r="B399" s="12" t="s">
        <v>180</v>
      </c>
      <c r="C399" s="12" t="n">
        <v>1</v>
      </c>
      <c r="D399" s="12" t="n">
        <v>1</v>
      </c>
      <c r="E399" s="13" t="s">
        <v>367</v>
      </c>
      <c r="F399" s="13" t="s">
        <v>367</v>
      </c>
      <c r="G399" s="13" t="s">
        <v>367</v>
      </c>
      <c r="H399" s="14"/>
    </row>
    <row r="400" customFormat="false" ht="15" hidden="false" customHeight="false" outlineLevel="0" collapsed="false">
      <c r="A400" s="7" t="s">
        <v>368</v>
      </c>
      <c r="B400" s="12" t="s">
        <v>180</v>
      </c>
      <c r="C400" s="12" t="n">
        <v>1</v>
      </c>
      <c r="D400" s="12" t="n">
        <v>1</v>
      </c>
      <c r="E400" s="13" t="s">
        <v>369</v>
      </c>
      <c r="F400" s="13" t="s">
        <v>369</v>
      </c>
      <c r="G400" s="13" t="s">
        <v>369</v>
      </c>
      <c r="H400" s="14"/>
    </row>
    <row r="401" customFormat="false" ht="15" hidden="false" customHeight="false" outlineLevel="0" collapsed="false">
      <c r="A401" s="7" t="s">
        <v>370</v>
      </c>
      <c r="B401" s="12" t="s">
        <v>180</v>
      </c>
      <c r="C401" s="12" t="n">
        <v>1</v>
      </c>
      <c r="D401" s="12" t="n">
        <v>1</v>
      </c>
      <c r="E401" s="13" t="s">
        <v>371</v>
      </c>
      <c r="F401" s="13" t="s">
        <v>371</v>
      </c>
      <c r="G401" s="13" t="s">
        <v>371</v>
      </c>
      <c r="H401" s="14"/>
    </row>
    <row r="402" customFormat="false" ht="15" hidden="false" customHeight="false" outlineLevel="0" collapsed="false">
      <c r="A402" s="7" t="s">
        <v>372</v>
      </c>
      <c r="B402" s="12" t="s">
        <v>180</v>
      </c>
      <c r="C402" s="12" t="n">
        <v>1</v>
      </c>
      <c r="D402" s="12" t="n">
        <v>1</v>
      </c>
      <c r="E402" s="13" t="s">
        <v>373</v>
      </c>
      <c r="F402" s="13" t="s">
        <v>373</v>
      </c>
      <c r="G402" s="13" t="s">
        <v>373</v>
      </c>
      <c r="H402" s="14"/>
    </row>
    <row r="403" customFormat="false" ht="15" hidden="false" customHeight="false" outlineLevel="0" collapsed="false">
      <c r="A403" s="7" t="s">
        <v>374</v>
      </c>
      <c r="B403" s="12" t="s">
        <v>180</v>
      </c>
      <c r="C403" s="12" t="n">
        <v>1</v>
      </c>
      <c r="D403" s="12" t="n">
        <v>1</v>
      </c>
      <c r="E403" s="13" t="s">
        <v>375</v>
      </c>
      <c r="F403" s="13" t="s">
        <v>375</v>
      </c>
      <c r="G403" s="13" t="s">
        <v>375</v>
      </c>
      <c r="H403" s="14"/>
    </row>
    <row r="404" customFormat="false" ht="15" hidden="false" customHeight="false" outlineLevel="0" collapsed="false">
      <c r="A404" s="7" t="s">
        <v>376</v>
      </c>
      <c r="B404" s="12" t="s">
        <v>180</v>
      </c>
      <c r="C404" s="12" t="n">
        <v>1</v>
      </c>
      <c r="D404" s="12" t="n">
        <v>1</v>
      </c>
      <c r="E404" s="13" t="s">
        <v>377</v>
      </c>
      <c r="F404" s="13" t="s">
        <v>377</v>
      </c>
      <c r="G404" s="13" t="s">
        <v>377</v>
      </c>
      <c r="H404" s="14"/>
    </row>
    <row r="405" customFormat="false" ht="15" hidden="false" customHeight="false" outlineLevel="0" collapsed="false">
      <c r="A405" s="7" t="s">
        <v>378</v>
      </c>
      <c r="B405" s="12" t="s">
        <v>180</v>
      </c>
      <c r="C405" s="12" t="n">
        <v>1</v>
      </c>
      <c r="D405" s="12" t="n">
        <v>1</v>
      </c>
      <c r="E405" s="13" t="s">
        <v>379</v>
      </c>
      <c r="F405" s="13" t="s">
        <v>379</v>
      </c>
      <c r="G405" s="13" t="s">
        <v>379</v>
      </c>
      <c r="H405" s="14"/>
    </row>
    <row r="406" customFormat="false" ht="15" hidden="false" customHeight="false" outlineLevel="0" collapsed="false">
      <c r="A406" s="7" t="s">
        <v>380</v>
      </c>
      <c r="B406" s="12" t="s">
        <v>180</v>
      </c>
      <c r="C406" s="12" t="n">
        <v>1</v>
      </c>
      <c r="D406" s="12" t="n">
        <v>1</v>
      </c>
      <c r="E406" s="13" t="s">
        <v>381</v>
      </c>
      <c r="F406" s="13" t="s">
        <v>381</v>
      </c>
      <c r="G406" s="13" t="s">
        <v>381</v>
      </c>
      <c r="H406" s="14"/>
    </row>
    <row r="407" customFormat="false" ht="15" hidden="false" customHeight="false" outlineLevel="0" collapsed="false">
      <c r="A407" s="7" t="s">
        <v>321</v>
      </c>
      <c r="B407" s="12" t="s">
        <v>121</v>
      </c>
      <c r="C407" s="12" t="n">
        <v>1</v>
      </c>
      <c r="D407" s="12" t="n">
        <v>1</v>
      </c>
      <c r="E407" s="13" t="s">
        <v>322</v>
      </c>
      <c r="F407" s="13" t="s">
        <v>322</v>
      </c>
      <c r="G407" s="13" t="s">
        <v>322</v>
      </c>
      <c r="H407" s="14"/>
    </row>
    <row r="408" customFormat="false" ht="15" hidden="false" customHeight="false" outlineLevel="0" collapsed="false">
      <c r="A408" s="7" t="s">
        <v>188</v>
      </c>
      <c r="B408" s="12" t="s">
        <v>124</v>
      </c>
      <c r="C408" s="12" t="n">
        <v>1</v>
      </c>
      <c r="D408" s="12" t="n">
        <v>1</v>
      </c>
      <c r="E408" s="13"/>
      <c r="F408" s="13" t="s">
        <v>189</v>
      </c>
      <c r="G408" s="13" t="s">
        <v>189</v>
      </c>
      <c r="H408" s="14"/>
    </row>
    <row r="409" customFormat="false" ht="15" hidden="false" customHeight="false" outlineLevel="0" collapsed="false">
      <c r="A409" s="7" t="s">
        <v>323</v>
      </c>
      <c r="B409" s="12" t="s">
        <v>124</v>
      </c>
      <c r="C409" s="12" t="n">
        <v>1</v>
      </c>
      <c r="D409" s="12" t="n">
        <v>1</v>
      </c>
      <c r="E409" s="13"/>
      <c r="F409" s="13" t="s">
        <v>324</v>
      </c>
      <c r="G409" s="13" t="s">
        <v>324</v>
      </c>
      <c r="H409" s="14"/>
    </row>
    <row r="410" customFormat="false" ht="15" hidden="false" customHeight="false" outlineLevel="0" collapsed="false">
      <c r="A410" s="7" t="s">
        <v>325</v>
      </c>
      <c r="B410" s="12" t="s">
        <v>124</v>
      </c>
      <c r="C410" s="12" t="n">
        <v>1</v>
      </c>
      <c r="D410" s="12" t="n">
        <v>1</v>
      </c>
      <c r="E410" s="13"/>
      <c r="F410" s="13" t="s">
        <v>326</v>
      </c>
      <c r="G410" s="13" t="s">
        <v>327</v>
      </c>
      <c r="H410" s="14"/>
    </row>
    <row r="411" customFormat="false" ht="15" hidden="false" customHeight="false" outlineLevel="0" collapsed="false">
      <c r="A411" s="7" t="s">
        <v>104</v>
      </c>
      <c r="B411" s="12" t="s">
        <v>124</v>
      </c>
      <c r="C411" s="12" t="n">
        <v>1</v>
      </c>
      <c r="D411" s="12" t="n">
        <v>1</v>
      </c>
      <c r="E411" s="13"/>
      <c r="F411" s="13" t="s">
        <v>105</v>
      </c>
      <c r="G411" s="13" t="s">
        <v>106</v>
      </c>
      <c r="H411" s="14"/>
    </row>
    <row r="412" customFormat="false" ht="15" hidden="false" customHeight="false" outlineLevel="0" collapsed="false">
      <c r="A412" s="17" t="s">
        <v>328</v>
      </c>
      <c r="B412" s="12" t="s">
        <v>124</v>
      </c>
      <c r="C412" s="12" t="n">
        <v>1</v>
      </c>
      <c r="D412" s="12" t="n">
        <v>1</v>
      </c>
      <c r="E412" s="13"/>
      <c r="F412" s="13" t="s">
        <v>140</v>
      </c>
      <c r="G412" s="13" t="s">
        <v>140</v>
      </c>
      <c r="H412" s="18" t="s">
        <v>141</v>
      </c>
    </row>
    <row r="413" customFormat="false" ht="15" hidden="false" customHeight="false" outlineLevel="0" collapsed="false">
      <c r="A413" s="7" t="s">
        <v>329</v>
      </c>
      <c r="B413" s="12" t="s">
        <v>124</v>
      </c>
      <c r="C413" s="12" t="n">
        <v>1</v>
      </c>
      <c r="D413" s="12" t="n">
        <v>1</v>
      </c>
      <c r="E413" s="13"/>
      <c r="F413" s="13" t="s">
        <v>330</v>
      </c>
      <c r="G413" s="13" t="s">
        <v>330</v>
      </c>
      <c r="H413" s="14"/>
    </row>
    <row r="414" customFormat="false" ht="15" hidden="false" customHeight="false" outlineLevel="0" collapsed="false">
      <c r="A414" s="15" t="s">
        <v>382</v>
      </c>
      <c r="B414" s="12" t="s">
        <v>124</v>
      </c>
      <c r="C414" s="12" t="n">
        <v>1</v>
      </c>
      <c r="D414" s="12" t="n">
        <v>1</v>
      </c>
      <c r="E414" s="13"/>
      <c r="F414" s="13" t="s">
        <v>127</v>
      </c>
      <c r="G414" s="13" t="s">
        <v>127</v>
      </c>
      <c r="H414" s="16" t="s">
        <v>128</v>
      </c>
    </row>
    <row r="415" customFormat="false" ht="15" hidden="false" customHeight="false" outlineLevel="0" collapsed="false">
      <c r="A415" s="7" t="s">
        <v>331</v>
      </c>
      <c r="B415" s="12" t="s">
        <v>124</v>
      </c>
      <c r="C415" s="12" t="n">
        <v>1</v>
      </c>
      <c r="D415" s="12" t="n">
        <v>1</v>
      </c>
      <c r="E415" s="13"/>
      <c r="F415" s="13" t="s">
        <v>114</v>
      </c>
      <c r="G415" s="13" t="s">
        <v>114</v>
      </c>
      <c r="H415" s="14"/>
    </row>
    <row r="416" customFormat="false" ht="15" hidden="false" customHeight="false" outlineLevel="0" collapsed="false">
      <c r="A416" s="7" t="s">
        <v>117</v>
      </c>
      <c r="B416" s="12" t="s">
        <v>124</v>
      </c>
      <c r="C416" s="12" t="n">
        <v>1</v>
      </c>
      <c r="D416" s="12" t="n">
        <v>1</v>
      </c>
      <c r="E416" s="13"/>
      <c r="F416" s="13" t="s">
        <v>178</v>
      </c>
      <c r="G416" s="13" t="s">
        <v>178</v>
      </c>
      <c r="H416" s="14"/>
    </row>
    <row r="417" customFormat="false" ht="15" hidden="false" customHeight="false" outlineLevel="0" collapsed="false">
      <c r="A417" s="7" t="s">
        <v>383</v>
      </c>
      <c r="B417" s="12" t="s">
        <v>124</v>
      </c>
      <c r="C417" s="12" t="s">
        <v>124</v>
      </c>
      <c r="D417" s="12" t="n">
        <v>1</v>
      </c>
      <c r="E417" s="13"/>
      <c r="F417" s="13"/>
      <c r="G417" s="13" t="s">
        <v>384</v>
      </c>
      <c r="H417" s="14"/>
    </row>
    <row r="418" customFormat="false" ht="15" hidden="false" customHeight="false" outlineLevel="0" collapsed="false">
      <c r="A418" s="15" t="s">
        <v>385</v>
      </c>
      <c r="B418" s="12" t="s">
        <v>124</v>
      </c>
      <c r="C418" s="12" t="s">
        <v>124</v>
      </c>
      <c r="D418" s="12" t="n">
        <v>1</v>
      </c>
      <c r="E418" s="13"/>
      <c r="F418" s="13"/>
      <c r="G418" s="13" t="s">
        <v>127</v>
      </c>
      <c r="H418" s="16" t="s">
        <v>128</v>
      </c>
    </row>
    <row r="419" customFormat="false" ht="15" hidden="false" customHeight="false" outlineLevel="0" collapsed="false">
      <c r="A419" s="15" t="s">
        <v>336</v>
      </c>
      <c r="B419" s="12" t="s">
        <v>124</v>
      </c>
      <c r="C419" s="12" t="s">
        <v>124</v>
      </c>
      <c r="D419" s="12" t="n">
        <v>1</v>
      </c>
      <c r="E419" s="13"/>
      <c r="F419" s="13"/>
      <c r="G419" s="13" t="s">
        <v>127</v>
      </c>
      <c r="H419" s="16" t="s">
        <v>128</v>
      </c>
    </row>
    <row r="420" customFormat="false" ht="15" hidden="false" customHeight="false" outlineLevel="0" collapsed="false">
      <c r="A420" s="7" t="s">
        <v>386</v>
      </c>
      <c r="B420" s="12" t="s">
        <v>124</v>
      </c>
      <c r="C420" s="12" t="s">
        <v>124</v>
      </c>
      <c r="D420" s="12" t="n">
        <v>1</v>
      </c>
      <c r="E420" s="13"/>
      <c r="F420" s="13"/>
      <c r="G420" s="13" t="s">
        <v>387</v>
      </c>
      <c r="H420" s="14"/>
    </row>
    <row r="421" customFormat="false" ht="15" hidden="false" customHeight="false" outlineLevel="0" collapsed="false">
      <c r="A421" s="7" t="s">
        <v>388</v>
      </c>
      <c r="B421" s="12" t="s">
        <v>124</v>
      </c>
      <c r="C421" s="12" t="s">
        <v>124</v>
      </c>
      <c r="D421" s="12" t="n">
        <v>1</v>
      </c>
      <c r="E421" s="13"/>
      <c r="F421" s="13"/>
      <c r="G421" s="13" t="s">
        <v>389</v>
      </c>
      <c r="H421" s="14"/>
    </row>
    <row r="422" customFormat="false" ht="15" hidden="false" customHeight="false" outlineLevel="0" collapsed="false">
      <c r="A422" s="23" t="s">
        <v>390</v>
      </c>
      <c r="B422" s="12" t="s">
        <v>124</v>
      </c>
      <c r="C422" s="12" t="s">
        <v>124</v>
      </c>
      <c r="D422" s="12" t="n">
        <v>1</v>
      </c>
      <c r="E422" s="13"/>
      <c r="F422" s="13"/>
      <c r="G422" s="13" t="s">
        <v>391</v>
      </c>
      <c r="H422" s="24" t="s">
        <v>182</v>
      </c>
    </row>
    <row r="423" customFormat="false" ht="15" hidden="false" customHeight="false" outlineLevel="0" collapsed="false">
      <c r="A423" s="19" t="s">
        <v>149</v>
      </c>
      <c r="B423" s="20" t="n">
        <f aca="false">'Récap par kit'!F49</f>
        <v>16720</v>
      </c>
      <c r="C423" s="20" t="n">
        <f aca="false">'Récap par kit'!F50</f>
        <v>74730</v>
      </c>
      <c r="D423" s="20" t="n">
        <f aca="false">'Récap par kit'!F51</f>
        <v>89620</v>
      </c>
    </row>
    <row r="425" customFormat="false" ht="15" hidden="false" customHeight="false" outlineLevel="0" collapsed="false">
      <c r="A425" s="11" t="s">
        <v>392</v>
      </c>
    </row>
    <row r="426" customFormat="false" ht="15" hidden="false" customHeight="false" outlineLevel="0" collapsed="false">
      <c r="A426" s="6" t="s">
        <v>79</v>
      </c>
      <c r="B426" s="6" t="s">
        <v>48</v>
      </c>
      <c r="C426" s="6" t="s">
        <v>49</v>
      </c>
      <c r="D426" s="6" t="s">
        <v>50</v>
      </c>
      <c r="E426" s="6" t="s">
        <v>80</v>
      </c>
      <c r="F426" s="6" t="s">
        <v>81</v>
      </c>
      <c r="G426" s="6" t="s">
        <v>82</v>
      </c>
      <c r="H426" s="6" t="s">
        <v>83</v>
      </c>
    </row>
    <row r="427" customFormat="false" ht="15" hidden="false" customHeight="false" outlineLevel="0" collapsed="false">
      <c r="A427" s="7" t="s">
        <v>295</v>
      </c>
      <c r="B427" s="12" t="n">
        <v>2</v>
      </c>
      <c r="C427" s="12" t="n">
        <v>2</v>
      </c>
      <c r="D427" s="12" t="n">
        <v>2</v>
      </c>
      <c r="E427" s="13" t="s">
        <v>152</v>
      </c>
      <c r="F427" s="13" t="s">
        <v>152</v>
      </c>
      <c r="G427" s="13" t="s">
        <v>152</v>
      </c>
      <c r="H427" s="14"/>
    </row>
    <row r="428" customFormat="false" ht="15" hidden="false" customHeight="false" outlineLevel="0" collapsed="false">
      <c r="A428" s="7" t="s">
        <v>296</v>
      </c>
      <c r="B428" s="12" t="n">
        <v>1</v>
      </c>
      <c r="C428" s="12" t="n">
        <v>1</v>
      </c>
      <c r="D428" s="12" t="n">
        <v>1</v>
      </c>
      <c r="E428" s="13" t="s">
        <v>297</v>
      </c>
      <c r="F428" s="13" t="s">
        <v>297</v>
      </c>
      <c r="G428" s="13" t="s">
        <v>297</v>
      </c>
      <c r="H428" s="14"/>
    </row>
    <row r="429" customFormat="false" ht="15" hidden="false" customHeight="false" outlineLevel="0" collapsed="false">
      <c r="A429" s="7" t="s">
        <v>298</v>
      </c>
      <c r="B429" s="12" t="n">
        <v>5</v>
      </c>
      <c r="C429" s="12" t="n">
        <v>5</v>
      </c>
      <c r="D429" s="12" t="n">
        <v>5</v>
      </c>
      <c r="E429" s="13" t="s">
        <v>299</v>
      </c>
      <c r="F429" s="13" t="s">
        <v>300</v>
      </c>
      <c r="G429" s="13" t="s">
        <v>300</v>
      </c>
      <c r="H429" s="14"/>
    </row>
    <row r="430" customFormat="false" ht="15" hidden="false" customHeight="false" outlineLevel="0" collapsed="false">
      <c r="A430" s="7" t="s">
        <v>338</v>
      </c>
      <c r="B430" s="12" t="n">
        <v>3</v>
      </c>
      <c r="C430" s="12" t="n">
        <v>3</v>
      </c>
      <c r="D430" s="12" t="n">
        <v>3</v>
      </c>
      <c r="E430" s="13" t="s">
        <v>339</v>
      </c>
      <c r="F430" s="13" t="s">
        <v>340</v>
      </c>
      <c r="G430" s="13" t="s">
        <v>340</v>
      </c>
      <c r="H430" s="14"/>
    </row>
    <row r="431" customFormat="false" ht="15" hidden="false" customHeight="false" outlineLevel="0" collapsed="false">
      <c r="A431" s="7" t="s">
        <v>301</v>
      </c>
      <c r="B431" s="12" t="n">
        <v>1</v>
      </c>
      <c r="C431" s="12" t="n">
        <v>1</v>
      </c>
      <c r="D431" s="12" t="n">
        <v>1</v>
      </c>
      <c r="E431" s="13" t="s">
        <v>85</v>
      </c>
      <c r="F431" s="13" t="s">
        <v>85</v>
      </c>
      <c r="G431" s="13" t="s">
        <v>85</v>
      </c>
      <c r="H431" s="14"/>
    </row>
    <row r="432" customFormat="false" ht="15" hidden="false" customHeight="false" outlineLevel="0" collapsed="false">
      <c r="A432" s="23" t="s">
        <v>302</v>
      </c>
      <c r="B432" s="12" t="n">
        <v>1</v>
      </c>
      <c r="C432" s="12" t="n">
        <v>1</v>
      </c>
      <c r="D432" s="12" t="n">
        <v>1</v>
      </c>
      <c r="E432" s="13" t="s">
        <v>303</v>
      </c>
      <c r="F432" s="13" t="s">
        <v>303</v>
      </c>
      <c r="G432" s="13" t="s">
        <v>303</v>
      </c>
      <c r="H432" s="24" t="s">
        <v>182</v>
      </c>
    </row>
    <row r="433" customFormat="false" ht="15" hidden="false" customHeight="false" outlineLevel="0" collapsed="false">
      <c r="A433" s="7" t="s">
        <v>255</v>
      </c>
      <c r="B433" s="12" t="n">
        <v>1</v>
      </c>
      <c r="C433" s="12" t="n">
        <v>1</v>
      </c>
      <c r="D433" s="12" t="n">
        <v>1</v>
      </c>
      <c r="E433" s="13" t="s">
        <v>256</v>
      </c>
      <c r="F433" s="13" t="s">
        <v>256</v>
      </c>
      <c r="G433" s="13" t="s">
        <v>256</v>
      </c>
      <c r="H433" s="14"/>
    </row>
    <row r="434" customFormat="false" ht="15" hidden="false" customHeight="false" outlineLevel="0" collapsed="false">
      <c r="A434" s="7" t="s">
        <v>257</v>
      </c>
      <c r="B434" s="12" t="n">
        <v>1</v>
      </c>
      <c r="C434" s="12" t="n">
        <v>1</v>
      </c>
      <c r="D434" s="12" t="n">
        <v>1</v>
      </c>
      <c r="E434" s="13" t="s">
        <v>163</v>
      </c>
      <c r="F434" s="13" t="s">
        <v>163</v>
      </c>
      <c r="G434" s="13" t="s">
        <v>163</v>
      </c>
      <c r="H434" s="14"/>
    </row>
    <row r="435" customFormat="false" ht="15" hidden="false" customHeight="false" outlineLevel="0" collapsed="false">
      <c r="A435" s="7" t="s">
        <v>97</v>
      </c>
      <c r="B435" s="12" t="n">
        <v>2</v>
      </c>
      <c r="C435" s="12" t="s">
        <v>124</v>
      </c>
      <c r="D435" s="12" t="s">
        <v>124</v>
      </c>
      <c r="E435" s="13" t="s">
        <v>98</v>
      </c>
      <c r="F435" s="13"/>
      <c r="G435" s="13"/>
      <c r="H435" s="14"/>
    </row>
    <row r="436" customFormat="false" ht="15" hidden="false" customHeight="false" outlineLevel="0" collapsed="false">
      <c r="A436" s="7" t="s">
        <v>99</v>
      </c>
      <c r="B436" s="12" t="n">
        <v>1</v>
      </c>
      <c r="C436" s="12" t="n">
        <v>1</v>
      </c>
      <c r="D436" s="12" t="n">
        <v>1</v>
      </c>
      <c r="E436" s="13" t="s">
        <v>100</v>
      </c>
      <c r="F436" s="13" t="s">
        <v>101</v>
      </c>
      <c r="G436" s="13" t="s">
        <v>101</v>
      </c>
      <c r="H436" s="14"/>
    </row>
    <row r="437" customFormat="false" ht="15" hidden="false" customHeight="false" outlineLevel="0" collapsed="false">
      <c r="A437" s="7" t="s">
        <v>164</v>
      </c>
      <c r="B437" s="12" t="n">
        <v>1</v>
      </c>
      <c r="C437" s="12" t="n">
        <v>1</v>
      </c>
      <c r="D437" s="12" t="n">
        <v>1</v>
      </c>
      <c r="E437" s="13" t="s">
        <v>165</v>
      </c>
      <c r="F437" s="13" t="s">
        <v>103</v>
      </c>
      <c r="G437" s="13" t="s">
        <v>103</v>
      </c>
      <c r="H437" s="14"/>
    </row>
    <row r="438" customFormat="false" ht="15" hidden="false" customHeight="false" outlineLevel="0" collapsed="false">
      <c r="A438" s="7" t="s">
        <v>166</v>
      </c>
      <c r="B438" s="12" t="n">
        <v>1</v>
      </c>
      <c r="C438" s="12" t="n">
        <v>2</v>
      </c>
      <c r="D438" s="12" t="n">
        <v>2</v>
      </c>
      <c r="E438" s="13" t="s">
        <v>108</v>
      </c>
      <c r="F438" s="13" t="s">
        <v>109</v>
      </c>
      <c r="G438" s="13" t="s">
        <v>109</v>
      </c>
      <c r="H438" s="14"/>
    </row>
    <row r="439" customFormat="false" ht="15" hidden="false" customHeight="false" outlineLevel="0" collapsed="false">
      <c r="A439" s="7" t="s">
        <v>304</v>
      </c>
      <c r="B439" s="12" t="n">
        <v>1</v>
      </c>
      <c r="C439" s="12" t="n">
        <v>1</v>
      </c>
      <c r="D439" s="12" t="n">
        <v>1</v>
      </c>
      <c r="E439" s="13" t="s">
        <v>111</v>
      </c>
      <c r="F439" s="13" t="s">
        <v>112</v>
      </c>
      <c r="G439" s="13" t="s">
        <v>112</v>
      </c>
      <c r="H439" s="14"/>
    </row>
    <row r="440" customFormat="false" ht="15" hidden="false" customHeight="false" outlineLevel="0" collapsed="false">
      <c r="A440" s="23" t="s">
        <v>199</v>
      </c>
      <c r="B440" s="12" t="n">
        <v>1</v>
      </c>
      <c r="C440" s="12" t="n">
        <v>1</v>
      </c>
      <c r="D440" s="12" t="n">
        <v>1</v>
      </c>
      <c r="E440" s="13" t="s">
        <v>222</v>
      </c>
      <c r="F440" s="13" t="s">
        <v>222</v>
      </c>
      <c r="G440" s="13" t="s">
        <v>222</v>
      </c>
      <c r="H440" s="24" t="s">
        <v>182</v>
      </c>
    </row>
    <row r="441" customFormat="false" ht="15" hidden="false" customHeight="false" outlineLevel="0" collapsed="false">
      <c r="A441" s="7" t="s">
        <v>305</v>
      </c>
      <c r="B441" s="12" t="n">
        <v>1</v>
      </c>
      <c r="C441" s="12" t="n">
        <v>1</v>
      </c>
      <c r="D441" s="12" t="n">
        <v>1</v>
      </c>
      <c r="E441" s="13" t="s">
        <v>306</v>
      </c>
      <c r="F441" s="13" t="s">
        <v>307</v>
      </c>
      <c r="G441" s="13" t="s">
        <v>307</v>
      </c>
      <c r="H441" s="14"/>
    </row>
    <row r="442" customFormat="false" ht="15" hidden="false" customHeight="false" outlineLevel="0" collapsed="false">
      <c r="A442" s="7" t="s">
        <v>176</v>
      </c>
      <c r="B442" s="12" t="n">
        <v>1</v>
      </c>
      <c r="C442" s="12" t="n">
        <v>1</v>
      </c>
      <c r="D442" s="12" t="n">
        <v>1</v>
      </c>
      <c r="E442" s="13" t="s">
        <v>177</v>
      </c>
      <c r="F442" s="13" t="s">
        <v>177</v>
      </c>
      <c r="G442" s="13" t="s">
        <v>177</v>
      </c>
      <c r="H442" s="14"/>
    </row>
    <row r="443" customFormat="false" ht="15" hidden="false" customHeight="false" outlineLevel="0" collapsed="false">
      <c r="A443" s="7" t="s">
        <v>393</v>
      </c>
      <c r="B443" s="12" t="s">
        <v>180</v>
      </c>
      <c r="C443" s="12" t="n">
        <v>1</v>
      </c>
      <c r="D443" s="12" t="n">
        <v>1</v>
      </c>
      <c r="E443" s="13" t="s">
        <v>394</v>
      </c>
      <c r="F443" s="13" t="s">
        <v>394</v>
      </c>
      <c r="G443" s="13" t="s">
        <v>394</v>
      </c>
      <c r="H443" s="14"/>
    </row>
    <row r="444" customFormat="false" ht="15" hidden="false" customHeight="false" outlineLevel="0" collapsed="false">
      <c r="A444" s="15" t="s">
        <v>395</v>
      </c>
      <c r="B444" s="12" t="s">
        <v>180</v>
      </c>
      <c r="C444" s="12" t="n">
        <v>1</v>
      </c>
      <c r="D444" s="12" t="n">
        <v>1</v>
      </c>
      <c r="E444" s="13" t="s">
        <v>127</v>
      </c>
      <c r="F444" s="13" t="s">
        <v>127</v>
      </c>
      <c r="G444" s="13" t="s">
        <v>127</v>
      </c>
      <c r="H444" s="16" t="s">
        <v>128</v>
      </c>
    </row>
    <row r="445" customFormat="false" ht="15" hidden="false" customHeight="false" outlineLevel="0" collapsed="false">
      <c r="A445" s="7" t="s">
        <v>396</v>
      </c>
      <c r="B445" s="12" t="s">
        <v>180</v>
      </c>
      <c r="C445" s="12" t="n">
        <v>1</v>
      </c>
      <c r="D445" s="12" t="n">
        <v>1</v>
      </c>
      <c r="E445" s="13" t="s">
        <v>397</v>
      </c>
      <c r="F445" s="13" t="s">
        <v>397</v>
      </c>
      <c r="G445" s="13" t="s">
        <v>397</v>
      </c>
      <c r="H445" s="14"/>
    </row>
    <row r="446" customFormat="false" ht="15" hidden="false" customHeight="false" outlineLevel="0" collapsed="false">
      <c r="A446" s="7" t="s">
        <v>398</v>
      </c>
      <c r="B446" s="12" t="s">
        <v>180</v>
      </c>
      <c r="C446" s="12" t="n">
        <v>1</v>
      </c>
      <c r="D446" s="12" t="n">
        <v>1</v>
      </c>
      <c r="E446" s="13" t="s">
        <v>399</v>
      </c>
      <c r="F446" s="13" t="s">
        <v>399</v>
      </c>
      <c r="G446" s="13" t="s">
        <v>399</v>
      </c>
      <c r="H446" s="14"/>
    </row>
    <row r="447" customFormat="false" ht="15" hidden="false" customHeight="false" outlineLevel="0" collapsed="false">
      <c r="A447" s="7" t="s">
        <v>400</v>
      </c>
      <c r="B447" s="12" t="s">
        <v>180</v>
      </c>
      <c r="C447" s="12" t="n">
        <v>1</v>
      </c>
      <c r="D447" s="12" t="n">
        <v>1</v>
      </c>
      <c r="E447" s="13" t="s">
        <v>401</v>
      </c>
      <c r="F447" s="13" t="s">
        <v>401</v>
      </c>
      <c r="G447" s="13" t="s">
        <v>401</v>
      </c>
      <c r="H447" s="14"/>
    </row>
    <row r="448" customFormat="false" ht="15" hidden="false" customHeight="false" outlineLevel="0" collapsed="false">
      <c r="A448" s="7" t="s">
        <v>402</v>
      </c>
      <c r="B448" s="12" t="s">
        <v>180</v>
      </c>
      <c r="C448" s="12" t="n">
        <v>1</v>
      </c>
      <c r="D448" s="12" t="n">
        <v>1</v>
      </c>
      <c r="E448" s="13" t="s">
        <v>403</v>
      </c>
      <c r="F448" s="13" t="s">
        <v>403</v>
      </c>
      <c r="G448" s="13" t="s">
        <v>403</v>
      </c>
      <c r="H448" s="14"/>
    </row>
    <row r="449" customFormat="false" ht="15" hidden="false" customHeight="false" outlineLevel="0" collapsed="false">
      <c r="A449" s="7" t="s">
        <v>404</v>
      </c>
      <c r="B449" s="12" t="s">
        <v>180</v>
      </c>
      <c r="C449" s="12" t="n">
        <v>1</v>
      </c>
      <c r="D449" s="12" t="n">
        <v>1</v>
      </c>
      <c r="E449" s="13" t="s">
        <v>405</v>
      </c>
      <c r="F449" s="13" t="s">
        <v>405</v>
      </c>
      <c r="G449" s="13" t="s">
        <v>405</v>
      </c>
      <c r="H449" s="14"/>
    </row>
    <row r="450" customFormat="false" ht="15" hidden="false" customHeight="false" outlineLevel="0" collapsed="false">
      <c r="A450" s="7" t="s">
        <v>406</v>
      </c>
      <c r="B450" s="12" t="s">
        <v>180</v>
      </c>
      <c r="C450" s="12" t="n">
        <v>1</v>
      </c>
      <c r="D450" s="12" t="n">
        <v>1</v>
      </c>
      <c r="E450" s="13" t="s">
        <v>407</v>
      </c>
      <c r="F450" s="13" t="s">
        <v>407</v>
      </c>
      <c r="G450" s="13" t="s">
        <v>407</v>
      </c>
      <c r="H450" s="14"/>
    </row>
    <row r="451" customFormat="false" ht="15" hidden="false" customHeight="false" outlineLevel="0" collapsed="false">
      <c r="A451" s="7" t="s">
        <v>408</v>
      </c>
      <c r="B451" s="12" t="s">
        <v>180</v>
      </c>
      <c r="C451" s="12" t="n">
        <v>1</v>
      </c>
      <c r="D451" s="12" t="n">
        <v>1</v>
      </c>
      <c r="E451" s="13" t="s">
        <v>409</v>
      </c>
      <c r="F451" s="13" t="s">
        <v>409</v>
      </c>
      <c r="G451" s="13" t="s">
        <v>409</v>
      </c>
      <c r="H451" s="14"/>
    </row>
    <row r="452" customFormat="false" ht="15" hidden="false" customHeight="false" outlineLevel="0" collapsed="false">
      <c r="A452" s="7" t="s">
        <v>410</v>
      </c>
      <c r="B452" s="12" t="s">
        <v>180</v>
      </c>
      <c r="C452" s="12" t="n">
        <v>1</v>
      </c>
      <c r="D452" s="12" t="n">
        <v>1</v>
      </c>
      <c r="E452" s="13" t="s">
        <v>411</v>
      </c>
      <c r="F452" s="13" t="s">
        <v>411</v>
      </c>
      <c r="G452" s="13" t="s">
        <v>411</v>
      </c>
      <c r="H452" s="14"/>
    </row>
    <row r="453" customFormat="false" ht="15" hidden="false" customHeight="false" outlineLevel="0" collapsed="false">
      <c r="A453" s="15" t="s">
        <v>412</v>
      </c>
      <c r="B453" s="12" t="s">
        <v>180</v>
      </c>
      <c r="C453" s="12" t="n">
        <v>1</v>
      </c>
      <c r="D453" s="12" t="n">
        <v>1</v>
      </c>
      <c r="E453" s="13" t="s">
        <v>127</v>
      </c>
      <c r="F453" s="13" t="s">
        <v>127</v>
      </c>
      <c r="G453" s="13" t="s">
        <v>127</v>
      </c>
      <c r="H453" s="16" t="s">
        <v>128</v>
      </c>
    </row>
    <row r="454" customFormat="false" ht="15" hidden="false" customHeight="false" outlineLevel="0" collapsed="false">
      <c r="A454" s="7" t="s">
        <v>413</v>
      </c>
      <c r="B454" s="12" t="s">
        <v>180</v>
      </c>
      <c r="C454" s="12" t="n">
        <v>1</v>
      </c>
      <c r="D454" s="12" t="n">
        <v>1</v>
      </c>
      <c r="E454" s="13" t="s">
        <v>414</v>
      </c>
      <c r="F454" s="13" t="s">
        <v>414</v>
      </c>
      <c r="G454" s="13" t="s">
        <v>414</v>
      </c>
      <c r="H454" s="14"/>
    </row>
    <row r="455" customFormat="false" ht="15" hidden="false" customHeight="false" outlineLevel="0" collapsed="false">
      <c r="A455" s="7" t="s">
        <v>321</v>
      </c>
      <c r="B455" s="12" t="s">
        <v>121</v>
      </c>
      <c r="C455" s="12" t="n">
        <v>1</v>
      </c>
      <c r="D455" s="12" t="n">
        <v>1</v>
      </c>
      <c r="E455" s="13" t="s">
        <v>322</v>
      </c>
      <c r="F455" s="13" t="s">
        <v>322</v>
      </c>
      <c r="G455" s="13" t="s">
        <v>322</v>
      </c>
      <c r="H455" s="14"/>
    </row>
    <row r="456" customFormat="false" ht="15" hidden="false" customHeight="false" outlineLevel="0" collapsed="false">
      <c r="A456" s="7" t="s">
        <v>188</v>
      </c>
      <c r="B456" s="12" t="s">
        <v>124</v>
      </c>
      <c r="C456" s="12" t="n">
        <v>1</v>
      </c>
      <c r="D456" s="12" t="n">
        <v>1</v>
      </c>
      <c r="E456" s="13"/>
      <c r="F456" s="13" t="s">
        <v>189</v>
      </c>
      <c r="G456" s="13" t="s">
        <v>189</v>
      </c>
      <c r="H456" s="14"/>
    </row>
    <row r="457" customFormat="false" ht="15" hidden="false" customHeight="false" outlineLevel="0" collapsed="false">
      <c r="A457" s="7" t="s">
        <v>323</v>
      </c>
      <c r="B457" s="12" t="s">
        <v>124</v>
      </c>
      <c r="C457" s="12" t="n">
        <v>1</v>
      </c>
      <c r="D457" s="12" t="n">
        <v>1</v>
      </c>
      <c r="E457" s="13"/>
      <c r="F457" s="13" t="s">
        <v>324</v>
      </c>
      <c r="G457" s="13" t="s">
        <v>324</v>
      </c>
      <c r="H457" s="14"/>
    </row>
    <row r="458" customFormat="false" ht="15" hidden="false" customHeight="false" outlineLevel="0" collapsed="false">
      <c r="A458" s="7" t="s">
        <v>325</v>
      </c>
      <c r="B458" s="12" t="s">
        <v>124</v>
      </c>
      <c r="C458" s="12" t="n">
        <v>1</v>
      </c>
      <c r="D458" s="12" t="n">
        <v>1</v>
      </c>
      <c r="E458" s="13"/>
      <c r="F458" s="13" t="s">
        <v>326</v>
      </c>
      <c r="G458" s="13" t="s">
        <v>327</v>
      </c>
      <c r="H458" s="14"/>
    </row>
    <row r="459" customFormat="false" ht="15" hidden="false" customHeight="false" outlineLevel="0" collapsed="false">
      <c r="A459" s="7" t="s">
        <v>104</v>
      </c>
      <c r="B459" s="12" t="s">
        <v>124</v>
      </c>
      <c r="C459" s="12" t="n">
        <v>1</v>
      </c>
      <c r="D459" s="12" t="n">
        <v>1</v>
      </c>
      <c r="E459" s="13"/>
      <c r="F459" s="13" t="s">
        <v>105</v>
      </c>
      <c r="G459" s="13" t="s">
        <v>106</v>
      </c>
      <c r="H459" s="14"/>
    </row>
    <row r="460" customFormat="false" ht="15" hidden="false" customHeight="false" outlineLevel="0" collapsed="false">
      <c r="A460" s="17" t="s">
        <v>328</v>
      </c>
      <c r="B460" s="12" t="s">
        <v>124</v>
      </c>
      <c r="C460" s="12" t="n">
        <v>1</v>
      </c>
      <c r="D460" s="12" t="n">
        <v>1</v>
      </c>
      <c r="E460" s="13"/>
      <c r="F460" s="13" t="s">
        <v>140</v>
      </c>
      <c r="G460" s="13" t="s">
        <v>140</v>
      </c>
      <c r="H460" s="18" t="s">
        <v>141</v>
      </c>
    </row>
    <row r="461" customFormat="false" ht="15" hidden="false" customHeight="false" outlineLevel="0" collapsed="false">
      <c r="A461" s="7" t="s">
        <v>329</v>
      </c>
      <c r="B461" s="12" t="s">
        <v>124</v>
      </c>
      <c r="C461" s="12" t="n">
        <v>1</v>
      </c>
      <c r="D461" s="12" t="n">
        <v>1</v>
      </c>
      <c r="E461" s="13"/>
      <c r="F461" s="13" t="s">
        <v>330</v>
      </c>
      <c r="G461" s="13" t="s">
        <v>330</v>
      </c>
      <c r="H461" s="14"/>
    </row>
    <row r="462" customFormat="false" ht="15" hidden="false" customHeight="false" outlineLevel="0" collapsed="false">
      <c r="A462" s="15" t="s">
        <v>382</v>
      </c>
      <c r="B462" s="12" t="s">
        <v>124</v>
      </c>
      <c r="C462" s="12" t="n">
        <v>1</v>
      </c>
      <c r="D462" s="12" t="n">
        <v>1</v>
      </c>
      <c r="E462" s="13"/>
      <c r="F462" s="13" t="s">
        <v>127</v>
      </c>
      <c r="G462" s="13" t="s">
        <v>127</v>
      </c>
      <c r="H462" s="16" t="s">
        <v>128</v>
      </c>
    </row>
    <row r="463" customFormat="false" ht="15" hidden="false" customHeight="false" outlineLevel="0" collapsed="false">
      <c r="A463" s="7" t="s">
        <v>331</v>
      </c>
      <c r="B463" s="12" t="s">
        <v>124</v>
      </c>
      <c r="C463" s="12" t="n">
        <v>1</v>
      </c>
      <c r="D463" s="12" t="n">
        <v>1</v>
      </c>
      <c r="E463" s="13"/>
      <c r="F463" s="13" t="s">
        <v>114</v>
      </c>
      <c r="G463" s="13" t="s">
        <v>114</v>
      </c>
      <c r="H463" s="14"/>
    </row>
    <row r="464" customFormat="false" ht="15" hidden="false" customHeight="false" outlineLevel="0" collapsed="false">
      <c r="A464" s="7" t="s">
        <v>117</v>
      </c>
      <c r="B464" s="12" t="s">
        <v>124</v>
      </c>
      <c r="C464" s="12" t="n">
        <v>1</v>
      </c>
      <c r="D464" s="12" t="n">
        <v>1</v>
      </c>
      <c r="E464" s="13"/>
      <c r="F464" s="13" t="s">
        <v>178</v>
      </c>
      <c r="G464" s="13" t="s">
        <v>178</v>
      </c>
      <c r="H464" s="14"/>
    </row>
    <row r="465" customFormat="false" ht="15" hidden="false" customHeight="false" outlineLevel="0" collapsed="false">
      <c r="A465" s="7" t="s">
        <v>415</v>
      </c>
      <c r="B465" s="12" t="s">
        <v>124</v>
      </c>
      <c r="C465" s="12" t="s">
        <v>124</v>
      </c>
      <c r="D465" s="12" t="n">
        <v>1</v>
      </c>
      <c r="E465" s="13"/>
      <c r="F465" s="13"/>
      <c r="G465" s="13" t="s">
        <v>416</v>
      </c>
      <c r="H465" s="14"/>
    </row>
    <row r="466" customFormat="false" ht="15" hidden="false" customHeight="false" outlineLevel="0" collapsed="false">
      <c r="A466" s="7" t="s">
        <v>417</v>
      </c>
      <c r="B466" s="12" t="s">
        <v>124</v>
      </c>
      <c r="C466" s="12" t="s">
        <v>124</v>
      </c>
      <c r="D466" s="12" t="n">
        <v>1</v>
      </c>
      <c r="E466" s="13"/>
      <c r="F466" s="13"/>
      <c r="G466" s="13" t="s">
        <v>418</v>
      </c>
      <c r="H466" s="14"/>
    </row>
    <row r="467" customFormat="false" ht="15" hidden="false" customHeight="false" outlineLevel="0" collapsed="false">
      <c r="A467" s="23" t="s">
        <v>419</v>
      </c>
      <c r="B467" s="12" t="s">
        <v>124</v>
      </c>
      <c r="C467" s="12" t="s">
        <v>124</v>
      </c>
      <c r="D467" s="12" t="n">
        <v>1</v>
      </c>
      <c r="E467" s="13"/>
      <c r="F467" s="13"/>
      <c r="G467" s="13" t="s">
        <v>420</v>
      </c>
      <c r="H467" s="24" t="s">
        <v>182</v>
      </c>
    </row>
    <row r="468" customFormat="false" ht="15" hidden="false" customHeight="false" outlineLevel="0" collapsed="false">
      <c r="A468" s="23" t="s">
        <v>421</v>
      </c>
      <c r="B468" s="12" t="s">
        <v>124</v>
      </c>
      <c r="C468" s="12" t="s">
        <v>124</v>
      </c>
      <c r="D468" s="12" t="n">
        <v>1</v>
      </c>
      <c r="E468" s="13"/>
      <c r="F468" s="13"/>
      <c r="G468" s="13" t="s">
        <v>422</v>
      </c>
      <c r="H468" s="24" t="s">
        <v>182</v>
      </c>
    </row>
    <row r="469" customFormat="false" ht="15" hidden="false" customHeight="false" outlineLevel="0" collapsed="false">
      <c r="A469" s="7" t="s">
        <v>423</v>
      </c>
      <c r="B469" s="12" t="s">
        <v>124</v>
      </c>
      <c r="C469" s="12" t="s">
        <v>124</v>
      </c>
      <c r="D469" s="12" t="n">
        <v>1</v>
      </c>
      <c r="E469" s="13"/>
      <c r="F469" s="13"/>
      <c r="G469" s="13" t="s">
        <v>424</v>
      </c>
      <c r="H469" s="14"/>
    </row>
    <row r="470" customFormat="false" ht="15" hidden="false" customHeight="false" outlineLevel="0" collapsed="false">
      <c r="A470" s="15" t="s">
        <v>425</v>
      </c>
      <c r="B470" s="12" t="s">
        <v>124</v>
      </c>
      <c r="C470" s="12" t="s">
        <v>124</v>
      </c>
      <c r="D470" s="12" t="n">
        <v>1</v>
      </c>
      <c r="E470" s="13"/>
      <c r="F470" s="13"/>
      <c r="G470" s="13" t="s">
        <v>127</v>
      </c>
      <c r="H470" s="16" t="s">
        <v>128</v>
      </c>
    </row>
    <row r="471" customFormat="false" ht="15" hidden="false" customHeight="false" outlineLevel="0" collapsed="false">
      <c r="A471" s="19" t="s">
        <v>149</v>
      </c>
      <c r="B471" s="20" t="n">
        <f aca="false">'Récap par kit'!F53</f>
        <v>17570</v>
      </c>
      <c r="C471" s="20" t="n">
        <f aca="false">'Récap par kit'!F54</f>
        <v>85810</v>
      </c>
      <c r="D471" s="20" t="n">
        <f aca="false">'Récap par kit'!F55</f>
        <v>112670</v>
      </c>
    </row>
    <row r="473" customFormat="false" ht="15" hidden="false" customHeight="false" outlineLevel="0" collapsed="false">
      <c r="A473" s="11" t="s">
        <v>426</v>
      </c>
    </row>
    <row r="474" customFormat="false" ht="15" hidden="false" customHeight="false" outlineLevel="0" collapsed="false">
      <c r="A474" s="6" t="s">
        <v>79</v>
      </c>
      <c r="B474" s="6" t="s">
        <v>48</v>
      </c>
      <c r="C474" s="6" t="s">
        <v>49</v>
      </c>
      <c r="D474" s="6" t="s">
        <v>50</v>
      </c>
      <c r="E474" s="6" t="s">
        <v>80</v>
      </c>
      <c r="F474" s="6" t="s">
        <v>81</v>
      </c>
      <c r="G474" s="6" t="s">
        <v>82</v>
      </c>
      <c r="H474" s="6" t="s">
        <v>83</v>
      </c>
    </row>
    <row r="475" customFormat="false" ht="15" hidden="false" customHeight="false" outlineLevel="0" collapsed="false">
      <c r="A475" s="7" t="s">
        <v>295</v>
      </c>
      <c r="B475" s="12" t="n">
        <v>1</v>
      </c>
      <c r="C475" s="12" t="n">
        <v>1</v>
      </c>
      <c r="D475" s="12" t="n">
        <v>1</v>
      </c>
      <c r="E475" s="13" t="s">
        <v>152</v>
      </c>
      <c r="F475" s="13" t="s">
        <v>152</v>
      </c>
      <c r="G475" s="13" t="s">
        <v>152</v>
      </c>
      <c r="H475" s="14"/>
    </row>
    <row r="476" customFormat="false" ht="15" hidden="false" customHeight="false" outlineLevel="0" collapsed="false">
      <c r="A476" s="7" t="s">
        <v>296</v>
      </c>
      <c r="B476" s="12" t="n">
        <v>4</v>
      </c>
      <c r="C476" s="12" t="n">
        <v>4</v>
      </c>
      <c r="D476" s="12" t="n">
        <v>4</v>
      </c>
      <c r="E476" s="13" t="s">
        <v>297</v>
      </c>
      <c r="F476" s="13" t="s">
        <v>297</v>
      </c>
      <c r="G476" s="13" t="s">
        <v>297</v>
      </c>
      <c r="H476" s="14"/>
    </row>
    <row r="477" customFormat="false" ht="15" hidden="false" customHeight="false" outlineLevel="0" collapsed="false">
      <c r="A477" s="7" t="s">
        <v>298</v>
      </c>
      <c r="B477" s="12" t="n">
        <v>2</v>
      </c>
      <c r="C477" s="12" t="n">
        <v>2</v>
      </c>
      <c r="D477" s="12" t="n">
        <v>2</v>
      </c>
      <c r="E477" s="13" t="s">
        <v>299</v>
      </c>
      <c r="F477" s="13" t="s">
        <v>300</v>
      </c>
      <c r="G477" s="13" t="s">
        <v>300</v>
      </c>
      <c r="H477" s="14"/>
    </row>
    <row r="478" customFormat="false" ht="15" hidden="false" customHeight="false" outlineLevel="0" collapsed="false">
      <c r="A478" s="7" t="s">
        <v>338</v>
      </c>
      <c r="B478" s="12" t="n">
        <v>4</v>
      </c>
      <c r="C478" s="12" t="n">
        <v>4</v>
      </c>
      <c r="D478" s="12" t="n">
        <v>4</v>
      </c>
      <c r="E478" s="13" t="s">
        <v>339</v>
      </c>
      <c r="F478" s="13" t="s">
        <v>340</v>
      </c>
      <c r="G478" s="13" t="s">
        <v>340</v>
      </c>
      <c r="H478" s="14"/>
    </row>
    <row r="479" customFormat="false" ht="15" hidden="false" customHeight="false" outlineLevel="0" collapsed="false">
      <c r="A479" s="7" t="s">
        <v>301</v>
      </c>
      <c r="B479" s="12" t="n">
        <v>1</v>
      </c>
      <c r="C479" s="12" t="n">
        <v>1</v>
      </c>
      <c r="D479" s="12" t="n">
        <v>1</v>
      </c>
      <c r="E479" s="13" t="s">
        <v>85</v>
      </c>
      <c r="F479" s="13" t="s">
        <v>85</v>
      </c>
      <c r="G479" s="13" t="s">
        <v>85</v>
      </c>
      <c r="H479" s="14"/>
    </row>
    <row r="480" customFormat="false" ht="15" hidden="false" customHeight="false" outlineLevel="0" collapsed="false">
      <c r="A480" s="7" t="s">
        <v>255</v>
      </c>
      <c r="B480" s="12" t="n">
        <v>1</v>
      </c>
      <c r="C480" s="12" t="n">
        <v>1</v>
      </c>
      <c r="D480" s="12" t="n">
        <v>1</v>
      </c>
      <c r="E480" s="13" t="s">
        <v>256</v>
      </c>
      <c r="F480" s="13" t="s">
        <v>256</v>
      </c>
      <c r="G480" s="13" t="s">
        <v>256</v>
      </c>
      <c r="H480" s="14"/>
    </row>
    <row r="481" customFormat="false" ht="15" hidden="false" customHeight="false" outlineLevel="0" collapsed="false">
      <c r="A481" s="7" t="s">
        <v>257</v>
      </c>
      <c r="B481" s="12" t="n">
        <v>1</v>
      </c>
      <c r="C481" s="12" t="n">
        <v>1</v>
      </c>
      <c r="D481" s="12" t="n">
        <v>1</v>
      </c>
      <c r="E481" s="13" t="s">
        <v>163</v>
      </c>
      <c r="F481" s="13" t="s">
        <v>163</v>
      </c>
      <c r="G481" s="13" t="s">
        <v>163</v>
      </c>
      <c r="H481" s="14"/>
    </row>
    <row r="482" customFormat="false" ht="15" hidden="false" customHeight="false" outlineLevel="0" collapsed="false">
      <c r="A482" s="7" t="s">
        <v>97</v>
      </c>
      <c r="B482" s="12" t="n">
        <v>2</v>
      </c>
      <c r="C482" s="12" t="s">
        <v>124</v>
      </c>
      <c r="D482" s="12" t="s">
        <v>124</v>
      </c>
      <c r="E482" s="13" t="s">
        <v>98</v>
      </c>
      <c r="F482" s="13"/>
      <c r="G482" s="13"/>
      <c r="H482" s="14"/>
    </row>
    <row r="483" customFormat="false" ht="15" hidden="false" customHeight="false" outlineLevel="0" collapsed="false">
      <c r="A483" s="7" t="s">
        <v>325</v>
      </c>
      <c r="B483" s="12" t="n">
        <v>1</v>
      </c>
      <c r="C483" s="12" t="n">
        <v>1</v>
      </c>
      <c r="D483" s="12" t="n">
        <v>1</v>
      </c>
      <c r="E483" s="13" t="s">
        <v>326</v>
      </c>
      <c r="F483" s="13" t="s">
        <v>326</v>
      </c>
      <c r="G483" s="13" t="s">
        <v>327</v>
      </c>
      <c r="H483" s="14"/>
    </row>
    <row r="484" customFormat="false" ht="15" hidden="false" customHeight="false" outlineLevel="0" collapsed="false">
      <c r="A484" s="7" t="s">
        <v>99</v>
      </c>
      <c r="B484" s="12" t="n">
        <v>1</v>
      </c>
      <c r="C484" s="12" t="n">
        <v>1</v>
      </c>
      <c r="D484" s="12" t="n">
        <v>1</v>
      </c>
      <c r="E484" s="13" t="s">
        <v>100</v>
      </c>
      <c r="F484" s="13" t="s">
        <v>101</v>
      </c>
      <c r="G484" s="13" t="s">
        <v>101</v>
      </c>
      <c r="H484" s="14"/>
    </row>
    <row r="485" customFormat="false" ht="15" hidden="false" customHeight="false" outlineLevel="0" collapsed="false">
      <c r="A485" s="7" t="s">
        <v>164</v>
      </c>
      <c r="B485" s="12" t="n">
        <v>1</v>
      </c>
      <c r="C485" s="12" t="n">
        <v>1</v>
      </c>
      <c r="D485" s="12" t="n">
        <v>1</v>
      </c>
      <c r="E485" s="13" t="s">
        <v>165</v>
      </c>
      <c r="F485" s="13" t="s">
        <v>103</v>
      </c>
      <c r="G485" s="13" t="s">
        <v>103</v>
      </c>
      <c r="H485" s="14"/>
    </row>
    <row r="486" customFormat="false" ht="15" hidden="false" customHeight="false" outlineLevel="0" collapsed="false">
      <c r="A486" s="7" t="s">
        <v>166</v>
      </c>
      <c r="B486" s="12" t="n">
        <v>1</v>
      </c>
      <c r="C486" s="12" t="n">
        <v>2</v>
      </c>
      <c r="D486" s="12" t="n">
        <v>2</v>
      </c>
      <c r="E486" s="13" t="s">
        <v>108</v>
      </c>
      <c r="F486" s="13" t="s">
        <v>109</v>
      </c>
      <c r="G486" s="13" t="s">
        <v>109</v>
      </c>
      <c r="H486" s="14"/>
    </row>
    <row r="487" customFormat="false" ht="15" hidden="false" customHeight="false" outlineLevel="0" collapsed="false">
      <c r="A487" s="7" t="s">
        <v>304</v>
      </c>
      <c r="B487" s="12" t="n">
        <v>1</v>
      </c>
      <c r="C487" s="12" t="n">
        <v>1</v>
      </c>
      <c r="D487" s="12" t="n">
        <v>1</v>
      </c>
      <c r="E487" s="13" t="s">
        <v>111</v>
      </c>
      <c r="F487" s="13" t="s">
        <v>112</v>
      </c>
      <c r="G487" s="13" t="s">
        <v>112</v>
      </c>
      <c r="H487" s="14"/>
    </row>
    <row r="488" customFormat="false" ht="15" hidden="false" customHeight="false" outlineLevel="0" collapsed="false">
      <c r="A488" s="23" t="s">
        <v>199</v>
      </c>
      <c r="B488" s="12" t="n">
        <v>1</v>
      </c>
      <c r="C488" s="12" t="n">
        <v>1</v>
      </c>
      <c r="D488" s="12" t="n">
        <v>1</v>
      </c>
      <c r="E488" s="13" t="s">
        <v>222</v>
      </c>
      <c r="F488" s="13" t="s">
        <v>222</v>
      </c>
      <c r="G488" s="13" t="s">
        <v>222</v>
      </c>
      <c r="H488" s="24" t="s">
        <v>182</v>
      </c>
    </row>
    <row r="489" customFormat="false" ht="15" hidden="false" customHeight="false" outlineLevel="0" collapsed="false">
      <c r="A489" s="7" t="s">
        <v>176</v>
      </c>
      <c r="B489" s="12" t="n">
        <v>1</v>
      </c>
      <c r="C489" s="12" t="n">
        <v>1</v>
      </c>
      <c r="D489" s="12" t="n">
        <v>1</v>
      </c>
      <c r="E489" s="13" t="s">
        <v>177</v>
      </c>
      <c r="F489" s="13" t="s">
        <v>177</v>
      </c>
      <c r="G489" s="13" t="s">
        <v>177</v>
      </c>
      <c r="H489" s="14"/>
    </row>
    <row r="490" customFormat="false" ht="15" hidden="false" customHeight="false" outlineLevel="0" collapsed="false">
      <c r="A490" s="15" t="s">
        <v>427</v>
      </c>
      <c r="B490" s="12" t="s">
        <v>180</v>
      </c>
      <c r="C490" s="12" t="n">
        <v>1</v>
      </c>
      <c r="D490" s="12" t="n">
        <v>1</v>
      </c>
      <c r="E490" s="13" t="s">
        <v>127</v>
      </c>
      <c r="F490" s="13" t="s">
        <v>127</v>
      </c>
      <c r="G490" s="13" t="s">
        <v>127</v>
      </c>
      <c r="H490" s="16" t="s">
        <v>128</v>
      </c>
    </row>
    <row r="491" customFormat="false" ht="15" hidden="false" customHeight="false" outlineLevel="0" collapsed="false">
      <c r="A491" s="7" t="s">
        <v>428</v>
      </c>
      <c r="B491" s="12" t="s">
        <v>180</v>
      </c>
      <c r="C491" s="12" t="n">
        <v>1</v>
      </c>
      <c r="D491" s="12" t="n">
        <v>1</v>
      </c>
      <c r="E491" s="13" t="s">
        <v>429</v>
      </c>
      <c r="F491" s="13" t="s">
        <v>429</v>
      </c>
      <c r="G491" s="13" t="s">
        <v>429</v>
      </c>
      <c r="H491" s="14"/>
    </row>
    <row r="492" customFormat="false" ht="15" hidden="false" customHeight="false" outlineLevel="0" collapsed="false">
      <c r="A492" s="7" t="s">
        <v>321</v>
      </c>
      <c r="B492" s="12" t="s">
        <v>121</v>
      </c>
      <c r="C492" s="12" t="n">
        <v>1</v>
      </c>
      <c r="D492" s="12" t="n">
        <v>1</v>
      </c>
      <c r="E492" s="13" t="s">
        <v>322</v>
      </c>
      <c r="F492" s="13" t="s">
        <v>322</v>
      </c>
      <c r="G492" s="13" t="s">
        <v>322</v>
      </c>
      <c r="H492" s="14"/>
    </row>
    <row r="493" customFormat="false" ht="15" hidden="false" customHeight="false" outlineLevel="0" collapsed="false">
      <c r="A493" s="7" t="s">
        <v>188</v>
      </c>
      <c r="B493" s="12" t="s">
        <v>124</v>
      </c>
      <c r="C493" s="12" t="n">
        <v>1</v>
      </c>
      <c r="D493" s="12" t="n">
        <v>1</v>
      </c>
      <c r="E493" s="13"/>
      <c r="F493" s="13" t="s">
        <v>189</v>
      </c>
      <c r="G493" s="13" t="s">
        <v>189</v>
      </c>
      <c r="H493" s="14"/>
    </row>
    <row r="494" customFormat="false" ht="15" hidden="false" customHeight="false" outlineLevel="0" collapsed="false">
      <c r="A494" s="7" t="s">
        <v>323</v>
      </c>
      <c r="B494" s="12" t="s">
        <v>124</v>
      </c>
      <c r="C494" s="12" t="n">
        <v>1</v>
      </c>
      <c r="D494" s="12" t="n">
        <v>1</v>
      </c>
      <c r="E494" s="13"/>
      <c r="F494" s="13" t="s">
        <v>324</v>
      </c>
      <c r="G494" s="13" t="s">
        <v>324</v>
      </c>
      <c r="H494" s="14"/>
    </row>
    <row r="495" customFormat="false" ht="15" hidden="false" customHeight="false" outlineLevel="0" collapsed="false">
      <c r="A495" s="7" t="s">
        <v>329</v>
      </c>
      <c r="B495" s="12" t="s">
        <v>124</v>
      </c>
      <c r="C495" s="12" t="n">
        <v>1</v>
      </c>
      <c r="D495" s="12" t="n">
        <v>1</v>
      </c>
      <c r="E495" s="13"/>
      <c r="F495" s="13" t="s">
        <v>330</v>
      </c>
      <c r="G495" s="13" t="s">
        <v>330</v>
      </c>
      <c r="H495" s="14"/>
    </row>
    <row r="496" customFormat="false" ht="15" hidden="false" customHeight="false" outlineLevel="0" collapsed="false">
      <c r="A496" s="15" t="s">
        <v>430</v>
      </c>
      <c r="B496" s="12" t="s">
        <v>124</v>
      </c>
      <c r="C496" s="12" t="n">
        <v>1</v>
      </c>
      <c r="D496" s="12" t="n">
        <v>1</v>
      </c>
      <c r="E496" s="13"/>
      <c r="F496" s="13" t="s">
        <v>127</v>
      </c>
      <c r="G496" s="13" t="s">
        <v>127</v>
      </c>
      <c r="H496" s="16" t="s">
        <v>128</v>
      </c>
    </row>
    <row r="497" customFormat="false" ht="15" hidden="false" customHeight="false" outlineLevel="0" collapsed="false">
      <c r="A497" s="15" t="s">
        <v>382</v>
      </c>
      <c r="B497" s="12" t="s">
        <v>124</v>
      </c>
      <c r="C497" s="12" t="n">
        <v>1</v>
      </c>
      <c r="D497" s="12" t="n">
        <v>1</v>
      </c>
      <c r="E497" s="13"/>
      <c r="F497" s="13" t="s">
        <v>127</v>
      </c>
      <c r="G497" s="13" t="s">
        <v>127</v>
      </c>
      <c r="H497" s="16" t="s">
        <v>128</v>
      </c>
    </row>
    <row r="498" customFormat="false" ht="15" hidden="false" customHeight="false" outlineLevel="0" collapsed="false">
      <c r="A498" s="7" t="s">
        <v>431</v>
      </c>
      <c r="B498" s="12" t="s">
        <v>124</v>
      </c>
      <c r="C498" s="12" t="n">
        <v>1</v>
      </c>
      <c r="D498" s="12" t="n">
        <v>1</v>
      </c>
      <c r="E498" s="13"/>
      <c r="F498" s="13" t="s">
        <v>432</v>
      </c>
      <c r="G498" s="13" t="s">
        <v>432</v>
      </c>
      <c r="H498" s="14"/>
    </row>
    <row r="499" customFormat="false" ht="15" hidden="false" customHeight="false" outlineLevel="0" collapsed="false">
      <c r="A499" s="7" t="s">
        <v>433</v>
      </c>
      <c r="B499" s="12" t="s">
        <v>124</v>
      </c>
      <c r="C499" s="12" t="n">
        <v>1</v>
      </c>
      <c r="D499" s="12" t="n">
        <v>1</v>
      </c>
      <c r="E499" s="13"/>
      <c r="F499" s="13" t="s">
        <v>434</v>
      </c>
      <c r="G499" s="13" t="s">
        <v>434</v>
      </c>
      <c r="H499" s="14"/>
    </row>
    <row r="500" customFormat="false" ht="15" hidden="false" customHeight="false" outlineLevel="0" collapsed="false">
      <c r="A500" s="23" t="s">
        <v>435</v>
      </c>
      <c r="B500" s="12" t="s">
        <v>124</v>
      </c>
      <c r="C500" s="12" t="n">
        <v>1</v>
      </c>
      <c r="D500" s="12" t="n">
        <v>1</v>
      </c>
      <c r="E500" s="13"/>
      <c r="F500" s="13" t="s">
        <v>436</v>
      </c>
      <c r="G500" s="13" t="s">
        <v>436</v>
      </c>
      <c r="H500" s="24" t="s">
        <v>182</v>
      </c>
    </row>
    <row r="501" customFormat="false" ht="15" hidden="false" customHeight="false" outlineLevel="0" collapsed="false">
      <c r="A501" s="7" t="s">
        <v>117</v>
      </c>
      <c r="B501" s="12" t="s">
        <v>124</v>
      </c>
      <c r="C501" s="12" t="n">
        <v>1</v>
      </c>
      <c r="D501" s="12" t="n">
        <v>1</v>
      </c>
      <c r="E501" s="13"/>
      <c r="F501" s="13" t="s">
        <v>178</v>
      </c>
      <c r="G501" s="13" t="s">
        <v>178</v>
      </c>
      <c r="H501" s="14"/>
    </row>
    <row r="502" customFormat="false" ht="15" hidden="false" customHeight="false" outlineLevel="0" collapsed="false">
      <c r="A502" s="21" t="s">
        <v>437</v>
      </c>
      <c r="B502" s="12" t="s">
        <v>124</v>
      </c>
      <c r="C502" s="12" t="s">
        <v>124</v>
      </c>
      <c r="D502" s="12" t="n">
        <v>1</v>
      </c>
      <c r="E502" s="13"/>
      <c r="F502" s="13"/>
      <c r="G502" s="13" t="s">
        <v>438</v>
      </c>
      <c r="H502" s="22" t="s">
        <v>172</v>
      </c>
    </row>
    <row r="503" customFormat="false" ht="15" hidden="false" customHeight="false" outlineLevel="0" collapsed="false">
      <c r="A503" s="21" t="s">
        <v>439</v>
      </c>
      <c r="B503" s="12" t="s">
        <v>124</v>
      </c>
      <c r="C503" s="12" t="s">
        <v>124</v>
      </c>
      <c r="D503" s="12" t="n">
        <v>1</v>
      </c>
      <c r="E503" s="13"/>
      <c r="F503" s="13"/>
      <c r="G503" s="13" t="s">
        <v>440</v>
      </c>
      <c r="H503" s="22" t="s">
        <v>172</v>
      </c>
    </row>
    <row r="504" customFormat="false" ht="15" hidden="false" customHeight="false" outlineLevel="0" collapsed="false">
      <c r="A504" s="19" t="s">
        <v>149</v>
      </c>
      <c r="B504" s="20" t="n">
        <f aca="false">'Récap par kit'!F57</f>
        <v>14470</v>
      </c>
      <c r="C504" s="20" t="n">
        <f aca="false">'Récap par kit'!F58</f>
        <v>42850</v>
      </c>
      <c r="D504" s="20" t="n">
        <f aca="false">'Récap par kit'!F59</f>
        <v>49200</v>
      </c>
    </row>
    <row r="506" customFormat="false" ht="15" hidden="false" customHeight="false" outlineLevel="0" collapsed="false">
      <c r="A506" s="11" t="s">
        <v>441</v>
      </c>
    </row>
    <row r="507" customFormat="false" ht="15" hidden="false" customHeight="false" outlineLevel="0" collapsed="false">
      <c r="A507" s="6" t="s">
        <v>79</v>
      </c>
      <c r="B507" s="6" t="s">
        <v>48</v>
      </c>
      <c r="C507" s="6" t="s">
        <v>49</v>
      </c>
      <c r="D507" s="6" t="s">
        <v>50</v>
      </c>
      <c r="E507" s="6" t="s">
        <v>80</v>
      </c>
      <c r="F507" s="6" t="s">
        <v>81</v>
      </c>
      <c r="G507" s="6" t="s">
        <v>82</v>
      </c>
      <c r="H507" s="6" t="s">
        <v>83</v>
      </c>
    </row>
    <row r="508" customFormat="false" ht="15" hidden="false" customHeight="false" outlineLevel="0" collapsed="false">
      <c r="A508" s="7" t="s">
        <v>295</v>
      </c>
      <c r="B508" s="12" t="n">
        <v>2</v>
      </c>
      <c r="C508" s="12" t="n">
        <v>2</v>
      </c>
      <c r="D508" s="12" t="n">
        <v>2</v>
      </c>
      <c r="E508" s="13" t="s">
        <v>152</v>
      </c>
      <c r="F508" s="13" t="s">
        <v>152</v>
      </c>
      <c r="G508" s="13" t="s">
        <v>152</v>
      </c>
      <c r="H508" s="14"/>
    </row>
    <row r="509" customFormat="false" ht="15" hidden="false" customHeight="false" outlineLevel="0" collapsed="false">
      <c r="A509" s="7" t="s">
        <v>296</v>
      </c>
      <c r="B509" s="12" t="n">
        <v>4</v>
      </c>
      <c r="C509" s="12" t="n">
        <v>4</v>
      </c>
      <c r="D509" s="12" t="n">
        <v>4</v>
      </c>
      <c r="E509" s="13" t="s">
        <v>297</v>
      </c>
      <c r="F509" s="13" t="s">
        <v>297</v>
      </c>
      <c r="G509" s="13" t="s">
        <v>297</v>
      </c>
      <c r="H509" s="14"/>
    </row>
    <row r="510" customFormat="false" ht="15" hidden="false" customHeight="false" outlineLevel="0" collapsed="false">
      <c r="A510" s="7" t="s">
        <v>298</v>
      </c>
      <c r="B510" s="12" t="n">
        <v>2</v>
      </c>
      <c r="C510" s="12" t="n">
        <v>2</v>
      </c>
      <c r="D510" s="12" t="n">
        <v>2</v>
      </c>
      <c r="E510" s="13" t="s">
        <v>299</v>
      </c>
      <c r="F510" s="13" t="s">
        <v>300</v>
      </c>
      <c r="G510" s="13" t="s">
        <v>300</v>
      </c>
      <c r="H510" s="14"/>
    </row>
    <row r="511" customFormat="false" ht="15" hidden="false" customHeight="false" outlineLevel="0" collapsed="false">
      <c r="A511" s="7" t="s">
        <v>338</v>
      </c>
      <c r="B511" s="12" t="n">
        <v>5</v>
      </c>
      <c r="C511" s="12" t="n">
        <v>5</v>
      </c>
      <c r="D511" s="12" t="n">
        <v>5</v>
      </c>
      <c r="E511" s="13" t="s">
        <v>339</v>
      </c>
      <c r="F511" s="13" t="s">
        <v>340</v>
      </c>
      <c r="G511" s="13" t="s">
        <v>340</v>
      </c>
      <c r="H511" s="14"/>
    </row>
    <row r="512" customFormat="false" ht="15" hidden="false" customHeight="false" outlineLevel="0" collapsed="false">
      <c r="A512" s="7" t="s">
        <v>442</v>
      </c>
      <c r="B512" s="12" t="n">
        <v>1</v>
      </c>
      <c r="C512" s="12" t="n">
        <v>1</v>
      </c>
      <c r="D512" s="12" t="n">
        <v>1</v>
      </c>
      <c r="E512" s="13" t="s">
        <v>87</v>
      </c>
      <c r="F512" s="13" t="s">
        <v>87</v>
      </c>
      <c r="G512" s="13" t="s">
        <v>87</v>
      </c>
      <c r="H512" s="14"/>
    </row>
    <row r="513" customFormat="false" ht="15" hidden="false" customHeight="false" outlineLevel="0" collapsed="false">
      <c r="A513" s="7" t="s">
        <v>255</v>
      </c>
      <c r="B513" s="12" t="n">
        <v>1</v>
      </c>
      <c r="C513" s="12" t="n">
        <v>1</v>
      </c>
      <c r="D513" s="12" t="n">
        <v>1</v>
      </c>
      <c r="E513" s="13" t="s">
        <v>256</v>
      </c>
      <c r="F513" s="13" t="s">
        <v>256</v>
      </c>
      <c r="G513" s="13" t="s">
        <v>256</v>
      </c>
      <c r="H513" s="14"/>
    </row>
    <row r="514" customFormat="false" ht="15" hidden="false" customHeight="false" outlineLevel="0" collapsed="false">
      <c r="A514" s="7" t="s">
        <v>257</v>
      </c>
      <c r="B514" s="12" t="n">
        <v>1</v>
      </c>
      <c r="C514" s="12" t="n">
        <v>1</v>
      </c>
      <c r="D514" s="12" t="n">
        <v>1</v>
      </c>
      <c r="E514" s="13" t="s">
        <v>163</v>
      </c>
      <c r="F514" s="13" t="s">
        <v>163</v>
      </c>
      <c r="G514" s="13" t="s">
        <v>163</v>
      </c>
      <c r="H514" s="14"/>
    </row>
    <row r="515" customFormat="false" ht="15" hidden="false" customHeight="false" outlineLevel="0" collapsed="false">
      <c r="A515" s="7" t="s">
        <v>97</v>
      </c>
      <c r="B515" s="12" t="n">
        <v>2</v>
      </c>
      <c r="C515" s="12" t="s">
        <v>124</v>
      </c>
      <c r="D515" s="12" t="s">
        <v>124</v>
      </c>
      <c r="E515" s="13" t="s">
        <v>98</v>
      </c>
      <c r="F515" s="13"/>
      <c r="G515" s="13"/>
      <c r="H515" s="14"/>
    </row>
    <row r="516" customFormat="false" ht="15" hidden="false" customHeight="false" outlineLevel="0" collapsed="false">
      <c r="A516" s="7" t="s">
        <v>325</v>
      </c>
      <c r="B516" s="12" t="n">
        <v>1</v>
      </c>
      <c r="C516" s="12" t="n">
        <v>1</v>
      </c>
      <c r="D516" s="12" t="n">
        <v>1</v>
      </c>
      <c r="E516" s="13" t="s">
        <v>326</v>
      </c>
      <c r="F516" s="13" t="s">
        <v>326</v>
      </c>
      <c r="G516" s="13" t="s">
        <v>327</v>
      </c>
      <c r="H516" s="14"/>
    </row>
    <row r="517" customFormat="false" ht="15" hidden="false" customHeight="false" outlineLevel="0" collapsed="false">
      <c r="A517" s="7" t="s">
        <v>99</v>
      </c>
      <c r="B517" s="12" t="n">
        <v>1</v>
      </c>
      <c r="C517" s="12" t="n">
        <v>1</v>
      </c>
      <c r="D517" s="12" t="n">
        <v>1</v>
      </c>
      <c r="E517" s="13" t="s">
        <v>100</v>
      </c>
      <c r="F517" s="13" t="s">
        <v>101</v>
      </c>
      <c r="G517" s="13" t="s">
        <v>101</v>
      </c>
      <c r="H517" s="14"/>
    </row>
    <row r="518" customFormat="false" ht="15" hidden="false" customHeight="false" outlineLevel="0" collapsed="false">
      <c r="A518" s="7" t="s">
        <v>164</v>
      </c>
      <c r="B518" s="12" t="n">
        <v>1</v>
      </c>
      <c r="C518" s="12" t="n">
        <v>1</v>
      </c>
      <c r="D518" s="12" t="n">
        <v>1</v>
      </c>
      <c r="E518" s="13" t="s">
        <v>165</v>
      </c>
      <c r="F518" s="13" t="s">
        <v>103</v>
      </c>
      <c r="G518" s="13" t="s">
        <v>103</v>
      </c>
      <c r="H518" s="14"/>
    </row>
    <row r="519" customFormat="false" ht="15" hidden="false" customHeight="false" outlineLevel="0" collapsed="false">
      <c r="A519" s="7" t="s">
        <v>166</v>
      </c>
      <c r="B519" s="12" t="n">
        <v>1</v>
      </c>
      <c r="C519" s="12" t="n">
        <v>2</v>
      </c>
      <c r="D519" s="12" t="n">
        <v>2</v>
      </c>
      <c r="E519" s="13" t="s">
        <v>108</v>
      </c>
      <c r="F519" s="13" t="s">
        <v>109</v>
      </c>
      <c r="G519" s="13" t="s">
        <v>109</v>
      </c>
      <c r="H519" s="14"/>
    </row>
    <row r="520" customFormat="false" ht="15" hidden="false" customHeight="false" outlineLevel="0" collapsed="false">
      <c r="A520" s="7" t="s">
        <v>304</v>
      </c>
      <c r="B520" s="12" t="n">
        <v>1</v>
      </c>
      <c r="C520" s="12" t="n">
        <v>1</v>
      </c>
      <c r="D520" s="12" t="n">
        <v>1</v>
      </c>
      <c r="E520" s="13" t="s">
        <v>111</v>
      </c>
      <c r="F520" s="13" t="s">
        <v>112</v>
      </c>
      <c r="G520" s="13" t="s">
        <v>112</v>
      </c>
      <c r="H520" s="14"/>
    </row>
    <row r="521" customFormat="false" ht="15" hidden="false" customHeight="false" outlineLevel="0" collapsed="false">
      <c r="A521" s="23" t="s">
        <v>199</v>
      </c>
      <c r="B521" s="12" t="n">
        <v>1</v>
      </c>
      <c r="C521" s="12" t="n">
        <v>1</v>
      </c>
      <c r="D521" s="12" t="n">
        <v>1</v>
      </c>
      <c r="E521" s="13" t="s">
        <v>222</v>
      </c>
      <c r="F521" s="13" t="s">
        <v>222</v>
      </c>
      <c r="G521" s="13" t="s">
        <v>222</v>
      </c>
      <c r="H521" s="24" t="s">
        <v>182</v>
      </c>
    </row>
    <row r="522" customFormat="false" ht="15" hidden="false" customHeight="false" outlineLevel="0" collapsed="false">
      <c r="A522" s="7" t="s">
        <v>443</v>
      </c>
      <c r="B522" s="12" t="n">
        <v>1</v>
      </c>
      <c r="C522" s="12" t="n">
        <v>1</v>
      </c>
      <c r="D522" s="12" t="n">
        <v>1</v>
      </c>
      <c r="E522" s="13" t="s">
        <v>307</v>
      </c>
      <c r="F522" s="13" t="s">
        <v>307</v>
      </c>
      <c r="G522" s="13" t="s">
        <v>307</v>
      </c>
      <c r="H522" s="14"/>
    </row>
    <row r="523" customFormat="false" ht="15" hidden="false" customHeight="false" outlineLevel="0" collapsed="false">
      <c r="A523" s="7" t="s">
        <v>176</v>
      </c>
      <c r="B523" s="12" t="n">
        <v>1</v>
      </c>
      <c r="C523" s="12" t="n">
        <v>1</v>
      </c>
      <c r="D523" s="12" t="n">
        <v>1</v>
      </c>
      <c r="E523" s="13" t="s">
        <v>177</v>
      </c>
      <c r="F523" s="13" t="s">
        <v>177</v>
      </c>
      <c r="G523" s="13" t="s">
        <v>177</v>
      </c>
      <c r="H523" s="14"/>
    </row>
    <row r="524" customFormat="false" ht="15" hidden="false" customHeight="false" outlineLevel="0" collapsed="false">
      <c r="A524" s="7" t="s">
        <v>444</v>
      </c>
      <c r="B524" s="12" t="s">
        <v>180</v>
      </c>
      <c r="C524" s="12" t="n">
        <v>1</v>
      </c>
      <c r="D524" s="12" t="n">
        <v>1</v>
      </c>
      <c r="E524" s="13" t="s">
        <v>445</v>
      </c>
      <c r="F524" s="13" t="s">
        <v>445</v>
      </c>
      <c r="G524" s="13" t="s">
        <v>445</v>
      </c>
      <c r="H524" s="14"/>
    </row>
    <row r="525" customFormat="false" ht="15" hidden="false" customHeight="false" outlineLevel="0" collapsed="false">
      <c r="A525" s="15" t="s">
        <v>446</v>
      </c>
      <c r="B525" s="12" t="s">
        <v>180</v>
      </c>
      <c r="C525" s="12" t="n">
        <v>1</v>
      </c>
      <c r="D525" s="12" t="n">
        <v>1</v>
      </c>
      <c r="E525" s="13" t="s">
        <v>127</v>
      </c>
      <c r="F525" s="13" t="s">
        <v>127</v>
      </c>
      <c r="G525" s="13" t="s">
        <v>127</v>
      </c>
      <c r="H525" s="16" t="s">
        <v>128</v>
      </c>
    </row>
    <row r="526" customFormat="false" ht="15" hidden="false" customHeight="false" outlineLevel="0" collapsed="false">
      <c r="A526" s="15" t="s">
        <v>427</v>
      </c>
      <c r="B526" s="12" t="s">
        <v>180</v>
      </c>
      <c r="C526" s="12" t="n">
        <v>1</v>
      </c>
      <c r="D526" s="12" t="n">
        <v>1</v>
      </c>
      <c r="E526" s="13" t="s">
        <v>127</v>
      </c>
      <c r="F526" s="13" t="s">
        <v>127</v>
      </c>
      <c r="G526" s="13" t="s">
        <v>127</v>
      </c>
      <c r="H526" s="16" t="s">
        <v>128</v>
      </c>
    </row>
    <row r="527" customFormat="false" ht="15" hidden="false" customHeight="false" outlineLevel="0" collapsed="false">
      <c r="A527" s="15" t="s">
        <v>447</v>
      </c>
      <c r="B527" s="12" t="s">
        <v>180</v>
      </c>
      <c r="C527" s="12" t="n">
        <v>1</v>
      </c>
      <c r="D527" s="12" t="n">
        <v>1</v>
      </c>
      <c r="E527" s="13" t="s">
        <v>127</v>
      </c>
      <c r="F527" s="13" t="s">
        <v>127</v>
      </c>
      <c r="G527" s="13" t="s">
        <v>127</v>
      </c>
      <c r="H527" s="16" t="s">
        <v>128</v>
      </c>
    </row>
    <row r="528" customFormat="false" ht="15" hidden="false" customHeight="false" outlineLevel="0" collapsed="false">
      <c r="A528" s="7" t="s">
        <v>448</v>
      </c>
      <c r="B528" s="12" t="s">
        <v>180</v>
      </c>
      <c r="C528" s="12" t="n">
        <v>1</v>
      </c>
      <c r="D528" s="12" t="n">
        <v>1</v>
      </c>
      <c r="E528" s="13" t="s">
        <v>449</v>
      </c>
      <c r="F528" s="13" t="s">
        <v>449</v>
      </c>
      <c r="G528" s="13" t="s">
        <v>449</v>
      </c>
      <c r="H528" s="14"/>
    </row>
    <row r="529" customFormat="false" ht="15" hidden="false" customHeight="false" outlineLevel="0" collapsed="false">
      <c r="A529" s="15" t="s">
        <v>450</v>
      </c>
      <c r="B529" s="12" t="s">
        <v>180</v>
      </c>
      <c r="C529" s="12" t="n">
        <v>1</v>
      </c>
      <c r="D529" s="12" t="n">
        <v>1</v>
      </c>
      <c r="E529" s="13" t="s">
        <v>127</v>
      </c>
      <c r="F529" s="13" t="s">
        <v>127</v>
      </c>
      <c r="G529" s="13" t="s">
        <v>127</v>
      </c>
      <c r="H529" s="16" t="s">
        <v>128</v>
      </c>
    </row>
    <row r="530" customFormat="false" ht="15" hidden="false" customHeight="false" outlineLevel="0" collapsed="false">
      <c r="A530" s="7" t="s">
        <v>451</v>
      </c>
      <c r="B530" s="12" t="s">
        <v>180</v>
      </c>
      <c r="C530" s="12" t="n">
        <v>1</v>
      </c>
      <c r="D530" s="12" t="n">
        <v>1</v>
      </c>
      <c r="E530" s="13" t="s">
        <v>452</v>
      </c>
      <c r="F530" s="13" t="s">
        <v>452</v>
      </c>
      <c r="G530" s="13" t="s">
        <v>452</v>
      </c>
      <c r="H530" s="14"/>
    </row>
    <row r="531" customFormat="false" ht="15" hidden="false" customHeight="false" outlineLevel="0" collapsed="false">
      <c r="A531" s="7" t="s">
        <v>453</v>
      </c>
      <c r="B531" s="12" t="s">
        <v>180</v>
      </c>
      <c r="C531" s="12" t="n">
        <v>1</v>
      </c>
      <c r="D531" s="12" t="n">
        <v>1</v>
      </c>
      <c r="E531" s="13" t="s">
        <v>454</v>
      </c>
      <c r="F531" s="13" t="s">
        <v>454</v>
      </c>
      <c r="G531" s="13" t="s">
        <v>454</v>
      </c>
      <c r="H531" s="14"/>
    </row>
    <row r="532" customFormat="false" ht="15" hidden="false" customHeight="false" outlineLevel="0" collapsed="false">
      <c r="A532" s="7" t="s">
        <v>321</v>
      </c>
      <c r="B532" s="12" t="s">
        <v>121</v>
      </c>
      <c r="C532" s="12" t="n">
        <v>1</v>
      </c>
      <c r="D532" s="12" t="n">
        <v>1</v>
      </c>
      <c r="E532" s="13" t="s">
        <v>322</v>
      </c>
      <c r="F532" s="13" t="s">
        <v>322</v>
      </c>
      <c r="G532" s="13" t="s">
        <v>322</v>
      </c>
      <c r="H532" s="14"/>
    </row>
    <row r="533" customFormat="false" ht="15" hidden="false" customHeight="false" outlineLevel="0" collapsed="false">
      <c r="A533" s="7" t="s">
        <v>188</v>
      </c>
      <c r="B533" s="12" t="s">
        <v>124</v>
      </c>
      <c r="C533" s="12" t="n">
        <v>1</v>
      </c>
      <c r="D533" s="12" t="n">
        <v>1</v>
      </c>
      <c r="E533" s="13"/>
      <c r="F533" s="13" t="s">
        <v>189</v>
      </c>
      <c r="G533" s="13" t="s">
        <v>189</v>
      </c>
      <c r="H533" s="14"/>
    </row>
    <row r="534" customFormat="false" ht="15" hidden="false" customHeight="false" outlineLevel="0" collapsed="false">
      <c r="A534" s="7" t="s">
        <v>323</v>
      </c>
      <c r="B534" s="12" t="s">
        <v>124</v>
      </c>
      <c r="C534" s="12" t="n">
        <v>1</v>
      </c>
      <c r="D534" s="12" t="n">
        <v>1</v>
      </c>
      <c r="E534" s="13"/>
      <c r="F534" s="13" t="s">
        <v>324</v>
      </c>
      <c r="G534" s="13" t="s">
        <v>324</v>
      </c>
      <c r="H534" s="14"/>
    </row>
    <row r="535" customFormat="false" ht="15" hidden="false" customHeight="false" outlineLevel="0" collapsed="false">
      <c r="A535" s="7" t="s">
        <v>329</v>
      </c>
      <c r="B535" s="12" t="s">
        <v>124</v>
      </c>
      <c r="C535" s="12" t="n">
        <v>1</v>
      </c>
      <c r="D535" s="12" t="n">
        <v>1</v>
      </c>
      <c r="E535" s="13"/>
      <c r="F535" s="13" t="s">
        <v>330</v>
      </c>
      <c r="G535" s="13" t="s">
        <v>330</v>
      </c>
      <c r="H535" s="14"/>
    </row>
    <row r="536" customFormat="false" ht="15" hidden="false" customHeight="false" outlineLevel="0" collapsed="false">
      <c r="A536" s="15" t="s">
        <v>430</v>
      </c>
      <c r="B536" s="12" t="s">
        <v>124</v>
      </c>
      <c r="C536" s="12" t="n">
        <v>1</v>
      </c>
      <c r="D536" s="12" t="n">
        <v>1</v>
      </c>
      <c r="E536" s="13"/>
      <c r="F536" s="13" t="s">
        <v>127</v>
      </c>
      <c r="G536" s="13" t="s">
        <v>127</v>
      </c>
      <c r="H536" s="16" t="s">
        <v>128</v>
      </c>
    </row>
    <row r="537" customFormat="false" ht="15" hidden="false" customHeight="false" outlineLevel="0" collapsed="false">
      <c r="A537" s="15" t="s">
        <v>382</v>
      </c>
      <c r="B537" s="12" t="s">
        <v>124</v>
      </c>
      <c r="C537" s="12" t="n">
        <v>1</v>
      </c>
      <c r="D537" s="12" t="n">
        <v>1</v>
      </c>
      <c r="E537" s="13"/>
      <c r="F537" s="13" t="s">
        <v>127</v>
      </c>
      <c r="G537" s="13" t="s">
        <v>127</v>
      </c>
      <c r="H537" s="16" t="s">
        <v>128</v>
      </c>
    </row>
    <row r="538" customFormat="false" ht="15" hidden="false" customHeight="false" outlineLevel="0" collapsed="false">
      <c r="A538" s="7" t="s">
        <v>431</v>
      </c>
      <c r="B538" s="12" t="s">
        <v>124</v>
      </c>
      <c r="C538" s="12" t="n">
        <v>1</v>
      </c>
      <c r="D538" s="12" t="n">
        <v>1</v>
      </c>
      <c r="E538" s="13"/>
      <c r="F538" s="13" t="s">
        <v>432</v>
      </c>
      <c r="G538" s="13" t="s">
        <v>432</v>
      </c>
      <c r="H538" s="14"/>
    </row>
    <row r="539" customFormat="false" ht="15" hidden="false" customHeight="false" outlineLevel="0" collapsed="false">
      <c r="A539" s="7" t="s">
        <v>433</v>
      </c>
      <c r="B539" s="12" t="s">
        <v>124</v>
      </c>
      <c r="C539" s="12" t="n">
        <v>1</v>
      </c>
      <c r="D539" s="12" t="n">
        <v>1</v>
      </c>
      <c r="E539" s="13"/>
      <c r="F539" s="13" t="s">
        <v>434</v>
      </c>
      <c r="G539" s="13" t="s">
        <v>434</v>
      </c>
      <c r="H539" s="14"/>
    </row>
    <row r="540" customFormat="false" ht="15" hidden="false" customHeight="false" outlineLevel="0" collapsed="false">
      <c r="A540" s="23" t="s">
        <v>435</v>
      </c>
      <c r="B540" s="12" t="s">
        <v>124</v>
      </c>
      <c r="C540" s="12" t="n">
        <v>1</v>
      </c>
      <c r="D540" s="12" t="n">
        <v>1</v>
      </c>
      <c r="E540" s="13"/>
      <c r="F540" s="13" t="s">
        <v>436</v>
      </c>
      <c r="G540" s="13" t="s">
        <v>436</v>
      </c>
      <c r="H540" s="24" t="s">
        <v>182</v>
      </c>
    </row>
    <row r="541" customFormat="false" ht="15" hidden="false" customHeight="false" outlineLevel="0" collapsed="false">
      <c r="A541" s="7" t="s">
        <v>117</v>
      </c>
      <c r="B541" s="12" t="s">
        <v>124</v>
      </c>
      <c r="C541" s="12" t="n">
        <v>1</v>
      </c>
      <c r="D541" s="12" t="n">
        <v>1</v>
      </c>
      <c r="E541" s="13"/>
      <c r="F541" s="13" t="s">
        <v>178</v>
      </c>
      <c r="G541" s="13" t="s">
        <v>178</v>
      </c>
      <c r="H541" s="14"/>
    </row>
    <row r="542" customFormat="false" ht="15" hidden="false" customHeight="false" outlineLevel="0" collapsed="false">
      <c r="A542" s="23" t="s">
        <v>455</v>
      </c>
      <c r="B542" s="12" t="s">
        <v>124</v>
      </c>
      <c r="C542" s="12" t="s">
        <v>124</v>
      </c>
      <c r="D542" s="12" t="n">
        <v>1</v>
      </c>
      <c r="E542" s="13"/>
      <c r="F542" s="13"/>
      <c r="G542" s="13" t="s">
        <v>456</v>
      </c>
      <c r="H542" s="24" t="s">
        <v>182</v>
      </c>
    </row>
    <row r="543" customFormat="false" ht="15" hidden="false" customHeight="false" outlineLevel="0" collapsed="false">
      <c r="A543" s="15" t="s">
        <v>457</v>
      </c>
      <c r="B543" s="12" t="s">
        <v>124</v>
      </c>
      <c r="C543" s="12" t="s">
        <v>124</v>
      </c>
      <c r="D543" s="12" t="n">
        <v>1</v>
      </c>
      <c r="E543" s="13"/>
      <c r="F543" s="13"/>
      <c r="G543" s="13" t="s">
        <v>127</v>
      </c>
      <c r="H543" s="16" t="s">
        <v>128</v>
      </c>
    </row>
    <row r="544" customFormat="false" ht="15" hidden="false" customHeight="false" outlineLevel="0" collapsed="false">
      <c r="A544" s="15" t="s">
        <v>458</v>
      </c>
      <c r="B544" s="12" t="s">
        <v>124</v>
      </c>
      <c r="C544" s="12" t="s">
        <v>124</v>
      </c>
      <c r="D544" s="12" t="n">
        <v>1</v>
      </c>
      <c r="E544" s="13"/>
      <c r="F544" s="13"/>
      <c r="G544" s="13" t="s">
        <v>127</v>
      </c>
      <c r="H544" s="16" t="s">
        <v>128</v>
      </c>
    </row>
    <row r="545" customFormat="false" ht="15" hidden="false" customHeight="false" outlineLevel="0" collapsed="false">
      <c r="A545" s="15" t="s">
        <v>459</v>
      </c>
      <c r="B545" s="12" t="s">
        <v>124</v>
      </c>
      <c r="C545" s="12" t="s">
        <v>124</v>
      </c>
      <c r="D545" s="12" t="n">
        <v>1</v>
      </c>
      <c r="E545" s="13"/>
      <c r="F545" s="13"/>
      <c r="G545" s="13" t="s">
        <v>127</v>
      </c>
      <c r="H545" s="16" t="s">
        <v>128</v>
      </c>
    </row>
    <row r="546" customFormat="false" ht="15" hidden="false" customHeight="false" outlineLevel="0" collapsed="false">
      <c r="A546" s="7" t="s">
        <v>460</v>
      </c>
      <c r="B546" s="12" t="s">
        <v>124</v>
      </c>
      <c r="C546" s="12" t="s">
        <v>124</v>
      </c>
      <c r="D546" s="12" t="n">
        <v>1</v>
      </c>
      <c r="E546" s="13"/>
      <c r="F546" s="13"/>
      <c r="G546" s="13" t="s">
        <v>461</v>
      </c>
      <c r="H546" s="14"/>
    </row>
    <row r="547" customFormat="false" ht="15" hidden="false" customHeight="false" outlineLevel="0" collapsed="false">
      <c r="A547" s="23" t="s">
        <v>462</v>
      </c>
      <c r="B547" s="12" t="s">
        <v>124</v>
      </c>
      <c r="C547" s="12" t="s">
        <v>124</v>
      </c>
      <c r="D547" s="12" t="n">
        <v>1</v>
      </c>
      <c r="E547" s="13"/>
      <c r="F547" s="13"/>
      <c r="G547" s="13" t="s">
        <v>463</v>
      </c>
      <c r="H547" s="24" t="s">
        <v>182</v>
      </c>
    </row>
    <row r="548" customFormat="false" ht="15" hidden="false" customHeight="false" outlineLevel="0" collapsed="false">
      <c r="A548" s="19" t="s">
        <v>149</v>
      </c>
      <c r="B548" s="20" t="n">
        <f aca="false">'Récap par kit'!F61</f>
        <v>20970</v>
      </c>
      <c r="C548" s="20" t="n">
        <f aca="false">'Récap par kit'!F62</f>
        <v>63860</v>
      </c>
      <c r="D548" s="20" t="n">
        <f aca="false">'Récap par kit'!F63</f>
        <v>93120</v>
      </c>
    </row>
    <row r="550" customFormat="false" ht="15" hidden="false" customHeight="false" outlineLevel="0" collapsed="false">
      <c r="A550" s="11" t="s">
        <v>464</v>
      </c>
    </row>
    <row r="551" customFormat="false" ht="15" hidden="false" customHeight="false" outlineLevel="0" collapsed="false">
      <c r="A551" s="6" t="s">
        <v>79</v>
      </c>
      <c r="B551" s="6" t="s">
        <v>48</v>
      </c>
      <c r="C551" s="6" t="s">
        <v>49</v>
      </c>
      <c r="D551" s="6" t="s">
        <v>50</v>
      </c>
      <c r="E551" s="6" t="s">
        <v>80</v>
      </c>
      <c r="F551" s="6" t="s">
        <v>81</v>
      </c>
      <c r="G551" s="6" t="s">
        <v>82</v>
      </c>
      <c r="H551" s="6" t="s">
        <v>83</v>
      </c>
    </row>
    <row r="552" customFormat="false" ht="15" hidden="false" customHeight="false" outlineLevel="0" collapsed="false">
      <c r="A552" s="7" t="s">
        <v>295</v>
      </c>
      <c r="B552" s="12" t="n">
        <v>1</v>
      </c>
      <c r="C552" s="12" t="n">
        <v>1</v>
      </c>
      <c r="D552" s="12" t="n">
        <v>1</v>
      </c>
      <c r="E552" s="13" t="s">
        <v>152</v>
      </c>
      <c r="F552" s="13" t="s">
        <v>152</v>
      </c>
      <c r="G552" s="13" t="s">
        <v>152</v>
      </c>
      <c r="H552" s="14"/>
    </row>
    <row r="553" customFormat="false" ht="15" hidden="false" customHeight="false" outlineLevel="0" collapsed="false">
      <c r="A553" s="7" t="s">
        <v>296</v>
      </c>
      <c r="B553" s="12" t="n">
        <v>4</v>
      </c>
      <c r="C553" s="12" t="n">
        <v>4</v>
      </c>
      <c r="D553" s="12" t="n">
        <v>4</v>
      </c>
      <c r="E553" s="13" t="s">
        <v>297</v>
      </c>
      <c r="F553" s="13" t="s">
        <v>297</v>
      </c>
      <c r="G553" s="13" t="s">
        <v>297</v>
      </c>
      <c r="H553" s="14"/>
    </row>
    <row r="554" customFormat="false" ht="15" hidden="false" customHeight="false" outlineLevel="0" collapsed="false">
      <c r="A554" s="7" t="s">
        <v>298</v>
      </c>
      <c r="B554" s="12" t="n">
        <v>2</v>
      </c>
      <c r="C554" s="12" t="n">
        <v>2</v>
      </c>
      <c r="D554" s="12" t="n">
        <v>2</v>
      </c>
      <c r="E554" s="13" t="s">
        <v>299</v>
      </c>
      <c r="F554" s="13" t="s">
        <v>300</v>
      </c>
      <c r="G554" s="13" t="s">
        <v>300</v>
      </c>
      <c r="H554" s="14"/>
    </row>
    <row r="555" customFormat="false" ht="15" hidden="false" customHeight="false" outlineLevel="0" collapsed="false">
      <c r="A555" s="7" t="s">
        <v>338</v>
      </c>
      <c r="B555" s="12" t="n">
        <v>4</v>
      </c>
      <c r="C555" s="12" t="n">
        <v>4</v>
      </c>
      <c r="D555" s="12" t="n">
        <v>4</v>
      </c>
      <c r="E555" s="13" t="s">
        <v>339</v>
      </c>
      <c r="F555" s="13" t="s">
        <v>340</v>
      </c>
      <c r="G555" s="13" t="s">
        <v>340</v>
      </c>
      <c r="H555" s="14"/>
    </row>
    <row r="556" customFormat="false" ht="15" hidden="false" customHeight="false" outlineLevel="0" collapsed="false">
      <c r="A556" s="7" t="s">
        <v>301</v>
      </c>
      <c r="B556" s="12" t="n">
        <v>1</v>
      </c>
      <c r="C556" s="12" t="n">
        <v>1</v>
      </c>
      <c r="D556" s="12" t="n">
        <v>1</v>
      </c>
      <c r="E556" s="13" t="s">
        <v>85</v>
      </c>
      <c r="F556" s="13" t="s">
        <v>85</v>
      </c>
      <c r="G556" s="13" t="s">
        <v>85</v>
      </c>
      <c r="H556" s="14"/>
    </row>
    <row r="557" customFormat="false" ht="15" hidden="false" customHeight="false" outlineLevel="0" collapsed="false">
      <c r="A557" s="7" t="s">
        <v>255</v>
      </c>
      <c r="B557" s="12" t="n">
        <v>1</v>
      </c>
      <c r="C557" s="12" t="n">
        <v>1</v>
      </c>
      <c r="D557" s="12" t="n">
        <v>1</v>
      </c>
      <c r="E557" s="13" t="s">
        <v>256</v>
      </c>
      <c r="F557" s="13" t="s">
        <v>256</v>
      </c>
      <c r="G557" s="13" t="s">
        <v>256</v>
      </c>
      <c r="H557" s="14"/>
    </row>
    <row r="558" customFormat="false" ht="15" hidden="false" customHeight="false" outlineLevel="0" collapsed="false">
      <c r="A558" s="7" t="s">
        <v>257</v>
      </c>
      <c r="B558" s="12" t="n">
        <v>1</v>
      </c>
      <c r="C558" s="12" t="n">
        <v>1</v>
      </c>
      <c r="D558" s="12" t="n">
        <v>1</v>
      </c>
      <c r="E558" s="13" t="s">
        <v>163</v>
      </c>
      <c r="F558" s="13" t="s">
        <v>163</v>
      </c>
      <c r="G558" s="13" t="s">
        <v>163</v>
      </c>
      <c r="H558" s="14"/>
    </row>
    <row r="559" customFormat="false" ht="15" hidden="false" customHeight="false" outlineLevel="0" collapsed="false">
      <c r="A559" s="7" t="s">
        <v>97</v>
      </c>
      <c r="B559" s="12" t="n">
        <v>2</v>
      </c>
      <c r="C559" s="12" t="s">
        <v>124</v>
      </c>
      <c r="D559" s="12" t="s">
        <v>124</v>
      </c>
      <c r="E559" s="13" t="s">
        <v>98</v>
      </c>
      <c r="F559" s="13"/>
      <c r="G559" s="13"/>
      <c r="H559" s="14"/>
    </row>
    <row r="560" customFormat="false" ht="15" hidden="false" customHeight="false" outlineLevel="0" collapsed="false">
      <c r="A560" s="7" t="s">
        <v>325</v>
      </c>
      <c r="B560" s="12" t="n">
        <v>1</v>
      </c>
      <c r="C560" s="12" t="n">
        <v>1</v>
      </c>
      <c r="D560" s="12" t="n">
        <v>1</v>
      </c>
      <c r="E560" s="13" t="s">
        <v>326</v>
      </c>
      <c r="F560" s="13" t="s">
        <v>326</v>
      </c>
      <c r="G560" s="13" t="s">
        <v>327</v>
      </c>
      <c r="H560" s="14"/>
    </row>
    <row r="561" customFormat="false" ht="15" hidden="false" customHeight="false" outlineLevel="0" collapsed="false">
      <c r="A561" s="7" t="s">
        <v>99</v>
      </c>
      <c r="B561" s="12" t="n">
        <v>1</v>
      </c>
      <c r="C561" s="12" t="n">
        <v>1</v>
      </c>
      <c r="D561" s="12" t="n">
        <v>1</v>
      </c>
      <c r="E561" s="13" t="s">
        <v>100</v>
      </c>
      <c r="F561" s="13" t="s">
        <v>101</v>
      </c>
      <c r="G561" s="13" t="s">
        <v>101</v>
      </c>
      <c r="H561" s="14"/>
    </row>
    <row r="562" customFormat="false" ht="15" hidden="false" customHeight="false" outlineLevel="0" collapsed="false">
      <c r="A562" s="7" t="s">
        <v>164</v>
      </c>
      <c r="B562" s="12" t="n">
        <v>1</v>
      </c>
      <c r="C562" s="12" t="n">
        <v>1</v>
      </c>
      <c r="D562" s="12" t="n">
        <v>1</v>
      </c>
      <c r="E562" s="13" t="s">
        <v>165</v>
      </c>
      <c r="F562" s="13" t="s">
        <v>103</v>
      </c>
      <c r="G562" s="13" t="s">
        <v>103</v>
      </c>
      <c r="H562" s="14"/>
    </row>
    <row r="563" customFormat="false" ht="15" hidden="false" customHeight="false" outlineLevel="0" collapsed="false">
      <c r="A563" s="7" t="s">
        <v>166</v>
      </c>
      <c r="B563" s="12" t="n">
        <v>1</v>
      </c>
      <c r="C563" s="12" t="n">
        <v>2</v>
      </c>
      <c r="D563" s="12" t="n">
        <v>2</v>
      </c>
      <c r="E563" s="13" t="s">
        <v>108</v>
      </c>
      <c r="F563" s="13" t="s">
        <v>109</v>
      </c>
      <c r="G563" s="13" t="s">
        <v>109</v>
      </c>
      <c r="H563" s="14"/>
    </row>
    <row r="564" customFormat="false" ht="15" hidden="false" customHeight="false" outlineLevel="0" collapsed="false">
      <c r="A564" s="7" t="s">
        <v>304</v>
      </c>
      <c r="B564" s="12" t="n">
        <v>1</v>
      </c>
      <c r="C564" s="12" t="n">
        <v>1</v>
      </c>
      <c r="D564" s="12" t="n">
        <v>1</v>
      </c>
      <c r="E564" s="13" t="s">
        <v>111</v>
      </c>
      <c r="F564" s="13" t="s">
        <v>112</v>
      </c>
      <c r="G564" s="13" t="s">
        <v>112</v>
      </c>
      <c r="H564" s="14"/>
    </row>
    <row r="565" customFormat="false" ht="15" hidden="false" customHeight="false" outlineLevel="0" collapsed="false">
      <c r="A565" s="23" t="s">
        <v>199</v>
      </c>
      <c r="B565" s="12" t="n">
        <v>1</v>
      </c>
      <c r="C565" s="12" t="n">
        <v>1</v>
      </c>
      <c r="D565" s="12" t="n">
        <v>1</v>
      </c>
      <c r="E565" s="13" t="s">
        <v>222</v>
      </c>
      <c r="F565" s="13" t="s">
        <v>222</v>
      </c>
      <c r="G565" s="13" t="s">
        <v>222</v>
      </c>
      <c r="H565" s="24" t="s">
        <v>182</v>
      </c>
    </row>
    <row r="566" customFormat="false" ht="15" hidden="false" customHeight="false" outlineLevel="0" collapsed="false">
      <c r="A566" s="7" t="s">
        <v>176</v>
      </c>
      <c r="B566" s="12" t="n">
        <v>1</v>
      </c>
      <c r="C566" s="12" t="n">
        <v>1</v>
      </c>
      <c r="D566" s="12" t="n">
        <v>1</v>
      </c>
      <c r="E566" s="13" t="s">
        <v>177</v>
      </c>
      <c r="F566" s="13" t="s">
        <v>177</v>
      </c>
      <c r="G566" s="13" t="s">
        <v>177</v>
      </c>
      <c r="H566" s="14"/>
    </row>
    <row r="567" customFormat="false" ht="15" hidden="false" customHeight="false" outlineLevel="0" collapsed="false">
      <c r="A567" s="7" t="s">
        <v>465</v>
      </c>
      <c r="B567" s="12" t="s">
        <v>180</v>
      </c>
      <c r="C567" s="12" t="n">
        <v>1</v>
      </c>
      <c r="D567" s="12" t="n">
        <v>1</v>
      </c>
      <c r="E567" s="13" t="s">
        <v>466</v>
      </c>
      <c r="F567" s="13" t="s">
        <v>466</v>
      </c>
      <c r="G567" s="13" t="s">
        <v>466</v>
      </c>
      <c r="H567" s="14"/>
    </row>
    <row r="568" customFormat="false" ht="15" hidden="false" customHeight="false" outlineLevel="0" collapsed="false">
      <c r="A568" s="7" t="s">
        <v>467</v>
      </c>
      <c r="B568" s="12" t="s">
        <v>180</v>
      </c>
      <c r="C568" s="12" t="n">
        <v>1</v>
      </c>
      <c r="D568" s="12" t="n">
        <v>1</v>
      </c>
      <c r="E568" s="13" t="s">
        <v>468</v>
      </c>
      <c r="F568" s="13" t="s">
        <v>468</v>
      </c>
      <c r="G568" s="13" t="s">
        <v>468</v>
      </c>
      <c r="H568" s="14"/>
    </row>
    <row r="569" customFormat="false" ht="15" hidden="false" customHeight="false" outlineLevel="0" collapsed="false">
      <c r="A569" s="7" t="s">
        <v>469</v>
      </c>
      <c r="B569" s="12" t="s">
        <v>180</v>
      </c>
      <c r="C569" s="12" t="n">
        <v>1</v>
      </c>
      <c r="D569" s="12" t="n">
        <v>1</v>
      </c>
      <c r="E569" s="13" t="s">
        <v>470</v>
      </c>
      <c r="F569" s="13" t="s">
        <v>470</v>
      </c>
      <c r="G569" s="13" t="s">
        <v>470</v>
      </c>
      <c r="H569" s="14"/>
    </row>
    <row r="570" customFormat="false" ht="15" hidden="false" customHeight="false" outlineLevel="0" collapsed="false">
      <c r="A570" s="7" t="s">
        <v>321</v>
      </c>
      <c r="B570" s="12" t="s">
        <v>121</v>
      </c>
      <c r="C570" s="12" t="n">
        <v>1</v>
      </c>
      <c r="D570" s="12" t="n">
        <v>1</v>
      </c>
      <c r="E570" s="13" t="s">
        <v>322</v>
      </c>
      <c r="F570" s="13" t="s">
        <v>322</v>
      </c>
      <c r="G570" s="13" t="s">
        <v>322</v>
      </c>
      <c r="H570" s="14"/>
    </row>
    <row r="571" customFormat="false" ht="15" hidden="false" customHeight="false" outlineLevel="0" collapsed="false">
      <c r="A571" s="7" t="s">
        <v>188</v>
      </c>
      <c r="B571" s="12" t="s">
        <v>124</v>
      </c>
      <c r="C571" s="12" t="n">
        <v>1</v>
      </c>
      <c r="D571" s="12" t="n">
        <v>1</v>
      </c>
      <c r="E571" s="13"/>
      <c r="F571" s="13" t="s">
        <v>189</v>
      </c>
      <c r="G571" s="13" t="s">
        <v>189</v>
      </c>
      <c r="H571" s="14"/>
    </row>
    <row r="572" customFormat="false" ht="15" hidden="false" customHeight="false" outlineLevel="0" collapsed="false">
      <c r="A572" s="7" t="s">
        <v>323</v>
      </c>
      <c r="B572" s="12" t="s">
        <v>124</v>
      </c>
      <c r="C572" s="12" t="n">
        <v>1</v>
      </c>
      <c r="D572" s="12" t="n">
        <v>1</v>
      </c>
      <c r="E572" s="13"/>
      <c r="F572" s="13" t="s">
        <v>324</v>
      </c>
      <c r="G572" s="13" t="s">
        <v>324</v>
      </c>
      <c r="H572" s="14"/>
    </row>
    <row r="573" customFormat="false" ht="15" hidden="false" customHeight="false" outlineLevel="0" collapsed="false">
      <c r="A573" s="7" t="s">
        <v>329</v>
      </c>
      <c r="B573" s="12" t="s">
        <v>124</v>
      </c>
      <c r="C573" s="12" t="n">
        <v>1</v>
      </c>
      <c r="D573" s="12" t="n">
        <v>1</v>
      </c>
      <c r="E573" s="13"/>
      <c r="F573" s="13" t="s">
        <v>330</v>
      </c>
      <c r="G573" s="13" t="s">
        <v>330</v>
      </c>
      <c r="H573" s="14"/>
    </row>
    <row r="574" customFormat="false" ht="15" hidden="false" customHeight="false" outlineLevel="0" collapsed="false">
      <c r="A574" s="15" t="s">
        <v>382</v>
      </c>
      <c r="B574" s="12" t="s">
        <v>124</v>
      </c>
      <c r="C574" s="12" t="n">
        <v>1</v>
      </c>
      <c r="D574" s="12" t="n">
        <v>1</v>
      </c>
      <c r="E574" s="13"/>
      <c r="F574" s="13" t="s">
        <v>127</v>
      </c>
      <c r="G574" s="13" t="s">
        <v>127</v>
      </c>
      <c r="H574" s="16" t="s">
        <v>128</v>
      </c>
    </row>
    <row r="575" customFormat="false" ht="15" hidden="false" customHeight="false" outlineLevel="0" collapsed="false">
      <c r="A575" s="7" t="s">
        <v>431</v>
      </c>
      <c r="B575" s="12" t="s">
        <v>124</v>
      </c>
      <c r="C575" s="12" t="n">
        <v>1</v>
      </c>
      <c r="D575" s="12" t="n">
        <v>1</v>
      </c>
      <c r="E575" s="13"/>
      <c r="F575" s="13" t="s">
        <v>432</v>
      </c>
      <c r="G575" s="13" t="s">
        <v>432</v>
      </c>
      <c r="H575" s="14"/>
    </row>
    <row r="576" customFormat="false" ht="15" hidden="false" customHeight="false" outlineLevel="0" collapsed="false">
      <c r="A576" s="7" t="s">
        <v>433</v>
      </c>
      <c r="B576" s="12" t="s">
        <v>124</v>
      </c>
      <c r="C576" s="12" t="n">
        <v>1</v>
      </c>
      <c r="D576" s="12" t="n">
        <v>1</v>
      </c>
      <c r="E576" s="13"/>
      <c r="F576" s="13" t="s">
        <v>434</v>
      </c>
      <c r="G576" s="13" t="s">
        <v>434</v>
      </c>
      <c r="H576" s="14"/>
    </row>
    <row r="577" customFormat="false" ht="15" hidden="false" customHeight="false" outlineLevel="0" collapsed="false">
      <c r="A577" s="23" t="s">
        <v>435</v>
      </c>
      <c r="B577" s="12" t="s">
        <v>124</v>
      </c>
      <c r="C577" s="12" t="n">
        <v>1</v>
      </c>
      <c r="D577" s="12" t="n">
        <v>1</v>
      </c>
      <c r="E577" s="13"/>
      <c r="F577" s="13" t="s">
        <v>436</v>
      </c>
      <c r="G577" s="13" t="s">
        <v>436</v>
      </c>
      <c r="H577" s="24" t="s">
        <v>182</v>
      </c>
    </row>
    <row r="578" customFormat="false" ht="15" hidden="false" customHeight="false" outlineLevel="0" collapsed="false">
      <c r="A578" s="7" t="s">
        <v>117</v>
      </c>
      <c r="B578" s="12" t="s">
        <v>124</v>
      </c>
      <c r="C578" s="12" t="n">
        <v>1</v>
      </c>
      <c r="D578" s="12" t="n">
        <v>1</v>
      </c>
      <c r="E578" s="13"/>
      <c r="F578" s="13" t="s">
        <v>178</v>
      </c>
      <c r="G578" s="13" t="s">
        <v>178</v>
      </c>
      <c r="H578" s="14"/>
    </row>
    <row r="579" customFormat="false" ht="15" hidden="false" customHeight="false" outlineLevel="0" collapsed="false">
      <c r="A579" s="7" t="s">
        <v>471</v>
      </c>
      <c r="B579" s="12" t="s">
        <v>124</v>
      </c>
      <c r="C579" s="12" t="s">
        <v>124</v>
      </c>
      <c r="D579" s="12" t="n">
        <v>1</v>
      </c>
      <c r="E579" s="13"/>
      <c r="F579" s="13"/>
      <c r="G579" s="13" t="s">
        <v>472</v>
      </c>
      <c r="H579" s="14"/>
    </row>
    <row r="580" customFormat="false" ht="15" hidden="false" customHeight="false" outlineLevel="0" collapsed="false">
      <c r="A580" s="15" t="s">
        <v>473</v>
      </c>
      <c r="B580" s="12" t="s">
        <v>124</v>
      </c>
      <c r="C580" s="12" t="s">
        <v>124</v>
      </c>
      <c r="D580" s="12" t="n">
        <v>1</v>
      </c>
      <c r="E580" s="13"/>
      <c r="F580" s="13"/>
      <c r="G580" s="13" t="s">
        <v>127</v>
      </c>
      <c r="H580" s="16" t="s">
        <v>128</v>
      </c>
    </row>
    <row r="581" customFormat="false" ht="15" hidden="false" customHeight="false" outlineLevel="0" collapsed="false">
      <c r="A581" s="21" t="s">
        <v>437</v>
      </c>
      <c r="B581" s="12" t="s">
        <v>124</v>
      </c>
      <c r="C581" s="12" t="s">
        <v>124</v>
      </c>
      <c r="D581" s="12" t="n">
        <v>1</v>
      </c>
      <c r="E581" s="13"/>
      <c r="F581" s="13"/>
      <c r="G581" s="13" t="s">
        <v>438</v>
      </c>
      <c r="H581" s="22" t="s">
        <v>172</v>
      </c>
    </row>
    <row r="582" customFormat="false" ht="15" hidden="false" customHeight="false" outlineLevel="0" collapsed="false">
      <c r="A582" s="21" t="s">
        <v>439</v>
      </c>
      <c r="B582" s="12" t="s">
        <v>124</v>
      </c>
      <c r="C582" s="12" t="s">
        <v>124</v>
      </c>
      <c r="D582" s="12" t="n">
        <v>1</v>
      </c>
      <c r="E582" s="13"/>
      <c r="F582" s="13"/>
      <c r="G582" s="13" t="s">
        <v>440</v>
      </c>
      <c r="H582" s="22" t="s">
        <v>172</v>
      </c>
    </row>
    <row r="583" customFormat="false" ht="15" hidden="false" customHeight="false" outlineLevel="0" collapsed="false">
      <c r="A583" s="19" t="s">
        <v>149</v>
      </c>
      <c r="B583" s="20" t="n">
        <f aca="false">'Récap par kit'!F65</f>
        <v>14470</v>
      </c>
      <c r="C583" s="20" t="n">
        <f aca="false">'Récap par kit'!F66</f>
        <v>48050</v>
      </c>
      <c r="D583" s="20" t="n">
        <f aca="false">'Récap par kit'!F67</f>
        <v>57200</v>
      </c>
    </row>
    <row r="585" customFormat="false" ht="15" hidden="false" customHeight="false" outlineLevel="0" collapsed="false">
      <c r="A585" s="11" t="s">
        <v>474</v>
      </c>
    </row>
    <row r="586" customFormat="false" ht="15" hidden="false" customHeight="false" outlineLevel="0" collapsed="false">
      <c r="A586" s="6" t="s">
        <v>79</v>
      </c>
      <c r="B586" s="6" t="s">
        <v>48</v>
      </c>
      <c r="C586" s="6" t="s">
        <v>49</v>
      </c>
      <c r="D586" s="6" t="s">
        <v>50</v>
      </c>
      <c r="E586" s="6" t="s">
        <v>80</v>
      </c>
      <c r="F586" s="6" t="s">
        <v>81</v>
      </c>
      <c r="G586" s="6" t="s">
        <v>82</v>
      </c>
      <c r="H586" s="6" t="s">
        <v>83</v>
      </c>
    </row>
    <row r="587" customFormat="false" ht="15" hidden="false" customHeight="false" outlineLevel="0" collapsed="false">
      <c r="A587" s="7" t="s">
        <v>295</v>
      </c>
      <c r="B587" s="12" t="n">
        <v>1</v>
      </c>
      <c r="C587" s="12" t="n">
        <v>1</v>
      </c>
      <c r="D587" s="12" t="n">
        <v>1</v>
      </c>
      <c r="E587" s="13" t="s">
        <v>152</v>
      </c>
      <c r="F587" s="13" t="s">
        <v>152</v>
      </c>
      <c r="G587" s="13" t="s">
        <v>152</v>
      </c>
      <c r="H587" s="14"/>
    </row>
    <row r="588" customFormat="false" ht="15" hidden="false" customHeight="false" outlineLevel="0" collapsed="false">
      <c r="A588" s="7" t="s">
        <v>296</v>
      </c>
      <c r="B588" s="12" t="n">
        <v>4</v>
      </c>
      <c r="C588" s="12" t="n">
        <v>4</v>
      </c>
      <c r="D588" s="12" t="n">
        <v>4</v>
      </c>
      <c r="E588" s="13" t="s">
        <v>297</v>
      </c>
      <c r="F588" s="13" t="s">
        <v>297</v>
      </c>
      <c r="G588" s="13" t="s">
        <v>297</v>
      </c>
      <c r="H588" s="14"/>
    </row>
    <row r="589" customFormat="false" ht="15" hidden="false" customHeight="false" outlineLevel="0" collapsed="false">
      <c r="A589" s="7" t="s">
        <v>298</v>
      </c>
      <c r="B589" s="12" t="n">
        <v>2</v>
      </c>
      <c r="C589" s="12" t="n">
        <v>2</v>
      </c>
      <c r="D589" s="12" t="n">
        <v>2</v>
      </c>
      <c r="E589" s="13" t="s">
        <v>299</v>
      </c>
      <c r="F589" s="13" t="s">
        <v>300</v>
      </c>
      <c r="G589" s="13" t="s">
        <v>300</v>
      </c>
      <c r="H589" s="14"/>
    </row>
    <row r="590" customFormat="false" ht="15" hidden="false" customHeight="false" outlineLevel="0" collapsed="false">
      <c r="A590" s="7" t="s">
        <v>338</v>
      </c>
      <c r="B590" s="12" t="n">
        <v>4</v>
      </c>
      <c r="C590" s="12" t="n">
        <v>4</v>
      </c>
      <c r="D590" s="12" t="n">
        <v>4</v>
      </c>
      <c r="E590" s="13" t="s">
        <v>339</v>
      </c>
      <c r="F590" s="13" t="s">
        <v>340</v>
      </c>
      <c r="G590" s="13" t="s">
        <v>340</v>
      </c>
      <c r="H590" s="14"/>
    </row>
    <row r="591" customFormat="false" ht="15" hidden="false" customHeight="false" outlineLevel="0" collapsed="false">
      <c r="A591" s="7" t="s">
        <v>301</v>
      </c>
      <c r="B591" s="12" t="n">
        <v>1</v>
      </c>
      <c r="C591" s="12" t="n">
        <v>1</v>
      </c>
      <c r="D591" s="12" t="n">
        <v>1</v>
      </c>
      <c r="E591" s="13" t="s">
        <v>85</v>
      </c>
      <c r="F591" s="13" t="s">
        <v>85</v>
      </c>
      <c r="G591" s="13" t="s">
        <v>85</v>
      </c>
      <c r="H591" s="14"/>
    </row>
    <row r="592" customFormat="false" ht="15" hidden="false" customHeight="false" outlineLevel="0" collapsed="false">
      <c r="A592" s="7" t="s">
        <v>255</v>
      </c>
      <c r="B592" s="12" t="n">
        <v>1</v>
      </c>
      <c r="C592" s="12" t="n">
        <v>1</v>
      </c>
      <c r="D592" s="12" t="n">
        <v>1</v>
      </c>
      <c r="E592" s="13" t="s">
        <v>256</v>
      </c>
      <c r="F592" s="13" t="s">
        <v>256</v>
      </c>
      <c r="G592" s="13" t="s">
        <v>256</v>
      </c>
      <c r="H592" s="14"/>
    </row>
    <row r="593" customFormat="false" ht="15" hidden="false" customHeight="false" outlineLevel="0" collapsed="false">
      <c r="A593" s="7" t="s">
        <v>257</v>
      </c>
      <c r="B593" s="12" t="n">
        <v>1</v>
      </c>
      <c r="C593" s="12" t="n">
        <v>1</v>
      </c>
      <c r="D593" s="12" t="n">
        <v>1</v>
      </c>
      <c r="E593" s="13" t="s">
        <v>163</v>
      </c>
      <c r="F593" s="13" t="s">
        <v>163</v>
      </c>
      <c r="G593" s="13" t="s">
        <v>163</v>
      </c>
      <c r="H593" s="14"/>
    </row>
    <row r="594" customFormat="false" ht="15" hidden="false" customHeight="false" outlineLevel="0" collapsed="false">
      <c r="A594" s="7" t="s">
        <v>97</v>
      </c>
      <c r="B594" s="12" t="n">
        <v>2</v>
      </c>
      <c r="C594" s="12" t="s">
        <v>124</v>
      </c>
      <c r="D594" s="12" t="s">
        <v>124</v>
      </c>
      <c r="E594" s="13" t="s">
        <v>98</v>
      </c>
      <c r="F594" s="13"/>
      <c r="G594" s="13"/>
      <c r="H594" s="14"/>
    </row>
    <row r="595" customFormat="false" ht="15" hidden="false" customHeight="false" outlineLevel="0" collapsed="false">
      <c r="A595" s="7" t="s">
        <v>325</v>
      </c>
      <c r="B595" s="12" t="n">
        <v>1</v>
      </c>
      <c r="C595" s="12" t="n">
        <v>1</v>
      </c>
      <c r="D595" s="12" t="n">
        <v>1</v>
      </c>
      <c r="E595" s="13" t="s">
        <v>326</v>
      </c>
      <c r="F595" s="13" t="s">
        <v>326</v>
      </c>
      <c r="G595" s="13" t="s">
        <v>327</v>
      </c>
      <c r="H595" s="14"/>
    </row>
    <row r="596" customFormat="false" ht="15" hidden="false" customHeight="false" outlineLevel="0" collapsed="false">
      <c r="A596" s="7" t="s">
        <v>99</v>
      </c>
      <c r="B596" s="12" t="n">
        <v>1</v>
      </c>
      <c r="C596" s="12" t="n">
        <v>1</v>
      </c>
      <c r="D596" s="12" t="n">
        <v>1</v>
      </c>
      <c r="E596" s="13" t="s">
        <v>100</v>
      </c>
      <c r="F596" s="13" t="s">
        <v>101</v>
      </c>
      <c r="G596" s="13" t="s">
        <v>101</v>
      </c>
      <c r="H596" s="14"/>
    </row>
    <row r="597" customFormat="false" ht="15" hidden="false" customHeight="false" outlineLevel="0" collapsed="false">
      <c r="A597" s="7" t="s">
        <v>164</v>
      </c>
      <c r="B597" s="12" t="n">
        <v>1</v>
      </c>
      <c r="C597" s="12" t="n">
        <v>1</v>
      </c>
      <c r="D597" s="12" t="n">
        <v>1</v>
      </c>
      <c r="E597" s="13" t="s">
        <v>165</v>
      </c>
      <c r="F597" s="13" t="s">
        <v>103</v>
      </c>
      <c r="G597" s="13" t="s">
        <v>103</v>
      </c>
      <c r="H597" s="14"/>
    </row>
    <row r="598" customFormat="false" ht="15" hidden="false" customHeight="false" outlineLevel="0" collapsed="false">
      <c r="A598" s="7" t="s">
        <v>166</v>
      </c>
      <c r="B598" s="12" t="n">
        <v>1</v>
      </c>
      <c r="C598" s="12" t="n">
        <v>2</v>
      </c>
      <c r="D598" s="12" t="n">
        <v>2</v>
      </c>
      <c r="E598" s="13" t="s">
        <v>108</v>
      </c>
      <c r="F598" s="13" t="s">
        <v>109</v>
      </c>
      <c r="G598" s="13" t="s">
        <v>109</v>
      </c>
      <c r="H598" s="14"/>
    </row>
    <row r="599" customFormat="false" ht="15" hidden="false" customHeight="false" outlineLevel="0" collapsed="false">
      <c r="A599" s="7" t="s">
        <v>304</v>
      </c>
      <c r="B599" s="12" t="n">
        <v>1</v>
      </c>
      <c r="C599" s="12" t="n">
        <v>1</v>
      </c>
      <c r="D599" s="12" t="n">
        <v>1</v>
      </c>
      <c r="E599" s="13" t="s">
        <v>111</v>
      </c>
      <c r="F599" s="13" t="s">
        <v>112</v>
      </c>
      <c r="G599" s="13" t="s">
        <v>112</v>
      </c>
      <c r="H599" s="14"/>
    </row>
    <row r="600" customFormat="false" ht="15" hidden="false" customHeight="false" outlineLevel="0" collapsed="false">
      <c r="A600" s="23" t="s">
        <v>199</v>
      </c>
      <c r="B600" s="12" t="n">
        <v>1</v>
      </c>
      <c r="C600" s="12" t="n">
        <v>1</v>
      </c>
      <c r="D600" s="12" t="n">
        <v>1</v>
      </c>
      <c r="E600" s="13" t="s">
        <v>222</v>
      </c>
      <c r="F600" s="13" t="s">
        <v>222</v>
      </c>
      <c r="G600" s="13" t="s">
        <v>222</v>
      </c>
      <c r="H600" s="24" t="s">
        <v>182</v>
      </c>
    </row>
    <row r="601" customFormat="false" ht="15" hidden="false" customHeight="false" outlineLevel="0" collapsed="false">
      <c r="A601" s="7" t="s">
        <v>176</v>
      </c>
      <c r="B601" s="12" t="n">
        <v>1</v>
      </c>
      <c r="C601" s="12" t="n">
        <v>1</v>
      </c>
      <c r="D601" s="12" t="n">
        <v>1</v>
      </c>
      <c r="E601" s="13" t="s">
        <v>177</v>
      </c>
      <c r="F601" s="13" t="s">
        <v>177</v>
      </c>
      <c r="G601" s="13" t="s">
        <v>177</v>
      </c>
      <c r="H601" s="14"/>
    </row>
    <row r="602" customFormat="false" ht="15" hidden="false" customHeight="false" outlineLevel="0" collapsed="false">
      <c r="A602" s="7" t="s">
        <v>465</v>
      </c>
      <c r="B602" s="12" t="s">
        <v>180</v>
      </c>
      <c r="C602" s="12" t="n">
        <v>1</v>
      </c>
      <c r="D602" s="12" t="n">
        <v>1</v>
      </c>
      <c r="E602" s="13" t="s">
        <v>466</v>
      </c>
      <c r="F602" s="13" t="s">
        <v>466</v>
      </c>
      <c r="G602" s="13" t="s">
        <v>466</v>
      </c>
      <c r="H602" s="14"/>
    </row>
    <row r="603" customFormat="false" ht="15" hidden="false" customHeight="false" outlineLevel="0" collapsed="false">
      <c r="A603" s="7" t="s">
        <v>467</v>
      </c>
      <c r="B603" s="12" t="s">
        <v>180</v>
      </c>
      <c r="C603" s="12" t="n">
        <v>1</v>
      </c>
      <c r="D603" s="12" t="n">
        <v>1</v>
      </c>
      <c r="E603" s="13" t="s">
        <v>468</v>
      </c>
      <c r="F603" s="13" t="s">
        <v>468</v>
      </c>
      <c r="G603" s="13" t="s">
        <v>468</v>
      </c>
      <c r="H603" s="14"/>
    </row>
    <row r="604" customFormat="false" ht="15" hidden="false" customHeight="false" outlineLevel="0" collapsed="false">
      <c r="A604" s="7" t="s">
        <v>469</v>
      </c>
      <c r="B604" s="12" t="s">
        <v>180</v>
      </c>
      <c r="C604" s="12" t="n">
        <v>1</v>
      </c>
      <c r="D604" s="12" t="n">
        <v>1</v>
      </c>
      <c r="E604" s="13" t="s">
        <v>470</v>
      </c>
      <c r="F604" s="13" t="s">
        <v>470</v>
      </c>
      <c r="G604" s="13" t="s">
        <v>470</v>
      </c>
      <c r="H604" s="14"/>
    </row>
    <row r="605" customFormat="false" ht="15" hidden="false" customHeight="false" outlineLevel="0" collapsed="false">
      <c r="A605" s="7" t="s">
        <v>321</v>
      </c>
      <c r="B605" s="12" t="s">
        <v>121</v>
      </c>
      <c r="C605" s="12" t="n">
        <v>1</v>
      </c>
      <c r="D605" s="12" t="n">
        <v>1</v>
      </c>
      <c r="E605" s="13" t="s">
        <v>322</v>
      </c>
      <c r="F605" s="13" t="s">
        <v>322</v>
      </c>
      <c r="G605" s="13" t="s">
        <v>322</v>
      </c>
      <c r="H605" s="14"/>
    </row>
    <row r="606" customFormat="false" ht="15" hidden="false" customHeight="false" outlineLevel="0" collapsed="false">
      <c r="A606" s="7" t="s">
        <v>188</v>
      </c>
      <c r="B606" s="12" t="s">
        <v>124</v>
      </c>
      <c r="C606" s="12" t="n">
        <v>1</v>
      </c>
      <c r="D606" s="12" t="n">
        <v>1</v>
      </c>
      <c r="E606" s="13"/>
      <c r="F606" s="13" t="s">
        <v>189</v>
      </c>
      <c r="G606" s="13" t="s">
        <v>189</v>
      </c>
      <c r="H606" s="14"/>
    </row>
    <row r="607" customFormat="false" ht="15" hidden="false" customHeight="false" outlineLevel="0" collapsed="false">
      <c r="A607" s="7" t="s">
        <v>323</v>
      </c>
      <c r="B607" s="12" t="s">
        <v>124</v>
      </c>
      <c r="C607" s="12" t="n">
        <v>1</v>
      </c>
      <c r="D607" s="12" t="n">
        <v>1</v>
      </c>
      <c r="E607" s="13"/>
      <c r="F607" s="13" t="s">
        <v>324</v>
      </c>
      <c r="G607" s="13" t="s">
        <v>324</v>
      </c>
      <c r="H607" s="14"/>
    </row>
    <row r="608" customFormat="false" ht="15" hidden="false" customHeight="false" outlineLevel="0" collapsed="false">
      <c r="A608" s="7" t="s">
        <v>329</v>
      </c>
      <c r="B608" s="12" t="s">
        <v>124</v>
      </c>
      <c r="C608" s="12" t="n">
        <v>1</v>
      </c>
      <c r="D608" s="12" t="n">
        <v>1</v>
      </c>
      <c r="E608" s="13"/>
      <c r="F608" s="13" t="s">
        <v>330</v>
      </c>
      <c r="G608" s="13" t="s">
        <v>330</v>
      </c>
      <c r="H608" s="14"/>
    </row>
    <row r="609" customFormat="false" ht="15" hidden="false" customHeight="false" outlineLevel="0" collapsed="false">
      <c r="A609" s="15" t="s">
        <v>382</v>
      </c>
      <c r="B609" s="12" t="s">
        <v>124</v>
      </c>
      <c r="C609" s="12" t="n">
        <v>1</v>
      </c>
      <c r="D609" s="12" t="n">
        <v>1</v>
      </c>
      <c r="E609" s="13"/>
      <c r="F609" s="13" t="s">
        <v>127</v>
      </c>
      <c r="G609" s="13" t="s">
        <v>127</v>
      </c>
      <c r="H609" s="16" t="s">
        <v>128</v>
      </c>
    </row>
    <row r="610" customFormat="false" ht="15" hidden="false" customHeight="false" outlineLevel="0" collapsed="false">
      <c r="A610" s="7" t="s">
        <v>431</v>
      </c>
      <c r="B610" s="12" t="s">
        <v>124</v>
      </c>
      <c r="C610" s="12" t="n">
        <v>1</v>
      </c>
      <c r="D610" s="12" t="n">
        <v>1</v>
      </c>
      <c r="E610" s="13"/>
      <c r="F610" s="13" t="s">
        <v>432</v>
      </c>
      <c r="G610" s="13" t="s">
        <v>432</v>
      </c>
      <c r="H610" s="14"/>
    </row>
    <row r="611" customFormat="false" ht="15" hidden="false" customHeight="false" outlineLevel="0" collapsed="false">
      <c r="A611" s="7" t="s">
        <v>433</v>
      </c>
      <c r="B611" s="12" t="s">
        <v>124</v>
      </c>
      <c r="C611" s="12" t="n">
        <v>1</v>
      </c>
      <c r="D611" s="12" t="n">
        <v>1</v>
      </c>
      <c r="E611" s="13"/>
      <c r="F611" s="13" t="s">
        <v>434</v>
      </c>
      <c r="G611" s="13" t="s">
        <v>434</v>
      </c>
      <c r="H611" s="14"/>
    </row>
    <row r="612" customFormat="false" ht="15" hidden="false" customHeight="false" outlineLevel="0" collapsed="false">
      <c r="A612" s="23" t="s">
        <v>435</v>
      </c>
      <c r="B612" s="12" t="s">
        <v>124</v>
      </c>
      <c r="C612" s="12" t="n">
        <v>1</v>
      </c>
      <c r="D612" s="12" t="n">
        <v>1</v>
      </c>
      <c r="E612" s="13"/>
      <c r="F612" s="13" t="s">
        <v>436</v>
      </c>
      <c r="G612" s="13" t="s">
        <v>436</v>
      </c>
      <c r="H612" s="24" t="s">
        <v>182</v>
      </c>
    </row>
    <row r="613" customFormat="false" ht="15" hidden="false" customHeight="false" outlineLevel="0" collapsed="false">
      <c r="A613" s="7" t="s">
        <v>117</v>
      </c>
      <c r="B613" s="12" t="s">
        <v>124</v>
      </c>
      <c r="C613" s="12" t="n">
        <v>1</v>
      </c>
      <c r="D613" s="12" t="n">
        <v>1</v>
      </c>
      <c r="E613" s="13"/>
      <c r="F613" s="13" t="s">
        <v>178</v>
      </c>
      <c r="G613" s="13" t="s">
        <v>178</v>
      </c>
      <c r="H613" s="14"/>
    </row>
    <row r="614" customFormat="false" ht="15" hidden="false" customHeight="false" outlineLevel="0" collapsed="false">
      <c r="A614" s="7" t="s">
        <v>471</v>
      </c>
      <c r="B614" s="12" t="s">
        <v>124</v>
      </c>
      <c r="C614" s="12" t="s">
        <v>124</v>
      </c>
      <c r="D614" s="12" t="n">
        <v>1</v>
      </c>
      <c r="E614" s="13"/>
      <c r="F614" s="13"/>
      <c r="G614" s="13" t="s">
        <v>472</v>
      </c>
      <c r="H614" s="14"/>
    </row>
    <row r="615" customFormat="false" ht="15" hidden="false" customHeight="false" outlineLevel="0" collapsed="false">
      <c r="A615" s="15" t="s">
        <v>473</v>
      </c>
      <c r="B615" s="12" t="s">
        <v>124</v>
      </c>
      <c r="C615" s="12" t="s">
        <v>124</v>
      </c>
      <c r="D615" s="12" t="n">
        <v>1</v>
      </c>
      <c r="E615" s="13"/>
      <c r="F615" s="13"/>
      <c r="G615" s="13" t="s">
        <v>127</v>
      </c>
      <c r="H615" s="16" t="s">
        <v>128</v>
      </c>
    </row>
    <row r="616" customFormat="false" ht="15" hidden="false" customHeight="false" outlineLevel="0" collapsed="false">
      <c r="A616" s="21" t="s">
        <v>437</v>
      </c>
      <c r="B616" s="12" t="s">
        <v>124</v>
      </c>
      <c r="C616" s="12" t="s">
        <v>124</v>
      </c>
      <c r="D616" s="12" t="n">
        <v>1</v>
      </c>
      <c r="E616" s="13"/>
      <c r="F616" s="13"/>
      <c r="G616" s="13" t="s">
        <v>438</v>
      </c>
      <c r="H616" s="22" t="s">
        <v>172</v>
      </c>
    </row>
    <row r="617" customFormat="false" ht="15" hidden="false" customHeight="false" outlineLevel="0" collapsed="false">
      <c r="A617" s="21" t="s">
        <v>439</v>
      </c>
      <c r="B617" s="12" t="s">
        <v>124</v>
      </c>
      <c r="C617" s="12" t="s">
        <v>124</v>
      </c>
      <c r="D617" s="12" t="n">
        <v>1</v>
      </c>
      <c r="E617" s="13"/>
      <c r="F617" s="13"/>
      <c r="G617" s="13" t="s">
        <v>440</v>
      </c>
      <c r="H617" s="22" t="s">
        <v>172</v>
      </c>
    </row>
    <row r="618" customFormat="false" ht="15" hidden="false" customHeight="false" outlineLevel="0" collapsed="false">
      <c r="A618" s="19" t="s">
        <v>149</v>
      </c>
      <c r="B618" s="20" t="n">
        <f aca="false">'Récap par kit'!F69</f>
        <v>14470</v>
      </c>
      <c r="C618" s="20" t="n">
        <f aca="false">'Récap par kit'!F70</f>
        <v>48050</v>
      </c>
      <c r="D618" s="20" t="n">
        <f aca="false">'Récap par kit'!F71</f>
        <v>57200</v>
      </c>
    </row>
    <row r="620" customFormat="false" ht="15" hidden="false" customHeight="false" outlineLevel="0" collapsed="false">
      <c r="A620" s="11" t="s">
        <v>475</v>
      </c>
    </row>
    <row r="621" customFormat="false" ht="15" hidden="false" customHeight="false" outlineLevel="0" collapsed="false">
      <c r="A621" s="6" t="s">
        <v>79</v>
      </c>
      <c r="B621" s="6" t="s">
        <v>48</v>
      </c>
      <c r="C621" s="6" t="s">
        <v>49</v>
      </c>
      <c r="D621" s="6" t="s">
        <v>50</v>
      </c>
      <c r="E621" s="6" t="s">
        <v>80</v>
      </c>
      <c r="F621" s="6" t="s">
        <v>81</v>
      </c>
      <c r="G621" s="6" t="s">
        <v>82</v>
      </c>
      <c r="H621" s="6" t="s">
        <v>83</v>
      </c>
    </row>
    <row r="622" customFormat="false" ht="15" hidden="false" customHeight="false" outlineLevel="0" collapsed="false">
      <c r="A622" s="7" t="s">
        <v>295</v>
      </c>
      <c r="B622" s="12" t="n">
        <v>2</v>
      </c>
      <c r="C622" s="12" t="n">
        <v>2</v>
      </c>
      <c r="D622" s="12" t="n">
        <v>2</v>
      </c>
      <c r="E622" s="13" t="s">
        <v>152</v>
      </c>
      <c r="F622" s="13" t="s">
        <v>152</v>
      </c>
      <c r="G622" s="13" t="s">
        <v>152</v>
      </c>
      <c r="H622" s="14"/>
    </row>
    <row r="623" customFormat="false" ht="15" hidden="false" customHeight="false" outlineLevel="0" collapsed="false">
      <c r="A623" s="7" t="s">
        <v>296</v>
      </c>
      <c r="B623" s="12" t="n">
        <v>4</v>
      </c>
      <c r="C623" s="12" t="n">
        <v>4</v>
      </c>
      <c r="D623" s="12" t="n">
        <v>4</v>
      </c>
      <c r="E623" s="13" t="s">
        <v>297</v>
      </c>
      <c r="F623" s="13" t="s">
        <v>297</v>
      </c>
      <c r="G623" s="13" t="s">
        <v>297</v>
      </c>
      <c r="H623" s="14"/>
    </row>
    <row r="624" customFormat="false" ht="15" hidden="false" customHeight="false" outlineLevel="0" collapsed="false">
      <c r="A624" s="7" t="s">
        <v>298</v>
      </c>
      <c r="B624" s="12" t="n">
        <v>2</v>
      </c>
      <c r="C624" s="12" t="n">
        <v>2</v>
      </c>
      <c r="D624" s="12" t="n">
        <v>2</v>
      </c>
      <c r="E624" s="13" t="s">
        <v>299</v>
      </c>
      <c r="F624" s="13" t="s">
        <v>300</v>
      </c>
      <c r="G624" s="13" t="s">
        <v>300</v>
      </c>
      <c r="H624" s="14"/>
    </row>
    <row r="625" customFormat="false" ht="15" hidden="false" customHeight="false" outlineLevel="0" collapsed="false">
      <c r="A625" s="7" t="s">
        <v>338</v>
      </c>
      <c r="B625" s="12" t="n">
        <v>5</v>
      </c>
      <c r="C625" s="12" t="n">
        <v>5</v>
      </c>
      <c r="D625" s="12" t="n">
        <v>5</v>
      </c>
      <c r="E625" s="13" t="s">
        <v>339</v>
      </c>
      <c r="F625" s="13" t="s">
        <v>340</v>
      </c>
      <c r="G625" s="13" t="s">
        <v>340</v>
      </c>
      <c r="H625" s="14"/>
    </row>
    <row r="626" customFormat="false" ht="15" hidden="false" customHeight="false" outlineLevel="0" collapsed="false">
      <c r="A626" s="7" t="s">
        <v>442</v>
      </c>
      <c r="B626" s="12" t="n">
        <v>1</v>
      </c>
      <c r="C626" s="12" t="n">
        <v>1</v>
      </c>
      <c r="D626" s="12" t="n">
        <v>1</v>
      </c>
      <c r="E626" s="13" t="s">
        <v>87</v>
      </c>
      <c r="F626" s="13" t="s">
        <v>87</v>
      </c>
      <c r="G626" s="13" t="s">
        <v>87</v>
      </c>
      <c r="H626" s="14"/>
    </row>
    <row r="627" customFormat="false" ht="15" hidden="false" customHeight="false" outlineLevel="0" collapsed="false">
      <c r="A627" s="7" t="s">
        <v>255</v>
      </c>
      <c r="B627" s="12" t="n">
        <v>1</v>
      </c>
      <c r="C627" s="12" t="n">
        <v>1</v>
      </c>
      <c r="D627" s="12" t="n">
        <v>1</v>
      </c>
      <c r="E627" s="13" t="s">
        <v>256</v>
      </c>
      <c r="F627" s="13" t="s">
        <v>256</v>
      </c>
      <c r="G627" s="13" t="s">
        <v>256</v>
      </c>
      <c r="H627" s="14"/>
    </row>
    <row r="628" customFormat="false" ht="15" hidden="false" customHeight="false" outlineLevel="0" collapsed="false">
      <c r="A628" s="7" t="s">
        <v>257</v>
      </c>
      <c r="B628" s="12" t="n">
        <v>1</v>
      </c>
      <c r="C628" s="12" t="n">
        <v>1</v>
      </c>
      <c r="D628" s="12" t="n">
        <v>1</v>
      </c>
      <c r="E628" s="13" t="s">
        <v>163</v>
      </c>
      <c r="F628" s="13" t="s">
        <v>163</v>
      </c>
      <c r="G628" s="13" t="s">
        <v>163</v>
      </c>
      <c r="H628" s="14"/>
    </row>
    <row r="629" customFormat="false" ht="15" hidden="false" customHeight="false" outlineLevel="0" collapsed="false">
      <c r="A629" s="7" t="s">
        <v>97</v>
      </c>
      <c r="B629" s="12" t="n">
        <v>2</v>
      </c>
      <c r="C629" s="12" t="s">
        <v>124</v>
      </c>
      <c r="D629" s="12" t="s">
        <v>124</v>
      </c>
      <c r="E629" s="13" t="s">
        <v>98</v>
      </c>
      <c r="F629" s="13"/>
      <c r="G629" s="13"/>
      <c r="H629" s="14"/>
    </row>
    <row r="630" customFormat="false" ht="15" hidden="false" customHeight="false" outlineLevel="0" collapsed="false">
      <c r="A630" s="7" t="s">
        <v>325</v>
      </c>
      <c r="B630" s="12" t="n">
        <v>1</v>
      </c>
      <c r="C630" s="12" t="n">
        <v>1</v>
      </c>
      <c r="D630" s="12" t="n">
        <v>1</v>
      </c>
      <c r="E630" s="13" t="s">
        <v>326</v>
      </c>
      <c r="F630" s="13" t="s">
        <v>326</v>
      </c>
      <c r="G630" s="13" t="s">
        <v>327</v>
      </c>
      <c r="H630" s="14"/>
    </row>
    <row r="631" customFormat="false" ht="15" hidden="false" customHeight="false" outlineLevel="0" collapsed="false">
      <c r="A631" s="7" t="s">
        <v>99</v>
      </c>
      <c r="B631" s="12" t="n">
        <v>1</v>
      </c>
      <c r="C631" s="12" t="n">
        <v>1</v>
      </c>
      <c r="D631" s="12" t="n">
        <v>1</v>
      </c>
      <c r="E631" s="13" t="s">
        <v>100</v>
      </c>
      <c r="F631" s="13" t="s">
        <v>101</v>
      </c>
      <c r="G631" s="13" t="s">
        <v>101</v>
      </c>
      <c r="H631" s="14"/>
    </row>
    <row r="632" customFormat="false" ht="15" hidden="false" customHeight="false" outlineLevel="0" collapsed="false">
      <c r="A632" s="7" t="s">
        <v>164</v>
      </c>
      <c r="B632" s="12" t="n">
        <v>1</v>
      </c>
      <c r="C632" s="12" t="n">
        <v>1</v>
      </c>
      <c r="D632" s="12" t="n">
        <v>1</v>
      </c>
      <c r="E632" s="13" t="s">
        <v>165</v>
      </c>
      <c r="F632" s="13" t="s">
        <v>103</v>
      </c>
      <c r="G632" s="13" t="s">
        <v>103</v>
      </c>
      <c r="H632" s="14"/>
    </row>
    <row r="633" customFormat="false" ht="15" hidden="false" customHeight="false" outlineLevel="0" collapsed="false">
      <c r="A633" s="7" t="s">
        <v>166</v>
      </c>
      <c r="B633" s="12" t="n">
        <v>1</v>
      </c>
      <c r="C633" s="12" t="n">
        <v>2</v>
      </c>
      <c r="D633" s="12" t="n">
        <v>2</v>
      </c>
      <c r="E633" s="13" t="s">
        <v>108</v>
      </c>
      <c r="F633" s="13" t="s">
        <v>109</v>
      </c>
      <c r="G633" s="13" t="s">
        <v>109</v>
      </c>
      <c r="H633" s="14"/>
    </row>
    <row r="634" customFormat="false" ht="15" hidden="false" customHeight="false" outlineLevel="0" collapsed="false">
      <c r="A634" s="7" t="s">
        <v>304</v>
      </c>
      <c r="B634" s="12" t="n">
        <v>1</v>
      </c>
      <c r="C634" s="12" t="n">
        <v>1</v>
      </c>
      <c r="D634" s="12" t="n">
        <v>1</v>
      </c>
      <c r="E634" s="13" t="s">
        <v>111</v>
      </c>
      <c r="F634" s="13" t="s">
        <v>112</v>
      </c>
      <c r="G634" s="13" t="s">
        <v>112</v>
      </c>
      <c r="H634" s="14"/>
    </row>
    <row r="635" customFormat="false" ht="15" hidden="false" customHeight="false" outlineLevel="0" collapsed="false">
      <c r="A635" s="23" t="s">
        <v>199</v>
      </c>
      <c r="B635" s="12" t="n">
        <v>1</v>
      </c>
      <c r="C635" s="12" t="n">
        <v>1</v>
      </c>
      <c r="D635" s="12" t="n">
        <v>1</v>
      </c>
      <c r="E635" s="13" t="s">
        <v>222</v>
      </c>
      <c r="F635" s="13" t="s">
        <v>222</v>
      </c>
      <c r="G635" s="13" t="s">
        <v>222</v>
      </c>
      <c r="H635" s="24" t="s">
        <v>182</v>
      </c>
    </row>
    <row r="636" customFormat="false" ht="15" hidden="false" customHeight="false" outlineLevel="0" collapsed="false">
      <c r="A636" s="7" t="s">
        <v>443</v>
      </c>
      <c r="B636" s="12" t="n">
        <v>1</v>
      </c>
      <c r="C636" s="12" t="n">
        <v>1</v>
      </c>
      <c r="D636" s="12" t="n">
        <v>1</v>
      </c>
      <c r="E636" s="13" t="s">
        <v>307</v>
      </c>
      <c r="F636" s="13" t="s">
        <v>307</v>
      </c>
      <c r="G636" s="13" t="s">
        <v>307</v>
      </c>
      <c r="H636" s="14"/>
    </row>
    <row r="637" customFormat="false" ht="15" hidden="false" customHeight="false" outlineLevel="0" collapsed="false">
      <c r="A637" s="7" t="s">
        <v>176</v>
      </c>
      <c r="B637" s="12" t="n">
        <v>1</v>
      </c>
      <c r="C637" s="12" t="n">
        <v>1</v>
      </c>
      <c r="D637" s="12" t="n">
        <v>1</v>
      </c>
      <c r="E637" s="13" t="s">
        <v>177</v>
      </c>
      <c r="F637" s="13" t="s">
        <v>177</v>
      </c>
      <c r="G637" s="13" t="s">
        <v>177</v>
      </c>
      <c r="H637" s="14"/>
    </row>
    <row r="638" customFormat="false" ht="15" hidden="false" customHeight="false" outlineLevel="0" collapsed="false">
      <c r="A638" s="7" t="s">
        <v>465</v>
      </c>
      <c r="B638" s="12" t="s">
        <v>180</v>
      </c>
      <c r="C638" s="12" t="n">
        <v>1</v>
      </c>
      <c r="D638" s="12" t="n">
        <v>1</v>
      </c>
      <c r="E638" s="13" t="s">
        <v>466</v>
      </c>
      <c r="F638" s="13" t="s">
        <v>466</v>
      </c>
      <c r="G638" s="13" t="s">
        <v>466</v>
      </c>
      <c r="H638" s="14"/>
    </row>
    <row r="639" customFormat="false" ht="15" hidden="false" customHeight="false" outlineLevel="0" collapsed="false">
      <c r="A639" s="7" t="s">
        <v>467</v>
      </c>
      <c r="B639" s="12" t="s">
        <v>180</v>
      </c>
      <c r="C639" s="12" t="n">
        <v>1</v>
      </c>
      <c r="D639" s="12" t="n">
        <v>1</v>
      </c>
      <c r="E639" s="13" t="s">
        <v>468</v>
      </c>
      <c r="F639" s="13" t="s">
        <v>468</v>
      </c>
      <c r="G639" s="13" t="s">
        <v>468</v>
      </c>
      <c r="H639" s="14"/>
    </row>
    <row r="640" customFormat="false" ht="15" hidden="false" customHeight="false" outlineLevel="0" collapsed="false">
      <c r="A640" s="23" t="s">
        <v>476</v>
      </c>
      <c r="B640" s="12" t="s">
        <v>180</v>
      </c>
      <c r="C640" s="12" t="n">
        <v>1</v>
      </c>
      <c r="D640" s="12" t="n">
        <v>1</v>
      </c>
      <c r="E640" s="13" t="s">
        <v>477</v>
      </c>
      <c r="F640" s="13" t="s">
        <v>477</v>
      </c>
      <c r="G640" s="13" t="s">
        <v>477</v>
      </c>
      <c r="H640" s="24" t="s">
        <v>182</v>
      </c>
    </row>
    <row r="641" customFormat="false" ht="15" hidden="false" customHeight="false" outlineLevel="0" collapsed="false">
      <c r="A641" s="23" t="s">
        <v>478</v>
      </c>
      <c r="B641" s="12" t="s">
        <v>180</v>
      </c>
      <c r="C641" s="12" t="n">
        <v>1</v>
      </c>
      <c r="D641" s="12" t="n">
        <v>1</v>
      </c>
      <c r="E641" s="13" t="s">
        <v>479</v>
      </c>
      <c r="F641" s="13" t="s">
        <v>479</v>
      </c>
      <c r="G641" s="13" t="s">
        <v>479</v>
      </c>
      <c r="H641" s="24" t="s">
        <v>182</v>
      </c>
    </row>
    <row r="642" customFormat="false" ht="15" hidden="false" customHeight="false" outlineLevel="0" collapsed="false">
      <c r="A642" s="23" t="s">
        <v>480</v>
      </c>
      <c r="B642" s="12" t="s">
        <v>180</v>
      </c>
      <c r="C642" s="12" t="n">
        <v>1</v>
      </c>
      <c r="D642" s="12" t="n">
        <v>1</v>
      </c>
      <c r="E642" s="13" t="s">
        <v>481</v>
      </c>
      <c r="F642" s="13" t="s">
        <v>481</v>
      </c>
      <c r="G642" s="13" t="s">
        <v>481</v>
      </c>
      <c r="H642" s="24" t="s">
        <v>182</v>
      </c>
    </row>
    <row r="643" customFormat="false" ht="15" hidden="false" customHeight="false" outlineLevel="0" collapsed="false">
      <c r="A643" s="7" t="s">
        <v>482</v>
      </c>
      <c r="B643" s="12" t="s">
        <v>180</v>
      </c>
      <c r="C643" s="12" t="n">
        <v>1</v>
      </c>
      <c r="D643" s="12" t="n">
        <v>1</v>
      </c>
      <c r="E643" s="13" t="s">
        <v>483</v>
      </c>
      <c r="F643" s="13" t="s">
        <v>483</v>
      </c>
      <c r="G643" s="13" t="s">
        <v>483</v>
      </c>
      <c r="H643" s="14"/>
    </row>
    <row r="644" customFormat="false" ht="15" hidden="false" customHeight="false" outlineLevel="0" collapsed="false">
      <c r="A644" s="7" t="s">
        <v>484</v>
      </c>
      <c r="B644" s="12" t="s">
        <v>180</v>
      </c>
      <c r="C644" s="12" t="n">
        <v>1</v>
      </c>
      <c r="D644" s="12" t="n">
        <v>1</v>
      </c>
      <c r="E644" s="13" t="s">
        <v>485</v>
      </c>
      <c r="F644" s="13" t="s">
        <v>485</v>
      </c>
      <c r="G644" s="13" t="s">
        <v>485</v>
      </c>
      <c r="H644" s="14"/>
    </row>
    <row r="645" customFormat="false" ht="15" hidden="false" customHeight="false" outlineLevel="0" collapsed="false">
      <c r="A645" s="7" t="s">
        <v>486</v>
      </c>
      <c r="B645" s="12" t="s">
        <v>180</v>
      </c>
      <c r="C645" s="12" t="n">
        <v>1</v>
      </c>
      <c r="D645" s="12" t="n">
        <v>1</v>
      </c>
      <c r="E645" s="13" t="s">
        <v>487</v>
      </c>
      <c r="F645" s="13" t="s">
        <v>487</v>
      </c>
      <c r="G645" s="13" t="s">
        <v>487</v>
      </c>
      <c r="H645" s="14"/>
    </row>
    <row r="646" customFormat="false" ht="15" hidden="false" customHeight="false" outlineLevel="0" collapsed="false">
      <c r="A646" s="7" t="s">
        <v>321</v>
      </c>
      <c r="B646" s="12" t="s">
        <v>121</v>
      </c>
      <c r="C646" s="12" t="n">
        <v>1</v>
      </c>
      <c r="D646" s="12" t="n">
        <v>1</v>
      </c>
      <c r="E646" s="13" t="s">
        <v>322</v>
      </c>
      <c r="F646" s="13" t="s">
        <v>322</v>
      </c>
      <c r="G646" s="13" t="s">
        <v>322</v>
      </c>
      <c r="H646" s="14"/>
    </row>
    <row r="647" customFormat="false" ht="15" hidden="false" customHeight="false" outlineLevel="0" collapsed="false">
      <c r="A647" s="7" t="s">
        <v>188</v>
      </c>
      <c r="B647" s="12" t="s">
        <v>124</v>
      </c>
      <c r="C647" s="12" t="n">
        <v>1</v>
      </c>
      <c r="D647" s="12" t="n">
        <v>1</v>
      </c>
      <c r="E647" s="13"/>
      <c r="F647" s="13" t="s">
        <v>189</v>
      </c>
      <c r="G647" s="13" t="s">
        <v>189</v>
      </c>
      <c r="H647" s="14"/>
    </row>
    <row r="648" customFormat="false" ht="15" hidden="false" customHeight="false" outlineLevel="0" collapsed="false">
      <c r="A648" s="7" t="s">
        <v>323</v>
      </c>
      <c r="B648" s="12" t="s">
        <v>124</v>
      </c>
      <c r="C648" s="12" t="n">
        <v>1</v>
      </c>
      <c r="D648" s="12" t="n">
        <v>1</v>
      </c>
      <c r="E648" s="13"/>
      <c r="F648" s="13" t="s">
        <v>324</v>
      </c>
      <c r="G648" s="13" t="s">
        <v>324</v>
      </c>
      <c r="H648" s="14"/>
    </row>
    <row r="649" customFormat="false" ht="15" hidden="false" customHeight="false" outlineLevel="0" collapsed="false">
      <c r="A649" s="7" t="s">
        <v>329</v>
      </c>
      <c r="B649" s="12" t="s">
        <v>124</v>
      </c>
      <c r="C649" s="12" t="n">
        <v>1</v>
      </c>
      <c r="D649" s="12" t="n">
        <v>1</v>
      </c>
      <c r="E649" s="13"/>
      <c r="F649" s="13" t="s">
        <v>330</v>
      </c>
      <c r="G649" s="13" t="s">
        <v>330</v>
      </c>
      <c r="H649" s="14"/>
    </row>
    <row r="650" customFormat="false" ht="15" hidden="false" customHeight="false" outlineLevel="0" collapsed="false">
      <c r="A650" s="15" t="s">
        <v>430</v>
      </c>
      <c r="B650" s="12" t="s">
        <v>124</v>
      </c>
      <c r="C650" s="12" t="n">
        <v>1</v>
      </c>
      <c r="D650" s="12" t="n">
        <v>1</v>
      </c>
      <c r="E650" s="13"/>
      <c r="F650" s="13" t="s">
        <v>127</v>
      </c>
      <c r="G650" s="13" t="s">
        <v>127</v>
      </c>
      <c r="H650" s="16" t="s">
        <v>128</v>
      </c>
    </row>
    <row r="651" customFormat="false" ht="15" hidden="false" customHeight="false" outlineLevel="0" collapsed="false">
      <c r="A651" s="15" t="s">
        <v>382</v>
      </c>
      <c r="B651" s="12" t="s">
        <v>124</v>
      </c>
      <c r="C651" s="12" t="n">
        <v>1</v>
      </c>
      <c r="D651" s="12" t="n">
        <v>1</v>
      </c>
      <c r="E651" s="13"/>
      <c r="F651" s="13" t="s">
        <v>127</v>
      </c>
      <c r="G651" s="13" t="s">
        <v>127</v>
      </c>
      <c r="H651" s="16" t="s">
        <v>128</v>
      </c>
    </row>
    <row r="652" customFormat="false" ht="15" hidden="false" customHeight="false" outlineLevel="0" collapsed="false">
      <c r="A652" s="7" t="s">
        <v>431</v>
      </c>
      <c r="B652" s="12" t="s">
        <v>124</v>
      </c>
      <c r="C652" s="12" t="n">
        <v>1</v>
      </c>
      <c r="D652" s="12" t="n">
        <v>1</v>
      </c>
      <c r="E652" s="13"/>
      <c r="F652" s="13" t="s">
        <v>432</v>
      </c>
      <c r="G652" s="13" t="s">
        <v>432</v>
      </c>
      <c r="H652" s="14"/>
    </row>
    <row r="653" customFormat="false" ht="15" hidden="false" customHeight="false" outlineLevel="0" collapsed="false">
      <c r="A653" s="7" t="s">
        <v>433</v>
      </c>
      <c r="B653" s="12" t="s">
        <v>124</v>
      </c>
      <c r="C653" s="12" t="n">
        <v>1</v>
      </c>
      <c r="D653" s="12" t="n">
        <v>1</v>
      </c>
      <c r="E653" s="13"/>
      <c r="F653" s="13" t="s">
        <v>434</v>
      </c>
      <c r="G653" s="13" t="s">
        <v>434</v>
      </c>
      <c r="H653" s="14"/>
    </row>
    <row r="654" customFormat="false" ht="15" hidden="false" customHeight="false" outlineLevel="0" collapsed="false">
      <c r="A654" s="23" t="s">
        <v>435</v>
      </c>
      <c r="B654" s="12" t="s">
        <v>124</v>
      </c>
      <c r="C654" s="12" t="n">
        <v>1</v>
      </c>
      <c r="D654" s="12" t="n">
        <v>1</v>
      </c>
      <c r="E654" s="13"/>
      <c r="F654" s="13" t="s">
        <v>436</v>
      </c>
      <c r="G654" s="13" t="s">
        <v>436</v>
      </c>
      <c r="H654" s="24" t="s">
        <v>182</v>
      </c>
    </row>
    <row r="655" customFormat="false" ht="15" hidden="false" customHeight="false" outlineLevel="0" collapsed="false">
      <c r="A655" s="7" t="s">
        <v>117</v>
      </c>
      <c r="B655" s="12" t="s">
        <v>124</v>
      </c>
      <c r="C655" s="12" t="n">
        <v>1</v>
      </c>
      <c r="D655" s="12" t="n">
        <v>1</v>
      </c>
      <c r="E655" s="13"/>
      <c r="F655" s="13" t="s">
        <v>178</v>
      </c>
      <c r="G655" s="13" t="s">
        <v>178</v>
      </c>
      <c r="H655" s="14"/>
    </row>
    <row r="656" customFormat="false" ht="15" hidden="false" customHeight="false" outlineLevel="0" collapsed="false">
      <c r="A656" s="19" t="s">
        <v>149</v>
      </c>
      <c r="B656" s="20" t="n">
        <f aca="false">'Récap par kit'!F73</f>
        <v>20970</v>
      </c>
      <c r="C656" s="20" t="n">
        <f aca="false">'Récap par kit'!F74</f>
        <v>134750</v>
      </c>
      <c r="D656" s="20" t="n">
        <f aca="false">'Récap par kit'!F75</f>
        <v>135350</v>
      </c>
    </row>
    <row r="658" customFormat="false" ht="15" hidden="false" customHeight="false" outlineLevel="0" collapsed="false">
      <c r="A658" s="11" t="s">
        <v>488</v>
      </c>
    </row>
    <row r="659" customFormat="false" ht="15" hidden="false" customHeight="false" outlineLevel="0" collapsed="false">
      <c r="A659" s="6" t="s">
        <v>79</v>
      </c>
      <c r="B659" s="6" t="s">
        <v>48</v>
      </c>
      <c r="C659" s="6" t="s">
        <v>49</v>
      </c>
      <c r="D659" s="6" t="s">
        <v>50</v>
      </c>
      <c r="E659" s="6" t="s">
        <v>80</v>
      </c>
      <c r="F659" s="6" t="s">
        <v>81</v>
      </c>
      <c r="G659" s="6" t="s">
        <v>82</v>
      </c>
      <c r="H659" s="6" t="s">
        <v>83</v>
      </c>
    </row>
    <row r="660" customFormat="false" ht="15" hidden="false" customHeight="false" outlineLevel="0" collapsed="false">
      <c r="A660" s="7" t="s">
        <v>295</v>
      </c>
      <c r="B660" s="12" t="n">
        <v>2</v>
      </c>
      <c r="C660" s="12" t="n">
        <v>2</v>
      </c>
      <c r="D660" s="12" t="n">
        <v>2</v>
      </c>
      <c r="E660" s="13" t="s">
        <v>152</v>
      </c>
      <c r="F660" s="13" t="s">
        <v>152</v>
      </c>
      <c r="G660" s="13" t="s">
        <v>152</v>
      </c>
      <c r="H660" s="14"/>
    </row>
    <row r="661" customFormat="false" ht="15" hidden="false" customHeight="false" outlineLevel="0" collapsed="false">
      <c r="A661" s="7" t="s">
        <v>296</v>
      </c>
      <c r="B661" s="12" t="n">
        <v>4</v>
      </c>
      <c r="C661" s="12" t="n">
        <v>4</v>
      </c>
      <c r="D661" s="12" t="n">
        <v>4</v>
      </c>
      <c r="E661" s="13" t="s">
        <v>297</v>
      </c>
      <c r="F661" s="13" t="s">
        <v>297</v>
      </c>
      <c r="G661" s="13" t="s">
        <v>297</v>
      </c>
      <c r="H661" s="14"/>
    </row>
    <row r="662" customFormat="false" ht="15" hidden="false" customHeight="false" outlineLevel="0" collapsed="false">
      <c r="A662" s="7" t="s">
        <v>298</v>
      </c>
      <c r="B662" s="12" t="n">
        <v>2</v>
      </c>
      <c r="C662" s="12" t="n">
        <v>2</v>
      </c>
      <c r="D662" s="12" t="n">
        <v>2</v>
      </c>
      <c r="E662" s="13" t="s">
        <v>299</v>
      </c>
      <c r="F662" s="13" t="s">
        <v>300</v>
      </c>
      <c r="G662" s="13" t="s">
        <v>300</v>
      </c>
      <c r="H662" s="14"/>
    </row>
    <row r="663" customFormat="false" ht="15" hidden="false" customHeight="false" outlineLevel="0" collapsed="false">
      <c r="A663" s="7" t="s">
        <v>338</v>
      </c>
      <c r="B663" s="12" t="n">
        <v>5</v>
      </c>
      <c r="C663" s="12" t="n">
        <v>5</v>
      </c>
      <c r="D663" s="12" t="n">
        <v>5</v>
      </c>
      <c r="E663" s="13" t="s">
        <v>339</v>
      </c>
      <c r="F663" s="13" t="s">
        <v>340</v>
      </c>
      <c r="G663" s="13" t="s">
        <v>340</v>
      </c>
      <c r="H663" s="14"/>
    </row>
    <row r="664" customFormat="false" ht="15" hidden="false" customHeight="false" outlineLevel="0" collapsed="false">
      <c r="A664" s="7" t="s">
        <v>442</v>
      </c>
      <c r="B664" s="12" t="n">
        <v>1</v>
      </c>
      <c r="C664" s="12" t="n">
        <v>1</v>
      </c>
      <c r="D664" s="12" t="n">
        <v>1</v>
      </c>
      <c r="E664" s="13" t="s">
        <v>87</v>
      </c>
      <c r="F664" s="13" t="s">
        <v>87</v>
      </c>
      <c r="G664" s="13" t="s">
        <v>87</v>
      </c>
      <c r="H664" s="14"/>
    </row>
    <row r="665" customFormat="false" ht="15" hidden="false" customHeight="false" outlineLevel="0" collapsed="false">
      <c r="A665" s="7" t="s">
        <v>255</v>
      </c>
      <c r="B665" s="12" t="n">
        <v>1</v>
      </c>
      <c r="C665" s="12" t="n">
        <v>1</v>
      </c>
      <c r="D665" s="12" t="n">
        <v>1</v>
      </c>
      <c r="E665" s="13" t="s">
        <v>256</v>
      </c>
      <c r="F665" s="13" t="s">
        <v>256</v>
      </c>
      <c r="G665" s="13" t="s">
        <v>256</v>
      </c>
      <c r="H665" s="14"/>
    </row>
    <row r="666" customFormat="false" ht="15" hidden="false" customHeight="false" outlineLevel="0" collapsed="false">
      <c r="A666" s="7" t="s">
        <v>257</v>
      </c>
      <c r="B666" s="12" t="n">
        <v>1</v>
      </c>
      <c r="C666" s="12" t="n">
        <v>1</v>
      </c>
      <c r="D666" s="12" t="n">
        <v>1</v>
      </c>
      <c r="E666" s="13" t="s">
        <v>163</v>
      </c>
      <c r="F666" s="13" t="s">
        <v>163</v>
      </c>
      <c r="G666" s="13" t="s">
        <v>163</v>
      </c>
      <c r="H666" s="14"/>
    </row>
    <row r="667" customFormat="false" ht="15" hidden="false" customHeight="false" outlineLevel="0" collapsed="false">
      <c r="A667" s="7" t="s">
        <v>97</v>
      </c>
      <c r="B667" s="12" t="n">
        <v>2</v>
      </c>
      <c r="C667" s="12" t="s">
        <v>124</v>
      </c>
      <c r="D667" s="12" t="s">
        <v>124</v>
      </c>
      <c r="E667" s="13" t="s">
        <v>98</v>
      </c>
      <c r="F667" s="13"/>
      <c r="G667" s="13"/>
      <c r="H667" s="14"/>
    </row>
    <row r="668" customFormat="false" ht="15" hidden="false" customHeight="false" outlineLevel="0" collapsed="false">
      <c r="A668" s="7" t="s">
        <v>325</v>
      </c>
      <c r="B668" s="12" t="n">
        <v>1</v>
      </c>
      <c r="C668" s="12" t="n">
        <v>1</v>
      </c>
      <c r="D668" s="12" t="n">
        <v>1</v>
      </c>
      <c r="E668" s="13" t="s">
        <v>326</v>
      </c>
      <c r="F668" s="13" t="s">
        <v>326</v>
      </c>
      <c r="G668" s="13" t="s">
        <v>327</v>
      </c>
      <c r="H668" s="14"/>
    </row>
    <row r="669" customFormat="false" ht="15" hidden="false" customHeight="false" outlineLevel="0" collapsed="false">
      <c r="A669" s="7" t="s">
        <v>99</v>
      </c>
      <c r="B669" s="12" t="n">
        <v>1</v>
      </c>
      <c r="C669" s="12" t="n">
        <v>1</v>
      </c>
      <c r="D669" s="12" t="n">
        <v>1</v>
      </c>
      <c r="E669" s="13" t="s">
        <v>100</v>
      </c>
      <c r="F669" s="13" t="s">
        <v>101</v>
      </c>
      <c r="G669" s="13" t="s">
        <v>101</v>
      </c>
      <c r="H669" s="14"/>
    </row>
    <row r="670" customFormat="false" ht="15" hidden="false" customHeight="false" outlineLevel="0" collapsed="false">
      <c r="A670" s="7" t="s">
        <v>164</v>
      </c>
      <c r="B670" s="12" t="n">
        <v>1</v>
      </c>
      <c r="C670" s="12" t="n">
        <v>1</v>
      </c>
      <c r="D670" s="12" t="n">
        <v>1</v>
      </c>
      <c r="E670" s="13" t="s">
        <v>165</v>
      </c>
      <c r="F670" s="13" t="s">
        <v>103</v>
      </c>
      <c r="G670" s="13" t="s">
        <v>103</v>
      </c>
      <c r="H670" s="14"/>
    </row>
    <row r="671" customFormat="false" ht="15" hidden="false" customHeight="false" outlineLevel="0" collapsed="false">
      <c r="A671" s="7" t="s">
        <v>166</v>
      </c>
      <c r="B671" s="12" t="n">
        <v>1</v>
      </c>
      <c r="C671" s="12" t="n">
        <v>2</v>
      </c>
      <c r="D671" s="12" t="n">
        <v>2</v>
      </c>
      <c r="E671" s="13" t="s">
        <v>108</v>
      </c>
      <c r="F671" s="13" t="s">
        <v>109</v>
      </c>
      <c r="G671" s="13" t="s">
        <v>109</v>
      </c>
      <c r="H671" s="14"/>
    </row>
    <row r="672" customFormat="false" ht="15" hidden="false" customHeight="false" outlineLevel="0" collapsed="false">
      <c r="A672" s="7" t="s">
        <v>304</v>
      </c>
      <c r="B672" s="12" t="n">
        <v>1</v>
      </c>
      <c r="C672" s="12" t="n">
        <v>1</v>
      </c>
      <c r="D672" s="12" t="n">
        <v>1</v>
      </c>
      <c r="E672" s="13" t="s">
        <v>111</v>
      </c>
      <c r="F672" s="13" t="s">
        <v>112</v>
      </c>
      <c r="G672" s="13" t="s">
        <v>112</v>
      </c>
      <c r="H672" s="14"/>
    </row>
    <row r="673" customFormat="false" ht="15" hidden="false" customHeight="false" outlineLevel="0" collapsed="false">
      <c r="A673" s="23" t="s">
        <v>199</v>
      </c>
      <c r="B673" s="12" t="n">
        <v>1</v>
      </c>
      <c r="C673" s="12" t="n">
        <v>1</v>
      </c>
      <c r="D673" s="12" t="n">
        <v>1</v>
      </c>
      <c r="E673" s="13" t="s">
        <v>222</v>
      </c>
      <c r="F673" s="13" t="s">
        <v>222</v>
      </c>
      <c r="G673" s="13" t="s">
        <v>222</v>
      </c>
      <c r="H673" s="24" t="s">
        <v>182</v>
      </c>
    </row>
    <row r="674" customFormat="false" ht="15" hidden="false" customHeight="false" outlineLevel="0" collapsed="false">
      <c r="A674" s="7" t="s">
        <v>443</v>
      </c>
      <c r="B674" s="12" t="n">
        <v>1</v>
      </c>
      <c r="C674" s="12" t="n">
        <v>1</v>
      </c>
      <c r="D674" s="12" t="n">
        <v>1</v>
      </c>
      <c r="E674" s="13" t="s">
        <v>307</v>
      </c>
      <c r="F674" s="13" t="s">
        <v>307</v>
      </c>
      <c r="G674" s="13" t="s">
        <v>307</v>
      </c>
      <c r="H674" s="14"/>
    </row>
    <row r="675" customFormat="false" ht="15" hidden="false" customHeight="false" outlineLevel="0" collapsed="false">
      <c r="A675" s="7" t="s">
        <v>176</v>
      </c>
      <c r="B675" s="12" t="n">
        <v>1</v>
      </c>
      <c r="C675" s="12" t="n">
        <v>1</v>
      </c>
      <c r="D675" s="12" t="n">
        <v>1</v>
      </c>
      <c r="E675" s="13" t="s">
        <v>177</v>
      </c>
      <c r="F675" s="13" t="s">
        <v>177</v>
      </c>
      <c r="G675" s="13" t="s">
        <v>177</v>
      </c>
      <c r="H675" s="14"/>
    </row>
    <row r="676" customFormat="false" ht="15" hidden="false" customHeight="false" outlineLevel="0" collapsed="false">
      <c r="A676" s="7" t="s">
        <v>465</v>
      </c>
      <c r="B676" s="12" t="s">
        <v>180</v>
      </c>
      <c r="C676" s="12" t="n">
        <v>1</v>
      </c>
      <c r="D676" s="12" t="n">
        <v>1</v>
      </c>
      <c r="E676" s="13" t="s">
        <v>466</v>
      </c>
      <c r="F676" s="13" t="s">
        <v>466</v>
      </c>
      <c r="G676" s="13" t="s">
        <v>466</v>
      </c>
      <c r="H676" s="14"/>
    </row>
    <row r="677" customFormat="false" ht="15" hidden="false" customHeight="false" outlineLevel="0" collapsed="false">
      <c r="A677" s="7" t="s">
        <v>467</v>
      </c>
      <c r="B677" s="12" t="s">
        <v>180</v>
      </c>
      <c r="C677" s="12" t="n">
        <v>1</v>
      </c>
      <c r="D677" s="12" t="n">
        <v>1</v>
      </c>
      <c r="E677" s="13" t="s">
        <v>468</v>
      </c>
      <c r="F677" s="13" t="s">
        <v>468</v>
      </c>
      <c r="G677" s="13" t="s">
        <v>468</v>
      </c>
      <c r="H677" s="14"/>
    </row>
    <row r="678" customFormat="false" ht="15" hidden="false" customHeight="false" outlineLevel="0" collapsed="false">
      <c r="A678" s="7" t="s">
        <v>489</v>
      </c>
      <c r="B678" s="12" t="s">
        <v>180</v>
      </c>
      <c r="C678" s="12" t="n">
        <v>1</v>
      </c>
      <c r="D678" s="12" t="n">
        <v>1</v>
      </c>
      <c r="E678" s="13" t="s">
        <v>490</v>
      </c>
      <c r="F678" s="13" t="s">
        <v>490</v>
      </c>
      <c r="G678" s="13" t="s">
        <v>490</v>
      </c>
      <c r="H678" s="14"/>
    </row>
    <row r="679" customFormat="false" ht="15" hidden="false" customHeight="false" outlineLevel="0" collapsed="false">
      <c r="A679" s="23" t="s">
        <v>478</v>
      </c>
      <c r="B679" s="12" t="s">
        <v>180</v>
      </c>
      <c r="C679" s="12" t="n">
        <v>1</v>
      </c>
      <c r="D679" s="12" t="n">
        <v>1</v>
      </c>
      <c r="E679" s="13" t="s">
        <v>479</v>
      </c>
      <c r="F679" s="13" t="s">
        <v>479</v>
      </c>
      <c r="G679" s="13" t="s">
        <v>479</v>
      </c>
      <c r="H679" s="24" t="s">
        <v>182</v>
      </c>
    </row>
    <row r="680" customFormat="false" ht="15" hidden="false" customHeight="false" outlineLevel="0" collapsed="false">
      <c r="A680" s="7" t="s">
        <v>491</v>
      </c>
      <c r="B680" s="12" t="s">
        <v>180</v>
      </c>
      <c r="C680" s="12" t="n">
        <v>1</v>
      </c>
      <c r="D680" s="12" t="n">
        <v>1</v>
      </c>
      <c r="E680" s="13" t="s">
        <v>492</v>
      </c>
      <c r="F680" s="13" t="s">
        <v>492</v>
      </c>
      <c r="G680" s="13" t="s">
        <v>492</v>
      </c>
      <c r="H680" s="14"/>
    </row>
    <row r="681" customFormat="false" ht="15" hidden="false" customHeight="false" outlineLevel="0" collapsed="false">
      <c r="A681" s="7" t="s">
        <v>321</v>
      </c>
      <c r="B681" s="12" t="s">
        <v>121</v>
      </c>
      <c r="C681" s="12" t="n">
        <v>1</v>
      </c>
      <c r="D681" s="12" t="n">
        <v>1</v>
      </c>
      <c r="E681" s="13" t="s">
        <v>322</v>
      </c>
      <c r="F681" s="13" t="s">
        <v>322</v>
      </c>
      <c r="G681" s="13" t="s">
        <v>322</v>
      </c>
      <c r="H681" s="14"/>
    </row>
    <row r="682" customFormat="false" ht="15" hidden="false" customHeight="false" outlineLevel="0" collapsed="false">
      <c r="A682" s="7" t="s">
        <v>188</v>
      </c>
      <c r="B682" s="12" t="s">
        <v>124</v>
      </c>
      <c r="C682" s="12" t="n">
        <v>1</v>
      </c>
      <c r="D682" s="12" t="n">
        <v>1</v>
      </c>
      <c r="E682" s="13"/>
      <c r="F682" s="13" t="s">
        <v>189</v>
      </c>
      <c r="G682" s="13" t="s">
        <v>189</v>
      </c>
      <c r="H682" s="14"/>
    </row>
    <row r="683" customFormat="false" ht="15" hidden="false" customHeight="false" outlineLevel="0" collapsed="false">
      <c r="A683" s="7" t="s">
        <v>323</v>
      </c>
      <c r="B683" s="12" t="s">
        <v>124</v>
      </c>
      <c r="C683" s="12" t="n">
        <v>1</v>
      </c>
      <c r="D683" s="12" t="n">
        <v>1</v>
      </c>
      <c r="E683" s="13"/>
      <c r="F683" s="13" t="s">
        <v>324</v>
      </c>
      <c r="G683" s="13" t="s">
        <v>324</v>
      </c>
      <c r="H683" s="14"/>
    </row>
    <row r="684" customFormat="false" ht="15" hidden="false" customHeight="false" outlineLevel="0" collapsed="false">
      <c r="A684" s="7" t="s">
        <v>329</v>
      </c>
      <c r="B684" s="12" t="s">
        <v>124</v>
      </c>
      <c r="C684" s="12" t="n">
        <v>1</v>
      </c>
      <c r="D684" s="12" t="n">
        <v>1</v>
      </c>
      <c r="E684" s="13"/>
      <c r="F684" s="13" t="s">
        <v>330</v>
      </c>
      <c r="G684" s="13" t="s">
        <v>330</v>
      </c>
      <c r="H684" s="14"/>
    </row>
    <row r="685" customFormat="false" ht="15" hidden="false" customHeight="false" outlineLevel="0" collapsed="false">
      <c r="A685" s="15" t="s">
        <v>430</v>
      </c>
      <c r="B685" s="12" t="s">
        <v>124</v>
      </c>
      <c r="C685" s="12" t="n">
        <v>1</v>
      </c>
      <c r="D685" s="12" t="n">
        <v>1</v>
      </c>
      <c r="E685" s="13"/>
      <c r="F685" s="13" t="s">
        <v>127</v>
      </c>
      <c r="G685" s="13" t="s">
        <v>127</v>
      </c>
      <c r="H685" s="16" t="s">
        <v>128</v>
      </c>
    </row>
    <row r="686" customFormat="false" ht="15" hidden="false" customHeight="false" outlineLevel="0" collapsed="false">
      <c r="A686" s="15" t="s">
        <v>382</v>
      </c>
      <c r="B686" s="12" t="s">
        <v>124</v>
      </c>
      <c r="C686" s="12" t="n">
        <v>1</v>
      </c>
      <c r="D686" s="12" t="n">
        <v>1</v>
      </c>
      <c r="E686" s="13"/>
      <c r="F686" s="13" t="s">
        <v>127</v>
      </c>
      <c r="G686" s="13" t="s">
        <v>127</v>
      </c>
      <c r="H686" s="16" t="s">
        <v>128</v>
      </c>
    </row>
    <row r="687" customFormat="false" ht="15" hidden="false" customHeight="false" outlineLevel="0" collapsed="false">
      <c r="A687" s="7" t="s">
        <v>431</v>
      </c>
      <c r="B687" s="12" t="s">
        <v>124</v>
      </c>
      <c r="C687" s="12" t="n">
        <v>1</v>
      </c>
      <c r="D687" s="12" t="n">
        <v>1</v>
      </c>
      <c r="E687" s="13"/>
      <c r="F687" s="13" t="s">
        <v>432</v>
      </c>
      <c r="G687" s="13" t="s">
        <v>432</v>
      </c>
      <c r="H687" s="14"/>
    </row>
    <row r="688" customFormat="false" ht="15" hidden="false" customHeight="false" outlineLevel="0" collapsed="false">
      <c r="A688" s="7" t="s">
        <v>433</v>
      </c>
      <c r="B688" s="12" t="s">
        <v>124</v>
      </c>
      <c r="C688" s="12" t="n">
        <v>1</v>
      </c>
      <c r="D688" s="12" t="n">
        <v>1</v>
      </c>
      <c r="E688" s="13"/>
      <c r="F688" s="13" t="s">
        <v>434</v>
      </c>
      <c r="G688" s="13" t="s">
        <v>434</v>
      </c>
      <c r="H688" s="14"/>
    </row>
    <row r="689" customFormat="false" ht="15" hidden="false" customHeight="false" outlineLevel="0" collapsed="false">
      <c r="A689" s="23" t="s">
        <v>435</v>
      </c>
      <c r="B689" s="12" t="s">
        <v>124</v>
      </c>
      <c r="C689" s="12" t="n">
        <v>1</v>
      </c>
      <c r="D689" s="12" t="n">
        <v>1</v>
      </c>
      <c r="E689" s="13"/>
      <c r="F689" s="13" t="s">
        <v>436</v>
      </c>
      <c r="G689" s="13" t="s">
        <v>436</v>
      </c>
      <c r="H689" s="24" t="s">
        <v>182</v>
      </c>
    </row>
    <row r="690" customFormat="false" ht="15" hidden="false" customHeight="false" outlineLevel="0" collapsed="false">
      <c r="A690" s="7" t="s">
        <v>117</v>
      </c>
      <c r="B690" s="12" t="s">
        <v>124</v>
      </c>
      <c r="C690" s="12" t="n">
        <v>1</v>
      </c>
      <c r="D690" s="12" t="n">
        <v>1</v>
      </c>
      <c r="E690" s="13"/>
      <c r="F690" s="13" t="s">
        <v>178</v>
      </c>
      <c r="G690" s="13" t="s">
        <v>178</v>
      </c>
      <c r="H690" s="14"/>
    </row>
    <row r="691" customFormat="false" ht="15" hidden="false" customHeight="false" outlineLevel="0" collapsed="false">
      <c r="A691" s="23" t="s">
        <v>476</v>
      </c>
      <c r="B691" s="12" t="s">
        <v>124</v>
      </c>
      <c r="C691" s="12" t="s">
        <v>124</v>
      </c>
      <c r="D691" s="12" t="n">
        <v>1</v>
      </c>
      <c r="E691" s="13"/>
      <c r="F691" s="13"/>
      <c r="G691" s="13" t="s">
        <v>493</v>
      </c>
      <c r="H691" s="24" t="s">
        <v>182</v>
      </c>
    </row>
    <row r="692" customFormat="false" ht="15" hidden="false" customHeight="false" outlineLevel="0" collapsed="false">
      <c r="A692" s="7" t="s">
        <v>482</v>
      </c>
      <c r="B692" s="12" t="s">
        <v>124</v>
      </c>
      <c r="C692" s="12" t="s">
        <v>124</v>
      </c>
      <c r="D692" s="12" t="n">
        <v>1</v>
      </c>
      <c r="E692" s="13"/>
      <c r="F692" s="13"/>
      <c r="G692" s="13" t="s">
        <v>483</v>
      </c>
      <c r="H692" s="14"/>
    </row>
    <row r="693" customFormat="false" ht="15" hidden="false" customHeight="false" outlineLevel="0" collapsed="false">
      <c r="A693" s="23" t="s">
        <v>480</v>
      </c>
      <c r="B693" s="12" t="s">
        <v>124</v>
      </c>
      <c r="C693" s="12" t="s">
        <v>124</v>
      </c>
      <c r="D693" s="12" t="n">
        <v>1</v>
      </c>
      <c r="E693" s="13"/>
      <c r="F693" s="13"/>
      <c r="G693" s="13" t="s">
        <v>481</v>
      </c>
      <c r="H693" s="24" t="s">
        <v>182</v>
      </c>
    </row>
    <row r="694" customFormat="false" ht="15" hidden="false" customHeight="false" outlineLevel="0" collapsed="false">
      <c r="A694" s="7" t="s">
        <v>494</v>
      </c>
      <c r="B694" s="12" t="s">
        <v>124</v>
      </c>
      <c r="C694" s="12" t="s">
        <v>124</v>
      </c>
      <c r="D694" s="12" t="n">
        <v>1</v>
      </c>
      <c r="E694" s="13"/>
      <c r="F694" s="13"/>
      <c r="G694" s="13" t="s">
        <v>487</v>
      </c>
      <c r="H694" s="14"/>
    </row>
    <row r="695" customFormat="false" ht="15" hidden="false" customHeight="false" outlineLevel="0" collapsed="false">
      <c r="A695" s="23" t="s">
        <v>495</v>
      </c>
      <c r="B695" s="12" t="s">
        <v>124</v>
      </c>
      <c r="C695" s="12" t="s">
        <v>124</v>
      </c>
      <c r="D695" s="12" t="n">
        <v>1</v>
      </c>
      <c r="E695" s="13"/>
      <c r="F695" s="13"/>
      <c r="G695" s="13" t="s">
        <v>496</v>
      </c>
      <c r="H695" s="24" t="s">
        <v>182</v>
      </c>
    </row>
    <row r="696" customFormat="false" ht="15" hidden="false" customHeight="false" outlineLevel="0" collapsed="false">
      <c r="A696" s="19" t="s">
        <v>149</v>
      </c>
      <c r="B696" s="20" t="n">
        <f aca="false">'Récap par kit'!F77</f>
        <v>20970</v>
      </c>
      <c r="C696" s="20" t="n">
        <f aca="false">'Récap par kit'!F78</f>
        <v>69190</v>
      </c>
      <c r="D696" s="20" t="n">
        <f aca="false">'Récap par kit'!F79</f>
        <v>132790</v>
      </c>
    </row>
    <row r="698" customFormat="false" ht="15" hidden="false" customHeight="false" outlineLevel="0" collapsed="false">
      <c r="A698" s="11" t="s">
        <v>497</v>
      </c>
    </row>
    <row r="699" customFormat="false" ht="15" hidden="false" customHeight="false" outlineLevel="0" collapsed="false">
      <c r="A699" s="6" t="s">
        <v>79</v>
      </c>
      <c r="B699" s="6" t="s">
        <v>48</v>
      </c>
      <c r="C699" s="6" t="s">
        <v>49</v>
      </c>
      <c r="D699" s="6" t="s">
        <v>50</v>
      </c>
      <c r="E699" s="6" t="s">
        <v>80</v>
      </c>
      <c r="F699" s="6" t="s">
        <v>81</v>
      </c>
      <c r="G699" s="6" t="s">
        <v>82</v>
      </c>
      <c r="H699" s="6" t="s">
        <v>83</v>
      </c>
    </row>
    <row r="700" customFormat="false" ht="15" hidden="false" customHeight="false" outlineLevel="0" collapsed="false">
      <c r="A700" s="7" t="s">
        <v>295</v>
      </c>
      <c r="B700" s="12" t="n">
        <v>1</v>
      </c>
      <c r="C700" s="12" t="n">
        <v>1</v>
      </c>
      <c r="D700" s="12" t="n">
        <v>1</v>
      </c>
      <c r="E700" s="13" t="s">
        <v>152</v>
      </c>
      <c r="F700" s="13" t="s">
        <v>152</v>
      </c>
      <c r="G700" s="13" t="s">
        <v>152</v>
      </c>
      <c r="H700" s="14"/>
    </row>
    <row r="701" customFormat="false" ht="15" hidden="false" customHeight="false" outlineLevel="0" collapsed="false">
      <c r="A701" s="7" t="s">
        <v>296</v>
      </c>
      <c r="B701" s="12" t="n">
        <v>4</v>
      </c>
      <c r="C701" s="12" t="n">
        <v>4</v>
      </c>
      <c r="D701" s="12" t="n">
        <v>4</v>
      </c>
      <c r="E701" s="13" t="s">
        <v>297</v>
      </c>
      <c r="F701" s="13" t="s">
        <v>297</v>
      </c>
      <c r="G701" s="13" t="s">
        <v>297</v>
      </c>
      <c r="H701" s="14"/>
    </row>
    <row r="702" customFormat="false" ht="15" hidden="false" customHeight="false" outlineLevel="0" collapsed="false">
      <c r="A702" s="7" t="s">
        <v>298</v>
      </c>
      <c r="B702" s="12" t="n">
        <v>2</v>
      </c>
      <c r="C702" s="12" t="n">
        <v>2</v>
      </c>
      <c r="D702" s="12" t="n">
        <v>2</v>
      </c>
      <c r="E702" s="13" t="s">
        <v>299</v>
      </c>
      <c r="F702" s="13" t="s">
        <v>300</v>
      </c>
      <c r="G702" s="13" t="s">
        <v>300</v>
      </c>
      <c r="H702" s="14"/>
    </row>
    <row r="703" customFormat="false" ht="15" hidden="false" customHeight="false" outlineLevel="0" collapsed="false">
      <c r="A703" s="7" t="s">
        <v>338</v>
      </c>
      <c r="B703" s="12" t="n">
        <v>4</v>
      </c>
      <c r="C703" s="12" t="n">
        <v>4</v>
      </c>
      <c r="D703" s="12" t="n">
        <v>4</v>
      </c>
      <c r="E703" s="13" t="s">
        <v>339</v>
      </c>
      <c r="F703" s="13" t="s">
        <v>340</v>
      </c>
      <c r="G703" s="13" t="s">
        <v>340</v>
      </c>
      <c r="H703" s="14"/>
    </row>
    <row r="704" customFormat="false" ht="15" hidden="false" customHeight="false" outlineLevel="0" collapsed="false">
      <c r="A704" s="7" t="s">
        <v>301</v>
      </c>
      <c r="B704" s="12" t="n">
        <v>1</v>
      </c>
      <c r="C704" s="12" t="n">
        <v>1</v>
      </c>
      <c r="D704" s="12" t="n">
        <v>1</v>
      </c>
      <c r="E704" s="13" t="s">
        <v>85</v>
      </c>
      <c r="F704" s="13" t="s">
        <v>85</v>
      </c>
      <c r="G704" s="13" t="s">
        <v>85</v>
      </c>
      <c r="H704" s="14"/>
    </row>
    <row r="705" customFormat="false" ht="15" hidden="false" customHeight="false" outlineLevel="0" collapsed="false">
      <c r="A705" s="7" t="s">
        <v>255</v>
      </c>
      <c r="B705" s="12" t="n">
        <v>1</v>
      </c>
      <c r="C705" s="12" t="n">
        <v>1</v>
      </c>
      <c r="D705" s="12" t="n">
        <v>1</v>
      </c>
      <c r="E705" s="13" t="s">
        <v>256</v>
      </c>
      <c r="F705" s="13" t="s">
        <v>256</v>
      </c>
      <c r="G705" s="13" t="s">
        <v>256</v>
      </c>
      <c r="H705" s="14"/>
    </row>
    <row r="706" customFormat="false" ht="15" hidden="false" customHeight="false" outlineLevel="0" collapsed="false">
      <c r="A706" s="7" t="s">
        <v>257</v>
      </c>
      <c r="B706" s="12" t="n">
        <v>1</v>
      </c>
      <c r="C706" s="12" t="n">
        <v>1</v>
      </c>
      <c r="D706" s="12" t="n">
        <v>1</v>
      </c>
      <c r="E706" s="13" t="s">
        <v>163</v>
      </c>
      <c r="F706" s="13" t="s">
        <v>163</v>
      </c>
      <c r="G706" s="13" t="s">
        <v>163</v>
      </c>
      <c r="H706" s="14"/>
    </row>
    <row r="707" customFormat="false" ht="15" hidden="false" customHeight="false" outlineLevel="0" collapsed="false">
      <c r="A707" s="7" t="s">
        <v>97</v>
      </c>
      <c r="B707" s="12" t="n">
        <v>2</v>
      </c>
      <c r="C707" s="12" t="s">
        <v>124</v>
      </c>
      <c r="D707" s="12" t="s">
        <v>124</v>
      </c>
      <c r="E707" s="13" t="s">
        <v>98</v>
      </c>
      <c r="F707" s="13"/>
      <c r="G707" s="13"/>
      <c r="H707" s="14"/>
    </row>
    <row r="708" customFormat="false" ht="15" hidden="false" customHeight="false" outlineLevel="0" collapsed="false">
      <c r="A708" s="7" t="s">
        <v>325</v>
      </c>
      <c r="B708" s="12" t="n">
        <v>1</v>
      </c>
      <c r="C708" s="12" t="n">
        <v>1</v>
      </c>
      <c r="D708" s="12" t="n">
        <v>1</v>
      </c>
      <c r="E708" s="13" t="s">
        <v>326</v>
      </c>
      <c r="F708" s="13" t="s">
        <v>326</v>
      </c>
      <c r="G708" s="13" t="s">
        <v>327</v>
      </c>
      <c r="H708" s="14"/>
    </row>
    <row r="709" customFormat="false" ht="15" hidden="false" customHeight="false" outlineLevel="0" collapsed="false">
      <c r="A709" s="7" t="s">
        <v>99</v>
      </c>
      <c r="B709" s="12" t="n">
        <v>1</v>
      </c>
      <c r="C709" s="12" t="n">
        <v>1</v>
      </c>
      <c r="D709" s="12" t="n">
        <v>1</v>
      </c>
      <c r="E709" s="13" t="s">
        <v>100</v>
      </c>
      <c r="F709" s="13" t="s">
        <v>101</v>
      </c>
      <c r="G709" s="13" t="s">
        <v>101</v>
      </c>
      <c r="H709" s="14"/>
    </row>
    <row r="710" customFormat="false" ht="15" hidden="false" customHeight="false" outlineLevel="0" collapsed="false">
      <c r="A710" s="7" t="s">
        <v>164</v>
      </c>
      <c r="B710" s="12" t="n">
        <v>1</v>
      </c>
      <c r="C710" s="12" t="n">
        <v>1</v>
      </c>
      <c r="D710" s="12" t="n">
        <v>1</v>
      </c>
      <c r="E710" s="13" t="s">
        <v>165</v>
      </c>
      <c r="F710" s="13" t="s">
        <v>103</v>
      </c>
      <c r="G710" s="13" t="s">
        <v>103</v>
      </c>
      <c r="H710" s="14"/>
    </row>
    <row r="711" customFormat="false" ht="15" hidden="false" customHeight="false" outlineLevel="0" collapsed="false">
      <c r="A711" s="7" t="s">
        <v>166</v>
      </c>
      <c r="B711" s="12" t="n">
        <v>1</v>
      </c>
      <c r="C711" s="12" t="n">
        <v>2</v>
      </c>
      <c r="D711" s="12" t="n">
        <v>2</v>
      </c>
      <c r="E711" s="13" t="s">
        <v>108</v>
      </c>
      <c r="F711" s="13" t="s">
        <v>109</v>
      </c>
      <c r="G711" s="13" t="s">
        <v>109</v>
      </c>
      <c r="H711" s="14"/>
    </row>
    <row r="712" customFormat="false" ht="15" hidden="false" customHeight="false" outlineLevel="0" collapsed="false">
      <c r="A712" s="7" t="s">
        <v>304</v>
      </c>
      <c r="B712" s="12" t="n">
        <v>1</v>
      </c>
      <c r="C712" s="12" t="n">
        <v>1</v>
      </c>
      <c r="D712" s="12" t="n">
        <v>1</v>
      </c>
      <c r="E712" s="13" t="s">
        <v>111</v>
      </c>
      <c r="F712" s="13" t="s">
        <v>112</v>
      </c>
      <c r="G712" s="13" t="s">
        <v>112</v>
      </c>
      <c r="H712" s="14"/>
    </row>
    <row r="713" customFormat="false" ht="15" hidden="false" customHeight="false" outlineLevel="0" collapsed="false">
      <c r="A713" s="23" t="s">
        <v>199</v>
      </c>
      <c r="B713" s="12" t="n">
        <v>1</v>
      </c>
      <c r="C713" s="12" t="n">
        <v>1</v>
      </c>
      <c r="D713" s="12" t="n">
        <v>1</v>
      </c>
      <c r="E713" s="13" t="s">
        <v>222</v>
      </c>
      <c r="F713" s="13" t="s">
        <v>222</v>
      </c>
      <c r="G713" s="13" t="s">
        <v>222</v>
      </c>
      <c r="H713" s="24" t="s">
        <v>182</v>
      </c>
    </row>
    <row r="714" customFormat="false" ht="15" hidden="false" customHeight="false" outlineLevel="0" collapsed="false">
      <c r="A714" s="7" t="s">
        <v>176</v>
      </c>
      <c r="B714" s="12" t="n">
        <v>1</v>
      </c>
      <c r="C714" s="12" t="n">
        <v>1</v>
      </c>
      <c r="D714" s="12" t="n">
        <v>1</v>
      </c>
      <c r="E714" s="13" t="s">
        <v>177</v>
      </c>
      <c r="F714" s="13" t="s">
        <v>177</v>
      </c>
      <c r="G714" s="13" t="s">
        <v>177</v>
      </c>
      <c r="H714" s="14"/>
    </row>
    <row r="715" customFormat="false" ht="15" hidden="false" customHeight="false" outlineLevel="0" collapsed="false">
      <c r="A715" s="15" t="s">
        <v>498</v>
      </c>
      <c r="B715" s="12" t="s">
        <v>180</v>
      </c>
      <c r="C715" s="12" t="n">
        <v>1</v>
      </c>
      <c r="D715" s="12" t="n">
        <v>1</v>
      </c>
      <c r="E715" s="13" t="s">
        <v>127</v>
      </c>
      <c r="F715" s="13" t="s">
        <v>127</v>
      </c>
      <c r="G715" s="13" t="s">
        <v>127</v>
      </c>
      <c r="H715" s="16" t="s">
        <v>128</v>
      </c>
    </row>
    <row r="716" customFormat="false" ht="15" hidden="false" customHeight="false" outlineLevel="0" collapsed="false">
      <c r="A716" s="7" t="s">
        <v>499</v>
      </c>
      <c r="B716" s="12" t="s">
        <v>180</v>
      </c>
      <c r="C716" s="12" t="n">
        <v>1</v>
      </c>
      <c r="D716" s="12" t="n">
        <v>1</v>
      </c>
      <c r="E716" s="13" t="s">
        <v>500</v>
      </c>
      <c r="F716" s="13" t="s">
        <v>500</v>
      </c>
      <c r="G716" s="13" t="s">
        <v>500</v>
      </c>
      <c r="H716" s="14"/>
    </row>
    <row r="717" customFormat="false" ht="15" hidden="false" customHeight="false" outlineLevel="0" collapsed="false">
      <c r="A717" s="7" t="s">
        <v>321</v>
      </c>
      <c r="B717" s="12" t="s">
        <v>121</v>
      </c>
      <c r="C717" s="12" t="n">
        <v>1</v>
      </c>
      <c r="D717" s="12" t="n">
        <v>1</v>
      </c>
      <c r="E717" s="13" t="s">
        <v>322</v>
      </c>
      <c r="F717" s="13" t="s">
        <v>322</v>
      </c>
      <c r="G717" s="13" t="s">
        <v>322</v>
      </c>
      <c r="H717" s="14"/>
    </row>
    <row r="718" customFormat="false" ht="15" hidden="false" customHeight="false" outlineLevel="0" collapsed="false">
      <c r="A718" s="7" t="s">
        <v>188</v>
      </c>
      <c r="B718" s="12" t="s">
        <v>124</v>
      </c>
      <c r="C718" s="12" t="n">
        <v>1</v>
      </c>
      <c r="D718" s="12" t="n">
        <v>1</v>
      </c>
      <c r="E718" s="13"/>
      <c r="F718" s="13" t="s">
        <v>189</v>
      </c>
      <c r="G718" s="13" t="s">
        <v>189</v>
      </c>
      <c r="H718" s="14"/>
    </row>
    <row r="719" customFormat="false" ht="15" hidden="false" customHeight="false" outlineLevel="0" collapsed="false">
      <c r="A719" s="7" t="s">
        <v>323</v>
      </c>
      <c r="B719" s="12" t="s">
        <v>124</v>
      </c>
      <c r="C719" s="12" t="n">
        <v>1</v>
      </c>
      <c r="D719" s="12" t="n">
        <v>1</v>
      </c>
      <c r="E719" s="13"/>
      <c r="F719" s="13" t="s">
        <v>324</v>
      </c>
      <c r="G719" s="13" t="s">
        <v>324</v>
      </c>
      <c r="H719" s="14"/>
    </row>
    <row r="720" customFormat="false" ht="15" hidden="false" customHeight="false" outlineLevel="0" collapsed="false">
      <c r="A720" s="7" t="s">
        <v>329</v>
      </c>
      <c r="B720" s="12" t="s">
        <v>124</v>
      </c>
      <c r="C720" s="12" t="n">
        <v>1</v>
      </c>
      <c r="D720" s="12" t="n">
        <v>1</v>
      </c>
      <c r="E720" s="13"/>
      <c r="F720" s="13" t="s">
        <v>330</v>
      </c>
      <c r="G720" s="13" t="s">
        <v>330</v>
      </c>
      <c r="H720" s="14"/>
    </row>
    <row r="721" customFormat="false" ht="15" hidden="false" customHeight="false" outlineLevel="0" collapsed="false">
      <c r="A721" s="15" t="s">
        <v>382</v>
      </c>
      <c r="B721" s="12" t="s">
        <v>124</v>
      </c>
      <c r="C721" s="12" t="n">
        <v>1</v>
      </c>
      <c r="D721" s="12" t="n">
        <v>1</v>
      </c>
      <c r="E721" s="13"/>
      <c r="F721" s="13" t="s">
        <v>127</v>
      </c>
      <c r="G721" s="13" t="s">
        <v>127</v>
      </c>
      <c r="H721" s="16" t="s">
        <v>128</v>
      </c>
    </row>
    <row r="722" customFormat="false" ht="15" hidden="false" customHeight="false" outlineLevel="0" collapsed="false">
      <c r="A722" s="7" t="s">
        <v>431</v>
      </c>
      <c r="B722" s="12" t="s">
        <v>124</v>
      </c>
      <c r="C722" s="12" t="n">
        <v>1</v>
      </c>
      <c r="D722" s="12" t="n">
        <v>1</v>
      </c>
      <c r="E722" s="13"/>
      <c r="F722" s="13" t="s">
        <v>432</v>
      </c>
      <c r="G722" s="13" t="s">
        <v>432</v>
      </c>
      <c r="H722" s="14"/>
    </row>
    <row r="723" customFormat="false" ht="15" hidden="false" customHeight="false" outlineLevel="0" collapsed="false">
      <c r="A723" s="7" t="s">
        <v>433</v>
      </c>
      <c r="B723" s="12" t="s">
        <v>124</v>
      </c>
      <c r="C723" s="12" t="n">
        <v>1</v>
      </c>
      <c r="D723" s="12" t="n">
        <v>1</v>
      </c>
      <c r="E723" s="13"/>
      <c r="F723" s="13" t="s">
        <v>434</v>
      </c>
      <c r="G723" s="13" t="s">
        <v>434</v>
      </c>
      <c r="H723" s="14"/>
    </row>
    <row r="724" customFormat="false" ht="15" hidden="false" customHeight="false" outlineLevel="0" collapsed="false">
      <c r="A724" s="23" t="s">
        <v>435</v>
      </c>
      <c r="B724" s="12" t="s">
        <v>124</v>
      </c>
      <c r="C724" s="12" t="n">
        <v>1</v>
      </c>
      <c r="D724" s="12" t="n">
        <v>1</v>
      </c>
      <c r="E724" s="13"/>
      <c r="F724" s="13" t="s">
        <v>436</v>
      </c>
      <c r="G724" s="13" t="s">
        <v>436</v>
      </c>
      <c r="H724" s="24" t="s">
        <v>182</v>
      </c>
    </row>
    <row r="725" customFormat="false" ht="15" hidden="false" customHeight="false" outlineLevel="0" collapsed="false">
      <c r="A725" s="7" t="s">
        <v>117</v>
      </c>
      <c r="B725" s="12" t="s">
        <v>124</v>
      </c>
      <c r="C725" s="12" t="n">
        <v>1</v>
      </c>
      <c r="D725" s="12" t="n">
        <v>1</v>
      </c>
      <c r="E725" s="13"/>
      <c r="F725" s="13" t="s">
        <v>178</v>
      </c>
      <c r="G725" s="13" t="s">
        <v>178</v>
      </c>
      <c r="H725" s="14"/>
    </row>
    <row r="726" customFormat="false" ht="15" hidden="false" customHeight="false" outlineLevel="0" collapsed="false">
      <c r="A726" s="7" t="s">
        <v>471</v>
      </c>
      <c r="B726" s="12" t="s">
        <v>124</v>
      </c>
      <c r="C726" s="12" t="s">
        <v>124</v>
      </c>
      <c r="D726" s="12" t="n">
        <v>1</v>
      </c>
      <c r="E726" s="13"/>
      <c r="F726" s="13"/>
      <c r="G726" s="13" t="s">
        <v>472</v>
      </c>
      <c r="H726" s="14"/>
    </row>
    <row r="727" customFormat="false" ht="15" hidden="false" customHeight="false" outlineLevel="0" collapsed="false">
      <c r="A727" s="15" t="s">
        <v>473</v>
      </c>
      <c r="B727" s="12" t="s">
        <v>124</v>
      </c>
      <c r="C727" s="12" t="s">
        <v>124</v>
      </c>
      <c r="D727" s="12" t="n">
        <v>1</v>
      </c>
      <c r="E727" s="13"/>
      <c r="F727" s="13"/>
      <c r="G727" s="13" t="s">
        <v>127</v>
      </c>
      <c r="H727" s="16" t="s">
        <v>128</v>
      </c>
    </row>
    <row r="728" customFormat="false" ht="15" hidden="false" customHeight="false" outlineLevel="0" collapsed="false">
      <c r="A728" s="21" t="s">
        <v>437</v>
      </c>
      <c r="B728" s="12" t="s">
        <v>124</v>
      </c>
      <c r="C728" s="12" t="s">
        <v>124</v>
      </c>
      <c r="D728" s="12" t="n">
        <v>1</v>
      </c>
      <c r="E728" s="13"/>
      <c r="F728" s="13"/>
      <c r="G728" s="13" t="s">
        <v>438</v>
      </c>
      <c r="H728" s="22" t="s">
        <v>172</v>
      </c>
    </row>
    <row r="729" customFormat="false" ht="15" hidden="false" customHeight="false" outlineLevel="0" collapsed="false">
      <c r="A729" s="21" t="s">
        <v>439</v>
      </c>
      <c r="B729" s="12" t="s">
        <v>124</v>
      </c>
      <c r="C729" s="12" t="s">
        <v>124</v>
      </c>
      <c r="D729" s="12" t="n">
        <v>1</v>
      </c>
      <c r="E729" s="13"/>
      <c r="F729" s="13"/>
      <c r="G729" s="13" t="s">
        <v>440</v>
      </c>
      <c r="H729" s="22" t="s">
        <v>172</v>
      </c>
    </row>
    <row r="730" customFormat="false" ht="15" hidden="false" customHeight="false" outlineLevel="0" collapsed="false">
      <c r="A730" s="19" t="s">
        <v>149</v>
      </c>
      <c r="B730" s="20" t="n">
        <f aca="false">'Récap par kit'!F81</f>
        <v>14470</v>
      </c>
      <c r="C730" s="20" t="n">
        <f aca="false">'Récap par kit'!F82</f>
        <v>41750</v>
      </c>
      <c r="D730" s="20" t="n">
        <f aca="false">'Récap par kit'!F83</f>
        <v>50900</v>
      </c>
    </row>
    <row r="732" customFormat="false" ht="15" hidden="false" customHeight="false" outlineLevel="0" collapsed="false">
      <c r="A732" s="11" t="s">
        <v>501</v>
      </c>
    </row>
    <row r="733" customFormat="false" ht="15" hidden="false" customHeight="false" outlineLevel="0" collapsed="false">
      <c r="A733" s="6" t="s">
        <v>79</v>
      </c>
      <c r="B733" s="6" t="s">
        <v>48</v>
      </c>
      <c r="C733" s="6" t="s">
        <v>49</v>
      </c>
      <c r="D733" s="6" t="s">
        <v>50</v>
      </c>
      <c r="E733" s="6" t="s">
        <v>80</v>
      </c>
      <c r="F733" s="6" t="s">
        <v>81</v>
      </c>
      <c r="G733" s="6" t="s">
        <v>82</v>
      </c>
      <c r="H733" s="6" t="s">
        <v>83</v>
      </c>
    </row>
    <row r="734" customFormat="false" ht="15" hidden="false" customHeight="false" outlineLevel="0" collapsed="false">
      <c r="A734" s="7" t="s">
        <v>295</v>
      </c>
      <c r="B734" s="12" t="n">
        <v>1</v>
      </c>
      <c r="C734" s="12" t="n">
        <v>1</v>
      </c>
      <c r="D734" s="12" t="n">
        <v>1</v>
      </c>
      <c r="E734" s="13" t="s">
        <v>152</v>
      </c>
      <c r="F734" s="13" t="s">
        <v>152</v>
      </c>
      <c r="G734" s="13" t="s">
        <v>152</v>
      </c>
      <c r="H734" s="14"/>
    </row>
    <row r="735" customFormat="false" ht="15" hidden="false" customHeight="false" outlineLevel="0" collapsed="false">
      <c r="A735" s="7" t="s">
        <v>296</v>
      </c>
      <c r="B735" s="12" t="n">
        <v>4</v>
      </c>
      <c r="C735" s="12" t="n">
        <v>4</v>
      </c>
      <c r="D735" s="12" t="n">
        <v>4</v>
      </c>
      <c r="E735" s="13" t="s">
        <v>297</v>
      </c>
      <c r="F735" s="13" t="s">
        <v>297</v>
      </c>
      <c r="G735" s="13" t="s">
        <v>297</v>
      </c>
      <c r="H735" s="14"/>
    </row>
    <row r="736" customFormat="false" ht="15" hidden="false" customHeight="false" outlineLevel="0" collapsed="false">
      <c r="A736" s="7" t="s">
        <v>298</v>
      </c>
      <c r="B736" s="12" t="n">
        <v>2</v>
      </c>
      <c r="C736" s="12" t="n">
        <v>2</v>
      </c>
      <c r="D736" s="12" t="n">
        <v>2</v>
      </c>
      <c r="E736" s="13" t="s">
        <v>299</v>
      </c>
      <c r="F736" s="13" t="s">
        <v>300</v>
      </c>
      <c r="G736" s="13" t="s">
        <v>300</v>
      </c>
      <c r="H736" s="14"/>
    </row>
    <row r="737" customFormat="false" ht="15" hidden="false" customHeight="false" outlineLevel="0" collapsed="false">
      <c r="A737" s="7" t="s">
        <v>338</v>
      </c>
      <c r="B737" s="12" t="n">
        <v>4</v>
      </c>
      <c r="C737" s="12" t="n">
        <v>4</v>
      </c>
      <c r="D737" s="12" t="n">
        <v>4</v>
      </c>
      <c r="E737" s="13" t="s">
        <v>339</v>
      </c>
      <c r="F737" s="13" t="s">
        <v>340</v>
      </c>
      <c r="G737" s="13" t="s">
        <v>340</v>
      </c>
      <c r="H737" s="14"/>
    </row>
    <row r="738" customFormat="false" ht="15" hidden="false" customHeight="false" outlineLevel="0" collapsed="false">
      <c r="A738" s="7" t="s">
        <v>301</v>
      </c>
      <c r="B738" s="12" t="n">
        <v>1</v>
      </c>
      <c r="C738" s="12" t="n">
        <v>1</v>
      </c>
      <c r="D738" s="12" t="n">
        <v>1</v>
      </c>
      <c r="E738" s="13" t="s">
        <v>85</v>
      </c>
      <c r="F738" s="13" t="s">
        <v>85</v>
      </c>
      <c r="G738" s="13" t="s">
        <v>85</v>
      </c>
      <c r="H738" s="14"/>
    </row>
    <row r="739" customFormat="false" ht="15" hidden="false" customHeight="false" outlineLevel="0" collapsed="false">
      <c r="A739" s="7" t="s">
        <v>255</v>
      </c>
      <c r="B739" s="12" t="n">
        <v>1</v>
      </c>
      <c r="C739" s="12" t="n">
        <v>1</v>
      </c>
      <c r="D739" s="12" t="n">
        <v>1</v>
      </c>
      <c r="E739" s="13" t="s">
        <v>256</v>
      </c>
      <c r="F739" s="13" t="s">
        <v>256</v>
      </c>
      <c r="G739" s="13" t="s">
        <v>256</v>
      </c>
      <c r="H739" s="14"/>
    </row>
    <row r="740" customFormat="false" ht="15" hidden="false" customHeight="false" outlineLevel="0" collapsed="false">
      <c r="A740" s="7" t="s">
        <v>257</v>
      </c>
      <c r="B740" s="12" t="n">
        <v>1</v>
      </c>
      <c r="C740" s="12" t="n">
        <v>1</v>
      </c>
      <c r="D740" s="12" t="n">
        <v>1</v>
      </c>
      <c r="E740" s="13" t="s">
        <v>163</v>
      </c>
      <c r="F740" s="13" t="s">
        <v>163</v>
      </c>
      <c r="G740" s="13" t="s">
        <v>163</v>
      </c>
      <c r="H740" s="14"/>
    </row>
    <row r="741" customFormat="false" ht="15" hidden="false" customHeight="false" outlineLevel="0" collapsed="false">
      <c r="A741" s="7" t="s">
        <v>97</v>
      </c>
      <c r="B741" s="12" t="n">
        <v>2</v>
      </c>
      <c r="C741" s="12" t="s">
        <v>124</v>
      </c>
      <c r="D741" s="12" t="s">
        <v>124</v>
      </c>
      <c r="E741" s="13" t="s">
        <v>98</v>
      </c>
      <c r="F741" s="13"/>
      <c r="G741" s="13"/>
      <c r="H741" s="14"/>
    </row>
    <row r="742" customFormat="false" ht="15" hidden="false" customHeight="false" outlineLevel="0" collapsed="false">
      <c r="A742" s="7" t="s">
        <v>325</v>
      </c>
      <c r="B742" s="12" t="n">
        <v>1</v>
      </c>
      <c r="C742" s="12" t="n">
        <v>1</v>
      </c>
      <c r="D742" s="12" t="n">
        <v>1</v>
      </c>
      <c r="E742" s="13" t="s">
        <v>326</v>
      </c>
      <c r="F742" s="13" t="s">
        <v>326</v>
      </c>
      <c r="G742" s="13" t="s">
        <v>327</v>
      </c>
      <c r="H742" s="14"/>
    </row>
    <row r="743" customFormat="false" ht="15" hidden="false" customHeight="false" outlineLevel="0" collapsed="false">
      <c r="A743" s="7" t="s">
        <v>99</v>
      </c>
      <c r="B743" s="12" t="n">
        <v>1</v>
      </c>
      <c r="C743" s="12" t="n">
        <v>1</v>
      </c>
      <c r="D743" s="12" t="n">
        <v>1</v>
      </c>
      <c r="E743" s="13" t="s">
        <v>100</v>
      </c>
      <c r="F743" s="13" t="s">
        <v>101</v>
      </c>
      <c r="G743" s="13" t="s">
        <v>101</v>
      </c>
      <c r="H743" s="14"/>
    </row>
    <row r="744" customFormat="false" ht="15" hidden="false" customHeight="false" outlineLevel="0" collapsed="false">
      <c r="A744" s="7" t="s">
        <v>164</v>
      </c>
      <c r="B744" s="12" t="n">
        <v>1</v>
      </c>
      <c r="C744" s="12" t="n">
        <v>1</v>
      </c>
      <c r="D744" s="12" t="n">
        <v>1</v>
      </c>
      <c r="E744" s="13" t="s">
        <v>165</v>
      </c>
      <c r="F744" s="13" t="s">
        <v>103</v>
      </c>
      <c r="G744" s="13" t="s">
        <v>103</v>
      </c>
      <c r="H744" s="14"/>
    </row>
    <row r="745" customFormat="false" ht="15" hidden="false" customHeight="false" outlineLevel="0" collapsed="false">
      <c r="A745" s="7" t="s">
        <v>166</v>
      </c>
      <c r="B745" s="12" t="n">
        <v>1</v>
      </c>
      <c r="C745" s="12" t="n">
        <v>2</v>
      </c>
      <c r="D745" s="12" t="n">
        <v>2</v>
      </c>
      <c r="E745" s="13" t="s">
        <v>108</v>
      </c>
      <c r="F745" s="13" t="s">
        <v>109</v>
      </c>
      <c r="G745" s="13" t="s">
        <v>109</v>
      </c>
      <c r="H745" s="14"/>
    </row>
    <row r="746" customFormat="false" ht="15" hidden="false" customHeight="false" outlineLevel="0" collapsed="false">
      <c r="A746" s="7" t="s">
        <v>304</v>
      </c>
      <c r="B746" s="12" t="n">
        <v>1</v>
      </c>
      <c r="C746" s="12" t="n">
        <v>1</v>
      </c>
      <c r="D746" s="12" t="n">
        <v>1</v>
      </c>
      <c r="E746" s="13" t="s">
        <v>111</v>
      </c>
      <c r="F746" s="13" t="s">
        <v>112</v>
      </c>
      <c r="G746" s="13" t="s">
        <v>112</v>
      </c>
      <c r="H746" s="14"/>
    </row>
    <row r="747" customFormat="false" ht="15" hidden="false" customHeight="false" outlineLevel="0" collapsed="false">
      <c r="A747" s="23" t="s">
        <v>199</v>
      </c>
      <c r="B747" s="12" t="n">
        <v>1</v>
      </c>
      <c r="C747" s="12" t="n">
        <v>1</v>
      </c>
      <c r="D747" s="12" t="n">
        <v>1</v>
      </c>
      <c r="E747" s="13" t="s">
        <v>222</v>
      </c>
      <c r="F747" s="13" t="s">
        <v>222</v>
      </c>
      <c r="G747" s="13" t="s">
        <v>222</v>
      </c>
      <c r="H747" s="24" t="s">
        <v>182</v>
      </c>
    </row>
    <row r="748" customFormat="false" ht="15" hidden="false" customHeight="false" outlineLevel="0" collapsed="false">
      <c r="A748" s="7" t="s">
        <v>176</v>
      </c>
      <c r="B748" s="12" t="n">
        <v>1</v>
      </c>
      <c r="C748" s="12" t="n">
        <v>1</v>
      </c>
      <c r="D748" s="12" t="n">
        <v>1</v>
      </c>
      <c r="E748" s="13" t="s">
        <v>177</v>
      </c>
      <c r="F748" s="13" t="s">
        <v>177</v>
      </c>
      <c r="G748" s="13" t="s">
        <v>177</v>
      </c>
      <c r="H748" s="14"/>
    </row>
    <row r="749" customFormat="false" ht="15" hidden="false" customHeight="false" outlineLevel="0" collapsed="false">
      <c r="A749" s="15" t="s">
        <v>498</v>
      </c>
      <c r="B749" s="12" t="s">
        <v>180</v>
      </c>
      <c r="C749" s="12" t="n">
        <v>1</v>
      </c>
      <c r="D749" s="12" t="n">
        <v>1</v>
      </c>
      <c r="E749" s="13" t="s">
        <v>127</v>
      </c>
      <c r="F749" s="13" t="s">
        <v>127</v>
      </c>
      <c r="G749" s="13" t="s">
        <v>127</v>
      </c>
      <c r="H749" s="16" t="s">
        <v>128</v>
      </c>
    </row>
    <row r="750" customFormat="false" ht="15" hidden="false" customHeight="false" outlineLevel="0" collapsed="false">
      <c r="A750" s="7" t="s">
        <v>499</v>
      </c>
      <c r="B750" s="12" t="s">
        <v>180</v>
      </c>
      <c r="C750" s="12" t="n">
        <v>1</v>
      </c>
      <c r="D750" s="12" t="n">
        <v>1</v>
      </c>
      <c r="E750" s="13" t="s">
        <v>500</v>
      </c>
      <c r="F750" s="13" t="s">
        <v>500</v>
      </c>
      <c r="G750" s="13" t="s">
        <v>500</v>
      </c>
      <c r="H750" s="14"/>
    </row>
    <row r="751" customFormat="false" ht="15" hidden="false" customHeight="false" outlineLevel="0" collapsed="false">
      <c r="A751" s="7" t="s">
        <v>321</v>
      </c>
      <c r="B751" s="12" t="s">
        <v>121</v>
      </c>
      <c r="C751" s="12" t="n">
        <v>1</v>
      </c>
      <c r="D751" s="12" t="n">
        <v>1</v>
      </c>
      <c r="E751" s="13" t="s">
        <v>322</v>
      </c>
      <c r="F751" s="13" t="s">
        <v>322</v>
      </c>
      <c r="G751" s="13" t="s">
        <v>322</v>
      </c>
      <c r="H751" s="14"/>
    </row>
    <row r="752" customFormat="false" ht="15" hidden="false" customHeight="false" outlineLevel="0" collapsed="false">
      <c r="A752" s="7" t="s">
        <v>188</v>
      </c>
      <c r="B752" s="12" t="s">
        <v>124</v>
      </c>
      <c r="C752" s="12" t="n">
        <v>1</v>
      </c>
      <c r="D752" s="12" t="n">
        <v>1</v>
      </c>
      <c r="E752" s="13"/>
      <c r="F752" s="13" t="s">
        <v>189</v>
      </c>
      <c r="G752" s="13" t="s">
        <v>189</v>
      </c>
      <c r="H752" s="14"/>
    </row>
    <row r="753" customFormat="false" ht="15" hidden="false" customHeight="false" outlineLevel="0" collapsed="false">
      <c r="A753" s="7" t="s">
        <v>323</v>
      </c>
      <c r="B753" s="12" t="s">
        <v>124</v>
      </c>
      <c r="C753" s="12" t="n">
        <v>1</v>
      </c>
      <c r="D753" s="12" t="n">
        <v>1</v>
      </c>
      <c r="E753" s="13"/>
      <c r="F753" s="13" t="s">
        <v>324</v>
      </c>
      <c r="G753" s="13" t="s">
        <v>324</v>
      </c>
      <c r="H753" s="14"/>
    </row>
    <row r="754" customFormat="false" ht="15" hidden="false" customHeight="false" outlineLevel="0" collapsed="false">
      <c r="A754" s="7" t="s">
        <v>329</v>
      </c>
      <c r="B754" s="12" t="s">
        <v>124</v>
      </c>
      <c r="C754" s="12" t="n">
        <v>1</v>
      </c>
      <c r="D754" s="12" t="n">
        <v>1</v>
      </c>
      <c r="E754" s="13"/>
      <c r="F754" s="13" t="s">
        <v>330</v>
      </c>
      <c r="G754" s="13" t="s">
        <v>330</v>
      </c>
      <c r="H754" s="14"/>
    </row>
    <row r="755" customFormat="false" ht="15" hidden="false" customHeight="false" outlineLevel="0" collapsed="false">
      <c r="A755" s="15" t="s">
        <v>382</v>
      </c>
      <c r="B755" s="12" t="s">
        <v>124</v>
      </c>
      <c r="C755" s="12" t="n">
        <v>1</v>
      </c>
      <c r="D755" s="12" t="n">
        <v>1</v>
      </c>
      <c r="E755" s="13"/>
      <c r="F755" s="13" t="s">
        <v>127</v>
      </c>
      <c r="G755" s="13" t="s">
        <v>127</v>
      </c>
      <c r="H755" s="16" t="s">
        <v>128</v>
      </c>
    </row>
    <row r="756" customFormat="false" ht="15" hidden="false" customHeight="false" outlineLevel="0" collapsed="false">
      <c r="A756" s="7" t="s">
        <v>431</v>
      </c>
      <c r="B756" s="12" t="s">
        <v>124</v>
      </c>
      <c r="C756" s="12" t="n">
        <v>1</v>
      </c>
      <c r="D756" s="12" t="n">
        <v>1</v>
      </c>
      <c r="E756" s="13"/>
      <c r="F756" s="13" t="s">
        <v>432</v>
      </c>
      <c r="G756" s="13" t="s">
        <v>432</v>
      </c>
      <c r="H756" s="14"/>
    </row>
    <row r="757" customFormat="false" ht="15" hidden="false" customHeight="false" outlineLevel="0" collapsed="false">
      <c r="A757" s="7" t="s">
        <v>433</v>
      </c>
      <c r="B757" s="12" t="s">
        <v>124</v>
      </c>
      <c r="C757" s="12" t="n">
        <v>1</v>
      </c>
      <c r="D757" s="12" t="n">
        <v>1</v>
      </c>
      <c r="E757" s="13"/>
      <c r="F757" s="13" t="s">
        <v>434</v>
      </c>
      <c r="G757" s="13" t="s">
        <v>434</v>
      </c>
      <c r="H757" s="14"/>
    </row>
    <row r="758" customFormat="false" ht="15" hidden="false" customHeight="false" outlineLevel="0" collapsed="false">
      <c r="A758" s="23" t="s">
        <v>435</v>
      </c>
      <c r="B758" s="12" t="s">
        <v>124</v>
      </c>
      <c r="C758" s="12" t="n">
        <v>1</v>
      </c>
      <c r="D758" s="12" t="n">
        <v>1</v>
      </c>
      <c r="E758" s="13"/>
      <c r="F758" s="13" t="s">
        <v>436</v>
      </c>
      <c r="G758" s="13" t="s">
        <v>436</v>
      </c>
      <c r="H758" s="24" t="s">
        <v>182</v>
      </c>
    </row>
    <row r="759" customFormat="false" ht="15" hidden="false" customHeight="false" outlineLevel="0" collapsed="false">
      <c r="A759" s="7" t="s">
        <v>117</v>
      </c>
      <c r="B759" s="12" t="s">
        <v>124</v>
      </c>
      <c r="C759" s="12" t="n">
        <v>1</v>
      </c>
      <c r="D759" s="12" t="n">
        <v>1</v>
      </c>
      <c r="E759" s="13"/>
      <c r="F759" s="13" t="s">
        <v>178</v>
      </c>
      <c r="G759" s="13" t="s">
        <v>178</v>
      </c>
      <c r="H759" s="14"/>
    </row>
    <row r="760" customFormat="false" ht="15" hidden="false" customHeight="false" outlineLevel="0" collapsed="false">
      <c r="A760" s="7" t="s">
        <v>471</v>
      </c>
      <c r="B760" s="12" t="s">
        <v>124</v>
      </c>
      <c r="C760" s="12" t="s">
        <v>124</v>
      </c>
      <c r="D760" s="12" t="n">
        <v>1</v>
      </c>
      <c r="E760" s="13"/>
      <c r="F760" s="13"/>
      <c r="G760" s="13" t="s">
        <v>472</v>
      </c>
      <c r="H760" s="14"/>
    </row>
    <row r="761" customFormat="false" ht="15" hidden="false" customHeight="false" outlineLevel="0" collapsed="false">
      <c r="A761" s="15" t="s">
        <v>473</v>
      </c>
      <c r="B761" s="12" t="s">
        <v>124</v>
      </c>
      <c r="C761" s="12" t="s">
        <v>124</v>
      </c>
      <c r="D761" s="12" t="n">
        <v>1</v>
      </c>
      <c r="E761" s="13"/>
      <c r="F761" s="13"/>
      <c r="G761" s="13" t="s">
        <v>127</v>
      </c>
      <c r="H761" s="16" t="s">
        <v>128</v>
      </c>
    </row>
    <row r="762" customFormat="false" ht="15" hidden="false" customHeight="false" outlineLevel="0" collapsed="false">
      <c r="A762" s="21" t="s">
        <v>437</v>
      </c>
      <c r="B762" s="12" t="s">
        <v>124</v>
      </c>
      <c r="C762" s="12" t="s">
        <v>124</v>
      </c>
      <c r="D762" s="12" t="n">
        <v>1</v>
      </c>
      <c r="E762" s="13"/>
      <c r="F762" s="13"/>
      <c r="G762" s="13" t="s">
        <v>438</v>
      </c>
      <c r="H762" s="22" t="s">
        <v>172</v>
      </c>
    </row>
    <row r="763" customFormat="false" ht="15" hidden="false" customHeight="false" outlineLevel="0" collapsed="false">
      <c r="A763" s="21" t="s">
        <v>439</v>
      </c>
      <c r="B763" s="12" t="s">
        <v>124</v>
      </c>
      <c r="C763" s="12" t="s">
        <v>124</v>
      </c>
      <c r="D763" s="12" t="n">
        <v>1</v>
      </c>
      <c r="E763" s="13"/>
      <c r="F763" s="13"/>
      <c r="G763" s="13" t="s">
        <v>440</v>
      </c>
      <c r="H763" s="22" t="s">
        <v>172</v>
      </c>
    </row>
    <row r="764" customFormat="false" ht="15" hidden="false" customHeight="false" outlineLevel="0" collapsed="false">
      <c r="A764" s="19" t="s">
        <v>149</v>
      </c>
      <c r="B764" s="20" t="n">
        <f aca="false">'Récap par kit'!F85</f>
        <v>14470</v>
      </c>
      <c r="C764" s="20" t="n">
        <f aca="false">'Récap par kit'!F86</f>
        <v>41750</v>
      </c>
      <c r="D764" s="20" t="n">
        <f aca="false">'Récap par kit'!F87</f>
        <v>50900</v>
      </c>
    </row>
    <row r="766" customFormat="false" ht="15" hidden="false" customHeight="false" outlineLevel="0" collapsed="false">
      <c r="A766" s="11" t="s">
        <v>502</v>
      </c>
    </row>
    <row r="767" customFormat="false" ht="15" hidden="false" customHeight="false" outlineLevel="0" collapsed="false">
      <c r="A767" s="6" t="s">
        <v>79</v>
      </c>
      <c r="B767" s="6" t="s">
        <v>48</v>
      </c>
      <c r="C767" s="6" t="s">
        <v>49</v>
      </c>
      <c r="D767" s="6" t="s">
        <v>50</v>
      </c>
      <c r="E767" s="6" t="s">
        <v>80</v>
      </c>
      <c r="F767" s="6" t="s">
        <v>81</v>
      </c>
      <c r="G767" s="6" t="s">
        <v>82</v>
      </c>
      <c r="H767" s="6" t="s">
        <v>83</v>
      </c>
    </row>
    <row r="768" customFormat="false" ht="15" hidden="false" customHeight="false" outlineLevel="0" collapsed="false">
      <c r="A768" s="7" t="s">
        <v>295</v>
      </c>
      <c r="B768" s="12" t="n">
        <v>2</v>
      </c>
      <c r="C768" s="12" t="n">
        <v>2</v>
      </c>
      <c r="D768" s="12" t="n">
        <v>2</v>
      </c>
      <c r="E768" s="13" t="s">
        <v>152</v>
      </c>
      <c r="F768" s="13" t="s">
        <v>152</v>
      </c>
      <c r="G768" s="13" t="s">
        <v>152</v>
      </c>
      <c r="H768" s="14"/>
    </row>
    <row r="769" customFormat="false" ht="15" hidden="false" customHeight="false" outlineLevel="0" collapsed="false">
      <c r="A769" s="7" t="s">
        <v>296</v>
      </c>
      <c r="B769" s="12" t="n">
        <v>4</v>
      </c>
      <c r="C769" s="12" t="n">
        <v>4</v>
      </c>
      <c r="D769" s="12" t="n">
        <v>4</v>
      </c>
      <c r="E769" s="13" t="s">
        <v>297</v>
      </c>
      <c r="F769" s="13" t="s">
        <v>297</v>
      </c>
      <c r="G769" s="13" t="s">
        <v>297</v>
      </c>
      <c r="H769" s="14"/>
    </row>
    <row r="770" customFormat="false" ht="15" hidden="false" customHeight="false" outlineLevel="0" collapsed="false">
      <c r="A770" s="7" t="s">
        <v>298</v>
      </c>
      <c r="B770" s="12" t="n">
        <v>2</v>
      </c>
      <c r="C770" s="12" t="n">
        <v>2</v>
      </c>
      <c r="D770" s="12" t="n">
        <v>2</v>
      </c>
      <c r="E770" s="13" t="s">
        <v>299</v>
      </c>
      <c r="F770" s="13" t="s">
        <v>300</v>
      </c>
      <c r="G770" s="13" t="s">
        <v>300</v>
      </c>
      <c r="H770" s="14"/>
    </row>
    <row r="771" customFormat="false" ht="15" hidden="false" customHeight="false" outlineLevel="0" collapsed="false">
      <c r="A771" s="7" t="s">
        <v>338</v>
      </c>
      <c r="B771" s="12" t="n">
        <v>5</v>
      </c>
      <c r="C771" s="12" t="n">
        <v>5</v>
      </c>
      <c r="D771" s="12" t="n">
        <v>5</v>
      </c>
      <c r="E771" s="13" t="s">
        <v>339</v>
      </c>
      <c r="F771" s="13" t="s">
        <v>340</v>
      </c>
      <c r="G771" s="13" t="s">
        <v>340</v>
      </c>
      <c r="H771" s="14"/>
    </row>
    <row r="772" customFormat="false" ht="15" hidden="false" customHeight="false" outlineLevel="0" collapsed="false">
      <c r="A772" s="7" t="s">
        <v>442</v>
      </c>
      <c r="B772" s="12" t="n">
        <v>1</v>
      </c>
      <c r="C772" s="12" t="n">
        <v>1</v>
      </c>
      <c r="D772" s="12" t="n">
        <v>1</v>
      </c>
      <c r="E772" s="13" t="s">
        <v>87</v>
      </c>
      <c r="F772" s="13" t="s">
        <v>87</v>
      </c>
      <c r="G772" s="13" t="s">
        <v>87</v>
      </c>
      <c r="H772" s="14"/>
    </row>
    <row r="773" customFormat="false" ht="15" hidden="false" customHeight="false" outlineLevel="0" collapsed="false">
      <c r="A773" s="7" t="s">
        <v>255</v>
      </c>
      <c r="B773" s="12" t="n">
        <v>1</v>
      </c>
      <c r="C773" s="12" t="n">
        <v>1</v>
      </c>
      <c r="D773" s="12" t="n">
        <v>1</v>
      </c>
      <c r="E773" s="13" t="s">
        <v>256</v>
      </c>
      <c r="F773" s="13" t="s">
        <v>256</v>
      </c>
      <c r="G773" s="13" t="s">
        <v>256</v>
      </c>
      <c r="H773" s="14"/>
    </row>
    <row r="774" customFormat="false" ht="15" hidden="false" customHeight="false" outlineLevel="0" collapsed="false">
      <c r="A774" s="7" t="s">
        <v>257</v>
      </c>
      <c r="B774" s="12" t="n">
        <v>1</v>
      </c>
      <c r="C774" s="12" t="n">
        <v>1</v>
      </c>
      <c r="D774" s="12" t="n">
        <v>1</v>
      </c>
      <c r="E774" s="13" t="s">
        <v>163</v>
      </c>
      <c r="F774" s="13" t="s">
        <v>163</v>
      </c>
      <c r="G774" s="13" t="s">
        <v>163</v>
      </c>
      <c r="H774" s="14"/>
    </row>
    <row r="775" customFormat="false" ht="15" hidden="false" customHeight="false" outlineLevel="0" collapsed="false">
      <c r="A775" s="7" t="s">
        <v>97</v>
      </c>
      <c r="B775" s="12" t="n">
        <v>2</v>
      </c>
      <c r="C775" s="12" t="s">
        <v>124</v>
      </c>
      <c r="D775" s="12" t="s">
        <v>124</v>
      </c>
      <c r="E775" s="13" t="s">
        <v>98</v>
      </c>
      <c r="F775" s="13"/>
      <c r="G775" s="13"/>
      <c r="H775" s="14"/>
    </row>
    <row r="776" customFormat="false" ht="15" hidden="false" customHeight="false" outlineLevel="0" collapsed="false">
      <c r="A776" s="7" t="s">
        <v>325</v>
      </c>
      <c r="B776" s="12" t="n">
        <v>1</v>
      </c>
      <c r="C776" s="12" t="n">
        <v>1</v>
      </c>
      <c r="D776" s="12" t="n">
        <v>1</v>
      </c>
      <c r="E776" s="13" t="s">
        <v>326</v>
      </c>
      <c r="F776" s="13" t="s">
        <v>326</v>
      </c>
      <c r="G776" s="13" t="s">
        <v>327</v>
      </c>
      <c r="H776" s="14"/>
    </row>
    <row r="777" customFormat="false" ht="15" hidden="false" customHeight="false" outlineLevel="0" collapsed="false">
      <c r="A777" s="7" t="s">
        <v>99</v>
      </c>
      <c r="B777" s="12" t="n">
        <v>1</v>
      </c>
      <c r="C777" s="12" t="n">
        <v>1</v>
      </c>
      <c r="D777" s="12" t="n">
        <v>1</v>
      </c>
      <c r="E777" s="13" t="s">
        <v>100</v>
      </c>
      <c r="F777" s="13" t="s">
        <v>101</v>
      </c>
      <c r="G777" s="13" t="s">
        <v>101</v>
      </c>
      <c r="H777" s="14"/>
    </row>
    <row r="778" customFormat="false" ht="15" hidden="false" customHeight="false" outlineLevel="0" collapsed="false">
      <c r="A778" s="7" t="s">
        <v>164</v>
      </c>
      <c r="B778" s="12" t="n">
        <v>1</v>
      </c>
      <c r="C778" s="12" t="n">
        <v>1</v>
      </c>
      <c r="D778" s="12" t="n">
        <v>1</v>
      </c>
      <c r="E778" s="13" t="s">
        <v>165</v>
      </c>
      <c r="F778" s="13" t="s">
        <v>103</v>
      </c>
      <c r="G778" s="13" t="s">
        <v>103</v>
      </c>
      <c r="H778" s="14"/>
    </row>
    <row r="779" customFormat="false" ht="15" hidden="false" customHeight="false" outlineLevel="0" collapsed="false">
      <c r="A779" s="7" t="s">
        <v>166</v>
      </c>
      <c r="B779" s="12" t="n">
        <v>1</v>
      </c>
      <c r="C779" s="12" t="n">
        <v>2</v>
      </c>
      <c r="D779" s="12" t="n">
        <v>2</v>
      </c>
      <c r="E779" s="13" t="s">
        <v>108</v>
      </c>
      <c r="F779" s="13" t="s">
        <v>109</v>
      </c>
      <c r="G779" s="13" t="s">
        <v>109</v>
      </c>
      <c r="H779" s="14"/>
    </row>
    <row r="780" customFormat="false" ht="15" hidden="false" customHeight="false" outlineLevel="0" collapsed="false">
      <c r="A780" s="7" t="s">
        <v>304</v>
      </c>
      <c r="B780" s="12" t="n">
        <v>1</v>
      </c>
      <c r="C780" s="12" t="n">
        <v>1</v>
      </c>
      <c r="D780" s="12" t="n">
        <v>1</v>
      </c>
      <c r="E780" s="13" t="s">
        <v>111</v>
      </c>
      <c r="F780" s="13" t="s">
        <v>112</v>
      </c>
      <c r="G780" s="13" t="s">
        <v>112</v>
      </c>
      <c r="H780" s="14"/>
    </row>
    <row r="781" customFormat="false" ht="15" hidden="false" customHeight="false" outlineLevel="0" collapsed="false">
      <c r="A781" s="23" t="s">
        <v>199</v>
      </c>
      <c r="B781" s="12" t="n">
        <v>1</v>
      </c>
      <c r="C781" s="12" t="n">
        <v>1</v>
      </c>
      <c r="D781" s="12" t="n">
        <v>1</v>
      </c>
      <c r="E781" s="13" t="s">
        <v>222</v>
      </c>
      <c r="F781" s="13" t="s">
        <v>222</v>
      </c>
      <c r="G781" s="13" t="s">
        <v>222</v>
      </c>
      <c r="H781" s="24" t="s">
        <v>182</v>
      </c>
    </row>
    <row r="782" customFormat="false" ht="15" hidden="false" customHeight="false" outlineLevel="0" collapsed="false">
      <c r="A782" s="7" t="s">
        <v>443</v>
      </c>
      <c r="B782" s="12" t="n">
        <v>1</v>
      </c>
      <c r="C782" s="12" t="n">
        <v>1</v>
      </c>
      <c r="D782" s="12" t="n">
        <v>1</v>
      </c>
      <c r="E782" s="13" t="s">
        <v>307</v>
      </c>
      <c r="F782" s="13" t="s">
        <v>307</v>
      </c>
      <c r="G782" s="13" t="s">
        <v>307</v>
      </c>
      <c r="H782" s="14"/>
    </row>
    <row r="783" customFormat="false" ht="15" hidden="false" customHeight="false" outlineLevel="0" collapsed="false">
      <c r="A783" s="7" t="s">
        <v>176</v>
      </c>
      <c r="B783" s="12" t="n">
        <v>1</v>
      </c>
      <c r="C783" s="12" t="n">
        <v>1</v>
      </c>
      <c r="D783" s="12" t="n">
        <v>1</v>
      </c>
      <c r="E783" s="13" t="s">
        <v>177</v>
      </c>
      <c r="F783" s="13" t="s">
        <v>177</v>
      </c>
      <c r="G783" s="13" t="s">
        <v>177</v>
      </c>
      <c r="H783" s="14"/>
    </row>
    <row r="784" customFormat="false" ht="15" hidden="false" customHeight="false" outlineLevel="0" collapsed="false">
      <c r="A784" s="23" t="s">
        <v>503</v>
      </c>
      <c r="B784" s="12" t="s">
        <v>180</v>
      </c>
      <c r="C784" s="12" t="n">
        <v>1</v>
      </c>
      <c r="D784" s="12" t="n">
        <v>1</v>
      </c>
      <c r="E784" s="13" t="s">
        <v>504</v>
      </c>
      <c r="F784" s="13" t="s">
        <v>504</v>
      </c>
      <c r="G784" s="13" t="s">
        <v>504</v>
      </c>
      <c r="H784" s="24" t="s">
        <v>182</v>
      </c>
    </row>
    <row r="785" customFormat="false" ht="15" hidden="false" customHeight="false" outlineLevel="0" collapsed="false">
      <c r="A785" s="15" t="s">
        <v>505</v>
      </c>
      <c r="B785" s="12" t="s">
        <v>180</v>
      </c>
      <c r="C785" s="12" t="n">
        <v>1</v>
      </c>
      <c r="D785" s="12" t="n">
        <v>1</v>
      </c>
      <c r="E785" s="13" t="s">
        <v>127</v>
      </c>
      <c r="F785" s="13" t="s">
        <v>127</v>
      </c>
      <c r="G785" s="13" t="s">
        <v>127</v>
      </c>
      <c r="H785" s="16" t="s">
        <v>128</v>
      </c>
    </row>
    <row r="786" customFormat="false" ht="15" hidden="false" customHeight="false" outlineLevel="0" collapsed="false">
      <c r="A786" s="23" t="s">
        <v>506</v>
      </c>
      <c r="B786" s="12" t="s">
        <v>180</v>
      </c>
      <c r="C786" s="12" t="n">
        <v>1</v>
      </c>
      <c r="D786" s="12" t="n">
        <v>1</v>
      </c>
      <c r="E786" s="13" t="s">
        <v>507</v>
      </c>
      <c r="F786" s="13" t="s">
        <v>507</v>
      </c>
      <c r="G786" s="13" t="s">
        <v>507</v>
      </c>
      <c r="H786" s="24" t="s">
        <v>182</v>
      </c>
    </row>
    <row r="787" customFormat="false" ht="15" hidden="false" customHeight="false" outlineLevel="0" collapsed="false">
      <c r="A787" s="23" t="s">
        <v>508</v>
      </c>
      <c r="B787" s="12" t="s">
        <v>180</v>
      </c>
      <c r="C787" s="12" t="n">
        <v>1</v>
      </c>
      <c r="D787" s="12" t="n">
        <v>1</v>
      </c>
      <c r="E787" s="13" t="s">
        <v>509</v>
      </c>
      <c r="F787" s="13" t="s">
        <v>509</v>
      </c>
      <c r="G787" s="13" t="s">
        <v>509</v>
      </c>
      <c r="H787" s="24" t="s">
        <v>182</v>
      </c>
    </row>
    <row r="788" customFormat="false" ht="15" hidden="false" customHeight="false" outlineLevel="0" collapsed="false">
      <c r="A788" s="23" t="s">
        <v>510</v>
      </c>
      <c r="B788" s="12" t="s">
        <v>180</v>
      </c>
      <c r="C788" s="12" t="n">
        <v>1</v>
      </c>
      <c r="D788" s="12" t="n">
        <v>1</v>
      </c>
      <c r="E788" s="13" t="s">
        <v>511</v>
      </c>
      <c r="F788" s="13" t="s">
        <v>511</v>
      </c>
      <c r="G788" s="13" t="s">
        <v>511</v>
      </c>
      <c r="H788" s="24" t="s">
        <v>182</v>
      </c>
    </row>
    <row r="789" customFormat="false" ht="15" hidden="false" customHeight="false" outlineLevel="0" collapsed="false">
      <c r="A789" s="7" t="s">
        <v>512</v>
      </c>
      <c r="B789" s="12" t="s">
        <v>180</v>
      </c>
      <c r="C789" s="12" t="n">
        <v>1</v>
      </c>
      <c r="D789" s="12" t="n">
        <v>1</v>
      </c>
      <c r="E789" s="13" t="s">
        <v>513</v>
      </c>
      <c r="F789" s="13" t="s">
        <v>513</v>
      </c>
      <c r="G789" s="13" t="s">
        <v>513</v>
      </c>
      <c r="H789" s="14"/>
    </row>
    <row r="790" customFormat="false" ht="15" hidden="false" customHeight="false" outlineLevel="0" collapsed="false">
      <c r="A790" s="7" t="s">
        <v>514</v>
      </c>
      <c r="B790" s="12" t="s">
        <v>180</v>
      </c>
      <c r="C790" s="12" t="n">
        <v>1</v>
      </c>
      <c r="D790" s="12" t="n">
        <v>1</v>
      </c>
      <c r="E790" s="13" t="s">
        <v>515</v>
      </c>
      <c r="F790" s="13" t="s">
        <v>515</v>
      </c>
      <c r="G790" s="13" t="s">
        <v>515</v>
      </c>
      <c r="H790" s="14"/>
    </row>
    <row r="791" customFormat="false" ht="15" hidden="false" customHeight="false" outlineLevel="0" collapsed="false">
      <c r="A791" s="7" t="s">
        <v>516</v>
      </c>
      <c r="B791" s="12" t="s">
        <v>180</v>
      </c>
      <c r="C791" s="12" t="n">
        <v>1</v>
      </c>
      <c r="D791" s="12" t="n">
        <v>1</v>
      </c>
      <c r="E791" s="13" t="s">
        <v>487</v>
      </c>
      <c r="F791" s="13" t="s">
        <v>487</v>
      </c>
      <c r="G791" s="13" t="s">
        <v>487</v>
      </c>
      <c r="H791" s="14"/>
    </row>
    <row r="792" customFormat="false" ht="15" hidden="false" customHeight="false" outlineLevel="0" collapsed="false">
      <c r="A792" s="7" t="s">
        <v>321</v>
      </c>
      <c r="B792" s="12" t="s">
        <v>121</v>
      </c>
      <c r="C792" s="12" t="n">
        <v>1</v>
      </c>
      <c r="D792" s="12" t="n">
        <v>1</v>
      </c>
      <c r="E792" s="13" t="s">
        <v>322</v>
      </c>
      <c r="F792" s="13" t="s">
        <v>322</v>
      </c>
      <c r="G792" s="13" t="s">
        <v>322</v>
      </c>
      <c r="H792" s="14"/>
    </row>
    <row r="793" customFormat="false" ht="15" hidden="false" customHeight="false" outlineLevel="0" collapsed="false">
      <c r="A793" s="7" t="s">
        <v>188</v>
      </c>
      <c r="B793" s="12" t="s">
        <v>124</v>
      </c>
      <c r="C793" s="12" t="n">
        <v>1</v>
      </c>
      <c r="D793" s="12" t="n">
        <v>1</v>
      </c>
      <c r="E793" s="13"/>
      <c r="F793" s="13" t="s">
        <v>189</v>
      </c>
      <c r="G793" s="13" t="s">
        <v>189</v>
      </c>
      <c r="H793" s="14"/>
    </row>
    <row r="794" customFormat="false" ht="15" hidden="false" customHeight="false" outlineLevel="0" collapsed="false">
      <c r="A794" s="7" t="s">
        <v>323</v>
      </c>
      <c r="B794" s="12" t="s">
        <v>124</v>
      </c>
      <c r="C794" s="12" t="n">
        <v>1</v>
      </c>
      <c r="D794" s="12" t="n">
        <v>1</v>
      </c>
      <c r="E794" s="13"/>
      <c r="F794" s="13" t="s">
        <v>324</v>
      </c>
      <c r="G794" s="13" t="s">
        <v>324</v>
      </c>
      <c r="H794" s="14"/>
    </row>
    <row r="795" customFormat="false" ht="15" hidden="false" customHeight="false" outlineLevel="0" collapsed="false">
      <c r="A795" s="7" t="s">
        <v>329</v>
      </c>
      <c r="B795" s="12" t="s">
        <v>124</v>
      </c>
      <c r="C795" s="12" t="n">
        <v>1</v>
      </c>
      <c r="D795" s="12" t="n">
        <v>1</v>
      </c>
      <c r="E795" s="13"/>
      <c r="F795" s="13" t="s">
        <v>330</v>
      </c>
      <c r="G795" s="13" t="s">
        <v>330</v>
      </c>
      <c r="H795" s="14"/>
    </row>
    <row r="796" customFormat="false" ht="15" hidden="false" customHeight="false" outlineLevel="0" collapsed="false">
      <c r="A796" s="15" t="s">
        <v>430</v>
      </c>
      <c r="B796" s="12" t="s">
        <v>124</v>
      </c>
      <c r="C796" s="12" t="n">
        <v>1</v>
      </c>
      <c r="D796" s="12" t="n">
        <v>1</v>
      </c>
      <c r="E796" s="13"/>
      <c r="F796" s="13" t="s">
        <v>127</v>
      </c>
      <c r="G796" s="13" t="s">
        <v>127</v>
      </c>
      <c r="H796" s="16" t="s">
        <v>128</v>
      </c>
    </row>
    <row r="797" customFormat="false" ht="15" hidden="false" customHeight="false" outlineLevel="0" collapsed="false">
      <c r="A797" s="15" t="s">
        <v>382</v>
      </c>
      <c r="B797" s="12" t="s">
        <v>124</v>
      </c>
      <c r="C797" s="12" t="n">
        <v>1</v>
      </c>
      <c r="D797" s="12" t="n">
        <v>1</v>
      </c>
      <c r="E797" s="13"/>
      <c r="F797" s="13" t="s">
        <v>127</v>
      </c>
      <c r="G797" s="13" t="s">
        <v>127</v>
      </c>
      <c r="H797" s="16" t="s">
        <v>128</v>
      </c>
    </row>
    <row r="798" customFormat="false" ht="15" hidden="false" customHeight="false" outlineLevel="0" collapsed="false">
      <c r="A798" s="7" t="s">
        <v>431</v>
      </c>
      <c r="B798" s="12" t="s">
        <v>124</v>
      </c>
      <c r="C798" s="12" t="n">
        <v>1</v>
      </c>
      <c r="D798" s="12" t="n">
        <v>1</v>
      </c>
      <c r="E798" s="13"/>
      <c r="F798" s="13" t="s">
        <v>432</v>
      </c>
      <c r="G798" s="13" t="s">
        <v>432</v>
      </c>
      <c r="H798" s="14"/>
    </row>
    <row r="799" customFormat="false" ht="15" hidden="false" customHeight="false" outlineLevel="0" collapsed="false">
      <c r="A799" s="7" t="s">
        <v>433</v>
      </c>
      <c r="B799" s="12" t="s">
        <v>124</v>
      </c>
      <c r="C799" s="12" t="n">
        <v>1</v>
      </c>
      <c r="D799" s="12" t="n">
        <v>1</v>
      </c>
      <c r="E799" s="13"/>
      <c r="F799" s="13" t="s">
        <v>434</v>
      </c>
      <c r="G799" s="13" t="s">
        <v>434</v>
      </c>
      <c r="H799" s="14"/>
    </row>
    <row r="800" customFormat="false" ht="15" hidden="false" customHeight="false" outlineLevel="0" collapsed="false">
      <c r="A800" s="23" t="s">
        <v>435</v>
      </c>
      <c r="B800" s="12" t="s">
        <v>124</v>
      </c>
      <c r="C800" s="12" t="n">
        <v>1</v>
      </c>
      <c r="D800" s="12" t="n">
        <v>1</v>
      </c>
      <c r="E800" s="13"/>
      <c r="F800" s="13" t="s">
        <v>436</v>
      </c>
      <c r="G800" s="13" t="s">
        <v>436</v>
      </c>
      <c r="H800" s="24" t="s">
        <v>182</v>
      </c>
    </row>
    <row r="801" customFormat="false" ht="15" hidden="false" customHeight="false" outlineLevel="0" collapsed="false">
      <c r="A801" s="7" t="s">
        <v>117</v>
      </c>
      <c r="B801" s="12" t="s">
        <v>124</v>
      </c>
      <c r="C801" s="12" t="n">
        <v>1</v>
      </c>
      <c r="D801" s="12" t="n">
        <v>1</v>
      </c>
      <c r="E801" s="13"/>
      <c r="F801" s="13" t="s">
        <v>178</v>
      </c>
      <c r="G801" s="13" t="s">
        <v>178</v>
      </c>
      <c r="H801" s="14"/>
    </row>
    <row r="802" customFormat="false" ht="15" hidden="false" customHeight="false" outlineLevel="0" collapsed="false">
      <c r="A802" s="19" t="s">
        <v>149</v>
      </c>
      <c r="B802" s="20" t="n">
        <f aca="false">'Récap par kit'!F89</f>
        <v>20970</v>
      </c>
      <c r="C802" s="20" t="n">
        <f aca="false">'Récap par kit'!F90</f>
        <v>166150</v>
      </c>
      <c r="D802" s="20" t="n">
        <f aca="false">'Récap par kit'!F91</f>
        <v>166750</v>
      </c>
    </row>
    <row r="804" customFormat="false" ht="15" hidden="false" customHeight="false" outlineLevel="0" collapsed="false">
      <c r="A804" s="11" t="s">
        <v>517</v>
      </c>
    </row>
    <row r="805" customFormat="false" ht="15" hidden="false" customHeight="false" outlineLevel="0" collapsed="false">
      <c r="A805" s="6" t="s">
        <v>79</v>
      </c>
      <c r="B805" s="6" t="s">
        <v>48</v>
      </c>
      <c r="C805" s="6" t="s">
        <v>49</v>
      </c>
      <c r="D805" s="6" t="s">
        <v>50</v>
      </c>
      <c r="E805" s="6" t="s">
        <v>80</v>
      </c>
      <c r="F805" s="6" t="s">
        <v>81</v>
      </c>
      <c r="G805" s="6" t="s">
        <v>82</v>
      </c>
      <c r="H805" s="6" t="s">
        <v>83</v>
      </c>
    </row>
    <row r="806" customFormat="false" ht="15" hidden="false" customHeight="false" outlineLevel="0" collapsed="false">
      <c r="A806" s="7" t="s">
        <v>295</v>
      </c>
      <c r="B806" s="12" t="n">
        <v>2</v>
      </c>
      <c r="C806" s="12" t="n">
        <v>2</v>
      </c>
      <c r="D806" s="12" t="n">
        <v>2</v>
      </c>
      <c r="E806" s="13" t="s">
        <v>152</v>
      </c>
      <c r="F806" s="13" t="s">
        <v>152</v>
      </c>
      <c r="G806" s="13" t="s">
        <v>152</v>
      </c>
      <c r="H806" s="14"/>
    </row>
    <row r="807" customFormat="false" ht="15" hidden="false" customHeight="false" outlineLevel="0" collapsed="false">
      <c r="A807" s="7" t="s">
        <v>296</v>
      </c>
      <c r="B807" s="12" t="n">
        <v>4</v>
      </c>
      <c r="C807" s="12" t="n">
        <v>4</v>
      </c>
      <c r="D807" s="12" t="n">
        <v>4</v>
      </c>
      <c r="E807" s="13" t="s">
        <v>297</v>
      </c>
      <c r="F807" s="13" t="s">
        <v>297</v>
      </c>
      <c r="G807" s="13" t="s">
        <v>297</v>
      </c>
      <c r="H807" s="14"/>
    </row>
    <row r="808" customFormat="false" ht="15" hidden="false" customHeight="false" outlineLevel="0" collapsed="false">
      <c r="A808" s="7" t="s">
        <v>298</v>
      </c>
      <c r="B808" s="12" t="n">
        <v>2</v>
      </c>
      <c r="C808" s="12" t="n">
        <v>2</v>
      </c>
      <c r="D808" s="12" t="n">
        <v>2</v>
      </c>
      <c r="E808" s="13" t="s">
        <v>299</v>
      </c>
      <c r="F808" s="13" t="s">
        <v>300</v>
      </c>
      <c r="G808" s="13" t="s">
        <v>300</v>
      </c>
      <c r="H808" s="14"/>
    </row>
    <row r="809" customFormat="false" ht="15" hidden="false" customHeight="false" outlineLevel="0" collapsed="false">
      <c r="A809" s="7" t="s">
        <v>338</v>
      </c>
      <c r="B809" s="12" t="n">
        <v>5</v>
      </c>
      <c r="C809" s="12" t="n">
        <v>5</v>
      </c>
      <c r="D809" s="12" t="n">
        <v>5</v>
      </c>
      <c r="E809" s="13" t="s">
        <v>339</v>
      </c>
      <c r="F809" s="13" t="s">
        <v>340</v>
      </c>
      <c r="G809" s="13" t="s">
        <v>340</v>
      </c>
      <c r="H809" s="14"/>
    </row>
    <row r="810" customFormat="false" ht="15" hidden="false" customHeight="false" outlineLevel="0" collapsed="false">
      <c r="A810" s="7" t="s">
        <v>442</v>
      </c>
      <c r="B810" s="12" t="n">
        <v>1</v>
      </c>
      <c r="C810" s="12" t="n">
        <v>1</v>
      </c>
      <c r="D810" s="12" t="n">
        <v>1</v>
      </c>
      <c r="E810" s="13" t="s">
        <v>87</v>
      </c>
      <c r="F810" s="13" t="s">
        <v>87</v>
      </c>
      <c r="G810" s="13" t="s">
        <v>87</v>
      </c>
      <c r="H810" s="14"/>
    </row>
    <row r="811" customFormat="false" ht="15" hidden="false" customHeight="false" outlineLevel="0" collapsed="false">
      <c r="A811" s="7" t="s">
        <v>255</v>
      </c>
      <c r="B811" s="12" t="n">
        <v>1</v>
      </c>
      <c r="C811" s="12" t="n">
        <v>1</v>
      </c>
      <c r="D811" s="12" t="n">
        <v>1</v>
      </c>
      <c r="E811" s="13" t="s">
        <v>256</v>
      </c>
      <c r="F811" s="13" t="s">
        <v>256</v>
      </c>
      <c r="G811" s="13" t="s">
        <v>256</v>
      </c>
      <c r="H811" s="14"/>
    </row>
    <row r="812" customFormat="false" ht="15" hidden="false" customHeight="false" outlineLevel="0" collapsed="false">
      <c r="A812" s="7" t="s">
        <v>257</v>
      </c>
      <c r="B812" s="12" t="n">
        <v>1</v>
      </c>
      <c r="C812" s="12" t="n">
        <v>1</v>
      </c>
      <c r="D812" s="12" t="n">
        <v>1</v>
      </c>
      <c r="E812" s="13" t="s">
        <v>163</v>
      </c>
      <c r="F812" s="13" t="s">
        <v>163</v>
      </c>
      <c r="G812" s="13" t="s">
        <v>163</v>
      </c>
      <c r="H812" s="14"/>
    </row>
    <row r="813" customFormat="false" ht="15" hidden="false" customHeight="false" outlineLevel="0" collapsed="false">
      <c r="A813" s="7" t="s">
        <v>97</v>
      </c>
      <c r="B813" s="12" t="n">
        <v>2</v>
      </c>
      <c r="C813" s="12" t="s">
        <v>124</v>
      </c>
      <c r="D813" s="12" t="s">
        <v>124</v>
      </c>
      <c r="E813" s="13" t="s">
        <v>98</v>
      </c>
      <c r="F813" s="13"/>
      <c r="G813" s="13"/>
      <c r="H813" s="14"/>
    </row>
    <row r="814" customFormat="false" ht="15" hidden="false" customHeight="false" outlineLevel="0" collapsed="false">
      <c r="A814" s="7" t="s">
        <v>325</v>
      </c>
      <c r="B814" s="12" t="n">
        <v>1</v>
      </c>
      <c r="C814" s="12" t="n">
        <v>1</v>
      </c>
      <c r="D814" s="12" t="n">
        <v>1</v>
      </c>
      <c r="E814" s="13" t="s">
        <v>326</v>
      </c>
      <c r="F814" s="13" t="s">
        <v>326</v>
      </c>
      <c r="G814" s="13" t="s">
        <v>327</v>
      </c>
      <c r="H814" s="14"/>
    </row>
    <row r="815" customFormat="false" ht="15" hidden="false" customHeight="false" outlineLevel="0" collapsed="false">
      <c r="A815" s="7" t="s">
        <v>99</v>
      </c>
      <c r="B815" s="12" t="n">
        <v>1</v>
      </c>
      <c r="C815" s="12" t="n">
        <v>1</v>
      </c>
      <c r="D815" s="12" t="n">
        <v>1</v>
      </c>
      <c r="E815" s="13" t="s">
        <v>100</v>
      </c>
      <c r="F815" s="13" t="s">
        <v>101</v>
      </c>
      <c r="G815" s="13" t="s">
        <v>101</v>
      </c>
      <c r="H815" s="14"/>
    </row>
    <row r="816" customFormat="false" ht="15" hidden="false" customHeight="false" outlineLevel="0" collapsed="false">
      <c r="A816" s="7" t="s">
        <v>164</v>
      </c>
      <c r="B816" s="12" t="n">
        <v>1</v>
      </c>
      <c r="C816" s="12" t="n">
        <v>1</v>
      </c>
      <c r="D816" s="12" t="n">
        <v>1</v>
      </c>
      <c r="E816" s="13" t="s">
        <v>165</v>
      </c>
      <c r="F816" s="13" t="s">
        <v>103</v>
      </c>
      <c r="G816" s="13" t="s">
        <v>103</v>
      </c>
      <c r="H816" s="14"/>
    </row>
    <row r="817" customFormat="false" ht="15" hidden="false" customHeight="false" outlineLevel="0" collapsed="false">
      <c r="A817" s="7" t="s">
        <v>166</v>
      </c>
      <c r="B817" s="12" t="n">
        <v>1</v>
      </c>
      <c r="C817" s="12" t="n">
        <v>2</v>
      </c>
      <c r="D817" s="12" t="n">
        <v>2</v>
      </c>
      <c r="E817" s="13" t="s">
        <v>108</v>
      </c>
      <c r="F817" s="13" t="s">
        <v>109</v>
      </c>
      <c r="G817" s="13" t="s">
        <v>109</v>
      </c>
      <c r="H817" s="14"/>
    </row>
    <row r="818" customFormat="false" ht="15" hidden="false" customHeight="false" outlineLevel="0" collapsed="false">
      <c r="A818" s="7" t="s">
        <v>304</v>
      </c>
      <c r="B818" s="12" t="n">
        <v>1</v>
      </c>
      <c r="C818" s="12" t="n">
        <v>1</v>
      </c>
      <c r="D818" s="12" t="n">
        <v>1</v>
      </c>
      <c r="E818" s="13" t="s">
        <v>111</v>
      </c>
      <c r="F818" s="13" t="s">
        <v>112</v>
      </c>
      <c r="G818" s="13" t="s">
        <v>112</v>
      </c>
      <c r="H818" s="14"/>
    </row>
    <row r="819" customFormat="false" ht="15" hidden="false" customHeight="false" outlineLevel="0" collapsed="false">
      <c r="A819" s="23" t="s">
        <v>199</v>
      </c>
      <c r="B819" s="12" t="n">
        <v>1</v>
      </c>
      <c r="C819" s="12" t="n">
        <v>1</v>
      </c>
      <c r="D819" s="12" t="n">
        <v>1</v>
      </c>
      <c r="E819" s="13" t="s">
        <v>222</v>
      </c>
      <c r="F819" s="13" t="s">
        <v>222</v>
      </c>
      <c r="G819" s="13" t="s">
        <v>222</v>
      </c>
      <c r="H819" s="24" t="s">
        <v>182</v>
      </c>
    </row>
    <row r="820" customFormat="false" ht="15" hidden="false" customHeight="false" outlineLevel="0" collapsed="false">
      <c r="A820" s="7" t="s">
        <v>443</v>
      </c>
      <c r="B820" s="12" t="n">
        <v>1</v>
      </c>
      <c r="C820" s="12" t="n">
        <v>1</v>
      </c>
      <c r="D820" s="12" t="n">
        <v>1</v>
      </c>
      <c r="E820" s="13" t="s">
        <v>307</v>
      </c>
      <c r="F820" s="13" t="s">
        <v>307</v>
      </c>
      <c r="G820" s="13" t="s">
        <v>307</v>
      </c>
      <c r="H820" s="14"/>
    </row>
    <row r="821" customFormat="false" ht="15" hidden="false" customHeight="false" outlineLevel="0" collapsed="false">
      <c r="A821" s="7" t="s">
        <v>176</v>
      </c>
      <c r="B821" s="12" t="n">
        <v>1</v>
      </c>
      <c r="C821" s="12" t="n">
        <v>1</v>
      </c>
      <c r="D821" s="12" t="n">
        <v>1</v>
      </c>
      <c r="E821" s="13" t="s">
        <v>177</v>
      </c>
      <c r="F821" s="13" t="s">
        <v>177</v>
      </c>
      <c r="G821" s="13" t="s">
        <v>177</v>
      </c>
      <c r="H821" s="14"/>
    </row>
    <row r="822" customFormat="false" ht="15" hidden="false" customHeight="false" outlineLevel="0" collapsed="false">
      <c r="A822" s="15" t="s">
        <v>518</v>
      </c>
      <c r="B822" s="12" t="s">
        <v>180</v>
      </c>
      <c r="C822" s="12" t="n">
        <v>1</v>
      </c>
      <c r="D822" s="12" t="n">
        <v>1</v>
      </c>
      <c r="E822" s="13" t="s">
        <v>127</v>
      </c>
      <c r="F822" s="13" t="s">
        <v>127</v>
      </c>
      <c r="G822" s="13" t="s">
        <v>127</v>
      </c>
      <c r="H822" s="16" t="s">
        <v>128</v>
      </c>
    </row>
    <row r="823" customFormat="false" ht="15" hidden="false" customHeight="false" outlineLevel="0" collapsed="false">
      <c r="A823" s="23" t="s">
        <v>519</v>
      </c>
      <c r="B823" s="12" t="s">
        <v>180</v>
      </c>
      <c r="C823" s="12" t="n">
        <v>1</v>
      </c>
      <c r="D823" s="12" t="n">
        <v>1</v>
      </c>
      <c r="E823" s="13" t="s">
        <v>520</v>
      </c>
      <c r="F823" s="13" t="s">
        <v>520</v>
      </c>
      <c r="G823" s="13" t="s">
        <v>520</v>
      </c>
      <c r="H823" s="24" t="s">
        <v>182</v>
      </c>
    </row>
    <row r="824" customFormat="false" ht="15" hidden="false" customHeight="false" outlineLevel="0" collapsed="false">
      <c r="A824" s="7" t="s">
        <v>521</v>
      </c>
      <c r="B824" s="12" t="s">
        <v>180</v>
      </c>
      <c r="C824" s="12" t="n">
        <v>1</v>
      </c>
      <c r="D824" s="12" t="n">
        <v>1</v>
      </c>
      <c r="E824" s="13" t="s">
        <v>522</v>
      </c>
      <c r="F824" s="13" t="s">
        <v>522</v>
      </c>
      <c r="G824" s="13" t="s">
        <v>522</v>
      </c>
      <c r="H824" s="14"/>
    </row>
    <row r="825" customFormat="false" ht="15" hidden="false" customHeight="false" outlineLevel="0" collapsed="false">
      <c r="A825" s="15" t="s">
        <v>523</v>
      </c>
      <c r="B825" s="12" t="s">
        <v>180</v>
      </c>
      <c r="C825" s="12" t="n">
        <v>1</v>
      </c>
      <c r="D825" s="12" t="n">
        <v>1</v>
      </c>
      <c r="E825" s="13" t="s">
        <v>127</v>
      </c>
      <c r="F825" s="13" t="s">
        <v>127</v>
      </c>
      <c r="G825" s="13" t="s">
        <v>127</v>
      </c>
      <c r="H825" s="16" t="s">
        <v>128</v>
      </c>
    </row>
    <row r="826" customFormat="false" ht="15" hidden="false" customHeight="false" outlineLevel="0" collapsed="false">
      <c r="A826" s="7" t="s">
        <v>524</v>
      </c>
      <c r="B826" s="12" t="s">
        <v>180</v>
      </c>
      <c r="C826" s="12" t="n">
        <v>1</v>
      </c>
      <c r="D826" s="12" t="n">
        <v>1</v>
      </c>
      <c r="E826" s="13" t="s">
        <v>525</v>
      </c>
      <c r="F826" s="13" t="s">
        <v>525</v>
      </c>
      <c r="G826" s="13" t="s">
        <v>525</v>
      </c>
      <c r="H826" s="14"/>
    </row>
    <row r="827" customFormat="false" ht="15" hidden="false" customHeight="false" outlineLevel="0" collapsed="false">
      <c r="A827" s="15" t="s">
        <v>526</v>
      </c>
      <c r="B827" s="12" t="s">
        <v>180</v>
      </c>
      <c r="C827" s="12" t="n">
        <v>1</v>
      </c>
      <c r="D827" s="12" t="n">
        <v>1</v>
      </c>
      <c r="E827" s="13" t="s">
        <v>127</v>
      </c>
      <c r="F827" s="13" t="s">
        <v>127</v>
      </c>
      <c r="G827" s="13" t="s">
        <v>127</v>
      </c>
      <c r="H827" s="16" t="s">
        <v>128</v>
      </c>
    </row>
    <row r="828" customFormat="false" ht="15" hidden="false" customHeight="false" outlineLevel="0" collapsed="false">
      <c r="A828" s="7" t="s">
        <v>321</v>
      </c>
      <c r="B828" s="12" t="s">
        <v>121</v>
      </c>
      <c r="C828" s="12" t="n">
        <v>1</v>
      </c>
      <c r="D828" s="12" t="n">
        <v>1</v>
      </c>
      <c r="E828" s="13" t="s">
        <v>322</v>
      </c>
      <c r="F828" s="13" t="s">
        <v>322</v>
      </c>
      <c r="G828" s="13" t="s">
        <v>322</v>
      </c>
      <c r="H828" s="14"/>
    </row>
    <row r="829" customFormat="false" ht="15" hidden="false" customHeight="false" outlineLevel="0" collapsed="false">
      <c r="A829" s="7" t="s">
        <v>188</v>
      </c>
      <c r="B829" s="12" t="s">
        <v>124</v>
      </c>
      <c r="C829" s="12" t="n">
        <v>1</v>
      </c>
      <c r="D829" s="12" t="n">
        <v>1</v>
      </c>
      <c r="E829" s="13"/>
      <c r="F829" s="13" t="s">
        <v>189</v>
      </c>
      <c r="G829" s="13" t="s">
        <v>189</v>
      </c>
      <c r="H829" s="14"/>
    </row>
    <row r="830" customFormat="false" ht="15" hidden="false" customHeight="false" outlineLevel="0" collapsed="false">
      <c r="A830" s="7" t="s">
        <v>323</v>
      </c>
      <c r="B830" s="12" t="s">
        <v>124</v>
      </c>
      <c r="C830" s="12" t="n">
        <v>1</v>
      </c>
      <c r="D830" s="12" t="n">
        <v>1</v>
      </c>
      <c r="E830" s="13"/>
      <c r="F830" s="13" t="s">
        <v>324</v>
      </c>
      <c r="G830" s="13" t="s">
        <v>324</v>
      </c>
      <c r="H830" s="14"/>
    </row>
    <row r="831" customFormat="false" ht="15" hidden="false" customHeight="false" outlineLevel="0" collapsed="false">
      <c r="A831" s="7" t="s">
        <v>329</v>
      </c>
      <c r="B831" s="12" t="s">
        <v>124</v>
      </c>
      <c r="C831" s="12" t="n">
        <v>1</v>
      </c>
      <c r="D831" s="12" t="n">
        <v>1</v>
      </c>
      <c r="E831" s="13"/>
      <c r="F831" s="13" t="s">
        <v>330</v>
      </c>
      <c r="G831" s="13" t="s">
        <v>330</v>
      </c>
      <c r="H831" s="14"/>
    </row>
    <row r="832" customFormat="false" ht="15" hidden="false" customHeight="false" outlineLevel="0" collapsed="false">
      <c r="A832" s="15" t="s">
        <v>430</v>
      </c>
      <c r="B832" s="12" t="s">
        <v>124</v>
      </c>
      <c r="C832" s="12" t="n">
        <v>1</v>
      </c>
      <c r="D832" s="12" t="n">
        <v>1</v>
      </c>
      <c r="E832" s="13"/>
      <c r="F832" s="13" t="s">
        <v>127</v>
      </c>
      <c r="G832" s="13" t="s">
        <v>127</v>
      </c>
      <c r="H832" s="16" t="s">
        <v>128</v>
      </c>
    </row>
    <row r="833" customFormat="false" ht="15" hidden="false" customHeight="false" outlineLevel="0" collapsed="false">
      <c r="A833" s="15" t="s">
        <v>382</v>
      </c>
      <c r="B833" s="12" t="s">
        <v>124</v>
      </c>
      <c r="C833" s="12" t="n">
        <v>1</v>
      </c>
      <c r="D833" s="12" t="n">
        <v>1</v>
      </c>
      <c r="E833" s="13"/>
      <c r="F833" s="13" t="s">
        <v>127</v>
      </c>
      <c r="G833" s="13" t="s">
        <v>127</v>
      </c>
      <c r="H833" s="16" t="s">
        <v>128</v>
      </c>
    </row>
    <row r="834" customFormat="false" ht="15" hidden="false" customHeight="false" outlineLevel="0" collapsed="false">
      <c r="A834" s="7" t="s">
        <v>431</v>
      </c>
      <c r="B834" s="12" t="s">
        <v>124</v>
      </c>
      <c r="C834" s="12" t="n">
        <v>1</v>
      </c>
      <c r="D834" s="12" t="n">
        <v>1</v>
      </c>
      <c r="E834" s="13"/>
      <c r="F834" s="13" t="s">
        <v>432</v>
      </c>
      <c r="G834" s="13" t="s">
        <v>432</v>
      </c>
      <c r="H834" s="14"/>
    </row>
    <row r="835" customFormat="false" ht="15" hidden="false" customHeight="false" outlineLevel="0" collapsed="false">
      <c r="A835" s="7" t="s">
        <v>433</v>
      </c>
      <c r="B835" s="12" t="s">
        <v>124</v>
      </c>
      <c r="C835" s="12" t="n">
        <v>1</v>
      </c>
      <c r="D835" s="12" t="n">
        <v>1</v>
      </c>
      <c r="E835" s="13"/>
      <c r="F835" s="13" t="s">
        <v>434</v>
      </c>
      <c r="G835" s="13" t="s">
        <v>434</v>
      </c>
      <c r="H835" s="14"/>
    </row>
    <row r="836" customFormat="false" ht="15" hidden="false" customHeight="false" outlineLevel="0" collapsed="false">
      <c r="A836" s="23" t="s">
        <v>435</v>
      </c>
      <c r="B836" s="12" t="s">
        <v>124</v>
      </c>
      <c r="C836" s="12" t="n">
        <v>1</v>
      </c>
      <c r="D836" s="12" t="n">
        <v>1</v>
      </c>
      <c r="E836" s="13"/>
      <c r="F836" s="13" t="s">
        <v>436</v>
      </c>
      <c r="G836" s="13" t="s">
        <v>436</v>
      </c>
      <c r="H836" s="24" t="s">
        <v>182</v>
      </c>
    </row>
    <row r="837" customFormat="false" ht="15" hidden="false" customHeight="false" outlineLevel="0" collapsed="false">
      <c r="A837" s="7" t="s">
        <v>117</v>
      </c>
      <c r="B837" s="12" t="s">
        <v>124</v>
      </c>
      <c r="C837" s="12" t="n">
        <v>1</v>
      </c>
      <c r="D837" s="12" t="n">
        <v>1</v>
      </c>
      <c r="E837" s="13"/>
      <c r="F837" s="13" t="s">
        <v>178</v>
      </c>
      <c r="G837" s="13" t="s">
        <v>178</v>
      </c>
      <c r="H837" s="14"/>
    </row>
    <row r="838" customFormat="false" ht="15" hidden="false" customHeight="false" outlineLevel="0" collapsed="false">
      <c r="A838" s="15" t="s">
        <v>527</v>
      </c>
      <c r="B838" s="12" t="s">
        <v>124</v>
      </c>
      <c r="C838" s="12" t="s">
        <v>124</v>
      </c>
      <c r="D838" s="12" t="n">
        <v>1</v>
      </c>
      <c r="E838" s="13"/>
      <c r="F838" s="13"/>
      <c r="G838" s="13" t="s">
        <v>127</v>
      </c>
      <c r="H838" s="16" t="s">
        <v>128</v>
      </c>
    </row>
    <row r="839" customFormat="false" ht="15" hidden="false" customHeight="false" outlineLevel="0" collapsed="false">
      <c r="A839" s="19" t="s">
        <v>149</v>
      </c>
      <c r="B839" s="20" t="n">
        <f aca="false">'Récap par kit'!F93</f>
        <v>20970</v>
      </c>
      <c r="C839" s="20" t="n">
        <f aca="false">'Récap par kit'!F94</f>
        <v>70870</v>
      </c>
      <c r="D839" s="20" t="n">
        <f aca="false">'Récap par kit'!F95</f>
        <v>71470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8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7"/>
    <col collapsed="false" customWidth="true" hidden="false" outlineLevel="0" max="5" min="5" style="0" width="22"/>
    <col collapsed="false" customWidth="true" hidden="false" outlineLevel="0" max="6" min="6" style="0" width="46"/>
    <col collapsed="false" customWidth="true" hidden="false" outlineLevel="0" max="7" min="7" style="0" width="12"/>
    <col collapsed="false" customWidth="true" hidden="false" outlineLevel="0" max="8" min="8" style="0" width="50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15"/>
    <col collapsed="false" customWidth="true" hidden="false" outlineLevel="0" max="12" min="12" style="0" width="8"/>
    <col collapsed="false" customWidth="true" hidden="false" outlineLevel="0" max="13" min="13" style="0" width="11"/>
    <col collapsed="false" customWidth="true" hidden="false" outlineLevel="0" max="14" min="14" style="0" width="13"/>
    <col collapsed="false" customWidth="true" hidden="false" outlineLevel="0" max="15" min="15" style="0" width="60"/>
    <col collapsed="false" customWidth="true" hidden="false" outlineLevel="0" max="16" min="16" style="0" width="14"/>
    <col collapsed="false" customWidth="true" hidden="false" outlineLevel="0" max="17" min="17" style="0" width="7"/>
    <col collapsed="false" customWidth="true" hidden="false" outlineLevel="0" max="19" min="18" style="0" width="11"/>
    <col collapsed="false" customWidth="true" hidden="false" outlineLevel="0" max="20" min="20" style="0" width="12"/>
    <col collapsed="false" customWidth="true" hidden="false" outlineLevel="0" max="21" min="21" style="0" width="13"/>
  </cols>
  <sheetData>
    <row r="1" customFormat="false" ht="39.55" hidden="false" customHeight="false" outlineLevel="0" collapsed="false">
      <c r="A1" s="6" t="s">
        <v>31</v>
      </c>
      <c r="B1" s="6" t="s">
        <v>32</v>
      </c>
      <c r="C1" s="6" t="s">
        <v>33</v>
      </c>
      <c r="D1" s="6" t="s">
        <v>528</v>
      </c>
      <c r="E1" s="6" t="s">
        <v>529</v>
      </c>
      <c r="F1" s="6" t="s">
        <v>530</v>
      </c>
      <c r="G1" s="6" t="s">
        <v>531</v>
      </c>
      <c r="H1" s="6" t="s">
        <v>532</v>
      </c>
      <c r="I1" s="6" t="s">
        <v>533</v>
      </c>
      <c r="J1" s="6" t="s">
        <v>534</v>
      </c>
      <c r="K1" s="6" t="s">
        <v>535</v>
      </c>
      <c r="L1" s="6" t="s">
        <v>536</v>
      </c>
      <c r="M1" s="6" t="s">
        <v>537</v>
      </c>
      <c r="N1" s="6" t="s">
        <v>83</v>
      </c>
      <c r="O1" s="6" t="s">
        <v>538</v>
      </c>
      <c r="P1" s="6" t="s">
        <v>539</v>
      </c>
      <c r="Q1" s="6" t="s">
        <v>540</v>
      </c>
      <c r="R1" s="6" t="s">
        <v>541</v>
      </c>
      <c r="S1" s="6" t="s">
        <v>542</v>
      </c>
      <c r="T1" s="6" t="s">
        <v>543</v>
      </c>
      <c r="U1" s="6" t="s">
        <v>45</v>
      </c>
    </row>
    <row r="2" customFormat="false" ht="15" hidden="false" customHeight="false" outlineLevel="0" collapsed="false">
      <c r="A2" s="25" t="s">
        <v>46</v>
      </c>
      <c r="B2" s="25" t="s">
        <v>47</v>
      </c>
      <c r="C2" s="25" t="s">
        <v>48</v>
      </c>
      <c r="D2" s="25" t="n">
        <v>1</v>
      </c>
      <c r="E2" s="25" t="s">
        <v>544</v>
      </c>
      <c r="F2" s="25" t="s">
        <v>84</v>
      </c>
      <c r="G2" s="25" t="n">
        <v>1728</v>
      </c>
      <c r="H2" s="25" t="s">
        <v>545</v>
      </c>
      <c r="I2" s="25" t="n">
        <v>1</v>
      </c>
      <c r="J2" s="26" t="n">
        <v>900</v>
      </c>
      <c r="K2" s="25" t="s">
        <v>546</v>
      </c>
      <c r="L2" s="25" t="s">
        <v>547</v>
      </c>
      <c r="M2" s="26" t="n">
        <f aca="false">IF(AND(L2="Oui",K2="Principal"),I2*J2,0)</f>
        <v>900</v>
      </c>
      <c r="N2" s="25" t="s">
        <v>548</v>
      </c>
      <c r="O2" s="25" t="s">
        <v>549</v>
      </c>
      <c r="P2" s="25" t="s">
        <v>550</v>
      </c>
      <c r="Q2" s="25" t="s">
        <v>551</v>
      </c>
      <c r="R2" s="26"/>
      <c r="S2" s="26" t="n">
        <f aca="false">IF(AND(L2="Oui",K2="Principal",R2&lt;&gt;""),I2*R2,0)</f>
        <v>0</v>
      </c>
      <c r="T2" s="26" t="n">
        <f aca="false">IF(R2&lt;&gt;"",M2-S2,0)</f>
        <v>0</v>
      </c>
      <c r="U2" s="26" t="n">
        <f aca="false">IF(R2="",M2,0)</f>
        <v>900</v>
      </c>
    </row>
    <row r="3" customFormat="false" ht="15" hidden="false" customHeight="false" outlineLevel="0" collapsed="false">
      <c r="A3" s="25" t="s">
        <v>46</v>
      </c>
      <c r="B3" s="25" t="s">
        <v>47</v>
      </c>
      <c r="C3" s="25" t="s">
        <v>48</v>
      </c>
      <c r="D3" s="25" t="n">
        <v>2</v>
      </c>
      <c r="E3" s="25" t="s">
        <v>544</v>
      </c>
      <c r="F3" s="25" t="s">
        <v>86</v>
      </c>
      <c r="G3" s="25" t="n">
        <v>1729</v>
      </c>
      <c r="H3" s="25" t="s">
        <v>552</v>
      </c>
      <c r="I3" s="25" t="n">
        <v>1</v>
      </c>
      <c r="J3" s="26" t="n">
        <v>1300</v>
      </c>
      <c r="K3" s="25" t="s">
        <v>546</v>
      </c>
      <c r="L3" s="25" t="s">
        <v>547</v>
      </c>
      <c r="M3" s="26" t="n">
        <f aca="false">IF(AND(L3="Oui",K3="Principal"),I3*J3,0)</f>
        <v>1300</v>
      </c>
      <c r="N3" s="25" t="s">
        <v>548</v>
      </c>
      <c r="O3" s="25" t="s">
        <v>553</v>
      </c>
      <c r="P3" s="25" t="s">
        <v>550</v>
      </c>
      <c r="Q3" s="25" t="s">
        <v>551</v>
      </c>
      <c r="R3" s="26"/>
      <c r="S3" s="26" t="n">
        <f aca="false">IF(AND(L3="Oui",K3="Principal",R3&lt;&gt;""),I3*R3,0)</f>
        <v>0</v>
      </c>
      <c r="T3" s="26" t="n">
        <f aca="false">IF(R3&lt;&gt;"",M3-S3,0)</f>
        <v>0</v>
      </c>
      <c r="U3" s="26" t="n">
        <f aca="false">IF(R3="",M3,0)</f>
        <v>1300</v>
      </c>
    </row>
    <row r="4" customFormat="false" ht="15" hidden="false" customHeight="false" outlineLevel="0" collapsed="false">
      <c r="A4" s="25" t="s">
        <v>46</v>
      </c>
      <c r="B4" s="25" t="s">
        <v>47</v>
      </c>
      <c r="C4" s="25" t="s">
        <v>48</v>
      </c>
      <c r="D4" s="25" t="n">
        <v>3</v>
      </c>
      <c r="E4" s="25" t="s">
        <v>554</v>
      </c>
      <c r="F4" s="25" t="s">
        <v>88</v>
      </c>
      <c r="G4" s="25" t="n">
        <v>1572</v>
      </c>
      <c r="H4" s="25" t="s">
        <v>555</v>
      </c>
      <c r="I4" s="25" t="n">
        <v>1</v>
      </c>
      <c r="J4" s="26" t="n">
        <v>250</v>
      </c>
      <c r="K4" s="25" t="s">
        <v>546</v>
      </c>
      <c r="L4" s="25" t="s">
        <v>547</v>
      </c>
      <c r="M4" s="26" t="n">
        <f aca="false">IF(AND(L4="Oui",K4="Principal"),I4*J4,0)</f>
        <v>250</v>
      </c>
      <c r="N4" s="25" t="s">
        <v>548</v>
      </c>
      <c r="O4" s="25"/>
      <c r="P4" s="25" t="s">
        <v>556</v>
      </c>
      <c r="Q4" s="25" t="s">
        <v>557</v>
      </c>
      <c r="R4" s="26" t="n">
        <v>150</v>
      </c>
      <c r="S4" s="26" t="n">
        <f aca="false">IF(AND(L4="Oui",K4="Principal",R4&lt;&gt;""),I4*R4,0)</f>
        <v>150</v>
      </c>
      <c r="T4" s="26" t="n">
        <f aca="false">IF(R4&lt;&gt;"",M4-S4,0)</f>
        <v>100</v>
      </c>
      <c r="U4" s="26" t="n">
        <f aca="false">IF(R4="",M4,0)</f>
        <v>0</v>
      </c>
    </row>
    <row r="5" customFormat="false" ht="15" hidden="false" customHeight="false" outlineLevel="0" collapsed="false">
      <c r="A5" s="25" t="s">
        <v>46</v>
      </c>
      <c r="B5" s="25" t="s">
        <v>47</v>
      </c>
      <c r="C5" s="25" t="s">
        <v>48</v>
      </c>
      <c r="D5" s="25" t="n">
        <v>4</v>
      </c>
      <c r="E5" s="25" t="s">
        <v>167</v>
      </c>
      <c r="F5" s="25" t="s">
        <v>91</v>
      </c>
      <c r="G5" s="25" t="n">
        <v>33</v>
      </c>
      <c r="H5" s="25" t="s">
        <v>558</v>
      </c>
      <c r="I5" s="25" t="n">
        <v>1</v>
      </c>
      <c r="J5" s="26" t="n">
        <v>1200</v>
      </c>
      <c r="K5" s="25" t="s">
        <v>546</v>
      </c>
      <c r="L5" s="25" t="s">
        <v>547</v>
      </c>
      <c r="M5" s="26" t="n">
        <f aca="false">IF(AND(L5="Oui",K5="Principal"),I5*J5,0)</f>
        <v>1200</v>
      </c>
      <c r="N5" s="25" t="s">
        <v>548</v>
      </c>
      <c r="O5" s="25"/>
      <c r="P5" s="25" t="s">
        <v>559</v>
      </c>
      <c r="Q5" s="25" t="s">
        <v>551</v>
      </c>
      <c r="R5" s="26"/>
      <c r="S5" s="26" t="n">
        <f aca="false">IF(AND(L5="Oui",K5="Principal",R5&lt;&gt;""),I5*R5,0)</f>
        <v>0</v>
      </c>
      <c r="T5" s="26" t="n">
        <f aca="false">IF(R5&lt;&gt;"",M5-S5,0)</f>
        <v>0</v>
      </c>
      <c r="U5" s="26" t="n">
        <f aca="false">IF(R5="",M5,0)</f>
        <v>1200</v>
      </c>
    </row>
    <row r="6" customFormat="false" ht="15" hidden="false" customHeight="false" outlineLevel="0" collapsed="false">
      <c r="A6" s="25" t="s">
        <v>46</v>
      </c>
      <c r="B6" s="25" t="s">
        <v>47</v>
      </c>
      <c r="C6" s="25" t="s">
        <v>48</v>
      </c>
      <c r="D6" s="25" t="n">
        <v>5</v>
      </c>
      <c r="E6" s="25" t="s">
        <v>167</v>
      </c>
      <c r="F6" s="25" t="s">
        <v>93</v>
      </c>
      <c r="G6" s="25" t="n">
        <v>1698</v>
      </c>
      <c r="H6" s="25" t="s">
        <v>560</v>
      </c>
      <c r="I6" s="25" t="n">
        <v>2</v>
      </c>
      <c r="J6" s="26" t="n">
        <v>400</v>
      </c>
      <c r="K6" s="25" t="s">
        <v>546</v>
      </c>
      <c r="L6" s="25" t="s">
        <v>547</v>
      </c>
      <c r="M6" s="26" t="n">
        <f aca="false">IF(AND(L6="Oui",K6="Principal"),I6*J6,0)</f>
        <v>800</v>
      </c>
      <c r="N6" s="25" t="s">
        <v>548</v>
      </c>
      <c r="O6" s="25"/>
      <c r="P6" s="25" t="s">
        <v>561</v>
      </c>
      <c r="Q6" s="25" t="s">
        <v>557</v>
      </c>
      <c r="R6" s="26"/>
      <c r="S6" s="26" t="n">
        <f aca="false">IF(AND(L6="Oui",K6="Principal",R6&lt;&gt;""),I6*R6,0)</f>
        <v>0</v>
      </c>
      <c r="T6" s="26" t="n">
        <f aca="false">IF(R6&lt;&gt;"",M6-S6,0)</f>
        <v>0</v>
      </c>
      <c r="U6" s="26" t="n">
        <f aca="false">IF(R6="",M6,0)</f>
        <v>800</v>
      </c>
    </row>
    <row r="7" customFormat="false" ht="15" hidden="false" customHeight="false" outlineLevel="0" collapsed="false">
      <c r="A7" s="25" t="s">
        <v>46</v>
      </c>
      <c r="B7" s="25" t="s">
        <v>47</v>
      </c>
      <c r="C7" s="25" t="s">
        <v>48</v>
      </c>
      <c r="D7" s="25" t="n">
        <v>6</v>
      </c>
      <c r="E7" s="25" t="s">
        <v>167</v>
      </c>
      <c r="F7" s="25" t="s">
        <v>95</v>
      </c>
      <c r="G7" s="25" t="n">
        <v>1244</v>
      </c>
      <c r="H7" s="25" t="s">
        <v>562</v>
      </c>
      <c r="I7" s="25" t="n">
        <v>1</v>
      </c>
      <c r="J7" s="26" t="n">
        <v>400</v>
      </c>
      <c r="K7" s="25" t="s">
        <v>546</v>
      </c>
      <c r="L7" s="25" t="s">
        <v>547</v>
      </c>
      <c r="M7" s="26" t="n">
        <f aca="false">IF(AND(L7="Oui",K7="Principal"),I7*J7,0)</f>
        <v>400</v>
      </c>
      <c r="N7" s="25" t="s">
        <v>548</v>
      </c>
      <c r="O7" s="25"/>
      <c r="P7" s="25" t="s">
        <v>550</v>
      </c>
      <c r="Q7" s="25" t="s">
        <v>557</v>
      </c>
      <c r="R7" s="26" t="n">
        <v>130</v>
      </c>
      <c r="S7" s="26" t="n">
        <f aca="false">IF(AND(L7="Oui",K7="Principal",R7&lt;&gt;""),I7*R7,0)</f>
        <v>130</v>
      </c>
      <c r="T7" s="26" t="n">
        <f aca="false">IF(R7&lt;&gt;"",M7-S7,0)</f>
        <v>270</v>
      </c>
      <c r="U7" s="26" t="n">
        <f aca="false">IF(R7="",M7,0)</f>
        <v>0</v>
      </c>
    </row>
    <row r="8" customFormat="false" ht="15" hidden="false" customHeight="false" outlineLevel="0" collapsed="false">
      <c r="A8" s="25" t="s">
        <v>46</v>
      </c>
      <c r="B8" s="25" t="s">
        <v>47</v>
      </c>
      <c r="C8" s="25" t="s">
        <v>48</v>
      </c>
      <c r="D8" s="25" t="n">
        <v>7</v>
      </c>
      <c r="E8" s="25" t="s">
        <v>563</v>
      </c>
      <c r="F8" s="25" t="s">
        <v>97</v>
      </c>
      <c r="G8" s="25" t="n">
        <v>1571</v>
      </c>
      <c r="H8" s="25" t="s">
        <v>564</v>
      </c>
      <c r="I8" s="25" t="n">
        <v>2</v>
      </c>
      <c r="J8" s="26" t="n">
        <v>75</v>
      </c>
      <c r="K8" s="25" t="s">
        <v>546</v>
      </c>
      <c r="L8" s="25" t="s">
        <v>547</v>
      </c>
      <c r="M8" s="26" t="n">
        <f aca="false">IF(AND(L8="Oui",K8="Principal"),I8*J8,0)</f>
        <v>150</v>
      </c>
      <c r="N8" s="25" t="s">
        <v>548</v>
      </c>
      <c r="O8" s="25"/>
      <c r="P8" s="25" t="s">
        <v>550</v>
      </c>
      <c r="Q8" s="25" t="s">
        <v>557</v>
      </c>
      <c r="R8" s="26"/>
      <c r="S8" s="26" t="n">
        <f aca="false">IF(AND(L8="Oui",K8="Principal",R8&lt;&gt;""),I8*R8,0)</f>
        <v>0</v>
      </c>
      <c r="T8" s="26" t="n">
        <f aca="false">IF(R8&lt;&gt;"",M8-S8,0)</f>
        <v>0</v>
      </c>
      <c r="U8" s="26" t="n">
        <f aca="false">IF(R8="",M8,0)</f>
        <v>150</v>
      </c>
    </row>
    <row r="9" customFormat="false" ht="15" hidden="false" customHeight="false" outlineLevel="0" collapsed="false">
      <c r="A9" s="25" t="s">
        <v>46</v>
      </c>
      <c r="B9" s="25" t="s">
        <v>47</v>
      </c>
      <c r="C9" s="25" t="s">
        <v>48</v>
      </c>
      <c r="D9" s="25" t="n">
        <v>8</v>
      </c>
      <c r="E9" s="25" t="s">
        <v>565</v>
      </c>
      <c r="F9" s="25" t="s">
        <v>99</v>
      </c>
      <c r="G9" s="25" t="n">
        <v>9</v>
      </c>
      <c r="H9" s="25" t="s">
        <v>566</v>
      </c>
      <c r="I9" s="25" t="n">
        <v>1</v>
      </c>
      <c r="J9" s="26" t="n">
        <v>150</v>
      </c>
      <c r="K9" s="25" t="s">
        <v>546</v>
      </c>
      <c r="L9" s="25" t="s">
        <v>547</v>
      </c>
      <c r="M9" s="26" t="n">
        <f aca="false">IF(AND(L9="Oui",K9="Principal"),I9*J9,0)</f>
        <v>150</v>
      </c>
      <c r="N9" s="25" t="s">
        <v>548</v>
      </c>
      <c r="O9" s="25"/>
      <c r="P9" s="25" t="s">
        <v>559</v>
      </c>
      <c r="Q9" s="25" t="s">
        <v>551</v>
      </c>
      <c r="R9" s="26"/>
      <c r="S9" s="26" t="n">
        <f aca="false">IF(AND(L9="Oui",K9="Principal",R9&lt;&gt;""),I9*R9,0)</f>
        <v>0</v>
      </c>
      <c r="T9" s="26" t="n">
        <f aca="false">IF(R9&lt;&gt;"",M9-S9,0)</f>
        <v>0</v>
      </c>
      <c r="U9" s="26" t="n">
        <f aca="false">IF(R9="",M9,0)</f>
        <v>150</v>
      </c>
    </row>
    <row r="10" customFormat="false" ht="15" hidden="false" customHeight="false" outlineLevel="0" collapsed="false">
      <c r="A10" s="25" t="s">
        <v>46</v>
      </c>
      <c r="B10" s="25" t="s">
        <v>47</v>
      </c>
      <c r="C10" s="25" t="s">
        <v>48</v>
      </c>
      <c r="D10" s="25" t="n">
        <v>9</v>
      </c>
      <c r="E10" s="25" t="s">
        <v>565</v>
      </c>
      <c r="F10" s="25" t="s">
        <v>102</v>
      </c>
      <c r="G10" s="25" t="n">
        <v>1587</v>
      </c>
      <c r="H10" s="25" t="s">
        <v>567</v>
      </c>
      <c r="I10" s="25" t="n">
        <v>1</v>
      </c>
      <c r="J10" s="26" t="n">
        <v>500</v>
      </c>
      <c r="K10" s="25" t="s">
        <v>546</v>
      </c>
      <c r="L10" s="25" t="s">
        <v>547</v>
      </c>
      <c r="M10" s="26" t="n">
        <f aca="false">IF(AND(L10="Oui",K10="Principal"),I10*J10,0)</f>
        <v>500</v>
      </c>
      <c r="N10" s="25" t="s">
        <v>548</v>
      </c>
      <c r="O10" s="25"/>
      <c r="P10" s="25" t="s">
        <v>556</v>
      </c>
      <c r="Q10" s="25" t="s">
        <v>557</v>
      </c>
      <c r="R10" s="26" t="n">
        <v>350</v>
      </c>
      <c r="S10" s="26" t="n">
        <f aca="false">IF(AND(L10="Oui",K10="Principal",R10&lt;&gt;""),I10*R10,0)</f>
        <v>350</v>
      </c>
      <c r="T10" s="26" t="n">
        <f aca="false">IF(R10&lt;&gt;"",M10-S10,0)</f>
        <v>150</v>
      </c>
      <c r="U10" s="26" t="n">
        <f aca="false">IF(R10="",M10,0)</f>
        <v>0</v>
      </c>
    </row>
    <row r="11" customFormat="false" ht="15" hidden="false" customHeight="false" outlineLevel="0" collapsed="false">
      <c r="A11" s="25" t="s">
        <v>46</v>
      </c>
      <c r="B11" s="25" t="s">
        <v>47</v>
      </c>
      <c r="C11" s="25" t="s">
        <v>48</v>
      </c>
      <c r="D11" s="25" t="n">
        <v>10</v>
      </c>
      <c r="E11" s="25" t="s">
        <v>554</v>
      </c>
      <c r="F11" s="25" t="s">
        <v>104</v>
      </c>
      <c r="G11" s="25" t="n">
        <v>1589</v>
      </c>
      <c r="H11" s="25" t="s">
        <v>568</v>
      </c>
      <c r="I11" s="25" t="n">
        <v>1</v>
      </c>
      <c r="J11" s="26" t="n">
        <v>900</v>
      </c>
      <c r="K11" s="25" t="s">
        <v>546</v>
      </c>
      <c r="L11" s="25" t="s">
        <v>547</v>
      </c>
      <c r="M11" s="26" t="n">
        <f aca="false">IF(AND(L11="Oui",K11="Principal"),I11*J11,0)</f>
        <v>900</v>
      </c>
      <c r="N11" s="25" t="s">
        <v>548</v>
      </c>
      <c r="O11" s="25"/>
      <c r="P11" s="25" t="s">
        <v>556</v>
      </c>
      <c r="Q11" s="25" t="s">
        <v>557</v>
      </c>
      <c r="R11" s="26" t="n">
        <v>650</v>
      </c>
      <c r="S11" s="26" t="n">
        <f aca="false">IF(AND(L11="Oui",K11="Principal",R11&lt;&gt;""),I11*R11,0)</f>
        <v>650</v>
      </c>
      <c r="T11" s="26" t="n">
        <f aca="false">IF(R11&lt;&gt;"",M11-S11,0)</f>
        <v>250</v>
      </c>
      <c r="U11" s="26" t="n">
        <f aca="false">IF(R11="",M11,0)</f>
        <v>0</v>
      </c>
    </row>
    <row r="12" customFormat="false" ht="15" hidden="false" customHeight="false" outlineLevel="0" collapsed="false">
      <c r="A12" s="25" t="s">
        <v>46</v>
      </c>
      <c r="B12" s="25" t="s">
        <v>47</v>
      </c>
      <c r="C12" s="25" t="s">
        <v>48</v>
      </c>
      <c r="D12" s="25" t="n">
        <v>11</v>
      </c>
      <c r="E12" s="25" t="s">
        <v>565</v>
      </c>
      <c r="F12" s="25" t="s">
        <v>107</v>
      </c>
      <c r="G12" s="25" t="n">
        <v>1173</v>
      </c>
      <c r="H12" s="25" t="s">
        <v>569</v>
      </c>
      <c r="I12" s="25" t="n">
        <v>2</v>
      </c>
      <c r="J12" s="26" t="n">
        <v>570</v>
      </c>
      <c r="K12" s="25" t="s">
        <v>546</v>
      </c>
      <c r="L12" s="25" t="s">
        <v>547</v>
      </c>
      <c r="M12" s="26" t="n">
        <f aca="false">IF(AND(L12="Oui",K12="Principal"),I12*J12,0)</f>
        <v>1140</v>
      </c>
      <c r="N12" s="25" t="s">
        <v>548</v>
      </c>
      <c r="O12" s="25"/>
      <c r="P12" s="25" t="s">
        <v>550</v>
      </c>
      <c r="Q12" s="25" t="s">
        <v>557</v>
      </c>
      <c r="R12" s="26" t="n">
        <v>420</v>
      </c>
      <c r="S12" s="26" t="n">
        <f aca="false">IF(AND(L12="Oui",K12="Principal",R12&lt;&gt;""),I12*R12,0)</f>
        <v>840</v>
      </c>
      <c r="T12" s="26" t="n">
        <f aca="false">IF(R12&lt;&gt;"",M12-S12,0)</f>
        <v>300</v>
      </c>
      <c r="U12" s="26" t="n">
        <f aca="false">IF(R12="",M12,0)</f>
        <v>0</v>
      </c>
    </row>
    <row r="13" customFormat="false" ht="15" hidden="false" customHeight="false" outlineLevel="0" collapsed="false">
      <c r="A13" s="25" t="s">
        <v>46</v>
      </c>
      <c r="B13" s="25" t="s">
        <v>47</v>
      </c>
      <c r="C13" s="25" t="s">
        <v>48</v>
      </c>
      <c r="D13" s="25" t="n">
        <v>12</v>
      </c>
      <c r="E13" s="25" t="s">
        <v>565</v>
      </c>
      <c r="F13" s="25" t="s">
        <v>110</v>
      </c>
      <c r="G13" s="25" t="n">
        <v>1250</v>
      </c>
      <c r="H13" s="25" t="s">
        <v>570</v>
      </c>
      <c r="I13" s="25" t="n">
        <v>1</v>
      </c>
      <c r="J13" s="26" t="n">
        <v>250</v>
      </c>
      <c r="K13" s="25" t="s">
        <v>546</v>
      </c>
      <c r="L13" s="25" t="s">
        <v>547</v>
      </c>
      <c r="M13" s="26" t="n">
        <f aca="false">IF(AND(L13="Oui",K13="Principal"),I13*J13,0)</f>
        <v>250</v>
      </c>
      <c r="N13" s="25" t="s">
        <v>548</v>
      </c>
      <c r="O13" s="25"/>
      <c r="P13" s="25" t="s">
        <v>550</v>
      </c>
      <c r="Q13" s="25" t="s">
        <v>557</v>
      </c>
      <c r="R13" s="26" t="n">
        <v>100</v>
      </c>
      <c r="S13" s="26" t="n">
        <f aca="false">IF(AND(L13="Oui",K13="Principal",R13&lt;&gt;""),I13*R13,0)</f>
        <v>100</v>
      </c>
      <c r="T13" s="26" t="n">
        <f aca="false">IF(R13&lt;&gt;"",M13-S13,0)</f>
        <v>150</v>
      </c>
      <c r="U13" s="26" t="n">
        <f aca="false">IF(R13="",M13,0)</f>
        <v>0</v>
      </c>
    </row>
    <row r="14" customFormat="false" ht="15" hidden="false" customHeight="false" outlineLevel="0" collapsed="false">
      <c r="A14" s="25" t="s">
        <v>46</v>
      </c>
      <c r="B14" s="25" t="s">
        <v>47</v>
      </c>
      <c r="C14" s="25" t="s">
        <v>48</v>
      </c>
      <c r="D14" s="25" t="n">
        <v>13</v>
      </c>
      <c r="E14" s="25" t="s">
        <v>571</v>
      </c>
      <c r="F14" s="25" t="s">
        <v>113</v>
      </c>
      <c r="G14" s="25" t="n">
        <v>1625</v>
      </c>
      <c r="H14" s="25" t="s">
        <v>572</v>
      </c>
      <c r="I14" s="25" t="n">
        <v>1</v>
      </c>
      <c r="J14" s="26" t="n">
        <v>500</v>
      </c>
      <c r="K14" s="25" t="s">
        <v>546</v>
      </c>
      <c r="L14" s="25" t="s">
        <v>547</v>
      </c>
      <c r="M14" s="26" t="n">
        <f aca="false">IF(AND(L14="Oui",K14="Principal"),I14*J14,0)</f>
        <v>500</v>
      </c>
      <c r="N14" s="25" t="s">
        <v>548</v>
      </c>
      <c r="O14" s="25"/>
      <c r="P14" s="25" t="s">
        <v>556</v>
      </c>
      <c r="Q14" s="25" t="s">
        <v>557</v>
      </c>
      <c r="R14" s="26"/>
      <c r="S14" s="26" t="n">
        <f aca="false">IF(AND(L14="Oui",K14="Principal",R14&lt;&gt;""),I14*R14,0)</f>
        <v>0</v>
      </c>
      <c r="T14" s="26" t="n">
        <f aca="false">IF(R14&lt;&gt;"",M14-S14,0)</f>
        <v>0</v>
      </c>
      <c r="U14" s="26" t="n">
        <f aca="false">IF(R14="",M14,0)</f>
        <v>500</v>
      </c>
    </row>
    <row r="15" customFormat="false" ht="15" hidden="false" customHeight="false" outlineLevel="0" collapsed="false">
      <c r="A15" s="25" t="s">
        <v>46</v>
      </c>
      <c r="B15" s="25" t="s">
        <v>47</v>
      </c>
      <c r="C15" s="25" t="s">
        <v>48</v>
      </c>
      <c r="D15" s="25" t="n">
        <v>14</v>
      </c>
      <c r="E15" s="25" t="s">
        <v>573</v>
      </c>
      <c r="F15" s="25" t="s">
        <v>115</v>
      </c>
      <c r="G15" s="25" t="n">
        <v>1706</v>
      </c>
      <c r="H15" s="25" t="s">
        <v>574</v>
      </c>
      <c r="I15" s="25" t="n">
        <v>1</v>
      </c>
      <c r="J15" s="26" t="n">
        <v>2000</v>
      </c>
      <c r="K15" s="25" t="s">
        <v>546</v>
      </c>
      <c r="L15" s="25" t="s">
        <v>547</v>
      </c>
      <c r="M15" s="26" t="n">
        <f aca="false">IF(AND(L15="Oui",K15="Principal"),I15*J15,0)</f>
        <v>2000</v>
      </c>
      <c r="N15" s="25" t="s">
        <v>548</v>
      </c>
      <c r="O15" s="25"/>
      <c r="P15" s="25" t="s">
        <v>561</v>
      </c>
      <c r="Q15" s="25" t="s">
        <v>557</v>
      </c>
      <c r="R15" s="26" t="n">
        <v>1500</v>
      </c>
      <c r="S15" s="26" t="n">
        <f aca="false">IF(AND(L15="Oui",K15="Principal",R15&lt;&gt;""),I15*R15,0)</f>
        <v>1500</v>
      </c>
      <c r="T15" s="26" t="n">
        <f aca="false">IF(R15&lt;&gt;"",M15-S15,0)</f>
        <v>500</v>
      </c>
      <c r="U15" s="26" t="n">
        <f aca="false">IF(R15="",M15,0)</f>
        <v>0</v>
      </c>
    </row>
    <row r="16" customFormat="false" ht="15" hidden="false" customHeight="false" outlineLevel="0" collapsed="false">
      <c r="A16" s="25" t="s">
        <v>46</v>
      </c>
      <c r="B16" s="25" t="s">
        <v>47</v>
      </c>
      <c r="C16" s="25" t="s">
        <v>48</v>
      </c>
      <c r="D16" s="25" t="n">
        <v>15</v>
      </c>
      <c r="E16" s="25" t="s">
        <v>573</v>
      </c>
      <c r="F16" s="25" t="s">
        <v>117</v>
      </c>
      <c r="G16" s="25" t="n">
        <v>1287</v>
      </c>
      <c r="H16" s="25" t="s">
        <v>575</v>
      </c>
      <c r="I16" s="25" t="n">
        <v>1</v>
      </c>
      <c r="J16" s="26" t="n">
        <v>2500</v>
      </c>
      <c r="K16" s="25" t="s">
        <v>546</v>
      </c>
      <c r="L16" s="25" t="s">
        <v>547</v>
      </c>
      <c r="M16" s="26" t="n">
        <f aca="false">IF(AND(L16="Oui",K16="Principal"),I16*J16,0)</f>
        <v>2500</v>
      </c>
      <c r="N16" s="25" t="s">
        <v>548</v>
      </c>
      <c r="O16" s="25" t="s">
        <v>576</v>
      </c>
      <c r="P16" s="25" t="s">
        <v>550</v>
      </c>
      <c r="Q16" s="25" t="s">
        <v>557</v>
      </c>
      <c r="R16" s="26" t="n">
        <v>1800</v>
      </c>
      <c r="S16" s="26" t="n">
        <f aca="false">IF(AND(L16="Oui",K16="Principal",R16&lt;&gt;""),I16*R16,0)</f>
        <v>1800</v>
      </c>
      <c r="T16" s="26" t="n">
        <f aca="false">IF(R16&lt;&gt;"",M16-S16,0)</f>
        <v>700</v>
      </c>
      <c r="U16" s="26" t="n">
        <f aca="false">IF(R16="",M16,0)</f>
        <v>0</v>
      </c>
    </row>
    <row r="17" customFormat="false" ht="15" hidden="false" customHeight="false" outlineLevel="0" collapsed="false">
      <c r="A17" s="25" t="s">
        <v>46</v>
      </c>
      <c r="B17" s="25" t="s">
        <v>47</v>
      </c>
      <c r="C17" s="25" t="s">
        <v>48</v>
      </c>
      <c r="D17" s="25" t="n">
        <v>16</v>
      </c>
      <c r="E17" s="25" t="s">
        <v>577</v>
      </c>
      <c r="F17" s="25" t="s">
        <v>120</v>
      </c>
      <c r="G17" s="25" t="n">
        <v>1252</v>
      </c>
      <c r="H17" s="25" t="s">
        <v>578</v>
      </c>
      <c r="I17" s="25" t="n">
        <v>1</v>
      </c>
      <c r="J17" s="26" t="n">
        <v>6500</v>
      </c>
      <c r="K17" s="25" t="s">
        <v>577</v>
      </c>
      <c r="L17" s="25" t="s">
        <v>579</v>
      </c>
      <c r="M17" s="26" t="n">
        <f aca="false">IF(AND(L17="Oui",K17="Principal"),I17*J17,0)</f>
        <v>0</v>
      </c>
      <c r="N17" s="25" t="s">
        <v>548</v>
      </c>
      <c r="O17" s="25"/>
      <c r="P17" s="25" t="s">
        <v>550</v>
      </c>
      <c r="Q17" s="25" t="s">
        <v>557</v>
      </c>
      <c r="R17" s="26" t="n">
        <v>6000</v>
      </c>
      <c r="S17" s="26" t="n">
        <f aca="false">IF(AND(L17="Oui",K17="Principal",R17&lt;&gt;""),I17*R17,0)</f>
        <v>0</v>
      </c>
      <c r="T17" s="26" t="n">
        <f aca="false">IF(R17&lt;&gt;"",M17-S17,0)</f>
        <v>0</v>
      </c>
      <c r="U17" s="26" t="n">
        <f aca="false">IF(R17="",M17,0)</f>
        <v>0</v>
      </c>
    </row>
    <row r="18" customFormat="false" ht="15" hidden="false" customHeight="false" outlineLevel="0" collapsed="false">
      <c r="A18" s="25" t="s">
        <v>46</v>
      </c>
      <c r="B18" s="25" t="s">
        <v>47</v>
      </c>
      <c r="C18" s="25" t="s">
        <v>49</v>
      </c>
      <c r="D18" s="25" t="n">
        <v>1</v>
      </c>
      <c r="E18" s="25" t="s">
        <v>544</v>
      </c>
      <c r="F18" s="25" t="s">
        <v>84</v>
      </c>
      <c r="G18" s="25" t="n">
        <v>1728</v>
      </c>
      <c r="H18" s="25" t="s">
        <v>545</v>
      </c>
      <c r="I18" s="25" t="n">
        <v>1</v>
      </c>
      <c r="J18" s="26" t="n">
        <v>900</v>
      </c>
      <c r="K18" s="25" t="s">
        <v>546</v>
      </c>
      <c r="L18" s="25" t="s">
        <v>547</v>
      </c>
      <c r="M18" s="26" t="n">
        <f aca="false">IF(AND(L18="Oui",K18="Principal"),I18*J18,0)</f>
        <v>900</v>
      </c>
      <c r="N18" s="25" t="s">
        <v>548</v>
      </c>
      <c r="O18" s="25" t="s">
        <v>549</v>
      </c>
      <c r="P18" s="25" t="s">
        <v>550</v>
      </c>
      <c r="Q18" s="25" t="s">
        <v>551</v>
      </c>
      <c r="R18" s="26"/>
      <c r="S18" s="26" t="n">
        <f aca="false">IF(AND(L18="Oui",K18="Principal",R18&lt;&gt;""),I18*R18,0)</f>
        <v>0</v>
      </c>
      <c r="T18" s="26" t="n">
        <f aca="false">IF(R18&lt;&gt;"",M18-S18,0)</f>
        <v>0</v>
      </c>
      <c r="U18" s="26" t="n">
        <f aca="false">IF(R18="",M18,0)</f>
        <v>900</v>
      </c>
    </row>
    <row r="19" customFormat="false" ht="15" hidden="false" customHeight="false" outlineLevel="0" collapsed="false">
      <c r="A19" s="25" t="s">
        <v>46</v>
      </c>
      <c r="B19" s="25" t="s">
        <v>47</v>
      </c>
      <c r="C19" s="25" t="s">
        <v>49</v>
      </c>
      <c r="D19" s="25" t="n">
        <v>2</v>
      </c>
      <c r="E19" s="25" t="s">
        <v>544</v>
      </c>
      <c r="F19" s="25" t="s">
        <v>86</v>
      </c>
      <c r="G19" s="25" t="n">
        <v>1729</v>
      </c>
      <c r="H19" s="25" t="s">
        <v>552</v>
      </c>
      <c r="I19" s="25" t="n">
        <v>1</v>
      </c>
      <c r="J19" s="26" t="n">
        <v>1300</v>
      </c>
      <c r="K19" s="25" t="s">
        <v>546</v>
      </c>
      <c r="L19" s="25" t="s">
        <v>547</v>
      </c>
      <c r="M19" s="26" t="n">
        <f aca="false">IF(AND(L19="Oui",K19="Principal"),I19*J19,0)</f>
        <v>1300</v>
      </c>
      <c r="N19" s="25" t="s">
        <v>548</v>
      </c>
      <c r="O19" s="25" t="s">
        <v>553</v>
      </c>
      <c r="P19" s="25" t="s">
        <v>550</v>
      </c>
      <c r="Q19" s="25" t="s">
        <v>551</v>
      </c>
      <c r="R19" s="26"/>
      <c r="S19" s="26" t="n">
        <f aca="false">IF(AND(L19="Oui",K19="Principal",R19&lt;&gt;""),I19*R19,0)</f>
        <v>0</v>
      </c>
      <c r="T19" s="26" t="n">
        <f aca="false">IF(R19&lt;&gt;"",M19-S19,0)</f>
        <v>0</v>
      </c>
      <c r="U19" s="26" t="n">
        <f aca="false">IF(R19="",M19,0)</f>
        <v>1300</v>
      </c>
    </row>
    <row r="20" customFormat="false" ht="15" hidden="false" customHeight="false" outlineLevel="0" collapsed="false">
      <c r="A20" s="25" t="s">
        <v>46</v>
      </c>
      <c r="B20" s="25" t="s">
        <v>47</v>
      </c>
      <c r="C20" s="25" t="s">
        <v>49</v>
      </c>
      <c r="D20" s="25" t="n">
        <v>3</v>
      </c>
      <c r="E20" s="25" t="s">
        <v>554</v>
      </c>
      <c r="F20" s="25" t="s">
        <v>88</v>
      </c>
      <c r="G20" s="25" t="n">
        <v>1286</v>
      </c>
      <c r="H20" s="25" t="s">
        <v>580</v>
      </c>
      <c r="I20" s="25" t="n">
        <v>1</v>
      </c>
      <c r="J20" s="26" t="n">
        <v>550</v>
      </c>
      <c r="K20" s="25" t="s">
        <v>546</v>
      </c>
      <c r="L20" s="25" t="s">
        <v>547</v>
      </c>
      <c r="M20" s="26" t="n">
        <f aca="false">IF(AND(L20="Oui",K20="Principal"),I20*J20,0)</f>
        <v>550</v>
      </c>
      <c r="N20" s="25" t="s">
        <v>548</v>
      </c>
      <c r="O20" s="25"/>
      <c r="P20" s="25" t="s">
        <v>550</v>
      </c>
      <c r="Q20" s="25" t="s">
        <v>557</v>
      </c>
      <c r="R20" s="26" t="n">
        <v>450</v>
      </c>
      <c r="S20" s="26" t="n">
        <f aca="false">IF(AND(L20="Oui",K20="Principal",R20&lt;&gt;""),I20*R20,0)</f>
        <v>450</v>
      </c>
      <c r="T20" s="26" t="n">
        <f aca="false">IF(R20&lt;&gt;"",M20-S20,0)</f>
        <v>100</v>
      </c>
      <c r="U20" s="26" t="n">
        <f aca="false">IF(R20="",M20,0)</f>
        <v>0</v>
      </c>
    </row>
    <row r="21" customFormat="false" ht="15" hidden="false" customHeight="false" outlineLevel="0" collapsed="false">
      <c r="A21" s="25" t="s">
        <v>46</v>
      </c>
      <c r="B21" s="25" t="s">
        <v>47</v>
      </c>
      <c r="C21" s="25" t="s">
        <v>49</v>
      </c>
      <c r="D21" s="25" t="n">
        <v>4</v>
      </c>
      <c r="E21" s="25" t="s">
        <v>167</v>
      </c>
      <c r="F21" s="25" t="s">
        <v>91</v>
      </c>
      <c r="G21" s="25" t="n">
        <v>33</v>
      </c>
      <c r="H21" s="25" t="s">
        <v>558</v>
      </c>
      <c r="I21" s="25" t="n">
        <v>1</v>
      </c>
      <c r="J21" s="26" t="n">
        <v>1200</v>
      </c>
      <c r="K21" s="25" t="s">
        <v>546</v>
      </c>
      <c r="L21" s="25" t="s">
        <v>547</v>
      </c>
      <c r="M21" s="26" t="n">
        <f aca="false">IF(AND(L21="Oui",K21="Principal"),I21*J21,0)</f>
        <v>1200</v>
      </c>
      <c r="N21" s="25" t="s">
        <v>548</v>
      </c>
      <c r="O21" s="25"/>
      <c r="P21" s="25" t="s">
        <v>559</v>
      </c>
      <c r="Q21" s="25" t="s">
        <v>551</v>
      </c>
      <c r="R21" s="26"/>
      <c r="S21" s="26" t="n">
        <f aca="false">IF(AND(L21="Oui",K21="Principal",R21&lt;&gt;""),I21*R21,0)</f>
        <v>0</v>
      </c>
      <c r="T21" s="26" t="n">
        <f aca="false">IF(R21&lt;&gt;"",M21-S21,0)</f>
        <v>0</v>
      </c>
      <c r="U21" s="26" t="n">
        <f aca="false">IF(R21="",M21,0)</f>
        <v>1200</v>
      </c>
    </row>
    <row r="22" customFormat="false" ht="15" hidden="false" customHeight="false" outlineLevel="0" collapsed="false">
      <c r="A22" s="25" t="s">
        <v>46</v>
      </c>
      <c r="B22" s="25" t="s">
        <v>47</v>
      </c>
      <c r="C22" s="25" t="s">
        <v>49</v>
      </c>
      <c r="D22" s="25" t="n">
        <v>5</v>
      </c>
      <c r="E22" s="25" t="s">
        <v>167</v>
      </c>
      <c r="F22" s="25" t="s">
        <v>93</v>
      </c>
      <c r="G22" s="25" t="n">
        <v>1698</v>
      </c>
      <c r="H22" s="25" t="s">
        <v>560</v>
      </c>
      <c r="I22" s="25" t="n">
        <v>2</v>
      </c>
      <c r="J22" s="26" t="n">
        <v>400</v>
      </c>
      <c r="K22" s="25" t="s">
        <v>546</v>
      </c>
      <c r="L22" s="25" t="s">
        <v>547</v>
      </c>
      <c r="M22" s="26" t="n">
        <f aca="false">IF(AND(L22="Oui",K22="Principal"),I22*J22,0)</f>
        <v>800</v>
      </c>
      <c r="N22" s="25" t="s">
        <v>548</v>
      </c>
      <c r="O22" s="25"/>
      <c r="P22" s="25" t="s">
        <v>561</v>
      </c>
      <c r="Q22" s="25" t="s">
        <v>557</v>
      </c>
      <c r="R22" s="26"/>
      <c r="S22" s="26" t="n">
        <f aca="false">IF(AND(L22="Oui",K22="Principal",R22&lt;&gt;""),I22*R22,0)</f>
        <v>0</v>
      </c>
      <c r="T22" s="26" t="n">
        <f aca="false">IF(R22&lt;&gt;"",M22-S22,0)</f>
        <v>0</v>
      </c>
      <c r="U22" s="26" t="n">
        <f aca="false">IF(R22="",M22,0)</f>
        <v>800</v>
      </c>
    </row>
    <row r="23" customFormat="false" ht="15" hidden="false" customHeight="false" outlineLevel="0" collapsed="false">
      <c r="A23" s="25" t="s">
        <v>46</v>
      </c>
      <c r="B23" s="25" t="s">
        <v>47</v>
      </c>
      <c r="C23" s="25" t="s">
        <v>49</v>
      </c>
      <c r="D23" s="25" t="n">
        <v>6</v>
      </c>
      <c r="E23" s="25" t="s">
        <v>167</v>
      </c>
      <c r="F23" s="25" t="s">
        <v>95</v>
      </c>
      <c r="G23" s="25" t="n">
        <v>1244</v>
      </c>
      <c r="H23" s="25" t="s">
        <v>562</v>
      </c>
      <c r="I23" s="25" t="n">
        <v>1</v>
      </c>
      <c r="J23" s="26" t="n">
        <v>400</v>
      </c>
      <c r="K23" s="25" t="s">
        <v>546</v>
      </c>
      <c r="L23" s="25" t="s">
        <v>547</v>
      </c>
      <c r="M23" s="26" t="n">
        <f aca="false">IF(AND(L23="Oui",K23="Principal"),I23*J23,0)</f>
        <v>400</v>
      </c>
      <c r="N23" s="25" t="s">
        <v>548</v>
      </c>
      <c r="O23" s="25"/>
      <c r="P23" s="25" t="s">
        <v>550</v>
      </c>
      <c r="Q23" s="25" t="s">
        <v>557</v>
      </c>
      <c r="R23" s="26" t="n">
        <v>130</v>
      </c>
      <c r="S23" s="26" t="n">
        <f aca="false">IF(AND(L23="Oui",K23="Principal",R23&lt;&gt;""),I23*R23,0)</f>
        <v>130</v>
      </c>
      <c r="T23" s="26" t="n">
        <f aca="false">IF(R23&lt;&gt;"",M23-S23,0)</f>
        <v>270</v>
      </c>
      <c r="U23" s="26" t="n">
        <f aca="false">IF(R23="",M23,0)</f>
        <v>0</v>
      </c>
    </row>
    <row r="24" customFormat="false" ht="15" hidden="false" customHeight="false" outlineLevel="0" collapsed="false">
      <c r="A24" s="25" t="s">
        <v>46</v>
      </c>
      <c r="B24" s="25" t="s">
        <v>47</v>
      </c>
      <c r="C24" s="25" t="s">
        <v>49</v>
      </c>
      <c r="D24" s="25" t="n">
        <v>7</v>
      </c>
      <c r="E24" s="25" t="s">
        <v>563</v>
      </c>
      <c r="F24" s="25" t="s">
        <v>97</v>
      </c>
      <c r="G24" s="25" t="n">
        <v>1571</v>
      </c>
      <c r="H24" s="25" t="s">
        <v>564</v>
      </c>
      <c r="I24" s="25" t="n">
        <v>2</v>
      </c>
      <c r="J24" s="26" t="n">
        <v>75</v>
      </c>
      <c r="K24" s="25" t="s">
        <v>546</v>
      </c>
      <c r="L24" s="25" t="s">
        <v>547</v>
      </c>
      <c r="M24" s="26" t="n">
        <f aca="false">IF(AND(L24="Oui",K24="Principal"),I24*J24,0)</f>
        <v>150</v>
      </c>
      <c r="N24" s="25" t="s">
        <v>548</v>
      </c>
      <c r="O24" s="25"/>
      <c r="P24" s="25" t="s">
        <v>550</v>
      </c>
      <c r="Q24" s="25" t="s">
        <v>557</v>
      </c>
      <c r="R24" s="26"/>
      <c r="S24" s="26" t="n">
        <f aca="false">IF(AND(L24="Oui",K24="Principal",R24&lt;&gt;""),I24*R24,0)</f>
        <v>0</v>
      </c>
      <c r="T24" s="26" t="n">
        <f aca="false">IF(R24&lt;&gt;"",M24-S24,0)</f>
        <v>0</v>
      </c>
      <c r="U24" s="26" t="n">
        <f aca="false">IF(R24="",M24,0)</f>
        <v>150</v>
      </c>
    </row>
    <row r="25" customFormat="false" ht="15" hidden="false" customHeight="false" outlineLevel="0" collapsed="false">
      <c r="A25" s="25" t="s">
        <v>46</v>
      </c>
      <c r="B25" s="25" t="s">
        <v>47</v>
      </c>
      <c r="C25" s="25" t="s">
        <v>49</v>
      </c>
      <c r="D25" s="25" t="n">
        <v>8</v>
      </c>
      <c r="E25" s="25" t="s">
        <v>565</v>
      </c>
      <c r="F25" s="25" t="s">
        <v>99</v>
      </c>
      <c r="G25" s="25" t="n">
        <v>1181</v>
      </c>
      <c r="H25" s="25" t="s">
        <v>581</v>
      </c>
      <c r="I25" s="25" t="n">
        <v>1</v>
      </c>
      <c r="J25" s="26" t="n">
        <v>250</v>
      </c>
      <c r="K25" s="25" t="s">
        <v>546</v>
      </c>
      <c r="L25" s="25" t="s">
        <v>547</v>
      </c>
      <c r="M25" s="26" t="n">
        <f aca="false">IF(AND(L25="Oui",K25="Principal"),I25*J25,0)</f>
        <v>250</v>
      </c>
      <c r="N25" s="25" t="s">
        <v>548</v>
      </c>
      <c r="O25" s="25"/>
      <c r="P25" s="25" t="s">
        <v>550</v>
      </c>
      <c r="Q25" s="25" t="s">
        <v>557</v>
      </c>
      <c r="R25" s="26" t="n">
        <v>110</v>
      </c>
      <c r="S25" s="26" t="n">
        <f aca="false">IF(AND(L25="Oui",K25="Principal",R25&lt;&gt;""),I25*R25,0)</f>
        <v>110</v>
      </c>
      <c r="T25" s="26" t="n">
        <f aca="false">IF(R25&lt;&gt;"",M25-S25,0)</f>
        <v>140</v>
      </c>
      <c r="U25" s="26" t="n">
        <f aca="false">IF(R25="",M25,0)</f>
        <v>0</v>
      </c>
    </row>
    <row r="26" customFormat="false" ht="15" hidden="false" customHeight="false" outlineLevel="0" collapsed="false">
      <c r="A26" s="25" t="s">
        <v>46</v>
      </c>
      <c r="B26" s="25" t="s">
        <v>47</v>
      </c>
      <c r="C26" s="25" t="s">
        <v>49</v>
      </c>
      <c r="D26" s="25" t="n">
        <v>9</v>
      </c>
      <c r="E26" s="25" t="s">
        <v>565</v>
      </c>
      <c r="F26" s="25" t="s">
        <v>102</v>
      </c>
      <c r="G26" s="25" t="n">
        <v>1587</v>
      </c>
      <c r="H26" s="25" t="s">
        <v>567</v>
      </c>
      <c r="I26" s="25" t="n">
        <v>1</v>
      </c>
      <c r="J26" s="26" t="n">
        <v>500</v>
      </c>
      <c r="K26" s="25" t="s">
        <v>546</v>
      </c>
      <c r="L26" s="25" t="s">
        <v>547</v>
      </c>
      <c r="M26" s="26" t="n">
        <f aca="false">IF(AND(L26="Oui",K26="Principal"),I26*J26,0)</f>
        <v>500</v>
      </c>
      <c r="N26" s="25" t="s">
        <v>548</v>
      </c>
      <c r="O26" s="25"/>
      <c r="P26" s="25" t="s">
        <v>556</v>
      </c>
      <c r="Q26" s="25" t="s">
        <v>557</v>
      </c>
      <c r="R26" s="26" t="n">
        <v>350</v>
      </c>
      <c r="S26" s="26" t="n">
        <f aca="false">IF(AND(L26="Oui",K26="Principal",R26&lt;&gt;""),I26*R26,0)</f>
        <v>350</v>
      </c>
      <c r="T26" s="26" t="n">
        <f aca="false">IF(R26&lt;&gt;"",M26-S26,0)</f>
        <v>150</v>
      </c>
      <c r="U26" s="26" t="n">
        <f aca="false">IF(R26="",M26,0)</f>
        <v>0</v>
      </c>
    </row>
    <row r="27" customFormat="false" ht="15" hidden="false" customHeight="false" outlineLevel="0" collapsed="false">
      <c r="A27" s="25" t="s">
        <v>46</v>
      </c>
      <c r="B27" s="25" t="s">
        <v>47</v>
      </c>
      <c r="C27" s="25" t="s">
        <v>49</v>
      </c>
      <c r="D27" s="25" t="n">
        <v>10</v>
      </c>
      <c r="E27" s="25" t="s">
        <v>554</v>
      </c>
      <c r="F27" s="25" t="s">
        <v>104</v>
      </c>
      <c r="G27" s="25" t="n">
        <v>1589</v>
      </c>
      <c r="H27" s="25" t="s">
        <v>568</v>
      </c>
      <c r="I27" s="25" t="n">
        <v>1</v>
      </c>
      <c r="J27" s="26" t="n">
        <v>900</v>
      </c>
      <c r="K27" s="25" t="s">
        <v>546</v>
      </c>
      <c r="L27" s="25" t="s">
        <v>547</v>
      </c>
      <c r="M27" s="26" t="n">
        <f aca="false">IF(AND(L27="Oui",K27="Principal"),I27*J27,0)</f>
        <v>900</v>
      </c>
      <c r="N27" s="25" t="s">
        <v>548</v>
      </c>
      <c r="O27" s="25"/>
      <c r="P27" s="25" t="s">
        <v>556</v>
      </c>
      <c r="Q27" s="25" t="s">
        <v>557</v>
      </c>
      <c r="R27" s="26" t="n">
        <v>650</v>
      </c>
      <c r="S27" s="26" t="n">
        <f aca="false">IF(AND(L27="Oui",K27="Principal",R27&lt;&gt;""),I27*R27,0)</f>
        <v>650</v>
      </c>
      <c r="T27" s="26" t="n">
        <f aca="false">IF(R27&lt;&gt;"",M27-S27,0)</f>
        <v>250</v>
      </c>
      <c r="U27" s="26" t="n">
        <f aca="false">IF(R27="",M27,0)</f>
        <v>0</v>
      </c>
    </row>
    <row r="28" customFormat="false" ht="15" hidden="false" customHeight="false" outlineLevel="0" collapsed="false">
      <c r="A28" s="25" t="s">
        <v>46</v>
      </c>
      <c r="B28" s="25" t="s">
        <v>47</v>
      </c>
      <c r="C28" s="25" t="s">
        <v>49</v>
      </c>
      <c r="D28" s="25" t="n">
        <v>11</v>
      </c>
      <c r="E28" s="25" t="s">
        <v>565</v>
      </c>
      <c r="F28" s="25" t="s">
        <v>107</v>
      </c>
      <c r="G28" s="25" t="n">
        <v>1604</v>
      </c>
      <c r="H28" s="25" t="s">
        <v>582</v>
      </c>
      <c r="I28" s="25" t="n">
        <v>2</v>
      </c>
      <c r="J28" s="26" t="n">
        <v>700</v>
      </c>
      <c r="K28" s="25" t="s">
        <v>546</v>
      </c>
      <c r="L28" s="25" t="s">
        <v>547</v>
      </c>
      <c r="M28" s="26" t="n">
        <f aca="false">IF(AND(L28="Oui",K28="Principal"),I28*J28,0)</f>
        <v>1400</v>
      </c>
      <c r="N28" s="25" t="s">
        <v>548</v>
      </c>
      <c r="O28" s="25"/>
      <c r="P28" s="25" t="s">
        <v>556</v>
      </c>
      <c r="Q28" s="25" t="s">
        <v>557</v>
      </c>
      <c r="R28" s="26" t="n">
        <v>400</v>
      </c>
      <c r="S28" s="26" t="n">
        <f aca="false">IF(AND(L28="Oui",K28="Principal",R28&lt;&gt;""),I28*R28,0)</f>
        <v>800</v>
      </c>
      <c r="T28" s="26" t="n">
        <f aca="false">IF(R28&lt;&gt;"",M28-S28,0)</f>
        <v>600</v>
      </c>
      <c r="U28" s="26" t="n">
        <f aca="false">IF(R28="",M28,0)</f>
        <v>0</v>
      </c>
    </row>
    <row r="29" customFormat="false" ht="15" hidden="false" customHeight="false" outlineLevel="0" collapsed="false">
      <c r="A29" s="25" t="s">
        <v>46</v>
      </c>
      <c r="B29" s="25" t="s">
        <v>47</v>
      </c>
      <c r="C29" s="25" t="s">
        <v>49</v>
      </c>
      <c r="D29" s="25" t="n">
        <v>12</v>
      </c>
      <c r="E29" s="25" t="s">
        <v>565</v>
      </c>
      <c r="F29" s="25" t="s">
        <v>110</v>
      </c>
      <c r="G29" s="25" t="n">
        <v>1586</v>
      </c>
      <c r="H29" s="25" t="s">
        <v>583</v>
      </c>
      <c r="I29" s="25" t="n">
        <v>1</v>
      </c>
      <c r="J29" s="26" t="n">
        <v>900</v>
      </c>
      <c r="K29" s="25" t="s">
        <v>546</v>
      </c>
      <c r="L29" s="25" t="s">
        <v>547</v>
      </c>
      <c r="M29" s="26" t="n">
        <f aca="false">IF(AND(L29="Oui",K29="Principal"),I29*J29,0)</f>
        <v>900</v>
      </c>
      <c r="N29" s="25" t="s">
        <v>548</v>
      </c>
      <c r="O29" s="25"/>
      <c r="P29" s="25" t="s">
        <v>556</v>
      </c>
      <c r="Q29" s="25" t="s">
        <v>557</v>
      </c>
      <c r="R29" s="26" t="n">
        <v>650</v>
      </c>
      <c r="S29" s="26" t="n">
        <f aca="false">IF(AND(L29="Oui",K29="Principal",R29&lt;&gt;""),I29*R29,0)</f>
        <v>650</v>
      </c>
      <c r="T29" s="26" t="n">
        <f aca="false">IF(R29&lt;&gt;"",M29-S29,0)</f>
        <v>250</v>
      </c>
      <c r="U29" s="26" t="n">
        <f aca="false">IF(R29="",M29,0)</f>
        <v>0</v>
      </c>
    </row>
    <row r="30" customFormat="false" ht="15" hidden="false" customHeight="false" outlineLevel="0" collapsed="false">
      <c r="A30" s="25" t="s">
        <v>46</v>
      </c>
      <c r="B30" s="25" t="s">
        <v>47</v>
      </c>
      <c r="C30" s="25" t="s">
        <v>49</v>
      </c>
      <c r="D30" s="25" t="n">
        <v>13</v>
      </c>
      <c r="E30" s="25" t="s">
        <v>571</v>
      </c>
      <c r="F30" s="25" t="s">
        <v>113</v>
      </c>
      <c r="G30" s="25" t="n">
        <v>1625</v>
      </c>
      <c r="H30" s="25" t="s">
        <v>572</v>
      </c>
      <c r="I30" s="25" t="n">
        <v>1</v>
      </c>
      <c r="J30" s="26" t="n">
        <v>500</v>
      </c>
      <c r="K30" s="25" t="s">
        <v>546</v>
      </c>
      <c r="L30" s="25" t="s">
        <v>547</v>
      </c>
      <c r="M30" s="26" t="n">
        <f aca="false">IF(AND(L30="Oui",K30="Principal"),I30*J30,0)</f>
        <v>500</v>
      </c>
      <c r="N30" s="25" t="s">
        <v>548</v>
      </c>
      <c r="O30" s="25"/>
      <c r="P30" s="25" t="s">
        <v>556</v>
      </c>
      <c r="Q30" s="25" t="s">
        <v>557</v>
      </c>
      <c r="R30" s="26"/>
      <c r="S30" s="26" t="n">
        <f aca="false">IF(AND(L30="Oui",K30="Principal",R30&lt;&gt;""),I30*R30,0)</f>
        <v>0</v>
      </c>
      <c r="T30" s="26" t="n">
        <f aca="false">IF(R30&lt;&gt;"",M30-S30,0)</f>
        <v>0</v>
      </c>
      <c r="U30" s="26" t="n">
        <f aca="false">IF(R30="",M30,0)</f>
        <v>500</v>
      </c>
    </row>
    <row r="31" customFormat="false" ht="15" hidden="false" customHeight="false" outlineLevel="0" collapsed="false">
      <c r="A31" s="25" t="s">
        <v>46</v>
      </c>
      <c r="B31" s="25" t="s">
        <v>47</v>
      </c>
      <c r="C31" s="25" t="s">
        <v>49</v>
      </c>
      <c r="D31" s="25" t="n">
        <v>14</v>
      </c>
      <c r="E31" s="25" t="s">
        <v>554</v>
      </c>
      <c r="F31" s="25" t="s">
        <v>123</v>
      </c>
      <c r="G31" s="25" t="n">
        <v>1204</v>
      </c>
      <c r="H31" s="25" t="s">
        <v>584</v>
      </c>
      <c r="I31" s="25" t="n">
        <v>1</v>
      </c>
      <c r="J31" s="26" t="n">
        <v>1300</v>
      </c>
      <c r="K31" s="25" t="s">
        <v>546</v>
      </c>
      <c r="L31" s="25" t="s">
        <v>547</v>
      </c>
      <c r="M31" s="26" t="n">
        <f aca="false">IF(AND(L31="Oui",K31="Principal"),I31*J31,0)</f>
        <v>1300</v>
      </c>
      <c r="N31" s="25" t="s">
        <v>548</v>
      </c>
      <c r="O31" s="25"/>
      <c r="P31" s="25" t="s">
        <v>550</v>
      </c>
      <c r="Q31" s="25" t="s">
        <v>557</v>
      </c>
      <c r="R31" s="26" t="n">
        <v>1000</v>
      </c>
      <c r="S31" s="26" t="n">
        <f aca="false">IF(AND(L31="Oui",K31="Principal",R31&lt;&gt;""),I31*R31,0)</f>
        <v>1000</v>
      </c>
      <c r="T31" s="26" t="n">
        <f aca="false">IF(R31&lt;&gt;"",M31-S31,0)</f>
        <v>300</v>
      </c>
      <c r="U31" s="26" t="n">
        <f aca="false">IF(R31="",M31,0)</f>
        <v>0</v>
      </c>
    </row>
    <row r="32" customFormat="false" ht="15" hidden="false" customHeight="false" outlineLevel="0" collapsed="false">
      <c r="A32" s="27" t="s">
        <v>46</v>
      </c>
      <c r="B32" s="27" t="s">
        <v>47</v>
      </c>
      <c r="C32" s="27" t="s">
        <v>49</v>
      </c>
      <c r="D32" s="27" t="n">
        <v>15</v>
      </c>
      <c r="E32" s="27" t="s">
        <v>554</v>
      </c>
      <c r="F32" s="27" t="s">
        <v>126</v>
      </c>
      <c r="G32" s="27"/>
      <c r="H32" s="27" t="s">
        <v>585</v>
      </c>
      <c r="I32" s="27" t="n">
        <v>1</v>
      </c>
      <c r="J32" s="28" t="n">
        <v>0</v>
      </c>
      <c r="K32" s="27" t="s">
        <v>546</v>
      </c>
      <c r="L32" s="27" t="s">
        <v>579</v>
      </c>
      <c r="M32" s="28" t="n">
        <f aca="false">IF(AND(L32="Oui",K32="Principal"),I32*J32,0)</f>
        <v>0</v>
      </c>
      <c r="N32" s="27" t="s">
        <v>128</v>
      </c>
      <c r="O32" s="27" t="s">
        <v>586</v>
      </c>
      <c r="P32" s="27"/>
      <c r="Q32" s="27"/>
      <c r="R32" s="28"/>
      <c r="S32" s="28" t="n">
        <f aca="false">IF(AND(L32="Oui",K32="Principal",R32&lt;&gt;""),I32*R32,0)</f>
        <v>0</v>
      </c>
      <c r="T32" s="28" t="n">
        <f aca="false">IF(R32&lt;&gt;"",M32-S32,0)</f>
        <v>0</v>
      </c>
      <c r="U32" s="28" t="n">
        <f aca="false">IF(R32="",M32,0)</f>
        <v>0</v>
      </c>
    </row>
    <row r="33" customFormat="false" ht="15" hidden="false" customHeight="false" outlineLevel="0" collapsed="false">
      <c r="A33" s="27" t="s">
        <v>46</v>
      </c>
      <c r="B33" s="27" t="s">
        <v>47</v>
      </c>
      <c r="C33" s="27" t="s">
        <v>49</v>
      </c>
      <c r="D33" s="27" t="n">
        <v>16</v>
      </c>
      <c r="E33" s="27" t="s">
        <v>554</v>
      </c>
      <c r="F33" s="27" t="s">
        <v>129</v>
      </c>
      <c r="G33" s="27"/>
      <c r="H33" s="27" t="s">
        <v>585</v>
      </c>
      <c r="I33" s="27" t="n">
        <v>1</v>
      </c>
      <c r="J33" s="28" t="n">
        <v>0</v>
      </c>
      <c r="K33" s="27" t="s">
        <v>546</v>
      </c>
      <c r="L33" s="27" t="s">
        <v>579</v>
      </c>
      <c r="M33" s="28" t="n">
        <f aca="false">IF(AND(L33="Oui",K33="Principal"),I33*J33,0)</f>
        <v>0</v>
      </c>
      <c r="N33" s="27" t="s">
        <v>128</v>
      </c>
      <c r="O33" s="27" t="s">
        <v>586</v>
      </c>
      <c r="P33" s="27"/>
      <c r="Q33" s="27"/>
      <c r="R33" s="28"/>
      <c r="S33" s="28" t="n">
        <f aca="false">IF(AND(L33="Oui",K33="Principal",R33&lt;&gt;""),I33*R33,0)</f>
        <v>0</v>
      </c>
      <c r="T33" s="28" t="n">
        <f aca="false">IF(R33&lt;&gt;"",M33-S33,0)</f>
        <v>0</v>
      </c>
      <c r="U33" s="28" t="n">
        <f aca="false">IF(R33="",M33,0)</f>
        <v>0</v>
      </c>
    </row>
    <row r="34" customFormat="false" ht="15" hidden="false" customHeight="false" outlineLevel="0" collapsed="false">
      <c r="A34" s="27" t="s">
        <v>46</v>
      </c>
      <c r="B34" s="27" t="s">
        <v>47</v>
      </c>
      <c r="C34" s="27" t="s">
        <v>49</v>
      </c>
      <c r="D34" s="27" t="n">
        <v>17</v>
      </c>
      <c r="E34" s="27" t="s">
        <v>554</v>
      </c>
      <c r="F34" s="27" t="s">
        <v>130</v>
      </c>
      <c r="G34" s="27"/>
      <c r="H34" s="27" t="s">
        <v>585</v>
      </c>
      <c r="I34" s="27" t="n">
        <v>1</v>
      </c>
      <c r="J34" s="28" t="n">
        <v>0</v>
      </c>
      <c r="K34" s="27" t="s">
        <v>546</v>
      </c>
      <c r="L34" s="27" t="s">
        <v>579</v>
      </c>
      <c r="M34" s="28" t="n">
        <f aca="false">IF(AND(L34="Oui",K34="Principal"),I34*J34,0)</f>
        <v>0</v>
      </c>
      <c r="N34" s="27" t="s">
        <v>128</v>
      </c>
      <c r="O34" s="27" t="s">
        <v>586</v>
      </c>
      <c r="P34" s="27"/>
      <c r="Q34" s="27"/>
      <c r="R34" s="28"/>
      <c r="S34" s="28" t="n">
        <f aca="false">IF(AND(L34="Oui",K34="Principal",R34&lt;&gt;""),I34*R34,0)</f>
        <v>0</v>
      </c>
      <c r="T34" s="28" t="n">
        <f aca="false">IF(R34&lt;&gt;"",M34-S34,0)</f>
        <v>0</v>
      </c>
      <c r="U34" s="28" t="n">
        <f aca="false">IF(R34="",M34,0)</f>
        <v>0</v>
      </c>
    </row>
    <row r="35" customFormat="false" ht="15" hidden="false" customHeight="false" outlineLevel="0" collapsed="false">
      <c r="A35" s="25" t="s">
        <v>46</v>
      </c>
      <c r="B35" s="25" t="s">
        <v>47</v>
      </c>
      <c r="C35" s="25" t="s">
        <v>49</v>
      </c>
      <c r="D35" s="25" t="n">
        <v>18</v>
      </c>
      <c r="E35" s="25" t="s">
        <v>565</v>
      </c>
      <c r="F35" s="25" t="s">
        <v>131</v>
      </c>
      <c r="G35" s="25" t="n">
        <v>1183</v>
      </c>
      <c r="H35" s="25" t="s">
        <v>587</v>
      </c>
      <c r="I35" s="25" t="n">
        <v>1</v>
      </c>
      <c r="J35" s="26" t="n">
        <v>100</v>
      </c>
      <c r="K35" s="25" t="s">
        <v>546</v>
      </c>
      <c r="L35" s="25" t="s">
        <v>547</v>
      </c>
      <c r="M35" s="26" t="n">
        <f aca="false">IF(AND(L35="Oui",K35="Principal"),I35*J35,0)</f>
        <v>100</v>
      </c>
      <c r="N35" s="25" t="s">
        <v>548</v>
      </c>
      <c r="O35" s="25"/>
      <c r="P35" s="25" t="s">
        <v>550</v>
      </c>
      <c r="Q35" s="25" t="s">
        <v>557</v>
      </c>
      <c r="R35" s="26"/>
      <c r="S35" s="26" t="n">
        <f aca="false">IF(AND(L35="Oui",K35="Principal",R35&lt;&gt;""),I35*R35,0)</f>
        <v>0</v>
      </c>
      <c r="T35" s="26" t="n">
        <f aca="false">IF(R35&lt;&gt;"",M35-S35,0)</f>
        <v>0</v>
      </c>
      <c r="U35" s="26" t="n">
        <f aca="false">IF(R35="",M35,0)</f>
        <v>100</v>
      </c>
    </row>
    <row r="36" customFormat="false" ht="15" hidden="false" customHeight="false" outlineLevel="0" collapsed="false">
      <c r="A36" s="25" t="s">
        <v>46</v>
      </c>
      <c r="B36" s="25" t="s">
        <v>47</v>
      </c>
      <c r="C36" s="25" t="s">
        <v>49</v>
      </c>
      <c r="D36" s="25" t="n">
        <v>19</v>
      </c>
      <c r="E36" s="25" t="s">
        <v>588</v>
      </c>
      <c r="F36" s="25" t="s">
        <v>133</v>
      </c>
      <c r="G36" s="25" t="n">
        <v>1231</v>
      </c>
      <c r="H36" s="25" t="s">
        <v>589</v>
      </c>
      <c r="I36" s="25" t="n">
        <v>1</v>
      </c>
      <c r="J36" s="26" t="n">
        <v>3250</v>
      </c>
      <c r="K36" s="25" t="s">
        <v>546</v>
      </c>
      <c r="L36" s="25" t="s">
        <v>547</v>
      </c>
      <c r="M36" s="26" t="n">
        <f aca="false">IF(AND(L36="Oui",K36="Principal"),I36*J36,0)</f>
        <v>3250</v>
      </c>
      <c r="N36" s="25" t="s">
        <v>548</v>
      </c>
      <c r="O36" s="25" t="s">
        <v>590</v>
      </c>
      <c r="P36" s="25" t="s">
        <v>550</v>
      </c>
      <c r="Q36" s="25" t="s">
        <v>557</v>
      </c>
      <c r="R36" s="26" t="n">
        <v>2550</v>
      </c>
      <c r="S36" s="26" t="n">
        <f aca="false">IF(AND(L36="Oui",K36="Principal",R36&lt;&gt;""),I36*R36,0)</f>
        <v>2550</v>
      </c>
      <c r="T36" s="26" t="n">
        <f aca="false">IF(R36&lt;&gt;"",M36-S36,0)</f>
        <v>700</v>
      </c>
      <c r="U36" s="26" t="n">
        <f aca="false">IF(R36="",M36,0)</f>
        <v>0</v>
      </c>
    </row>
    <row r="37" customFormat="false" ht="15" hidden="false" customHeight="false" outlineLevel="0" collapsed="false">
      <c r="A37" s="25" t="s">
        <v>46</v>
      </c>
      <c r="B37" s="25" t="s">
        <v>47</v>
      </c>
      <c r="C37" s="25" t="s">
        <v>49</v>
      </c>
      <c r="D37" s="25" t="n">
        <v>20</v>
      </c>
      <c r="E37" s="25" t="s">
        <v>573</v>
      </c>
      <c r="F37" s="25" t="s">
        <v>115</v>
      </c>
      <c r="G37" s="25" t="n">
        <v>1706</v>
      </c>
      <c r="H37" s="25" t="s">
        <v>574</v>
      </c>
      <c r="I37" s="25" t="n">
        <v>1</v>
      </c>
      <c r="J37" s="26" t="n">
        <v>2000</v>
      </c>
      <c r="K37" s="25" t="s">
        <v>546</v>
      </c>
      <c r="L37" s="25" t="s">
        <v>547</v>
      </c>
      <c r="M37" s="26" t="n">
        <f aca="false">IF(AND(L37="Oui",K37="Principal"),I37*J37,0)</f>
        <v>2000</v>
      </c>
      <c r="N37" s="25" t="s">
        <v>548</v>
      </c>
      <c r="O37" s="25"/>
      <c r="P37" s="25" t="s">
        <v>561</v>
      </c>
      <c r="Q37" s="25" t="s">
        <v>557</v>
      </c>
      <c r="R37" s="26" t="n">
        <v>1500</v>
      </c>
      <c r="S37" s="26" t="n">
        <f aca="false">IF(AND(L37="Oui",K37="Principal",R37&lt;&gt;""),I37*R37,0)</f>
        <v>1500</v>
      </c>
      <c r="T37" s="26" t="n">
        <f aca="false">IF(R37&lt;&gt;"",M37-S37,0)</f>
        <v>500</v>
      </c>
      <c r="U37" s="26" t="n">
        <f aca="false">IF(R37="",M37,0)</f>
        <v>0</v>
      </c>
    </row>
    <row r="38" customFormat="false" ht="15" hidden="false" customHeight="false" outlineLevel="0" collapsed="false">
      <c r="A38" s="25" t="s">
        <v>46</v>
      </c>
      <c r="B38" s="25" t="s">
        <v>47</v>
      </c>
      <c r="C38" s="25" t="s">
        <v>49</v>
      </c>
      <c r="D38" s="25" t="n">
        <v>21</v>
      </c>
      <c r="E38" s="25" t="s">
        <v>573</v>
      </c>
      <c r="F38" s="25" t="s">
        <v>135</v>
      </c>
      <c r="G38" s="25" t="n">
        <v>1708</v>
      </c>
      <c r="H38" s="25" t="s">
        <v>591</v>
      </c>
      <c r="I38" s="25" t="n">
        <v>1</v>
      </c>
      <c r="J38" s="26" t="n">
        <v>2000</v>
      </c>
      <c r="K38" s="25" t="s">
        <v>546</v>
      </c>
      <c r="L38" s="25" t="s">
        <v>547</v>
      </c>
      <c r="M38" s="26" t="n">
        <f aca="false">IF(AND(L38="Oui",K38="Principal"),I38*J38,0)</f>
        <v>2000</v>
      </c>
      <c r="N38" s="25" t="s">
        <v>548</v>
      </c>
      <c r="O38" s="25"/>
      <c r="P38" s="25" t="s">
        <v>561</v>
      </c>
      <c r="Q38" s="25" t="s">
        <v>557</v>
      </c>
      <c r="R38" s="26" t="n">
        <v>1500</v>
      </c>
      <c r="S38" s="26" t="n">
        <f aca="false">IF(AND(L38="Oui",K38="Principal",R38&lt;&gt;""),I38*R38,0)</f>
        <v>1500</v>
      </c>
      <c r="T38" s="26" t="n">
        <f aca="false">IF(R38&lt;&gt;"",M38-S38,0)</f>
        <v>500</v>
      </c>
      <c r="U38" s="26" t="n">
        <f aca="false">IF(R38="",M38,0)</f>
        <v>0</v>
      </c>
    </row>
    <row r="39" customFormat="false" ht="15" hidden="false" customHeight="false" outlineLevel="0" collapsed="false">
      <c r="A39" s="25" t="s">
        <v>46</v>
      </c>
      <c r="B39" s="25" t="s">
        <v>47</v>
      </c>
      <c r="C39" s="25" t="s">
        <v>49</v>
      </c>
      <c r="D39" s="25" t="n">
        <v>22</v>
      </c>
      <c r="E39" s="25" t="s">
        <v>573</v>
      </c>
      <c r="F39" s="25" t="s">
        <v>117</v>
      </c>
      <c r="G39" s="25" t="n">
        <v>1193</v>
      </c>
      <c r="H39" s="25" t="s">
        <v>592</v>
      </c>
      <c r="I39" s="25" t="n">
        <v>1</v>
      </c>
      <c r="J39" s="26" t="n">
        <v>3100</v>
      </c>
      <c r="K39" s="25" t="s">
        <v>546</v>
      </c>
      <c r="L39" s="25" t="s">
        <v>547</v>
      </c>
      <c r="M39" s="26" t="n">
        <f aca="false">IF(AND(L39="Oui",K39="Principal"),I39*J39,0)</f>
        <v>3100</v>
      </c>
      <c r="N39" s="25" t="s">
        <v>548</v>
      </c>
      <c r="O39" s="25"/>
      <c r="P39" s="25" t="s">
        <v>550</v>
      </c>
      <c r="Q39" s="25" t="s">
        <v>557</v>
      </c>
      <c r="R39" s="26" t="n">
        <v>2400</v>
      </c>
      <c r="S39" s="26" t="n">
        <f aca="false">IF(AND(L39="Oui",K39="Principal",R39&lt;&gt;""),I39*R39,0)</f>
        <v>2400</v>
      </c>
      <c r="T39" s="26" t="n">
        <f aca="false">IF(R39&lt;&gt;"",M39-S39,0)</f>
        <v>700</v>
      </c>
      <c r="U39" s="26" t="n">
        <f aca="false">IF(R39="",M39,0)</f>
        <v>0</v>
      </c>
    </row>
    <row r="40" customFormat="false" ht="15" hidden="false" customHeight="false" outlineLevel="0" collapsed="false">
      <c r="A40" s="25" t="s">
        <v>46</v>
      </c>
      <c r="B40" s="25" t="s">
        <v>47</v>
      </c>
      <c r="C40" s="25" t="s">
        <v>49</v>
      </c>
      <c r="D40" s="25" t="n">
        <v>23</v>
      </c>
      <c r="E40" s="25" t="s">
        <v>577</v>
      </c>
      <c r="F40" s="25" t="s">
        <v>120</v>
      </c>
      <c r="G40" s="25" t="n">
        <v>1252</v>
      </c>
      <c r="H40" s="25" t="s">
        <v>578</v>
      </c>
      <c r="I40" s="25" t="n">
        <v>1</v>
      </c>
      <c r="J40" s="26" t="n">
        <v>6500</v>
      </c>
      <c r="K40" s="25" t="s">
        <v>577</v>
      </c>
      <c r="L40" s="25" t="s">
        <v>579</v>
      </c>
      <c r="M40" s="26" t="n">
        <f aca="false">IF(AND(L40="Oui",K40="Principal"),I40*J40,0)</f>
        <v>0</v>
      </c>
      <c r="N40" s="25" t="s">
        <v>548</v>
      </c>
      <c r="O40" s="25"/>
      <c r="P40" s="25" t="s">
        <v>550</v>
      </c>
      <c r="Q40" s="25" t="s">
        <v>557</v>
      </c>
      <c r="R40" s="26" t="n">
        <v>6000</v>
      </c>
      <c r="S40" s="26" t="n">
        <f aca="false">IF(AND(L40="Oui",K40="Principal",R40&lt;&gt;""),I40*R40,0)</f>
        <v>0</v>
      </c>
      <c r="T40" s="26" t="n">
        <f aca="false">IF(R40&lt;&gt;"",M40-S40,0)</f>
        <v>0</v>
      </c>
      <c r="U40" s="26" t="n">
        <f aca="false">IF(R40="",M40,0)</f>
        <v>0</v>
      </c>
    </row>
    <row r="41" customFormat="false" ht="15" hidden="false" customHeight="false" outlineLevel="0" collapsed="false">
      <c r="A41" s="25" t="s">
        <v>46</v>
      </c>
      <c r="B41" s="25" t="s">
        <v>47</v>
      </c>
      <c r="C41" s="25" t="s">
        <v>50</v>
      </c>
      <c r="D41" s="25" t="n">
        <v>1</v>
      </c>
      <c r="E41" s="25" t="s">
        <v>544</v>
      </c>
      <c r="F41" s="25" t="s">
        <v>84</v>
      </c>
      <c r="G41" s="25" t="n">
        <v>1728</v>
      </c>
      <c r="H41" s="25" t="s">
        <v>545</v>
      </c>
      <c r="I41" s="25" t="n">
        <v>1</v>
      </c>
      <c r="J41" s="26" t="n">
        <v>900</v>
      </c>
      <c r="K41" s="25" t="s">
        <v>546</v>
      </c>
      <c r="L41" s="25" t="s">
        <v>547</v>
      </c>
      <c r="M41" s="26" t="n">
        <f aca="false">IF(AND(L41="Oui",K41="Principal"),I41*J41,0)</f>
        <v>900</v>
      </c>
      <c r="N41" s="25" t="s">
        <v>548</v>
      </c>
      <c r="O41" s="25" t="s">
        <v>549</v>
      </c>
      <c r="P41" s="25" t="s">
        <v>550</v>
      </c>
      <c r="Q41" s="25" t="s">
        <v>551</v>
      </c>
      <c r="R41" s="26"/>
      <c r="S41" s="26" t="n">
        <f aca="false">IF(AND(L41="Oui",K41="Principal",R41&lt;&gt;""),I41*R41,0)</f>
        <v>0</v>
      </c>
      <c r="T41" s="26" t="n">
        <f aca="false">IF(R41&lt;&gt;"",M41-S41,0)</f>
        <v>0</v>
      </c>
      <c r="U41" s="26" t="n">
        <f aca="false">IF(R41="",M41,0)</f>
        <v>900</v>
      </c>
    </row>
    <row r="42" customFormat="false" ht="15" hidden="false" customHeight="false" outlineLevel="0" collapsed="false">
      <c r="A42" s="25" t="s">
        <v>46</v>
      </c>
      <c r="B42" s="25" t="s">
        <v>47</v>
      </c>
      <c r="C42" s="25" t="s">
        <v>50</v>
      </c>
      <c r="D42" s="25" t="n">
        <v>2</v>
      </c>
      <c r="E42" s="25" t="s">
        <v>544</v>
      </c>
      <c r="F42" s="25" t="s">
        <v>86</v>
      </c>
      <c r="G42" s="25" t="n">
        <v>1729</v>
      </c>
      <c r="H42" s="25" t="s">
        <v>552</v>
      </c>
      <c r="I42" s="25" t="n">
        <v>1</v>
      </c>
      <c r="J42" s="26" t="n">
        <v>1300</v>
      </c>
      <c r="K42" s="25" t="s">
        <v>546</v>
      </c>
      <c r="L42" s="25" t="s">
        <v>547</v>
      </c>
      <c r="M42" s="26" t="n">
        <f aca="false">IF(AND(L42="Oui",K42="Principal"),I42*J42,0)</f>
        <v>1300</v>
      </c>
      <c r="N42" s="25" t="s">
        <v>548</v>
      </c>
      <c r="O42" s="25" t="s">
        <v>553</v>
      </c>
      <c r="P42" s="25" t="s">
        <v>550</v>
      </c>
      <c r="Q42" s="25" t="s">
        <v>551</v>
      </c>
      <c r="R42" s="26"/>
      <c r="S42" s="26" t="n">
        <f aca="false">IF(AND(L42="Oui",K42="Principal",R42&lt;&gt;""),I42*R42,0)</f>
        <v>0</v>
      </c>
      <c r="T42" s="26" t="n">
        <f aca="false">IF(R42&lt;&gt;"",M42-S42,0)</f>
        <v>0</v>
      </c>
      <c r="U42" s="26" t="n">
        <f aca="false">IF(R42="",M42,0)</f>
        <v>1300</v>
      </c>
    </row>
    <row r="43" customFormat="false" ht="15" hidden="false" customHeight="false" outlineLevel="0" collapsed="false">
      <c r="A43" s="25" t="s">
        <v>46</v>
      </c>
      <c r="B43" s="25" t="s">
        <v>47</v>
      </c>
      <c r="C43" s="25" t="s">
        <v>50</v>
      </c>
      <c r="D43" s="25" t="n">
        <v>3</v>
      </c>
      <c r="E43" s="25" t="s">
        <v>554</v>
      </c>
      <c r="F43" s="25" t="s">
        <v>88</v>
      </c>
      <c r="G43" s="25" t="n">
        <v>1286</v>
      </c>
      <c r="H43" s="25" t="s">
        <v>580</v>
      </c>
      <c r="I43" s="25" t="n">
        <v>1</v>
      </c>
      <c r="J43" s="26" t="n">
        <v>550</v>
      </c>
      <c r="K43" s="25" t="s">
        <v>546</v>
      </c>
      <c r="L43" s="25" t="s">
        <v>547</v>
      </c>
      <c r="M43" s="26" t="n">
        <f aca="false">IF(AND(L43="Oui",K43="Principal"),I43*J43,0)</f>
        <v>550</v>
      </c>
      <c r="N43" s="25" t="s">
        <v>548</v>
      </c>
      <c r="O43" s="25"/>
      <c r="P43" s="25" t="s">
        <v>550</v>
      </c>
      <c r="Q43" s="25" t="s">
        <v>557</v>
      </c>
      <c r="R43" s="26" t="n">
        <v>450</v>
      </c>
      <c r="S43" s="26" t="n">
        <f aca="false">IF(AND(L43="Oui",K43="Principal",R43&lt;&gt;""),I43*R43,0)</f>
        <v>450</v>
      </c>
      <c r="T43" s="26" t="n">
        <f aca="false">IF(R43&lt;&gt;"",M43-S43,0)</f>
        <v>100</v>
      </c>
      <c r="U43" s="26" t="n">
        <f aca="false">IF(R43="",M43,0)</f>
        <v>0</v>
      </c>
    </row>
    <row r="44" customFormat="false" ht="15" hidden="false" customHeight="false" outlineLevel="0" collapsed="false">
      <c r="A44" s="25" t="s">
        <v>46</v>
      </c>
      <c r="B44" s="25" t="s">
        <v>47</v>
      </c>
      <c r="C44" s="25" t="s">
        <v>50</v>
      </c>
      <c r="D44" s="25" t="n">
        <v>4</v>
      </c>
      <c r="E44" s="25" t="s">
        <v>167</v>
      </c>
      <c r="F44" s="25" t="s">
        <v>91</v>
      </c>
      <c r="G44" s="25" t="n">
        <v>33</v>
      </c>
      <c r="H44" s="25" t="s">
        <v>558</v>
      </c>
      <c r="I44" s="25" t="n">
        <v>1</v>
      </c>
      <c r="J44" s="26" t="n">
        <v>1200</v>
      </c>
      <c r="K44" s="25" t="s">
        <v>546</v>
      </c>
      <c r="L44" s="25" t="s">
        <v>547</v>
      </c>
      <c r="M44" s="26" t="n">
        <f aca="false">IF(AND(L44="Oui",K44="Principal"),I44*J44,0)</f>
        <v>1200</v>
      </c>
      <c r="N44" s="25" t="s">
        <v>548</v>
      </c>
      <c r="O44" s="25"/>
      <c r="P44" s="25" t="s">
        <v>559</v>
      </c>
      <c r="Q44" s="25" t="s">
        <v>551</v>
      </c>
      <c r="R44" s="26"/>
      <c r="S44" s="26" t="n">
        <f aca="false">IF(AND(L44="Oui",K44="Principal",R44&lt;&gt;""),I44*R44,0)</f>
        <v>0</v>
      </c>
      <c r="T44" s="26" t="n">
        <f aca="false">IF(R44&lt;&gt;"",M44-S44,0)</f>
        <v>0</v>
      </c>
      <c r="U44" s="26" t="n">
        <f aca="false">IF(R44="",M44,0)</f>
        <v>1200</v>
      </c>
    </row>
    <row r="45" customFormat="false" ht="15" hidden="false" customHeight="false" outlineLevel="0" collapsed="false">
      <c r="A45" s="25" t="s">
        <v>46</v>
      </c>
      <c r="B45" s="25" t="s">
        <v>47</v>
      </c>
      <c r="C45" s="25" t="s">
        <v>50</v>
      </c>
      <c r="D45" s="25" t="n">
        <v>5</v>
      </c>
      <c r="E45" s="25" t="s">
        <v>167</v>
      </c>
      <c r="F45" s="25" t="s">
        <v>93</v>
      </c>
      <c r="G45" s="25" t="n">
        <v>1698</v>
      </c>
      <c r="H45" s="25" t="s">
        <v>560</v>
      </c>
      <c r="I45" s="25" t="n">
        <v>2</v>
      </c>
      <c r="J45" s="26" t="n">
        <v>400</v>
      </c>
      <c r="K45" s="25" t="s">
        <v>546</v>
      </c>
      <c r="L45" s="25" t="s">
        <v>547</v>
      </c>
      <c r="M45" s="26" t="n">
        <f aca="false">IF(AND(L45="Oui",K45="Principal"),I45*J45,0)</f>
        <v>800</v>
      </c>
      <c r="N45" s="25" t="s">
        <v>548</v>
      </c>
      <c r="O45" s="25"/>
      <c r="P45" s="25" t="s">
        <v>561</v>
      </c>
      <c r="Q45" s="25" t="s">
        <v>557</v>
      </c>
      <c r="R45" s="26"/>
      <c r="S45" s="26" t="n">
        <f aca="false">IF(AND(L45="Oui",K45="Principal",R45&lt;&gt;""),I45*R45,0)</f>
        <v>0</v>
      </c>
      <c r="T45" s="26" t="n">
        <f aca="false">IF(R45&lt;&gt;"",M45-S45,0)</f>
        <v>0</v>
      </c>
      <c r="U45" s="26" t="n">
        <f aca="false">IF(R45="",M45,0)</f>
        <v>800</v>
      </c>
    </row>
    <row r="46" customFormat="false" ht="15" hidden="false" customHeight="false" outlineLevel="0" collapsed="false">
      <c r="A46" s="25" t="s">
        <v>46</v>
      </c>
      <c r="B46" s="25" t="s">
        <v>47</v>
      </c>
      <c r="C46" s="25" t="s">
        <v>50</v>
      </c>
      <c r="D46" s="25" t="n">
        <v>6</v>
      </c>
      <c r="E46" s="25" t="s">
        <v>167</v>
      </c>
      <c r="F46" s="25" t="s">
        <v>95</v>
      </c>
      <c r="G46" s="25" t="n">
        <v>1244</v>
      </c>
      <c r="H46" s="25" t="s">
        <v>562</v>
      </c>
      <c r="I46" s="25" t="n">
        <v>1</v>
      </c>
      <c r="J46" s="26" t="n">
        <v>400</v>
      </c>
      <c r="K46" s="25" t="s">
        <v>546</v>
      </c>
      <c r="L46" s="25" t="s">
        <v>547</v>
      </c>
      <c r="M46" s="26" t="n">
        <f aca="false">IF(AND(L46="Oui",K46="Principal"),I46*J46,0)</f>
        <v>400</v>
      </c>
      <c r="N46" s="25" t="s">
        <v>548</v>
      </c>
      <c r="O46" s="25"/>
      <c r="P46" s="25" t="s">
        <v>550</v>
      </c>
      <c r="Q46" s="25" t="s">
        <v>557</v>
      </c>
      <c r="R46" s="26" t="n">
        <v>130</v>
      </c>
      <c r="S46" s="26" t="n">
        <f aca="false">IF(AND(L46="Oui",K46="Principal",R46&lt;&gt;""),I46*R46,0)</f>
        <v>130</v>
      </c>
      <c r="T46" s="26" t="n">
        <f aca="false">IF(R46&lt;&gt;"",M46-S46,0)</f>
        <v>270</v>
      </c>
      <c r="U46" s="26" t="n">
        <f aca="false">IF(R46="",M46,0)</f>
        <v>0</v>
      </c>
    </row>
    <row r="47" customFormat="false" ht="15" hidden="false" customHeight="false" outlineLevel="0" collapsed="false">
      <c r="A47" s="25" t="s">
        <v>46</v>
      </c>
      <c r="B47" s="25" t="s">
        <v>47</v>
      </c>
      <c r="C47" s="25" t="s">
        <v>50</v>
      </c>
      <c r="D47" s="25" t="n">
        <v>7</v>
      </c>
      <c r="E47" s="25" t="s">
        <v>563</v>
      </c>
      <c r="F47" s="25" t="s">
        <v>97</v>
      </c>
      <c r="G47" s="25" t="n">
        <v>1571</v>
      </c>
      <c r="H47" s="25" t="s">
        <v>564</v>
      </c>
      <c r="I47" s="25" t="n">
        <v>4</v>
      </c>
      <c r="J47" s="26" t="n">
        <v>75</v>
      </c>
      <c r="K47" s="25" t="s">
        <v>546</v>
      </c>
      <c r="L47" s="25" t="s">
        <v>547</v>
      </c>
      <c r="M47" s="26" t="n">
        <f aca="false">IF(AND(L47="Oui",K47="Principal"),I47*J47,0)</f>
        <v>300</v>
      </c>
      <c r="N47" s="25" t="s">
        <v>548</v>
      </c>
      <c r="O47" s="25"/>
      <c r="P47" s="25" t="s">
        <v>550</v>
      </c>
      <c r="Q47" s="25" t="s">
        <v>557</v>
      </c>
      <c r="R47" s="26"/>
      <c r="S47" s="26" t="n">
        <f aca="false">IF(AND(L47="Oui",K47="Principal",R47&lt;&gt;""),I47*R47,0)</f>
        <v>0</v>
      </c>
      <c r="T47" s="26" t="n">
        <f aca="false">IF(R47&lt;&gt;"",M47-S47,0)</f>
        <v>0</v>
      </c>
      <c r="U47" s="26" t="n">
        <f aca="false">IF(R47="",M47,0)</f>
        <v>300</v>
      </c>
    </row>
    <row r="48" customFormat="false" ht="15" hidden="false" customHeight="false" outlineLevel="0" collapsed="false">
      <c r="A48" s="25" t="s">
        <v>46</v>
      </c>
      <c r="B48" s="25" t="s">
        <v>47</v>
      </c>
      <c r="C48" s="25" t="s">
        <v>50</v>
      </c>
      <c r="D48" s="25" t="n">
        <v>8</v>
      </c>
      <c r="E48" s="25" t="s">
        <v>565</v>
      </c>
      <c r="F48" s="25" t="s">
        <v>99</v>
      </c>
      <c r="G48" s="25" t="n">
        <v>1181</v>
      </c>
      <c r="H48" s="25" t="s">
        <v>581</v>
      </c>
      <c r="I48" s="25" t="n">
        <v>1</v>
      </c>
      <c r="J48" s="26" t="n">
        <v>250</v>
      </c>
      <c r="K48" s="25" t="s">
        <v>546</v>
      </c>
      <c r="L48" s="25" t="s">
        <v>547</v>
      </c>
      <c r="M48" s="26" t="n">
        <f aca="false">IF(AND(L48="Oui",K48="Principal"),I48*J48,0)</f>
        <v>250</v>
      </c>
      <c r="N48" s="25" t="s">
        <v>548</v>
      </c>
      <c r="O48" s="25"/>
      <c r="P48" s="25" t="s">
        <v>550</v>
      </c>
      <c r="Q48" s="25" t="s">
        <v>557</v>
      </c>
      <c r="R48" s="26" t="n">
        <v>110</v>
      </c>
      <c r="S48" s="26" t="n">
        <f aca="false">IF(AND(L48="Oui",K48="Principal",R48&lt;&gt;""),I48*R48,0)</f>
        <v>110</v>
      </c>
      <c r="T48" s="26" t="n">
        <f aca="false">IF(R48&lt;&gt;"",M48-S48,0)</f>
        <v>140</v>
      </c>
      <c r="U48" s="26" t="n">
        <f aca="false">IF(R48="",M48,0)</f>
        <v>0</v>
      </c>
    </row>
    <row r="49" customFormat="false" ht="15" hidden="false" customHeight="false" outlineLevel="0" collapsed="false">
      <c r="A49" s="25" t="s">
        <v>46</v>
      </c>
      <c r="B49" s="25" t="s">
        <v>47</v>
      </c>
      <c r="C49" s="25" t="s">
        <v>50</v>
      </c>
      <c r="D49" s="25" t="n">
        <v>9</v>
      </c>
      <c r="E49" s="25" t="s">
        <v>565</v>
      </c>
      <c r="F49" s="25" t="s">
        <v>102</v>
      </c>
      <c r="G49" s="25" t="n">
        <v>1587</v>
      </c>
      <c r="H49" s="25" t="s">
        <v>567</v>
      </c>
      <c r="I49" s="25" t="n">
        <v>1</v>
      </c>
      <c r="J49" s="26" t="n">
        <v>500</v>
      </c>
      <c r="K49" s="25" t="s">
        <v>546</v>
      </c>
      <c r="L49" s="25" t="s">
        <v>547</v>
      </c>
      <c r="M49" s="26" t="n">
        <f aca="false">IF(AND(L49="Oui",K49="Principal"),I49*J49,0)</f>
        <v>500</v>
      </c>
      <c r="N49" s="25" t="s">
        <v>548</v>
      </c>
      <c r="O49" s="25"/>
      <c r="P49" s="25" t="s">
        <v>556</v>
      </c>
      <c r="Q49" s="25" t="s">
        <v>557</v>
      </c>
      <c r="R49" s="26" t="n">
        <v>350</v>
      </c>
      <c r="S49" s="26" t="n">
        <f aca="false">IF(AND(L49="Oui",K49="Principal",R49&lt;&gt;""),I49*R49,0)</f>
        <v>350</v>
      </c>
      <c r="T49" s="26" t="n">
        <f aca="false">IF(R49&lt;&gt;"",M49-S49,0)</f>
        <v>150</v>
      </c>
      <c r="U49" s="26" t="n">
        <f aca="false">IF(R49="",M49,0)</f>
        <v>0</v>
      </c>
    </row>
    <row r="50" customFormat="false" ht="15" hidden="false" customHeight="false" outlineLevel="0" collapsed="false">
      <c r="A50" s="25" t="s">
        <v>46</v>
      </c>
      <c r="B50" s="25" t="s">
        <v>47</v>
      </c>
      <c r="C50" s="25" t="s">
        <v>50</v>
      </c>
      <c r="D50" s="25" t="n">
        <v>10</v>
      </c>
      <c r="E50" s="25" t="s">
        <v>554</v>
      </c>
      <c r="F50" s="25" t="s">
        <v>104</v>
      </c>
      <c r="G50" s="25" t="n">
        <v>1594</v>
      </c>
      <c r="H50" s="25" t="s">
        <v>593</v>
      </c>
      <c r="I50" s="25" t="n">
        <v>1</v>
      </c>
      <c r="J50" s="26" t="n">
        <v>1600</v>
      </c>
      <c r="K50" s="25" t="s">
        <v>546</v>
      </c>
      <c r="L50" s="25" t="s">
        <v>547</v>
      </c>
      <c r="M50" s="26" t="n">
        <f aca="false">IF(AND(L50="Oui",K50="Principal"),I50*J50,0)</f>
        <v>1600</v>
      </c>
      <c r="N50" s="25" t="s">
        <v>548</v>
      </c>
      <c r="O50" s="25"/>
      <c r="P50" s="25" t="s">
        <v>556</v>
      </c>
      <c r="Q50" s="25" t="s">
        <v>557</v>
      </c>
      <c r="R50" s="26" t="n">
        <v>1300</v>
      </c>
      <c r="S50" s="26" t="n">
        <f aca="false">IF(AND(L50="Oui",K50="Principal",R50&lt;&gt;""),I50*R50,0)</f>
        <v>1300</v>
      </c>
      <c r="T50" s="26" t="n">
        <f aca="false">IF(R50&lt;&gt;"",M50-S50,0)</f>
        <v>300</v>
      </c>
      <c r="U50" s="26" t="n">
        <f aca="false">IF(R50="",M50,0)</f>
        <v>0</v>
      </c>
    </row>
    <row r="51" customFormat="false" ht="15" hidden="false" customHeight="false" outlineLevel="0" collapsed="false">
      <c r="A51" s="25" t="s">
        <v>46</v>
      </c>
      <c r="B51" s="25" t="s">
        <v>47</v>
      </c>
      <c r="C51" s="25" t="s">
        <v>50</v>
      </c>
      <c r="D51" s="25" t="n">
        <v>11</v>
      </c>
      <c r="E51" s="25" t="s">
        <v>565</v>
      </c>
      <c r="F51" s="25" t="s">
        <v>107</v>
      </c>
      <c r="G51" s="25" t="n">
        <v>1604</v>
      </c>
      <c r="H51" s="25" t="s">
        <v>582</v>
      </c>
      <c r="I51" s="25" t="n">
        <v>4</v>
      </c>
      <c r="J51" s="26" t="n">
        <v>700</v>
      </c>
      <c r="K51" s="25" t="s">
        <v>546</v>
      </c>
      <c r="L51" s="25" t="s">
        <v>547</v>
      </c>
      <c r="M51" s="26" t="n">
        <f aca="false">IF(AND(L51="Oui",K51="Principal"),I51*J51,0)</f>
        <v>2800</v>
      </c>
      <c r="N51" s="25" t="s">
        <v>548</v>
      </c>
      <c r="O51" s="25"/>
      <c r="P51" s="25" t="s">
        <v>556</v>
      </c>
      <c r="Q51" s="25" t="s">
        <v>557</v>
      </c>
      <c r="R51" s="26" t="n">
        <v>400</v>
      </c>
      <c r="S51" s="26" t="n">
        <f aca="false">IF(AND(L51="Oui",K51="Principal",R51&lt;&gt;""),I51*R51,0)</f>
        <v>1600</v>
      </c>
      <c r="T51" s="26" t="n">
        <f aca="false">IF(R51&lt;&gt;"",M51-S51,0)</f>
        <v>1200</v>
      </c>
      <c r="U51" s="26" t="n">
        <f aca="false">IF(R51="",M51,0)</f>
        <v>0</v>
      </c>
    </row>
    <row r="52" customFormat="false" ht="15" hidden="false" customHeight="false" outlineLevel="0" collapsed="false">
      <c r="A52" s="25" t="s">
        <v>46</v>
      </c>
      <c r="B52" s="25" t="s">
        <v>47</v>
      </c>
      <c r="C52" s="25" t="s">
        <v>50</v>
      </c>
      <c r="D52" s="25" t="n">
        <v>12</v>
      </c>
      <c r="E52" s="25" t="s">
        <v>565</v>
      </c>
      <c r="F52" s="25" t="s">
        <v>110</v>
      </c>
      <c r="G52" s="25" t="n">
        <v>1586</v>
      </c>
      <c r="H52" s="25" t="s">
        <v>583</v>
      </c>
      <c r="I52" s="25" t="n">
        <v>1</v>
      </c>
      <c r="J52" s="26" t="n">
        <v>900</v>
      </c>
      <c r="K52" s="25" t="s">
        <v>546</v>
      </c>
      <c r="L52" s="25" t="s">
        <v>547</v>
      </c>
      <c r="M52" s="26" t="n">
        <f aca="false">IF(AND(L52="Oui",K52="Principal"),I52*J52,0)</f>
        <v>900</v>
      </c>
      <c r="N52" s="25" t="s">
        <v>548</v>
      </c>
      <c r="O52" s="25"/>
      <c r="P52" s="25" t="s">
        <v>556</v>
      </c>
      <c r="Q52" s="25" t="s">
        <v>557</v>
      </c>
      <c r="R52" s="26" t="n">
        <v>650</v>
      </c>
      <c r="S52" s="26" t="n">
        <f aca="false">IF(AND(L52="Oui",K52="Principal",R52&lt;&gt;""),I52*R52,0)</f>
        <v>650</v>
      </c>
      <c r="T52" s="26" t="n">
        <f aca="false">IF(R52&lt;&gt;"",M52-S52,0)</f>
        <v>250</v>
      </c>
      <c r="U52" s="26" t="n">
        <f aca="false">IF(R52="",M52,0)</f>
        <v>0</v>
      </c>
    </row>
    <row r="53" customFormat="false" ht="15" hidden="false" customHeight="false" outlineLevel="0" collapsed="false">
      <c r="A53" s="25" t="s">
        <v>46</v>
      </c>
      <c r="B53" s="25" t="s">
        <v>47</v>
      </c>
      <c r="C53" s="25" t="s">
        <v>50</v>
      </c>
      <c r="D53" s="25" t="n">
        <v>13</v>
      </c>
      <c r="E53" s="25" t="s">
        <v>571</v>
      </c>
      <c r="F53" s="25" t="s">
        <v>113</v>
      </c>
      <c r="G53" s="25" t="n">
        <v>1625</v>
      </c>
      <c r="H53" s="25" t="s">
        <v>572</v>
      </c>
      <c r="I53" s="25" t="n">
        <v>1</v>
      </c>
      <c r="J53" s="26" t="n">
        <v>500</v>
      </c>
      <c r="K53" s="25" t="s">
        <v>546</v>
      </c>
      <c r="L53" s="25" t="s">
        <v>547</v>
      </c>
      <c r="M53" s="26" t="n">
        <f aca="false">IF(AND(L53="Oui",K53="Principal"),I53*J53,0)</f>
        <v>500</v>
      </c>
      <c r="N53" s="25" t="s">
        <v>548</v>
      </c>
      <c r="O53" s="25"/>
      <c r="P53" s="25" t="s">
        <v>556</v>
      </c>
      <c r="Q53" s="25" t="s">
        <v>557</v>
      </c>
      <c r="R53" s="26"/>
      <c r="S53" s="26" t="n">
        <f aca="false">IF(AND(L53="Oui",K53="Principal",R53&lt;&gt;""),I53*R53,0)</f>
        <v>0</v>
      </c>
      <c r="T53" s="26" t="n">
        <f aca="false">IF(R53&lt;&gt;"",M53-S53,0)</f>
        <v>0</v>
      </c>
      <c r="U53" s="26" t="n">
        <f aca="false">IF(R53="",M53,0)</f>
        <v>500</v>
      </c>
    </row>
    <row r="54" customFormat="false" ht="15" hidden="false" customHeight="false" outlineLevel="0" collapsed="false">
      <c r="A54" s="25" t="s">
        <v>46</v>
      </c>
      <c r="B54" s="25" t="s">
        <v>47</v>
      </c>
      <c r="C54" s="25" t="s">
        <v>50</v>
      </c>
      <c r="D54" s="25" t="n">
        <v>14</v>
      </c>
      <c r="E54" s="25" t="s">
        <v>554</v>
      </c>
      <c r="F54" s="25" t="s">
        <v>123</v>
      </c>
      <c r="G54" s="25" t="n">
        <v>1204</v>
      </c>
      <c r="H54" s="25" t="s">
        <v>584</v>
      </c>
      <c r="I54" s="25" t="n">
        <v>2</v>
      </c>
      <c r="J54" s="26" t="n">
        <v>1300</v>
      </c>
      <c r="K54" s="25" t="s">
        <v>546</v>
      </c>
      <c r="L54" s="25" t="s">
        <v>547</v>
      </c>
      <c r="M54" s="26" t="n">
        <f aca="false">IF(AND(L54="Oui",K54="Principal"),I54*J54,0)</f>
        <v>2600</v>
      </c>
      <c r="N54" s="25" t="s">
        <v>548</v>
      </c>
      <c r="O54" s="25"/>
      <c r="P54" s="25" t="s">
        <v>550</v>
      </c>
      <c r="Q54" s="25" t="s">
        <v>557</v>
      </c>
      <c r="R54" s="26" t="n">
        <v>1000</v>
      </c>
      <c r="S54" s="26" t="n">
        <f aca="false">IF(AND(L54="Oui",K54="Principal",R54&lt;&gt;""),I54*R54,0)</f>
        <v>2000</v>
      </c>
      <c r="T54" s="26" t="n">
        <f aca="false">IF(R54&lt;&gt;"",M54-S54,0)</f>
        <v>600</v>
      </c>
      <c r="U54" s="26" t="n">
        <f aca="false">IF(R54="",M54,0)</f>
        <v>0</v>
      </c>
    </row>
    <row r="55" customFormat="false" ht="15" hidden="false" customHeight="false" outlineLevel="0" collapsed="false">
      <c r="A55" s="27" t="s">
        <v>46</v>
      </c>
      <c r="B55" s="27" t="s">
        <v>47</v>
      </c>
      <c r="C55" s="27" t="s">
        <v>50</v>
      </c>
      <c r="D55" s="27" t="n">
        <v>15</v>
      </c>
      <c r="E55" s="27" t="s">
        <v>554</v>
      </c>
      <c r="F55" s="27" t="s">
        <v>126</v>
      </c>
      <c r="G55" s="27"/>
      <c r="H55" s="27" t="s">
        <v>585</v>
      </c>
      <c r="I55" s="27" t="n">
        <v>1</v>
      </c>
      <c r="J55" s="28" t="n">
        <v>0</v>
      </c>
      <c r="K55" s="27" t="s">
        <v>546</v>
      </c>
      <c r="L55" s="27" t="s">
        <v>579</v>
      </c>
      <c r="M55" s="28" t="n">
        <f aca="false">IF(AND(L55="Oui",K55="Principal"),I55*J55,0)</f>
        <v>0</v>
      </c>
      <c r="N55" s="27" t="s">
        <v>128</v>
      </c>
      <c r="O55" s="27" t="s">
        <v>586</v>
      </c>
      <c r="P55" s="27"/>
      <c r="Q55" s="27"/>
      <c r="R55" s="28"/>
      <c r="S55" s="28" t="n">
        <f aca="false">IF(AND(L55="Oui",K55="Principal",R55&lt;&gt;""),I55*R55,0)</f>
        <v>0</v>
      </c>
      <c r="T55" s="28" t="n">
        <f aca="false">IF(R55&lt;&gt;"",M55-S55,0)</f>
        <v>0</v>
      </c>
      <c r="U55" s="28" t="n">
        <f aca="false">IF(R55="",M55,0)</f>
        <v>0</v>
      </c>
    </row>
    <row r="56" customFormat="false" ht="15" hidden="false" customHeight="false" outlineLevel="0" collapsed="false">
      <c r="A56" s="27" t="s">
        <v>46</v>
      </c>
      <c r="B56" s="27" t="s">
        <v>47</v>
      </c>
      <c r="C56" s="27" t="s">
        <v>50</v>
      </c>
      <c r="D56" s="27" t="n">
        <v>16</v>
      </c>
      <c r="E56" s="27" t="s">
        <v>554</v>
      </c>
      <c r="F56" s="27" t="s">
        <v>129</v>
      </c>
      <c r="G56" s="27"/>
      <c r="H56" s="27" t="s">
        <v>585</v>
      </c>
      <c r="I56" s="27" t="n">
        <v>1</v>
      </c>
      <c r="J56" s="28" t="n">
        <v>0</v>
      </c>
      <c r="K56" s="27" t="s">
        <v>546</v>
      </c>
      <c r="L56" s="27" t="s">
        <v>579</v>
      </c>
      <c r="M56" s="28" t="n">
        <f aca="false">IF(AND(L56="Oui",K56="Principal"),I56*J56,0)</f>
        <v>0</v>
      </c>
      <c r="N56" s="27" t="s">
        <v>128</v>
      </c>
      <c r="O56" s="27" t="s">
        <v>586</v>
      </c>
      <c r="P56" s="27"/>
      <c r="Q56" s="27"/>
      <c r="R56" s="28"/>
      <c r="S56" s="28" t="n">
        <f aca="false">IF(AND(L56="Oui",K56="Principal",R56&lt;&gt;""),I56*R56,0)</f>
        <v>0</v>
      </c>
      <c r="T56" s="28" t="n">
        <f aca="false">IF(R56&lt;&gt;"",M56-S56,0)</f>
        <v>0</v>
      </c>
      <c r="U56" s="28" t="n">
        <f aca="false">IF(R56="",M56,0)</f>
        <v>0</v>
      </c>
    </row>
    <row r="57" customFormat="false" ht="15" hidden="false" customHeight="false" outlineLevel="0" collapsed="false">
      <c r="A57" s="27" t="s">
        <v>46</v>
      </c>
      <c r="B57" s="27" t="s">
        <v>47</v>
      </c>
      <c r="C57" s="27" t="s">
        <v>50</v>
      </c>
      <c r="D57" s="27" t="n">
        <v>17</v>
      </c>
      <c r="E57" s="27" t="s">
        <v>554</v>
      </c>
      <c r="F57" s="27" t="s">
        <v>130</v>
      </c>
      <c r="G57" s="27"/>
      <c r="H57" s="27" t="s">
        <v>585</v>
      </c>
      <c r="I57" s="27" t="n">
        <v>1</v>
      </c>
      <c r="J57" s="28" t="n">
        <v>0</v>
      </c>
      <c r="K57" s="27" t="s">
        <v>546</v>
      </c>
      <c r="L57" s="27" t="s">
        <v>579</v>
      </c>
      <c r="M57" s="28" t="n">
        <f aca="false">IF(AND(L57="Oui",K57="Principal"),I57*J57,0)</f>
        <v>0</v>
      </c>
      <c r="N57" s="27" t="s">
        <v>128</v>
      </c>
      <c r="O57" s="27" t="s">
        <v>586</v>
      </c>
      <c r="P57" s="27"/>
      <c r="Q57" s="27"/>
      <c r="R57" s="28"/>
      <c r="S57" s="28" t="n">
        <f aca="false">IF(AND(L57="Oui",K57="Principal",R57&lt;&gt;""),I57*R57,0)</f>
        <v>0</v>
      </c>
      <c r="T57" s="28" t="n">
        <f aca="false">IF(R57&lt;&gt;"",M57-S57,0)</f>
        <v>0</v>
      </c>
      <c r="U57" s="28" t="n">
        <f aca="false">IF(R57="",M57,0)</f>
        <v>0</v>
      </c>
    </row>
    <row r="58" customFormat="false" ht="15" hidden="false" customHeight="false" outlineLevel="0" collapsed="false">
      <c r="A58" s="25" t="s">
        <v>46</v>
      </c>
      <c r="B58" s="25" t="s">
        <v>47</v>
      </c>
      <c r="C58" s="25" t="s">
        <v>50</v>
      </c>
      <c r="D58" s="25" t="n">
        <v>18</v>
      </c>
      <c r="E58" s="25" t="s">
        <v>565</v>
      </c>
      <c r="F58" s="25" t="s">
        <v>131</v>
      </c>
      <c r="G58" s="25" t="n">
        <v>1183</v>
      </c>
      <c r="H58" s="25" t="s">
        <v>587</v>
      </c>
      <c r="I58" s="25" t="n">
        <v>1</v>
      </c>
      <c r="J58" s="26" t="n">
        <v>100</v>
      </c>
      <c r="K58" s="25" t="s">
        <v>546</v>
      </c>
      <c r="L58" s="25" t="s">
        <v>547</v>
      </c>
      <c r="M58" s="26" t="n">
        <f aca="false">IF(AND(L58="Oui",K58="Principal"),I58*J58,0)</f>
        <v>100</v>
      </c>
      <c r="N58" s="25" t="s">
        <v>548</v>
      </c>
      <c r="O58" s="25"/>
      <c r="P58" s="25" t="s">
        <v>550</v>
      </c>
      <c r="Q58" s="25" t="s">
        <v>557</v>
      </c>
      <c r="R58" s="26"/>
      <c r="S58" s="26" t="n">
        <f aca="false">IF(AND(L58="Oui",K58="Principal",R58&lt;&gt;""),I58*R58,0)</f>
        <v>0</v>
      </c>
      <c r="T58" s="26" t="n">
        <f aca="false">IF(R58&lt;&gt;"",M58-S58,0)</f>
        <v>0</v>
      </c>
      <c r="U58" s="26" t="n">
        <f aca="false">IF(R58="",M58,0)</f>
        <v>100</v>
      </c>
    </row>
    <row r="59" customFormat="false" ht="15" hidden="false" customHeight="false" outlineLevel="0" collapsed="false">
      <c r="A59" s="25" t="s">
        <v>46</v>
      </c>
      <c r="B59" s="25" t="s">
        <v>47</v>
      </c>
      <c r="C59" s="25" t="s">
        <v>50</v>
      </c>
      <c r="D59" s="25" t="n">
        <v>19</v>
      </c>
      <c r="E59" s="25" t="s">
        <v>588</v>
      </c>
      <c r="F59" s="25" t="s">
        <v>133</v>
      </c>
      <c r="G59" s="25" t="n">
        <v>1231</v>
      </c>
      <c r="H59" s="25" t="s">
        <v>589</v>
      </c>
      <c r="I59" s="25" t="n">
        <v>1</v>
      </c>
      <c r="J59" s="26" t="n">
        <v>3250</v>
      </c>
      <c r="K59" s="25" t="s">
        <v>546</v>
      </c>
      <c r="L59" s="25" t="s">
        <v>547</v>
      </c>
      <c r="M59" s="26" t="n">
        <f aca="false">IF(AND(L59="Oui",K59="Principal"),I59*J59,0)</f>
        <v>3250</v>
      </c>
      <c r="N59" s="25" t="s">
        <v>548</v>
      </c>
      <c r="O59" s="25" t="s">
        <v>590</v>
      </c>
      <c r="P59" s="25" t="s">
        <v>550</v>
      </c>
      <c r="Q59" s="25" t="s">
        <v>557</v>
      </c>
      <c r="R59" s="26" t="n">
        <v>2550</v>
      </c>
      <c r="S59" s="26" t="n">
        <f aca="false">IF(AND(L59="Oui",K59="Principal",R59&lt;&gt;""),I59*R59,0)</f>
        <v>2550</v>
      </c>
      <c r="T59" s="26" t="n">
        <f aca="false">IF(R59&lt;&gt;"",M59-S59,0)</f>
        <v>700</v>
      </c>
      <c r="U59" s="26" t="n">
        <f aca="false">IF(R59="",M59,0)</f>
        <v>0</v>
      </c>
    </row>
    <row r="60" customFormat="false" ht="15" hidden="false" customHeight="false" outlineLevel="0" collapsed="false">
      <c r="A60" s="25" t="s">
        <v>46</v>
      </c>
      <c r="B60" s="25" t="s">
        <v>47</v>
      </c>
      <c r="C60" s="25" t="s">
        <v>50</v>
      </c>
      <c r="D60" s="25" t="n">
        <v>20</v>
      </c>
      <c r="E60" s="25" t="s">
        <v>554</v>
      </c>
      <c r="F60" s="25" t="s">
        <v>137</v>
      </c>
      <c r="G60" s="25" t="n">
        <v>1230</v>
      </c>
      <c r="H60" s="25" t="s">
        <v>594</v>
      </c>
      <c r="I60" s="25" t="n">
        <v>1</v>
      </c>
      <c r="J60" s="26" t="n">
        <v>1300</v>
      </c>
      <c r="K60" s="25" t="s">
        <v>546</v>
      </c>
      <c r="L60" s="25" t="s">
        <v>547</v>
      </c>
      <c r="M60" s="26" t="n">
        <f aca="false">IF(AND(L60="Oui",K60="Principal"),I60*J60,0)</f>
        <v>1300</v>
      </c>
      <c r="N60" s="25" t="s">
        <v>548</v>
      </c>
      <c r="O60" s="25"/>
      <c r="P60" s="25" t="s">
        <v>550</v>
      </c>
      <c r="Q60" s="25" t="s">
        <v>557</v>
      </c>
      <c r="R60" s="26" t="n">
        <v>1000</v>
      </c>
      <c r="S60" s="26" t="n">
        <f aca="false">IF(AND(L60="Oui",K60="Principal",R60&lt;&gt;""),I60*R60,0)</f>
        <v>1000</v>
      </c>
      <c r="T60" s="26" t="n">
        <f aca="false">IF(R60&lt;&gt;"",M60-S60,0)</f>
        <v>300</v>
      </c>
      <c r="U60" s="26" t="n">
        <f aca="false">IF(R60="",M60,0)</f>
        <v>0</v>
      </c>
    </row>
    <row r="61" customFormat="false" ht="15" hidden="false" customHeight="false" outlineLevel="0" collapsed="false">
      <c r="A61" s="29" t="s">
        <v>46</v>
      </c>
      <c r="B61" s="29" t="s">
        <v>47</v>
      </c>
      <c r="C61" s="29" t="s">
        <v>50</v>
      </c>
      <c r="D61" s="29" t="n">
        <v>21</v>
      </c>
      <c r="E61" s="29" t="s">
        <v>554</v>
      </c>
      <c r="F61" s="29" t="s">
        <v>139</v>
      </c>
      <c r="G61" s="29" t="n">
        <v>31</v>
      </c>
      <c r="H61" s="29" t="s">
        <v>595</v>
      </c>
      <c r="I61" s="29" t="n">
        <v>1</v>
      </c>
      <c r="J61" s="30" t="n">
        <v>1500</v>
      </c>
      <c r="K61" s="29" t="s">
        <v>546</v>
      </c>
      <c r="L61" s="29" t="s">
        <v>547</v>
      </c>
      <c r="M61" s="30" t="n">
        <f aca="false">IF(AND(L61="Oui",K61="Principal"),I61*J61,0)</f>
        <v>1500</v>
      </c>
      <c r="N61" s="29" t="s">
        <v>141</v>
      </c>
      <c r="O61" s="29" t="s">
        <v>596</v>
      </c>
      <c r="P61" s="29" t="s">
        <v>559</v>
      </c>
      <c r="Q61" s="29" t="s">
        <v>551</v>
      </c>
      <c r="R61" s="30"/>
      <c r="S61" s="30" t="n">
        <f aca="false">IF(AND(L61="Oui",K61="Principal",R61&lt;&gt;""),I61*R61,0)</f>
        <v>0</v>
      </c>
      <c r="T61" s="30" t="n">
        <f aca="false">IF(R61&lt;&gt;"",M61-S61,0)</f>
        <v>0</v>
      </c>
      <c r="U61" s="30" t="n">
        <f aca="false">IF(R61="",M61,0)</f>
        <v>1500</v>
      </c>
    </row>
    <row r="62" customFormat="false" ht="15" hidden="false" customHeight="false" outlineLevel="0" collapsed="false">
      <c r="A62" s="27" t="s">
        <v>46</v>
      </c>
      <c r="B62" s="27" t="s">
        <v>47</v>
      </c>
      <c r="C62" s="27" t="s">
        <v>50</v>
      </c>
      <c r="D62" s="27" t="n">
        <v>22</v>
      </c>
      <c r="E62" s="27" t="s">
        <v>554</v>
      </c>
      <c r="F62" s="27" t="s">
        <v>142</v>
      </c>
      <c r="G62" s="27"/>
      <c r="H62" s="27" t="s">
        <v>585</v>
      </c>
      <c r="I62" s="27" t="n">
        <v>1</v>
      </c>
      <c r="J62" s="28" t="n">
        <v>0</v>
      </c>
      <c r="K62" s="27" t="s">
        <v>546</v>
      </c>
      <c r="L62" s="27" t="s">
        <v>579</v>
      </c>
      <c r="M62" s="28" t="n">
        <f aca="false">IF(AND(L62="Oui",K62="Principal"),I62*J62,0)</f>
        <v>0</v>
      </c>
      <c r="N62" s="27" t="s">
        <v>128</v>
      </c>
      <c r="O62" s="27" t="s">
        <v>586</v>
      </c>
      <c r="P62" s="27"/>
      <c r="Q62" s="27"/>
      <c r="R62" s="28"/>
      <c r="S62" s="28" t="n">
        <f aca="false">IF(AND(L62="Oui",K62="Principal",R62&lt;&gt;""),I62*R62,0)</f>
        <v>0</v>
      </c>
      <c r="T62" s="28" t="n">
        <f aca="false">IF(R62&lt;&gt;"",M62-S62,0)</f>
        <v>0</v>
      </c>
      <c r="U62" s="28" t="n">
        <f aca="false">IF(R62="",M62,0)</f>
        <v>0</v>
      </c>
    </row>
    <row r="63" customFormat="false" ht="15" hidden="false" customHeight="false" outlineLevel="0" collapsed="false">
      <c r="A63" s="25" t="s">
        <v>46</v>
      </c>
      <c r="B63" s="25" t="s">
        <v>47</v>
      </c>
      <c r="C63" s="25" t="s">
        <v>50</v>
      </c>
      <c r="D63" s="25" t="n">
        <v>23</v>
      </c>
      <c r="E63" s="25" t="s">
        <v>554</v>
      </c>
      <c r="F63" s="25" t="s">
        <v>143</v>
      </c>
      <c r="G63" s="25" t="n">
        <v>29</v>
      </c>
      <c r="H63" s="25" t="s">
        <v>597</v>
      </c>
      <c r="I63" s="25" t="n">
        <v>1</v>
      </c>
      <c r="J63" s="26" t="n">
        <v>2800</v>
      </c>
      <c r="K63" s="25" t="s">
        <v>546</v>
      </c>
      <c r="L63" s="25" t="s">
        <v>547</v>
      </c>
      <c r="M63" s="26" t="n">
        <f aca="false">IF(AND(L63="Oui",K63="Principal"),I63*J63,0)</f>
        <v>2800</v>
      </c>
      <c r="N63" s="25" t="s">
        <v>548</v>
      </c>
      <c r="O63" s="25"/>
      <c r="P63" s="25" t="s">
        <v>559</v>
      </c>
      <c r="Q63" s="25" t="s">
        <v>551</v>
      </c>
      <c r="R63" s="26"/>
      <c r="S63" s="26" t="n">
        <f aca="false">IF(AND(L63="Oui",K63="Principal",R63&lt;&gt;""),I63*R63,0)</f>
        <v>0</v>
      </c>
      <c r="T63" s="26" t="n">
        <f aca="false">IF(R63&lt;&gt;"",M63-S63,0)</f>
        <v>0</v>
      </c>
      <c r="U63" s="26" t="n">
        <f aca="false">IF(R63="",M63,0)</f>
        <v>2800</v>
      </c>
    </row>
    <row r="64" customFormat="false" ht="15" hidden="false" customHeight="false" outlineLevel="0" collapsed="false">
      <c r="A64" s="25" t="s">
        <v>46</v>
      </c>
      <c r="B64" s="25" t="s">
        <v>47</v>
      </c>
      <c r="C64" s="25" t="s">
        <v>50</v>
      </c>
      <c r="D64" s="25" t="n">
        <v>24</v>
      </c>
      <c r="E64" s="25" t="s">
        <v>554</v>
      </c>
      <c r="F64" s="25" t="s">
        <v>145</v>
      </c>
      <c r="G64" s="25" t="n">
        <v>30</v>
      </c>
      <c r="H64" s="25" t="s">
        <v>598</v>
      </c>
      <c r="I64" s="25" t="n">
        <v>1</v>
      </c>
      <c r="J64" s="26" t="n">
        <v>1000</v>
      </c>
      <c r="K64" s="25" t="s">
        <v>546</v>
      </c>
      <c r="L64" s="25" t="s">
        <v>547</v>
      </c>
      <c r="M64" s="26" t="n">
        <f aca="false">IF(AND(L64="Oui",K64="Principal"),I64*J64,0)</f>
        <v>1000</v>
      </c>
      <c r="N64" s="25" t="s">
        <v>548</v>
      </c>
      <c r="O64" s="25"/>
      <c r="P64" s="25" t="s">
        <v>559</v>
      </c>
      <c r="Q64" s="25" t="s">
        <v>551</v>
      </c>
      <c r="R64" s="26"/>
      <c r="S64" s="26" t="n">
        <f aca="false">IF(AND(L64="Oui",K64="Principal",R64&lt;&gt;""),I64*R64,0)</f>
        <v>0</v>
      </c>
      <c r="T64" s="26" t="n">
        <f aca="false">IF(R64&lt;&gt;"",M64-S64,0)</f>
        <v>0</v>
      </c>
      <c r="U64" s="26" t="n">
        <f aca="false">IF(R64="",M64,0)</f>
        <v>1000</v>
      </c>
    </row>
    <row r="65" customFormat="false" ht="15" hidden="false" customHeight="false" outlineLevel="0" collapsed="false">
      <c r="A65" s="25" t="s">
        <v>46</v>
      </c>
      <c r="B65" s="25" t="s">
        <v>47</v>
      </c>
      <c r="C65" s="25" t="s">
        <v>50</v>
      </c>
      <c r="D65" s="25" t="n">
        <v>25</v>
      </c>
      <c r="E65" s="25" t="s">
        <v>554</v>
      </c>
      <c r="F65" s="25" t="s">
        <v>147</v>
      </c>
      <c r="G65" s="25" t="n">
        <v>1202</v>
      </c>
      <c r="H65" s="25" t="s">
        <v>599</v>
      </c>
      <c r="I65" s="25" t="n">
        <v>1</v>
      </c>
      <c r="J65" s="26" t="n">
        <v>250</v>
      </c>
      <c r="K65" s="25" t="s">
        <v>546</v>
      </c>
      <c r="L65" s="25" t="s">
        <v>547</v>
      </c>
      <c r="M65" s="26" t="n">
        <f aca="false">IF(AND(L65="Oui",K65="Principal"),I65*J65,0)</f>
        <v>250</v>
      </c>
      <c r="N65" s="25" t="s">
        <v>548</v>
      </c>
      <c r="O65" s="25"/>
      <c r="P65" s="25" t="s">
        <v>550</v>
      </c>
      <c r="Q65" s="25" t="s">
        <v>557</v>
      </c>
      <c r="R65" s="26" t="n">
        <v>100</v>
      </c>
      <c r="S65" s="26" t="n">
        <f aca="false">IF(AND(L65="Oui",K65="Principal",R65&lt;&gt;""),I65*R65,0)</f>
        <v>100</v>
      </c>
      <c r="T65" s="26" t="n">
        <f aca="false">IF(R65&lt;&gt;"",M65-S65,0)</f>
        <v>150</v>
      </c>
      <c r="U65" s="26" t="n">
        <f aca="false">IF(R65="",M65,0)</f>
        <v>0</v>
      </c>
    </row>
    <row r="66" customFormat="false" ht="15" hidden="false" customHeight="false" outlineLevel="0" collapsed="false">
      <c r="A66" s="25" t="s">
        <v>46</v>
      </c>
      <c r="B66" s="25" t="s">
        <v>47</v>
      </c>
      <c r="C66" s="25" t="s">
        <v>50</v>
      </c>
      <c r="D66" s="25" t="n">
        <v>26</v>
      </c>
      <c r="E66" s="25" t="s">
        <v>573</v>
      </c>
      <c r="F66" s="25" t="s">
        <v>115</v>
      </c>
      <c r="G66" s="25" t="n">
        <v>1706</v>
      </c>
      <c r="H66" s="25" t="s">
        <v>574</v>
      </c>
      <c r="I66" s="25" t="n">
        <v>1</v>
      </c>
      <c r="J66" s="26" t="n">
        <v>2000</v>
      </c>
      <c r="K66" s="25" t="s">
        <v>546</v>
      </c>
      <c r="L66" s="25" t="s">
        <v>547</v>
      </c>
      <c r="M66" s="26" t="n">
        <f aca="false">IF(AND(L66="Oui",K66="Principal"),I66*J66,0)</f>
        <v>2000</v>
      </c>
      <c r="N66" s="25" t="s">
        <v>548</v>
      </c>
      <c r="O66" s="25"/>
      <c r="P66" s="25" t="s">
        <v>561</v>
      </c>
      <c r="Q66" s="25" t="s">
        <v>557</v>
      </c>
      <c r="R66" s="26" t="n">
        <v>1500</v>
      </c>
      <c r="S66" s="26" t="n">
        <f aca="false">IF(AND(L66="Oui",K66="Principal",R66&lt;&gt;""),I66*R66,0)</f>
        <v>1500</v>
      </c>
      <c r="T66" s="26" t="n">
        <f aca="false">IF(R66&lt;&gt;"",M66-S66,0)</f>
        <v>500</v>
      </c>
      <c r="U66" s="26" t="n">
        <f aca="false">IF(R66="",M66,0)</f>
        <v>0</v>
      </c>
    </row>
    <row r="67" customFormat="false" ht="15" hidden="false" customHeight="false" outlineLevel="0" collapsed="false">
      <c r="A67" s="25" t="s">
        <v>46</v>
      </c>
      <c r="B67" s="25" t="s">
        <v>47</v>
      </c>
      <c r="C67" s="25" t="s">
        <v>50</v>
      </c>
      <c r="D67" s="25" t="n">
        <v>27</v>
      </c>
      <c r="E67" s="25" t="s">
        <v>573</v>
      </c>
      <c r="F67" s="25" t="s">
        <v>135</v>
      </c>
      <c r="G67" s="25" t="n">
        <v>1708</v>
      </c>
      <c r="H67" s="25" t="s">
        <v>591</v>
      </c>
      <c r="I67" s="25" t="n">
        <v>1</v>
      </c>
      <c r="J67" s="26" t="n">
        <v>2000</v>
      </c>
      <c r="K67" s="25" t="s">
        <v>546</v>
      </c>
      <c r="L67" s="25" t="s">
        <v>547</v>
      </c>
      <c r="M67" s="26" t="n">
        <f aca="false">IF(AND(L67="Oui",K67="Principal"),I67*J67,0)</f>
        <v>2000</v>
      </c>
      <c r="N67" s="25" t="s">
        <v>548</v>
      </c>
      <c r="O67" s="25"/>
      <c r="P67" s="25" t="s">
        <v>561</v>
      </c>
      <c r="Q67" s="25" t="s">
        <v>557</v>
      </c>
      <c r="R67" s="26" t="n">
        <v>1500</v>
      </c>
      <c r="S67" s="26" t="n">
        <f aca="false">IF(AND(L67="Oui",K67="Principal",R67&lt;&gt;""),I67*R67,0)</f>
        <v>1500</v>
      </c>
      <c r="T67" s="26" t="n">
        <f aca="false">IF(R67&lt;&gt;"",M67-S67,0)</f>
        <v>500</v>
      </c>
      <c r="U67" s="26" t="n">
        <f aca="false">IF(R67="",M67,0)</f>
        <v>0</v>
      </c>
    </row>
    <row r="68" customFormat="false" ht="15" hidden="false" customHeight="false" outlineLevel="0" collapsed="false">
      <c r="A68" s="25" t="s">
        <v>46</v>
      </c>
      <c r="B68" s="25" t="s">
        <v>47</v>
      </c>
      <c r="C68" s="25" t="s">
        <v>50</v>
      </c>
      <c r="D68" s="25" t="n">
        <v>28</v>
      </c>
      <c r="E68" s="25" t="s">
        <v>573</v>
      </c>
      <c r="F68" s="25" t="s">
        <v>117</v>
      </c>
      <c r="G68" s="25" t="n">
        <v>1193</v>
      </c>
      <c r="H68" s="25" t="s">
        <v>592</v>
      </c>
      <c r="I68" s="25" t="n">
        <v>1</v>
      </c>
      <c r="J68" s="26" t="n">
        <v>3100</v>
      </c>
      <c r="K68" s="25" t="s">
        <v>546</v>
      </c>
      <c r="L68" s="25" t="s">
        <v>547</v>
      </c>
      <c r="M68" s="26" t="n">
        <f aca="false">IF(AND(L68="Oui",K68="Principal"),I68*J68,0)</f>
        <v>3100</v>
      </c>
      <c r="N68" s="25" t="s">
        <v>548</v>
      </c>
      <c r="O68" s="25"/>
      <c r="P68" s="25" t="s">
        <v>550</v>
      </c>
      <c r="Q68" s="25" t="s">
        <v>557</v>
      </c>
      <c r="R68" s="26" t="n">
        <v>2400</v>
      </c>
      <c r="S68" s="26" t="n">
        <f aca="false">IF(AND(L68="Oui",K68="Principal",R68&lt;&gt;""),I68*R68,0)</f>
        <v>2400</v>
      </c>
      <c r="T68" s="26" t="n">
        <f aca="false">IF(R68&lt;&gt;"",M68-S68,0)</f>
        <v>700</v>
      </c>
      <c r="U68" s="26" t="n">
        <f aca="false">IF(R68="",M68,0)</f>
        <v>0</v>
      </c>
    </row>
    <row r="69" customFormat="false" ht="15" hidden="false" customHeight="false" outlineLevel="0" collapsed="false">
      <c r="A69" s="25" t="s">
        <v>46</v>
      </c>
      <c r="B69" s="25" t="s">
        <v>47</v>
      </c>
      <c r="C69" s="25" t="s">
        <v>50</v>
      </c>
      <c r="D69" s="25" t="n">
        <v>29</v>
      </c>
      <c r="E69" s="25" t="s">
        <v>573</v>
      </c>
      <c r="F69" s="25" t="s">
        <v>120</v>
      </c>
      <c r="G69" s="25" t="n">
        <v>1252</v>
      </c>
      <c r="H69" s="25" t="s">
        <v>578</v>
      </c>
      <c r="I69" s="25" t="n">
        <v>1</v>
      </c>
      <c r="J69" s="26" t="n">
        <v>6500</v>
      </c>
      <c r="K69" s="25" t="s">
        <v>546</v>
      </c>
      <c r="L69" s="25" t="s">
        <v>547</v>
      </c>
      <c r="M69" s="26" t="n">
        <f aca="false">IF(AND(L69="Oui",K69="Principal"),I69*J69,0)</f>
        <v>6500</v>
      </c>
      <c r="N69" s="25" t="s">
        <v>548</v>
      </c>
      <c r="O69" s="25"/>
      <c r="P69" s="25" t="s">
        <v>550</v>
      </c>
      <c r="Q69" s="25" t="s">
        <v>557</v>
      </c>
      <c r="R69" s="26" t="n">
        <v>6000</v>
      </c>
      <c r="S69" s="26" t="n">
        <f aca="false">IF(AND(L69="Oui",K69="Principal",R69&lt;&gt;""),I69*R69,0)</f>
        <v>6000</v>
      </c>
      <c r="T69" s="26" t="n">
        <f aca="false">IF(R69&lt;&gt;"",M69-S69,0)</f>
        <v>500</v>
      </c>
      <c r="U69" s="26" t="n">
        <f aca="false">IF(R69="",M69,0)</f>
        <v>0</v>
      </c>
    </row>
    <row r="70" customFormat="false" ht="15" hidden="false" customHeight="false" outlineLevel="0" collapsed="false">
      <c r="A70" s="25" t="s">
        <v>46</v>
      </c>
      <c r="B70" s="25" t="s">
        <v>51</v>
      </c>
      <c r="C70" s="25" t="s">
        <v>48</v>
      </c>
      <c r="D70" s="25" t="n">
        <v>1</v>
      </c>
      <c r="E70" s="25" t="s">
        <v>544</v>
      </c>
      <c r="F70" s="25" t="s">
        <v>151</v>
      </c>
      <c r="G70" s="25" t="n">
        <v>1618</v>
      </c>
      <c r="H70" s="25" t="s">
        <v>600</v>
      </c>
      <c r="I70" s="25" t="n">
        <v>1</v>
      </c>
      <c r="J70" s="26" t="n">
        <v>450</v>
      </c>
      <c r="K70" s="25" t="s">
        <v>546</v>
      </c>
      <c r="L70" s="25" t="s">
        <v>547</v>
      </c>
      <c r="M70" s="26" t="n">
        <f aca="false">IF(AND(L70="Oui",K70="Principal"),I70*J70,0)</f>
        <v>450</v>
      </c>
      <c r="N70" s="25" t="s">
        <v>548</v>
      </c>
      <c r="O70" s="25" t="s">
        <v>601</v>
      </c>
      <c r="P70" s="25" t="s">
        <v>556</v>
      </c>
      <c r="Q70" s="25" t="s">
        <v>557</v>
      </c>
      <c r="R70" s="26" t="n">
        <v>350</v>
      </c>
      <c r="S70" s="26" t="n">
        <f aca="false">IF(AND(L70="Oui",K70="Principal",R70&lt;&gt;""),I70*R70,0)</f>
        <v>350</v>
      </c>
      <c r="T70" s="26" t="n">
        <f aca="false">IF(R70&lt;&gt;"",M70-S70,0)</f>
        <v>100</v>
      </c>
      <c r="U70" s="26" t="n">
        <f aca="false">IF(R70="",M70,0)</f>
        <v>0</v>
      </c>
    </row>
    <row r="71" customFormat="false" ht="15" hidden="false" customHeight="false" outlineLevel="0" collapsed="false">
      <c r="A71" s="25" t="s">
        <v>46</v>
      </c>
      <c r="B71" s="25" t="s">
        <v>51</v>
      </c>
      <c r="C71" s="25" t="s">
        <v>48</v>
      </c>
      <c r="D71" s="25" t="n">
        <v>2</v>
      </c>
      <c r="E71" s="25" t="s">
        <v>544</v>
      </c>
      <c r="F71" s="25" t="s">
        <v>86</v>
      </c>
      <c r="G71" s="25" t="n">
        <v>1729</v>
      </c>
      <c r="H71" s="25" t="s">
        <v>552</v>
      </c>
      <c r="I71" s="25" t="n">
        <v>1</v>
      </c>
      <c r="J71" s="26" t="n">
        <v>1300</v>
      </c>
      <c r="K71" s="25" t="s">
        <v>546</v>
      </c>
      <c r="L71" s="25" t="s">
        <v>547</v>
      </c>
      <c r="M71" s="26" t="n">
        <f aca="false">IF(AND(L71="Oui",K71="Principal"),I71*J71,0)</f>
        <v>1300</v>
      </c>
      <c r="N71" s="25" t="s">
        <v>548</v>
      </c>
      <c r="O71" s="25" t="s">
        <v>553</v>
      </c>
      <c r="P71" s="25" t="s">
        <v>550</v>
      </c>
      <c r="Q71" s="25" t="s">
        <v>551</v>
      </c>
      <c r="R71" s="26"/>
      <c r="S71" s="26" t="n">
        <f aca="false">IF(AND(L71="Oui",K71="Principal",R71&lt;&gt;""),I71*R71,0)</f>
        <v>0</v>
      </c>
      <c r="T71" s="26" t="n">
        <f aca="false">IF(R71&lt;&gt;"",M71-S71,0)</f>
        <v>0</v>
      </c>
      <c r="U71" s="26" t="n">
        <f aca="false">IF(R71="",M71,0)</f>
        <v>1300</v>
      </c>
    </row>
    <row r="72" customFormat="false" ht="15" hidden="false" customHeight="false" outlineLevel="0" collapsed="false">
      <c r="A72" s="25" t="s">
        <v>46</v>
      </c>
      <c r="B72" s="25" t="s">
        <v>51</v>
      </c>
      <c r="C72" s="25" t="s">
        <v>48</v>
      </c>
      <c r="D72" s="25" t="n">
        <v>3</v>
      </c>
      <c r="E72" s="25" t="s">
        <v>554</v>
      </c>
      <c r="F72" s="25" t="s">
        <v>88</v>
      </c>
      <c r="G72" s="25" t="n">
        <v>1572</v>
      </c>
      <c r="H72" s="25" t="s">
        <v>555</v>
      </c>
      <c r="I72" s="25" t="n">
        <v>1</v>
      </c>
      <c r="J72" s="26" t="n">
        <v>250</v>
      </c>
      <c r="K72" s="25" t="s">
        <v>546</v>
      </c>
      <c r="L72" s="25" t="s">
        <v>547</v>
      </c>
      <c r="M72" s="26" t="n">
        <f aca="false">IF(AND(L72="Oui",K72="Principal"),I72*J72,0)</f>
        <v>250</v>
      </c>
      <c r="N72" s="25" t="s">
        <v>548</v>
      </c>
      <c r="O72" s="25"/>
      <c r="P72" s="25" t="s">
        <v>556</v>
      </c>
      <c r="Q72" s="25" t="s">
        <v>557</v>
      </c>
      <c r="R72" s="26" t="n">
        <v>150</v>
      </c>
      <c r="S72" s="26" t="n">
        <f aca="false">IF(AND(L72="Oui",K72="Principal",R72&lt;&gt;""),I72*R72,0)</f>
        <v>150</v>
      </c>
      <c r="T72" s="26" t="n">
        <f aca="false">IF(R72&lt;&gt;"",M72-S72,0)</f>
        <v>100</v>
      </c>
      <c r="U72" s="26" t="n">
        <f aca="false">IF(R72="",M72,0)</f>
        <v>0</v>
      </c>
    </row>
    <row r="73" customFormat="false" ht="15" hidden="false" customHeight="false" outlineLevel="0" collapsed="false">
      <c r="A73" s="25" t="s">
        <v>46</v>
      </c>
      <c r="B73" s="25" t="s">
        <v>51</v>
      </c>
      <c r="C73" s="25" t="s">
        <v>48</v>
      </c>
      <c r="D73" s="25" t="n">
        <v>4</v>
      </c>
      <c r="E73" s="25" t="s">
        <v>167</v>
      </c>
      <c r="F73" s="25" t="s">
        <v>91</v>
      </c>
      <c r="G73" s="25" t="n">
        <v>33</v>
      </c>
      <c r="H73" s="25" t="s">
        <v>558</v>
      </c>
      <c r="I73" s="25" t="n">
        <v>1</v>
      </c>
      <c r="J73" s="26" t="n">
        <v>1200</v>
      </c>
      <c r="K73" s="25" t="s">
        <v>546</v>
      </c>
      <c r="L73" s="25" t="s">
        <v>547</v>
      </c>
      <c r="M73" s="26" t="n">
        <f aca="false">IF(AND(L73="Oui",K73="Principal"),I73*J73,0)</f>
        <v>1200</v>
      </c>
      <c r="N73" s="25" t="s">
        <v>548</v>
      </c>
      <c r="O73" s="25"/>
      <c r="P73" s="25" t="s">
        <v>559</v>
      </c>
      <c r="Q73" s="25" t="s">
        <v>551</v>
      </c>
      <c r="R73" s="26"/>
      <c r="S73" s="26" t="n">
        <f aca="false">IF(AND(L73="Oui",K73="Principal",R73&lt;&gt;""),I73*R73,0)</f>
        <v>0</v>
      </c>
      <c r="T73" s="26" t="n">
        <f aca="false">IF(R73&lt;&gt;"",M73-S73,0)</f>
        <v>0</v>
      </c>
      <c r="U73" s="26" t="n">
        <f aca="false">IF(R73="",M73,0)</f>
        <v>1200</v>
      </c>
    </row>
    <row r="74" customFormat="false" ht="15" hidden="false" customHeight="false" outlineLevel="0" collapsed="false">
      <c r="A74" s="25" t="s">
        <v>46</v>
      </c>
      <c r="B74" s="25" t="s">
        <v>51</v>
      </c>
      <c r="C74" s="25" t="s">
        <v>48</v>
      </c>
      <c r="D74" s="25" t="n">
        <v>5</v>
      </c>
      <c r="E74" s="25" t="s">
        <v>167</v>
      </c>
      <c r="F74" s="25" t="s">
        <v>93</v>
      </c>
      <c r="G74" s="25" t="n">
        <v>1698</v>
      </c>
      <c r="H74" s="25" t="s">
        <v>560</v>
      </c>
      <c r="I74" s="25" t="n">
        <v>2</v>
      </c>
      <c r="J74" s="26" t="n">
        <v>400</v>
      </c>
      <c r="K74" s="25" t="s">
        <v>546</v>
      </c>
      <c r="L74" s="25" t="s">
        <v>547</v>
      </c>
      <c r="M74" s="26" t="n">
        <f aca="false">IF(AND(L74="Oui",K74="Principal"),I74*J74,0)</f>
        <v>800</v>
      </c>
      <c r="N74" s="25" t="s">
        <v>548</v>
      </c>
      <c r="O74" s="25"/>
      <c r="P74" s="25" t="s">
        <v>561</v>
      </c>
      <c r="Q74" s="25" t="s">
        <v>557</v>
      </c>
      <c r="R74" s="26"/>
      <c r="S74" s="26" t="n">
        <f aca="false">IF(AND(L74="Oui",K74="Principal",R74&lt;&gt;""),I74*R74,0)</f>
        <v>0</v>
      </c>
      <c r="T74" s="26" t="n">
        <f aca="false">IF(R74&lt;&gt;"",M74-S74,0)</f>
        <v>0</v>
      </c>
      <c r="U74" s="26" t="n">
        <f aca="false">IF(R74="",M74,0)</f>
        <v>800</v>
      </c>
    </row>
    <row r="75" customFormat="false" ht="15" hidden="false" customHeight="false" outlineLevel="0" collapsed="false">
      <c r="A75" s="25" t="s">
        <v>46</v>
      </c>
      <c r="B75" s="25" t="s">
        <v>51</v>
      </c>
      <c r="C75" s="25" t="s">
        <v>48</v>
      </c>
      <c r="D75" s="25" t="n">
        <v>6</v>
      </c>
      <c r="E75" s="25" t="s">
        <v>167</v>
      </c>
      <c r="F75" s="25" t="s">
        <v>95</v>
      </c>
      <c r="G75" s="25" t="n">
        <v>1244</v>
      </c>
      <c r="H75" s="25" t="s">
        <v>562</v>
      </c>
      <c r="I75" s="25" t="n">
        <v>1</v>
      </c>
      <c r="J75" s="26" t="n">
        <v>400</v>
      </c>
      <c r="K75" s="25" t="s">
        <v>546</v>
      </c>
      <c r="L75" s="25" t="s">
        <v>547</v>
      </c>
      <c r="M75" s="26" t="n">
        <f aca="false">IF(AND(L75="Oui",K75="Principal"),I75*J75,0)</f>
        <v>400</v>
      </c>
      <c r="N75" s="25" t="s">
        <v>548</v>
      </c>
      <c r="O75" s="25"/>
      <c r="P75" s="25" t="s">
        <v>550</v>
      </c>
      <c r="Q75" s="25" t="s">
        <v>557</v>
      </c>
      <c r="R75" s="26" t="n">
        <v>130</v>
      </c>
      <c r="S75" s="26" t="n">
        <f aca="false">IF(AND(L75="Oui",K75="Principal",R75&lt;&gt;""),I75*R75,0)</f>
        <v>130</v>
      </c>
      <c r="T75" s="26" t="n">
        <f aca="false">IF(R75&lt;&gt;"",M75-S75,0)</f>
        <v>270</v>
      </c>
      <c r="U75" s="26" t="n">
        <f aca="false">IF(R75="",M75,0)</f>
        <v>0</v>
      </c>
    </row>
    <row r="76" customFormat="false" ht="15" hidden="false" customHeight="false" outlineLevel="0" collapsed="false">
      <c r="A76" s="25" t="s">
        <v>46</v>
      </c>
      <c r="B76" s="25" t="s">
        <v>51</v>
      </c>
      <c r="C76" s="25" t="s">
        <v>48</v>
      </c>
      <c r="D76" s="25" t="n">
        <v>7</v>
      </c>
      <c r="E76" s="25" t="s">
        <v>563</v>
      </c>
      <c r="F76" s="25" t="s">
        <v>97</v>
      </c>
      <c r="G76" s="25" t="n">
        <v>1571</v>
      </c>
      <c r="H76" s="25" t="s">
        <v>564</v>
      </c>
      <c r="I76" s="25" t="n">
        <v>2</v>
      </c>
      <c r="J76" s="26" t="n">
        <v>75</v>
      </c>
      <c r="K76" s="25" t="s">
        <v>546</v>
      </c>
      <c r="L76" s="25" t="s">
        <v>547</v>
      </c>
      <c r="M76" s="26" t="n">
        <f aca="false">IF(AND(L76="Oui",K76="Principal"),I76*J76,0)</f>
        <v>150</v>
      </c>
      <c r="N76" s="25" t="s">
        <v>548</v>
      </c>
      <c r="O76" s="25"/>
      <c r="P76" s="25" t="s">
        <v>550</v>
      </c>
      <c r="Q76" s="25" t="s">
        <v>557</v>
      </c>
      <c r="R76" s="26"/>
      <c r="S76" s="26" t="n">
        <f aca="false">IF(AND(L76="Oui",K76="Principal",R76&lt;&gt;""),I76*R76,0)</f>
        <v>0</v>
      </c>
      <c r="T76" s="26" t="n">
        <f aca="false">IF(R76&lt;&gt;"",M76-S76,0)</f>
        <v>0</v>
      </c>
      <c r="U76" s="26" t="n">
        <f aca="false">IF(R76="",M76,0)</f>
        <v>150</v>
      </c>
    </row>
    <row r="77" customFormat="false" ht="15" hidden="false" customHeight="false" outlineLevel="0" collapsed="false">
      <c r="A77" s="25" t="s">
        <v>46</v>
      </c>
      <c r="B77" s="25" t="s">
        <v>51</v>
      </c>
      <c r="C77" s="25" t="s">
        <v>48</v>
      </c>
      <c r="D77" s="25" t="n">
        <v>8</v>
      </c>
      <c r="E77" s="25" t="s">
        <v>565</v>
      </c>
      <c r="F77" s="25" t="s">
        <v>99</v>
      </c>
      <c r="G77" s="25" t="n">
        <v>9</v>
      </c>
      <c r="H77" s="25" t="s">
        <v>566</v>
      </c>
      <c r="I77" s="25" t="n">
        <v>1</v>
      </c>
      <c r="J77" s="26" t="n">
        <v>150</v>
      </c>
      <c r="K77" s="25" t="s">
        <v>546</v>
      </c>
      <c r="L77" s="25" t="s">
        <v>547</v>
      </c>
      <c r="M77" s="26" t="n">
        <f aca="false">IF(AND(L77="Oui",K77="Principal"),I77*J77,0)</f>
        <v>150</v>
      </c>
      <c r="N77" s="25" t="s">
        <v>548</v>
      </c>
      <c r="O77" s="25"/>
      <c r="P77" s="25" t="s">
        <v>559</v>
      </c>
      <c r="Q77" s="25" t="s">
        <v>551</v>
      </c>
      <c r="R77" s="26"/>
      <c r="S77" s="26" t="n">
        <f aca="false">IF(AND(L77="Oui",K77="Principal",R77&lt;&gt;""),I77*R77,0)</f>
        <v>0</v>
      </c>
      <c r="T77" s="26" t="n">
        <f aca="false">IF(R77&lt;&gt;"",M77-S77,0)</f>
        <v>0</v>
      </c>
      <c r="U77" s="26" t="n">
        <f aca="false">IF(R77="",M77,0)</f>
        <v>150</v>
      </c>
    </row>
    <row r="78" customFormat="false" ht="15" hidden="false" customHeight="false" outlineLevel="0" collapsed="false">
      <c r="A78" s="25" t="s">
        <v>46</v>
      </c>
      <c r="B78" s="25" t="s">
        <v>51</v>
      </c>
      <c r="C78" s="25" t="s">
        <v>48</v>
      </c>
      <c r="D78" s="25" t="n">
        <v>9</v>
      </c>
      <c r="E78" s="25" t="s">
        <v>565</v>
      </c>
      <c r="F78" s="25" t="s">
        <v>102</v>
      </c>
      <c r="G78" s="25" t="n">
        <v>1587</v>
      </c>
      <c r="H78" s="25" t="s">
        <v>567</v>
      </c>
      <c r="I78" s="25" t="n">
        <v>1</v>
      </c>
      <c r="J78" s="26" t="n">
        <v>500</v>
      </c>
      <c r="K78" s="25" t="s">
        <v>546</v>
      </c>
      <c r="L78" s="25" t="s">
        <v>547</v>
      </c>
      <c r="M78" s="26" t="n">
        <f aca="false">IF(AND(L78="Oui",K78="Principal"),I78*J78,0)</f>
        <v>500</v>
      </c>
      <c r="N78" s="25" t="s">
        <v>548</v>
      </c>
      <c r="O78" s="25"/>
      <c r="P78" s="25" t="s">
        <v>556</v>
      </c>
      <c r="Q78" s="25" t="s">
        <v>557</v>
      </c>
      <c r="R78" s="26" t="n">
        <v>350</v>
      </c>
      <c r="S78" s="26" t="n">
        <f aca="false">IF(AND(L78="Oui",K78="Principal",R78&lt;&gt;""),I78*R78,0)</f>
        <v>350</v>
      </c>
      <c r="T78" s="26" t="n">
        <f aca="false">IF(R78&lt;&gt;"",M78-S78,0)</f>
        <v>150</v>
      </c>
      <c r="U78" s="26" t="n">
        <f aca="false">IF(R78="",M78,0)</f>
        <v>0</v>
      </c>
    </row>
    <row r="79" customFormat="false" ht="15" hidden="false" customHeight="false" outlineLevel="0" collapsed="false">
      <c r="A79" s="25" t="s">
        <v>46</v>
      </c>
      <c r="B79" s="25" t="s">
        <v>51</v>
      </c>
      <c r="C79" s="25" t="s">
        <v>48</v>
      </c>
      <c r="D79" s="25" t="n">
        <v>10</v>
      </c>
      <c r="E79" s="25" t="s">
        <v>554</v>
      </c>
      <c r="F79" s="25" t="s">
        <v>104</v>
      </c>
      <c r="G79" s="25" t="n">
        <v>1589</v>
      </c>
      <c r="H79" s="25" t="s">
        <v>568</v>
      </c>
      <c r="I79" s="25" t="n">
        <v>1</v>
      </c>
      <c r="J79" s="26" t="n">
        <v>900</v>
      </c>
      <c r="K79" s="25" t="s">
        <v>546</v>
      </c>
      <c r="L79" s="25" t="s">
        <v>547</v>
      </c>
      <c r="M79" s="26" t="n">
        <f aca="false">IF(AND(L79="Oui",K79="Principal"),I79*J79,0)</f>
        <v>900</v>
      </c>
      <c r="N79" s="25" t="s">
        <v>548</v>
      </c>
      <c r="O79" s="25"/>
      <c r="P79" s="25" t="s">
        <v>556</v>
      </c>
      <c r="Q79" s="25" t="s">
        <v>557</v>
      </c>
      <c r="R79" s="26" t="n">
        <v>650</v>
      </c>
      <c r="S79" s="26" t="n">
        <f aca="false">IF(AND(L79="Oui",K79="Principal",R79&lt;&gt;""),I79*R79,0)</f>
        <v>650</v>
      </c>
      <c r="T79" s="26" t="n">
        <f aca="false">IF(R79&lt;&gt;"",M79-S79,0)</f>
        <v>250</v>
      </c>
      <c r="U79" s="26" t="n">
        <f aca="false">IF(R79="",M79,0)</f>
        <v>0</v>
      </c>
    </row>
    <row r="80" customFormat="false" ht="15" hidden="false" customHeight="false" outlineLevel="0" collapsed="false">
      <c r="A80" s="25" t="s">
        <v>46</v>
      </c>
      <c r="B80" s="25" t="s">
        <v>51</v>
      </c>
      <c r="C80" s="25" t="s">
        <v>48</v>
      </c>
      <c r="D80" s="25" t="n">
        <v>11</v>
      </c>
      <c r="E80" s="25" t="s">
        <v>565</v>
      </c>
      <c r="F80" s="25" t="s">
        <v>107</v>
      </c>
      <c r="G80" s="25" t="n">
        <v>1173</v>
      </c>
      <c r="H80" s="25" t="s">
        <v>569</v>
      </c>
      <c r="I80" s="25" t="n">
        <v>2</v>
      </c>
      <c r="J80" s="26" t="n">
        <v>570</v>
      </c>
      <c r="K80" s="25" t="s">
        <v>546</v>
      </c>
      <c r="L80" s="25" t="s">
        <v>547</v>
      </c>
      <c r="M80" s="26" t="n">
        <f aca="false">IF(AND(L80="Oui",K80="Principal"),I80*J80,0)</f>
        <v>1140</v>
      </c>
      <c r="N80" s="25" t="s">
        <v>548</v>
      </c>
      <c r="O80" s="25"/>
      <c r="P80" s="25" t="s">
        <v>550</v>
      </c>
      <c r="Q80" s="25" t="s">
        <v>557</v>
      </c>
      <c r="R80" s="26" t="n">
        <v>420</v>
      </c>
      <c r="S80" s="26" t="n">
        <f aca="false">IF(AND(L80="Oui",K80="Principal",R80&lt;&gt;""),I80*R80,0)</f>
        <v>840</v>
      </c>
      <c r="T80" s="26" t="n">
        <f aca="false">IF(R80&lt;&gt;"",M80-S80,0)</f>
        <v>300</v>
      </c>
      <c r="U80" s="26" t="n">
        <f aca="false">IF(R80="",M80,0)</f>
        <v>0</v>
      </c>
    </row>
    <row r="81" customFormat="false" ht="15" hidden="false" customHeight="false" outlineLevel="0" collapsed="false">
      <c r="A81" s="25" t="s">
        <v>46</v>
      </c>
      <c r="B81" s="25" t="s">
        <v>51</v>
      </c>
      <c r="C81" s="25" t="s">
        <v>48</v>
      </c>
      <c r="D81" s="25" t="n">
        <v>12</v>
      </c>
      <c r="E81" s="25" t="s">
        <v>565</v>
      </c>
      <c r="F81" s="25" t="s">
        <v>110</v>
      </c>
      <c r="G81" s="25" t="n">
        <v>1250</v>
      </c>
      <c r="H81" s="25" t="s">
        <v>570</v>
      </c>
      <c r="I81" s="25" t="n">
        <v>1</v>
      </c>
      <c r="J81" s="26" t="n">
        <v>250</v>
      </c>
      <c r="K81" s="25" t="s">
        <v>546</v>
      </c>
      <c r="L81" s="25" t="s">
        <v>547</v>
      </c>
      <c r="M81" s="26" t="n">
        <f aca="false">IF(AND(L81="Oui",K81="Principal"),I81*J81,0)</f>
        <v>250</v>
      </c>
      <c r="N81" s="25" t="s">
        <v>548</v>
      </c>
      <c r="O81" s="25"/>
      <c r="P81" s="25" t="s">
        <v>550</v>
      </c>
      <c r="Q81" s="25" t="s">
        <v>557</v>
      </c>
      <c r="R81" s="26" t="n">
        <v>100</v>
      </c>
      <c r="S81" s="26" t="n">
        <f aca="false">IF(AND(L81="Oui",K81="Principal",R81&lt;&gt;""),I81*R81,0)</f>
        <v>100</v>
      </c>
      <c r="T81" s="26" t="n">
        <f aca="false">IF(R81&lt;&gt;"",M81-S81,0)</f>
        <v>150</v>
      </c>
      <c r="U81" s="26" t="n">
        <f aca="false">IF(R81="",M81,0)</f>
        <v>0</v>
      </c>
    </row>
    <row r="82" customFormat="false" ht="15" hidden="false" customHeight="false" outlineLevel="0" collapsed="false">
      <c r="A82" s="25" t="s">
        <v>46</v>
      </c>
      <c r="B82" s="25" t="s">
        <v>51</v>
      </c>
      <c r="C82" s="25" t="s">
        <v>48</v>
      </c>
      <c r="D82" s="25" t="n">
        <v>13</v>
      </c>
      <c r="E82" s="25" t="s">
        <v>571</v>
      </c>
      <c r="F82" s="25" t="s">
        <v>113</v>
      </c>
      <c r="G82" s="25" t="n">
        <v>1625</v>
      </c>
      <c r="H82" s="25" t="s">
        <v>572</v>
      </c>
      <c r="I82" s="25" t="n">
        <v>1</v>
      </c>
      <c r="J82" s="26" t="n">
        <v>500</v>
      </c>
      <c r="K82" s="25" t="s">
        <v>546</v>
      </c>
      <c r="L82" s="25" t="s">
        <v>547</v>
      </c>
      <c r="M82" s="26" t="n">
        <f aca="false">IF(AND(L82="Oui",K82="Principal"),I82*J82,0)</f>
        <v>500</v>
      </c>
      <c r="N82" s="25" t="s">
        <v>548</v>
      </c>
      <c r="O82" s="25"/>
      <c r="P82" s="25" t="s">
        <v>556</v>
      </c>
      <c r="Q82" s="25" t="s">
        <v>557</v>
      </c>
      <c r="R82" s="26"/>
      <c r="S82" s="26" t="n">
        <f aca="false">IF(AND(L82="Oui",K82="Principal",R82&lt;&gt;""),I82*R82,0)</f>
        <v>0</v>
      </c>
      <c r="T82" s="26" t="n">
        <f aca="false">IF(R82&lt;&gt;"",M82-S82,0)</f>
        <v>0</v>
      </c>
      <c r="U82" s="26" t="n">
        <f aca="false">IF(R82="",M82,0)</f>
        <v>500</v>
      </c>
    </row>
    <row r="83" customFormat="false" ht="15" hidden="false" customHeight="false" outlineLevel="0" collapsed="false">
      <c r="A83" s="25" t="s">
        <v>46</v>
      </c>
      <c r="B83" s="25" t="s">
        <v>51</v>
      </c>
      <c r="C83" s="25" t="s">
        <v>48</v>
      </c>
      <c r="D83" s="25" t="n">
        <v>14</v>
      </c>
      <c r="E83" s="25" t="s">
        <v>573</v>
      </c>
      <c r="F83" s="25" t="s">
        <v>115</v>
      </c>
      <c r="G83" s="25" t="n">
        <v>1706</v>
      </c>
      <c r="H83" s="25" t="s">
        <v>574</v>
      </c>
      <c r="I83" s="25" t="n">
        <v>1</v>
      </c>
      <c r="J83" s="26" t="n">
        <v>2000</v>
      </c>
      <c r="K83" s="25" t="s">
        <v>546</v>
      </c>
      <c r="L83" s="25" t="s">
        <v>547</v>
      </c>
      <c r="M83" s="26" t="n">
        <f aca="false">IF(AND(L83="Oui",K83="Principal"),I83*J83,0)</f>
        <v>2000</v>
      </c>
      <c r="N83" s="25" t="s">
        <v>548</v>
      </c>
      <c r="O83" s="25"/>
      <c r="P83" s="25" t="s">
        <v>561</v>
      </c>
      <c r="Q83" s="25" t="s">
        <v>557</v>
      </c>
      <c r="R83" s="26" t="n">
        <v>1500</v>
      </c>
      <c r="S83" s="26" t="n">
        <f aca="false">IF(AND(L83="Oui",K83="Principal",R83&lt;&gt;""),I83*R83,0)</f>
        <v>1500</v>
      </c>
      <c r="T83" s="26" t="n">
        <f aca="false">IF(R83&lt;&gt;"",M83-S83,0)</f>
        <v>500</v>
      </c>
      <c r="U83" s="26" t="n">
        <f aca="false">IF(R83="",M83,0)</f>
        <v>0</v>
      </c>
    </row>
    <row r="84" customFormat="false" ht="15" hidden="false" customHeight="false" outlineLevel="0" collapsed="false">
      <c r="A84" s="25" t="s">
        <v>46</v>
      </c>
      <c r="B84" s="25" t="s">
        <v>51</v>
      </c>
      <c r="C84" s="25" t="s">
        <v>48</v>
      </c>
      <c r="D84" s="25" t="n">
        <v>15</v>
      </c>
      <c r="E84" s="25" t="s">
        <v>573</v>
      </c>
      <c r="F84" s="25" t="s">
        <v>117</v>
      </c>
      <c r="G84" s="25" t="n">
        <v>1287</v>
      </c>
      <c r="H84" s="25" t="s">
        <v>575</v>
      </c>
      <c r="I84" s="25" t="n">
        <v>1</v>
      </c>
      <c r="J84" s="26" t="n">
        <v>2500</v>
      </c>
      <c r="K84" s="25" t="s">
        <v>546</v>
      </c>
      <c r="L84" s="25" t="s">
        <v>547</v>
      </c>
      <c r="M84" s="26" t="n">
        <f aca="false">IF(AND(L84="Oui",K84="Principal"),I84*J84,0)</f>
        <v>2500</v>
      </c>
      <c r="N84" s="25" t="s">
        <v>548</v>
      </c>
      <c r="O84" s="25" t="s">
        <v>576</v>
      </c>
      <c r="P84" s="25" t="s">
        <v>550</v>
      </c>
      <c r="Q84" s="25" t="s">
        <v>557</v>
      </c>
      <c r="R84" s="26" t="n">
        <v>1800</v>
      </c>
      <c r="S84" s="26" t="n">
        <f aca="false">IF(AND(L84="Oui",K84="Principal",R84&lt;&gt;""),I84*R84,0)</f>
        <v>1800</v>
      </c>
      <c r="T84" s="26" t="n">
        <f aca="false">IF(R84&lt;&gt;"",M84-S84,0)</f>
        <v>700</v>
      </c>
      <c r="U84" s="26" t="n">
        <f aca="false">IF(R84="",M84,0)</f>
        <v>0</v>
      </c>
    </row>
    <row r="85" customFormat="false" ht="15" hidden="false" customHeight="false" outlineLevel="0" collapsed="false">
      <c r="A85" s="25" t="s">
        <v>46</v>
      </c>
      <c r="B85" s="25" t="s">
        <v>51</v>
      </c>
      <c r="C85" s="25" t="s">
        <v>48</v>
      </c>
      <c r="D85" s="25" t="n">
        <v>16</v>
      </c>
      <c r="E85" s="25" t="s">
        <v>577</v>
      </c>
      <c r="F85" s="25" t="s">
        <v>120</v>
      </c>
      <c r="G85" s="25" t="n">
        <v>1252</v>
      </c>
      <c r="H85" s="25" t="s">
        <v>578</v>
      </c>
      <c r="I85" s="25" t="n">
        <v>1</v>
      </c>
      <c r="J85" s="26" t="n">
        <v>6500</v>
      </c>
      <c r="K85" s="25" t="s">
        <v>577</v>
      </c>
      <c r="L85" s="25" t="s">
        <v>579</v>
      </c>
      <c r="M85" s="26" t="n">
        <f aca="false">IF(AND(L85="Oui",K85="Principal"),I85*J85,0)</f>
        <v>0</v>
      </c>
      <c r="N85" s="25" t="s">
        <v>548</v>
      </c>
      <c r="O85" s="25"/>
      <c r="P85" s="25" t="s">
        <v>550</v>
      </c>
      <c r="Q85" s="25" t="s">
        <v>557</v>
      </c>
      <c r="R85" s="26" t="n">
        <v>6000</v>
      </c>
      <c r="S85" s="26" t="n">
        <f aca="false">IF(AND(L85="Oui",K85="Principal",R85&lt;&gt;""),I85*R85,0)</f>
        <v>0</v>
      </c>
      <c r="T85" s="26" t="n">
        <f aca="false">IF(R85&lt;&gt;"",M85-S85,0)</f>
        <v>0</v>
      </c>
      <c r="U85" s="26" t="n">
        <f aca="false">IF(R85="",M85,0)</f>
        <v>0</v>
      </c>
    </row>
    <row r="86" customFormat="false" ht="15" hidden="false" customHeight="false" outlineLevel="0" collapsed="false">
      <c r="A86" s="25" t="s">
        <v>46</v>
      </c>
      <c r="B86" s="25" t="s">
        <v>51</v>
      </c>
      <c r="C86" s="25" t="s">
        <v>49</v>
      </c>
      <c r="D86" s="25" t="n">
        <v>1</v>
      </c>
      <c r="E86" s="25" t="s">
        <v>544</v>
      </c>
      <c r="F86" s="25" t="s">
        <v>151</v>
      </c>
      <c r="G86" s="25" t="n">
        <v>1618</v>
      </c>
      <c r="H86" s="25" t="s">
        <v>600</v>
      </c>
      <c r="I86" s="25" t="n">
        <v>1</v>
      </c>
      <c r="J86" s="26" t="n">
        <v>450</v>
      </c>
      <c r="K86" s="25" t="s">
        <v>546</v>
      </c>
      <c r="L86" s="25" t="s">
        <v>547</v>
      </c>
      <c r="M86" s="26" t="n">
        <f aca="false">IF(AND(L86="Oui",K86="Principal"),I86*J86,0)</f>
        <v>450</v>
      </c>
      <c r="N86" s="25" t="s">
        <v>548</v>
      </c>
      <c r="O86" s="25" t="s">
        <v>601</v>
      </c>
      <c r="P86" s="25" t="s">
        <v>556</v>
      </c>
      <c r="Q86" s="25" t="s">
        <v>557</v>
      </c>
      <c r="R86" s="26" t="n">
        <v>350</v>
      </c>
      <c r="S86" s="26" t="n">
        <f aca="false">IF(AND(L86="Oui",K86="Principal",R86&lt;&gt;""),I86*R86,0)</f>
        <v>350</v>
      </c>
      <c r="T86" s="26" t="n">
        <f aca="false">IF(R86&lt;&gt;"",M86-S86,0)</f>
        <v>100</v>
      </c>
      <c r="U86" s="26" t="n">
        <f aca="false">IF(R86="",M86,0)</f>
        <v>0</v>
      </c>
    </row>
    <row r="87" customFormat="false" ht="15" hidden="false" customHeight="false" outlineLevel="0" collapsed="false">
      <c r="A87" s="25" t="s">
        <v>46</v>
      </c>
      <c r="B87" s="25" t="s">
        <v>51</v>
      </c>
      <c r="C87" s="25" t="s">
        <v>49</v>
      </c>
      <c r="D87" s="25" t="n">
        <v>2</v>
      </c>
      <c r="E87" s="25" t="s">
        <v>544</v>
      </c>
      <c r="F87" s="25" t="s">
        <v>86</v>
      </c>
      <c r="G87" s="25" t="n">
        <v>1729</v>
      </c>
      <c r="H87" s="25" t="s">
        <v>552</v>
      </c>
      <c r="I87" s="25" t="n">
        <v>1</v>
      </c>
      <c r="J87" s="26" t="n">
        <v>1300</v>
      </c>
      <c r="K87" s="25" t="s">
        <v>546</v>
      </c>
      <c r="L87" s="25" t="s">
        <v>547</v>
      </c>
      <c r="M87" s="26" t="n">
        <f aca="false">IF(AND(L87="Oui",K87="Principal"),I87*J87,0)</f>
        <v>1300</v>
      </c>
      <c r="N87" s="25" t="s">
        <v>548</v>
      </c>
      <c r="O87" s="25" t="s">
        <v>553</v>
      </c>
      <c r="P87" s="25" t="s">
        <v>550</v>
      </c>
      <c r="Q87" s="25" t="s">
        <v>551</v>
      </c>
      <c r="R87" s="26"/>
      <c r="S87" s="26" t="n">
        <f aca="false">IF(AND(L87="Oui",K87="Principal",R87&lt;&gt;""),I87*R87,0)</f>
        <v>0</v>
      </c>
      <c r="T87" s="26" t="n">
        <f aca="false">IF(R87&lt;&gt;"",M87-S87,0)</f>
        <v>0</v>
      </c>
      <c r="U87" s="26" t="n">
        <f aca="false">IF(R87="",M87,0)</f>
        <v>1300</v>
      </c>
    </row>
    <row r="88" customFormat="false" ht="15" hidden="false" customHeight="false" outlineLevel="0" collapsed="false">
      <c r="A88" s="25" t="s">
        <v>46</v>
      </c>
      <c r="B88" s="25" t="s">
        <v>51</v>
      </c>
      <c r="C88" s="25" t="s">
        <v>49</v>
      </c>
      <c r="D88" s="25" t="n">
        <v>3</v>
      </c>
      <c r="E88" s="25" t="s">
        <v>554</v>
      </c>
      <c r="F88" s="25" t="s">
        <v>88</v>
      </c>
      <c r="G88" s="25" t="n">
        <v>1286</v>
      </c>
      <c r="H88" s="25" t="s">
        <v>580</v>
      </c>
      <c r="I88" s="25" t="n">
        <v>1</v>
      </c>
      <c r="J88" s="26" t="n">
        <v>550</v>
      </c>
      <c r="K88" s="25" t="s">
        <v>546</v>
      </c>
      <c r="L88" s="25" t="s">
        <v>547</v>
      </c>
      <c r="M88" s="26" t="n">
        <f aca="false">IF(AND(L88="Oui",K88="Principal"),I88*J88,0)</f>
        <v>550</v>
      </c>
      <c r="N88" s="25" t="s">
        <v>548</v>
      </c>
      <c r="O88" s="25"/>
      <c r="P88" s="25" t="s">
        <v>550</v>
      </c>
      <c r="Q88" s="25" t="s">
        <v>557</v>
      </c>
      <c r="R88" s="26" t="n">
        <v>450</v>
      </c>
      <c r="S88" s="26" t="n">
        <f aca="false">IF(AND(L88="Oui",K88="Principal",R88&lt;&gt;""),I88*R88,0)</f>
        <v>450</v>
      </c>
      <c r="T88" s="26" t="n">
        <f aca="false">IF(R88&lt;&gt;"",M88-S88,0)</f>
        <v>100</v>
      </c>
      <c r="U88" s="26" t="n">
        <f aca="false">IF(R88="",M88,0)</f>
        <v>0</v>
      </c>
    </row>
    <row r="89" customFormat="false" ht="15" hidden="false" customHeight="false" outlineLevel="0" collapsed="false">
      <c r="A89" s="25" t="s">
        <v>46</v>
      </c>
      <c r="B89" s="25" t="s">
        <v>51</v>
      </c>
      <c r="C89" s="25" t="s">
        <v>49</v>
      </c>
      <c r="D89" s="25" t="n">
        <v>4</v>
      </c>
      <c r="E89" s="25" t="s">
        <v>167</v>
      </c>
      <c r="F89" s="25" t="s">
        <v>91</v>
      </c>
      <c r="G89" s="25" t="n">
        <v>33</v>
      </c>
      <c r="H89" s="25" t="s">
        <v>558</v>
      </c>
      <c r="I89" s="25" t="n">
        <v>1</v>
      </c>
      <c r="J89" s="26" t="n">
        <v>1200</v>
      </c>
      <c r="K89" s="25" t="s">
        <v>546</v>
      </c>
      <c r="L89" s="25" t="s">
        <v>547</v>
      </c>
      <c r="M89" s="26" t="n">
        <f aca="false">IF(AND(L89="Oui",K89="Principal"),I89*J89,0)</f>
        <v>1200</v>
      </c>
      <c r="N89" s="25" t="s">
        <v>548</v>
      </c>
      <c r="O89" s="25"/>
      <c r="P89" s="25" t="s">
        <v>559</v>
      </c>
      <c r="Q89" s="25" t="s">
        <v>551</v>
      </c>
      <c r="R89" s="26"/>
      <c r="S89" s="26" t="n">
        <f aca="false">IF(AND(L89="Oui",K89="Principal",R89&lt;&gt;""),I89*R89,0)</f>
        <v>0</v>
      </c>
      <c r="T89" s="26" t="n">
        <f aca="false">IF(R89&lt;&gt;"",M89-S89,0)</f>
        <v>0</v>
      </c>
      <c r="U89" s="26" t="n">
        <f aca="false">IF(R89="",M89,0)</f>
        <v>1200</v>
      </c>
    </row>
    <row r="90" customFormat="false" ht="15" hidden="false" customHeight="false" outlineLevel="0" collapsed="false">
      <c r="A90" s="25" t="s">
        <v>46</v>
      </c>
      <c r="B90" s="25" t="s">
        <v>51</v>
      </c>
      <c r="C90" s="25" t="s">
        <v>49</v>
      </c>
      <c r="D90" s="25" t="n">
        <v>5</v>
      </c>
      <c r="E90" s="25" t="s">
        <v>167</v>
      </c>
      <c r="F90" s="25" t="s">
        <v>93</v>
      </c>
      <c r="G90" s="25" t="n">
        <v>1698</v>
      </c>
      <c r="H90" s="25" t="s">
        <v>560</v>
      </c>
      <c r="I90" s="25" t="n">
        <v>2</v>
      </c>
      <c r="J90" s="26" t="n">
        <v>400</v>
      </c>
      <c r="K90" s="25" t="s">
        <v>546</v>
      </c>
      <c r="L90" s="25" t="s">
        <v>547</v>
      </c>
      <c r="M90" s="26" t="n">
        <f aca="false">IF(AND(L90="Oui",K90="Principal"),I90*J90,0)</f>
        <v>800</v>
      </c>
      <c r="N90" s="25" t="s">
        <v>548</v>
      </c>
      <c r="O90" s="25"/>
      <c r="P90" s="25" t="s">
        <v>561</v>
      </c>
      <c r="Q90" s="25" t="s">
        <v>557</v>
      </c>
      <c r="R90" s="26"/>
      <c r="S90" s="26" t="n">
        <f aca="false">IF(AND(L90="Oui",K90="Principal",R90&lt;&gt;""),I90*R90,0)</f>
        <v>0</v>
      </c>
      <c r="T90" s="26" t="n">
        <f aca="false">IF(R90&lt;&gt;"",M90-S90,0)</f>
        <v>0</v>
      </c>
      <c r="U90" s="26" t="n">
        <f aca="false">IF(R90="",M90,0)</f>
        <v>800</v>
      </c>
    </row>
    <row r="91" customFormat="false" ht="15" hidden="false" customHeight="false" outlineLevel="0" collapsed="false">
      <c r="A91" s="25" t="s">
        <v>46</v>
      </c>
      <c r="B91" s="25" t="s">
        <v>51</v>
      </c>
      <c r="C91" s="25" t="s">
        <v>49</v>
      </c>
      <c r="D91" s="25" t="n">
        <v>6</v>
      </c>
      <c r="E91" s="25" t="s">
        <v>167</v>
      </c>
      <c r="F91" s="25" t="s">
        <v>95</v>
      </c>
      <c r="G91" s="25" t="n">
        <v>1244</v>
      </c>
      <c r="H91" s="25" t="s">
        <v>562</v>
      </c>
      <c r="I91" s="25" t="n">
        <v>1</v>
      </c>
      <c r="J91" s="26" t="n">
        <v>400</v>
      </c>
      <c r="K91" s="25" t="s">
        <v>546</v>
      </c>
      <c r="L91" s="25" t="s">
        <v>547</v>
      </c>
      <c r="M91" s="26" t="n">
        <f aca="false">IF(AND(L91="Oui",K91="Principal"),I91*J91,0)</f>
        <v>400</v>
      </c>
      <c r="N91" s="25" t="s">
        <v>548</v>
      </c>
      <c r="O91" s="25"/>
      <c r="P91" s="25" t="s">
        <v>550</v>
      </c>
      <c r="Q91" s="25" t="s">
        <v>557</v>
      </c>
      <c r="R91" s="26" t="n">
        <v>130</v>
      </c>
      <c r="S91" s="26" t="n">
        <f aca="false">IF(AND(L91="Oui",K91="Principal",R91&lt;&gt;""),I91*R91,0)</f>
        <v>130</v>
      </c>
      <c r="T91" s="26" t="n">
        <f aca="false">IF(R91&lt;&gt;"",M91-S91,0)</f>
        <v>270</v>
      </c>
      <c r="U91" s="26" t="n">
        <f aca="false">IF(R91="",M91,0)</f>
        <v>0</v>
      </c>
    </row>
    <row r="92" customFormat="false" ht="15" hidden="false" customHeight="false" outlineLevel="0" collapsed="false">
      <c r="A92" s="25" t="s">
        <v>46</v>
      </c>
      <c r="B92" s="25" t="s">
        <v>51</v>
      </c>
      <c r="C92" s="25" t="s">
        <v>49</v>
      </c>
      <c r="D92" s="25" t="n">
        <v>7</v>
      </c>
      <c r="E92" s="25" t="s">
        <v>563</v>
      </c>
      <c r="F92" s="25" t="s">
        <v>97</v>
      </c>
      <c r="G92" s="25" t="n">
        <v>1571</v>
      </c>
      <c r="H92" s="25" t="s">
        <v>564</v>
      </c>
      <c r="I92" s="25" t="n">
        <v>2</v>
      </c>
      <c r="J92" s="26" t="n">
        <v>75</v>
      </c>
      <c r="K92" s="25" t="s">
        <v>546</v>
      </c>
      <c r="L92" s="25" t="s">
        <v>547</v>
      </c>
      <c r="M92" s="26" t="n">
        <f aca="false">IF(AND(L92="Oui",K92="Principal"),I92*J92,0)</f>
        <v>150</v>
      </c>
      <c r="N92" s="25" t="s">
        <v>548</v>
      </c>
      <c r="O92" s="25"/>
      <c r="P92" s="25" t="s">
        <v>550</v>
      </c>
      <c r="Q92" s="25" t="s">
        <v>557</v>
      </c>
      <c r="R92" s="26"/>
      <c r="S92" s="26" t="n">
        <f aca="false">IF(AND(L92="Oui",K92="Principal",R92&lt;&gt;""),I92*R92,0)</f>
        <v>0</v>
      </c>
      <c r="T92" s="26" t="n">
        <f aca="false">IF(R92&lt;&gt;"",M92-S92,0)</f>
        <v>0</v>
      </c>
      <c r="U92" s="26" t="n">
        <f aca="false">IF(R92="",M92,0)</f>
        <v>150</v>
      </c>
    </row>
    <row r="93" customFormat="false" ht="15" hidden="false" customHeight="false" outlineLevel="0" collapsed="false">
      <c r="A93" s="25" t="s">
        <v>46</v>
      </c>
      <c r="B93" s="25" t="s">
        <v>51</v>
      </c>
      <c r="C93" s="25" t="s">
        <v>49</v>
      </c>
      <c r="D93" s="25" t="n">
        <v>8</v>
      </c>
      <c r="E93" s="25" t="s">
        <v>565</v>
      </c>
      <c r="F93" s="25" t="s">
        <v>99</v>
      </c>
      <c r="G93" s="25" t="n">
        <v>1181</v>
      </c>
      <c r="H93" s="25" t="s">
        <v>581</v>
      </c>
      <c r="I93" s="25" t="n">
        <v>1</v>
      </c>
      <c r="J93" s="26" t="n">
        <v>250</v>
      </c>
      <c r="K93" s="25" t="s">
        <v>546</v>
      </c>
      <c r="L93" s="25" t="s">
        <v>547</v>
      </c>
      <c r="M93" s="26" t="n">
        <f aca="false">IF(AND(L93="Oui",K93="Principal"),I93*J93,0)</f>
        <v>250</v>
      </c>
      <c r="N93" s="25" t="s">
        <v>548</v>
      </c>
      <c r="O93" s="25"/>
      <c r="P93" s="25" t="s">
        <v>550</v>
      </c>
      <c r="Q93" s="25" t="s">
        <v>557</v>
      </c>
      <c r="R93" s="26" t="n">
        <v>110</v>
      </c>
      <c r="S93" s="26" t="n">
        <f aca="false">IF(AND(L93="Oui",K93="Principal",R93&lt;&gt;""),I93*R93,0)</f>
        <v>110</v>
      </c>
      <c r="T93" s="26" t="n">
        <f aca="false">IF(R93&lt;&gt;"",M93-S93,0)</f>
        <v>140</v>
      </c>
      <c r="U93" s="26" t="n">
        <f aca="false">IF(R93="",M93,0)</f>
        <v>0</v>
      </c>
    </row>
    <row r="94" customFormat="false" ht="15" hidden="false" customHeight="false" outlineLevel="0" collapsed="false">
      <c r="A94" s="25" t="s">
        <v>46</v>
      </c>
      <c r="B94" s="25" t="s">
        <v>51</v>
      </c>
      <c r="C94" s="25" t="s">
        <v>49</v>
      </c>
      <c r="D94" s="25" t="n">
        <v>9</v>
      </c>
      <c r="E94" s="25" t="s">
        <v>565</v>
      </c>
      <c r="F94" s="25" t="s">
        <v>102</v>
      </c>
      <c r="G94" s="25" t="n">
        <v>1587</v>
      </c>
      <c r="H94" s="25" t="s">
        <v>567</v>
      </c>
      <c r="I94" s="25" t="n">
        <v>1</v>
      </c>
      <c r="J94" s="26" t="n">
        <v>500</v>
      </c>
      <c r="K94" s="25" t="s">
        <v>546</v>
      </c>
      <c r="L94" s="25" t="s">
        <v>547</v>
      </c>
      <c r="M94" s="26" t="n">
        <f aca="false">IF(AND(L94="Oui",K94="Principal"),I94*J94,0)</f>
        <v>500</v>
      </c>
      <c r="N94" s="25" t="s">
        <v>548</v>
      </c>
      <c r="O94" s="25"/>
      <c r="P94" s="25" t="s">
        <v>556</v>
      </c>
      <c r="Q94" s="25" t="s">
        <v>557</v>
      </c>
      <c r="R94" s="26" t="n">
        <v>350</v>
      </c>
      <c r="S94" s="26" t="n">
        <f aca="false">IF(AND(L94="Oui",K94="Principal",R94&lt;&gt;""),I94*R94,0)</f>
        <v>350</v>
      </c>
      <c r="T94" s="26" t="n">
        <f aca="false">IF(R94&lt;&gt;"",M94-S94,0)</f>
        <v>150</v>
      </c>
      <c r="U94" s="26" t="n">
        <f aca="false">IF(R94="",M94,0)</f>
        <v>0</v>
      </c>
    </row>
    <row r="95" customFormat="false" ht="15" hidden="false" customHeight="false" outlineLevel="0" collapsed="false">
      <c r="A95" s="25" t="s">
        <v>46</v>
      </c>
      <c r="B95" s="25" t="s">
        <v>51</v>
      </c>
      <c r="C95" s="25" t="s">
        <v>49</v>
      </c>
      <c r="D95" s="25" t="n">
        <v>10</v>
      </c>
      <c r="E95" s="25" t="s">
        <v>554</v>
      </c>
      <c r="F95" s="25" t="s">
        <v>104</v>
      </c>
      <c r="G95" s="25" t="n">
        <v>1589</v>
      </c>
      <c r="H95" s="25" t="s">
        <v>568</v>
      </c>
      <c r="I95" s="25" t="n">
        <v>1</v>
      </c>
      <c r="J95" s="26" t="n">
        <v>900</v>
      </c>
      <c r="K95" s="25" t="s">
        <v>546</v>
      </c>
      <c r="L95" s="25" t="s">
        <v>547</v>
      </c>
      <c r="M95" s="26" t="n">
        <f aca="false">IF(AND(L95="Oui",K95="Principal"),I95*J95,0)</f>
        <v>900</v>
      </c>
      <c r="N95" s="25" t="s">
        <v>548</v>
      </c>
      <c r="O95" s="25"/>
      <c r="P95" s="25" t="s">
        <v>556</v>
      </c>
      <c r="Q95" s="25" t="s">
        <v>557</v>
      </c>
      <c r="R95" s="26" t="n">
        <v>650</v>
      </c>
      <c r="S95" s="26" t="n">
        <f aca="false">IF(AND(L95="Oui",K95="Principal",R95&lt;&gt;""),I95*R95,0)</f>
        <v>650</v>
      </c>
      <c r="T95" s="26" t="n">
        <f aca="false">IF(R95&lt;&gt;"",M95-S95,0)</f>
        <v>250</v>
      </c>
      <c r="U95" s="26" t="n">
        <f aca="false">IF(R95="",M95,0)</f>
        <v>0</v>
      </c>
    </row>
    <row r="96" customFormat="false" ht="15" hidden="false" customHeight="false" outlineLevel="0" collapsed="false">
      <c r="A96" s="25" t="s">
        <v>46</v>
      </c>
      <c r="B96" s="25" t="s">
        <v>51</v>
      </c>
      <c r="C96" s="25" t="s">
        <v>49</v>
      </c>
      <c r="D96" s="25" t="n">
        <v>11</v>
      </c>
      <c r="E96" s="25" t="s">
        <v>565</v>
      </c>
      <c r="F96" s="25" t="s">
        <v>107</v>
      </c>
      <c r="G96" s="25" t="n">
        <v>1604</v>
      </c>
      <c r="H96" s="25" t="s">
        <v>582</v>
      </c>
      <c r="I96" s="25" t="n">
        <v>2</v>
      </c>
      <c r="J96" s="26" t="n">
        <v>700</v>
      </c>
      <c r="K96" s="25" t="s">
        <v>546</v>
      </c>
      <c r="L96" s="25" t="s">
        <v>547</v>
      </c>
      <c r="M96" s="26" t="n">
        <f aca="false">IF(AND(L96="Oui",K96="Principal"),I96*J96,0)</f>
        <v>1400</v>
      </c>
      <c r="N96" s="25" t="s">
        <v>548</v>
      </c>
      <c r="O96" s="25"/>
      <c r="P96" s="25" t="s">
        <v>556</v>
      </c>
      <c r="Q96" s="25" t="s">
        <v>557</v>
      </c>
      <c r="R96" s="26" t="n">
        <v>400</v>
      </c>
      <c r="S96" s="26" t="n">
        <f aca="false">IF(AND(L96="Oui",K96="Principal",R96&lt;&gt;""),I96*R96,0)</f>
        <v>800</v>
      </c>
      <c r="T96" s="26" t="n">
        <f aca="false">IF(R96&lt;&gt;"",M96-S96,0)</f>
        <v>600</v>
      </c>
      <c r="U96" s="26" t="n">
        <f aca="false">IF(R96="",M96,0)</f>
        <v>0</v>
      </c>
    </row>
    <row r="97" customFormat="false" ht="15" hidden="false" customHeight="false" outlineLevel="0" collapsed="false">
      <c r="A97" s="25" t="s">
        <v>46</v>
      </c>
      <c r="B97" s="25" t="s">
        <v>51</v>
      </c>
      <c r="C97" s="25" t="s">
        <v>49</v>
      </c>
      <c r="D97" s="25" t="n">
        <v>12</v>
      </c>
      <c r="E97" s="25" t="s">
        <v>565</v>
      </c>
      <c r="F97" s="25" t="s">
        <v>110</v>
      </c>
      <c r="G97" s="25" t="n">
        <v>1586</v>
      </c>
      <c r="H97" s="25" t="s">
        <v>583</v>
      </c>
      <c r="I97" s="25" t="n">
        <v>1</v>
      </c>
      <c r="J97" s="26" t="n">
        <v>900</v>
      </c>
      <c r="K97" s="25" t="s">
        <v>546</v>
      </c>
      <c r="L97" s="25" t="s">
        <v>547</v>
      </c>
      <c r="M97" s="26" t="n">
        <f aca="false">IF(AND(L97="Oui",K97="Principal"),I97*J97,0)</f>
        <v>900</v>
      </c>
      <c r="N97" s="25" t="s">
        <v>548</v>
      </c>
      <c r="O97" s="25"/>
      <c r="P97" s="25" t="s">
        <v>556</v>
      </c>
      <c r="Q97" s="25" t="s">
        <v>557</v>
      </c>
      <c r="R97" s="26" t="n">
        <v>650</v>
      </c>
      <c r="S97" s="26" t="n">
        <f aca="false">IF(AND(L97="Oui",K97="Principal",R97&lt;&gt;""),I97*R97,0)</f>
        <v>650</v>
      </c>
      <c r="T97" s="26" t="n">
        <f aca="false">IF(R97&lt;&gt;"",M97-S97,0)</f>
        <v>250</v>
      </c>
      <c r="U97" s="26" t="n">
        <f aca="false">IF(R97="",M97,0)</f>
        <v>0</v>
      </c>
    </row>
    <row r="98" customFormat="false" ht="15" hidden="false" customHeight="false" outlineLevel="0" collapsed="false">
      <c r="A98" s="25" t="s">
        <v>46</v>
      </c>
      <c r="B98" s="25" t="s">
        <v>51</v>
      </c>
      <c r="C98" s="25" t="s">
        <v>49</v>
      </c>
      <c r="D98" s="25" t="n">
        <v>13</v>
      </c>
      <c r="E98" s="25" t="s">
        <v>571</v>
      </c>
      <c r="F98" s="25" t="s">
        <v>113</v>
      </c>
      <c r="G98" s="25" t="n">
        <v>1625</v>
      </c>
      <c r="H98" s="25" t="s">
        <v>572</v>
      </c>
      <c r="I98" s="25" t="n">
        <v>1</v>
      </c>
      <c r="J98" s="26" t="n">
        <v>500</v>
      </c>
      <c r="K98" s="25" t="s">
        <v>546</v>
      </c>
      <c r="L98" s="25" t="s">
        <v>547</v>
      </c>
      <c r="M98" s="26" t="n">
        <f aca="false">IF(AND(L98="Oui",K98="Principal"),I98*J98,0)</f>
        <v>500</v>
      </c>
      <c r="N98" s="25" t="s">
        <v>548</v>
      </c>
      <c r="O98" s="25"/>
      <c r="P98" s="25" t="s">
        <v>556</v>
      </c>
      <c r="Q98" s="25" t="s">
        <v>557</v>
      </c>
      <c r="R98" s="26"/>
      <c r="S98" s="26" t="n">
        <f aca="false">IF(AND(L98="Oui",K98="Principal",R98&lt;&gt;""),I98*R98,0)</f>
        <v>0</v>
      </c>
      <c r="T98" s="26" t="n">
        <f aca="false">IF(R98&lt;&gt;"",M98-S98,0)</f>
        <v>0</v>
      </c>
      <c r="U98" s="26" t="n">
        <f aca="false">IF(R98="",M98,0)</f>
        <v>500</v>
      </c>
    </row>
    <row r="99" customFormat="false" ht="15" hidden="false" customHeight="false" outlineLevel="0" collapsed="false">
      <c r="A99" s="25" t="s">
        <v>46</v>
      </c>
      <c r="B99" s="25" t="s">
        <v>51</v>
      </c>
      <c r="C99" s="25" t="s">
        <v>49</v>
      </c>
      <c r="D99" s="25" t="n">
        <v>14</v>
      </c>
      <c r="E99" s="25" t="s">
        <v>554</v>
      </c>
      <c r="F99" s="25" t="s">
        <v>123</v>
      </c>
      <c r="G99" s="25" t="n">
        <v>1204</v>
      </c>
      <c r="H99" s="25" t="s">
        <v>584</v>
      </c>
      <c r="I99" s="25" t="n">
        <v>1</v>
      </c>
      <c r="J99" s="26" t="n">
        <v>1300</v>
      </c>
      <c r="K99" s="25" t="s">
        <v>546</v>
      </c>
      <c r="L99" s="25" t="s">
        <v>547</v>
      </c>
      <c r="M99" s="26" t="n">
        <f aca="false">IF(AND(L99="Oui",K99="Principal"),I99*J99,0)</f>
        <v>1300</v>
      </c>
      <c r="N99" s="25" t="s">
        <v>548</v>
      </c>
      <c r="O99" s="25"/>
      <c r="P99" s="25" t="s">
        <v>550</v>
      </c>
      <c r="Q99" s="25" t="s">
        <v>557</v>
      </c>
      <c r="R99" s="26" t="n">
        <v>1000</v>
      </c>
      <c r="S99" s="26" t="n">
        <f aca="false">IF(AND(L99="Oui",K99="Principal",R99&lt;&gt;""),I99*R99,0)</f>
        <v>1000</v>
      </c>
      <c r="T99" s="26" t="n">
        <f aca="false">IF(R99&lt;&gt;"",M99-S99,0)</f>
        <v>300</v>
      </c>
      <c r="U99" s="26" t="n">
        <f aca="false">IF(R99="",M99,0)</f>
        <v>0</v>
      </c>
    </row>
    <row r="100" customFormat="false" ht="15" hidden="false" customHeight="false" outlineLevel="0" collapsed="false">
      <c r="A100" s="27" t="s">
        <v>46</v>
      </c>
      <c r="B100" s="27" t="s">
        <v>51</v>
      </c>
      <c r="C100" s="27" t="s">
        <v>49</v>
      </c>
      <c r="D100" s="27" t="n">
        <v>15</v>
      </c>
      <c r="E100" s="27" t="s">
        <v>554</v>
      </c>
      <c r="F100" s="27" t="s">
        <v>126</v>
      </c>
      <c r="G100" s="27"/>
      <c r="H100" s="27" t="s">
        <v>585</v>
      </c>
      <c r="I100" s="27" t="n">
        <v>1</v>
      </c>
      <c r="J100" s="28" t="n">
        <v>0</v>
      </c>
      <c r="K100" s="27" t="s">
        <v>546</v>
      </c>
      <c r="L100" s="27" t="s">
        <v>579</v>
      </c>
      <c r="M100" s="28" t="n">
        <f aca="false">IF(AND(L100="Oui",K100="Principal"),I100*J100,0)</f>
        <v>0</v>
      </c>
      <c r="N100" s="27" t="s">
        <v>128</v>
      </c>
      <c r="O100" s="27" t="s">
        <v>586</v>
      </c>
      <c r="P100" s="27"/>
      <c r="Q100" s="27"/>
      <c r="R100" s="28"/>
      <c r="S100" s="28" t="n">
        <f aca="false">IF(AND(L100="Oui",K100="Principal",R100&lt;&gt;""),I100*R100,0)</f>
        <v>0</v>
      </c>
      <c r="T100" s="28" t="n">
        <f aca="false">IF(R100&lt;&gt;"",M100-S100,0)</f>
        <v>0</v>
      </c>
      <c r="U100" s="28" t="n">
        <f aca="false">IF(R100="",M100,0)</f>
        <v>0</v>
      </c>
    </row>
    <row r="101" customFormat="false" ht="15" hidden="false" customHeight="false" outlineLevel="0" collapsed="false">
      <c r="A101" s="27" t="s">
        <v>46</v>
      </c>
      <c r="B101" s="27" t="s">
        <v>51</v>
      </c>
      <c r="C101" s="27" t="s">
        <v>49</v>
      </c>
      <c r="D101" s="27" t="n">
        <v>16</v>
      </c>
      <c r="E101" s="27" t="s">
        <v>554</v>
      </c>
      <c r="F101" s="27" t="s">
        <v>129</v>
      </c>
      <c r="G101" s="27"/>
      <c r="H101" s="27" t="s">
        <v>585</v>
      </c>
      <c r="I101" s="27" t="n">
        <v>1</v>
      </c>
      <c r="J101" s="28" t="n">
        <v>0</v>
      </c>
      <c r="K101" s="27" t="s">
        <v>546</v>
      </c>
      <c r="L101" s="27" t="s">
        <v>579</v>
      </c>
      <c r="M101" s="28" t="n">
        <f aca="false">IF(AND(L101="Oui",K101="Principal"),I101*J101,0)</f>
        <v>0</v>
      </c>
      <c r="N101" s="27" t="s">
        <v>128</v>
      </c>
      <c r="O101" s="27" t="s">
        <v>586</v>
      </c>
      <c r="P101" s="27"/>
      <c r="Q101" s="27"/>
      <c r="R101" s="28"/>
      <c r="S101" s="28" t="n">
        <f aca="false">IF(AND(L101="Oui",K101="Principal",R101&lt;&gt;""),I101*R101,0)</f>
        <v>0</v>
      </c>
      <c r="T101" s="28" t="n">
        <f aca="false">IF(R101&lt;&gt;"",M101-S101,0)</f>
        <v>0</v>
      </c>
      <c r="U101" s="28" t="n">
        <f aca="false">IF(R101="",M101,0)</f>
        <v>0</v>
      </c>
    </row>
    <row r="102" customFormat="false" ht="15" hidden="false" customHeight="false" outlineLevel="0" collapsed="false">
      <c r="A102" s="25" t="s">
        <v>46</v>
      </c>
      <c r="B102" s="25" t="s">
        <v>51</v>
      </c>
      <c r="C102" s="25" t="s">
        <v>49</v>
      </c>
      <c r="D102" s="25" t="n">
        <v>17</v>
      </c>
      <c r="E102" s="25" t="s">
        <v>565</v>
      </c>
      <c r="F102" s="25" t="s">
        <v>131</v>
      </c>
      <c r="G102" s="25" t="n">
        <v>1183</v>
      </c>
      <c r="H102" s="25" t="s">
        <v>587</v>
      </c>
      <c r="I102" s="25" t="n">
        <v>1</v>
      </c>
      <c r="J102" s="26" t="n">
        <v>100</v>
      </c>
      <c r="K102" s="25" t="s">
        <v>546</v>
      </c>
      <c r="L102" s="25" t="s">
        <v>547</v>
      </c>
      <c r="M102" s="26" t="n">
        <f aca="false">IF(AND(L102="Oui",K102="Principal"),I102*J102,0)</f>
        <v>100</v>
      </c>
      <c r="N102" s="25" t="s">
        <v>548</v>
      </c>
      <c r="O102" s="25"/>
      <c r="P102" s="25" t="s">
        <v>550</v>
      </c>
      <c r="Q102" s="25" t="s">
        <v>557</v>
      </c>
      <c r="R102" s="26"/>
      <c r="S102" s="26" t="n">
        <f aca="false">IF(AND(L102="Oui",K102="Principal",R102&lt;&gt;""),I102*R102,0)</f>
        <v>0</v>
      </c>
      <c r="T102" s="26" t="n">
        <f aca="false">IF(R102&lt;&gt;"",M102-S102,0)</f>
        <v>0</v>
      </c>
      <c r="U102" s="26" t="n">
        <f aca="false">IF(R102="",M102,0)</f>
        <v>100</v>
      </c>
    </row>
    <row r="103" customFormat="false" ht="15" hidden="false" customHeight="false" outlineLevel="0" collapsed="false">
      <c r="A103" s="25" t="s">
        <v>46</v>
      </c>
      <c r="B103" s="25" t="s">
        <v>51</v>
      </c>
      <c r="C103" s="25" t="s">
        <v>49</v>
      </c>
      <c r="D103" s="25" t="n">
        <v>18</v>
      </c>
      <c r="E103" s="25" t="s">
        <v>588</v>
      </c>
      <c r="F103" s="25" t="s">
        <v>153</v>
      </c>
      <c r="G103" s="25" t="n">
        <v>1232</v>
      </c>
      <c r="H103" s="25" t="s">
        <v>602</v>
      </c>
      <c r="I103" s="25" t="n">
        <v>1</v>
      </c>
      <c r="J103" s="26" t="n">
        <v>3250</v>
      </c>
      <c r="K103" s="25" t="s">
        <v>546</v>
      </c>
      <c r="L103" s="25" t="s">
        <v>547</v>
      </c>
      <c r="M103" s="26" t="n">
        <f aca="false">IF(AND(L103="Oui",K103="Principal"),I103*J103,0)</f>
        <v>3250</v>
      </c>
      <c r="N103" s="25" t="s">
        <v>548</v>
      </c>
      <c r="O103" s="25" t="s">
        <v>590</v>
      </c>
      <c r="P103" s="25" t="s">
        <v>550</v>
      </c>
      <c r="Q103" s="25" t="s">
        <v>557</v>
      </c>
      <c r="R103" s="26" t="n">
        <v>2550</v>
      </c>
      <c r="S103" s="26" t="n">
        <f aca="false">IF(AND(L103="Oui",K103="Principal",R103&lt;&gt;""),I103*R103,0)</f>
        <v>2550</v>
      </c>
      <c r="T103" s="26" t="n">
        <f aca="false">IF(R103&lt;&gt;"",M103-S103,0)</f>
        <v>700</v>
      </c>
      <c r="U103" s="26" t="n">
        <f aca="false">IF(R103="",M103,0)</f>
        <v>0</v>
      </c>
    </row>
    <row r="104" customFormat="false" ht="15" hidden="false" customHeight="false" outlineLevel="0" collapsed="false">
      <c r="A104" s="25" t="s">
        <v>46</v>
      </c>
      <c r="B104" s="25" t="s">
        <v>51</v>
      </c>
      <c r="C104" s="25" t="s">
        <v>49</v>
      </c>
      <c r="D104" s="25" t="n">
        <v>19</v>
      </c>
      <c r="E104" s="25" t="s">
        <v>573</v>
      </c>
      <c r="F104" s="25" t="s">
        <v>115</v>
      </c>
      <c r="G104" s="25" t="n">
        <v>1706</v>
      </c>
      <c r="H104" s="25" t="s">
        <v>574</v>
      </c>
      <c r="I104" s="25" t="n">
        <v>1</v>
      </c>
      <c r="J104" s="26" t="n">
        <v>2000</v>
      </c>
      <c r="K104" s="25" t="s">
        <v>546</v>
      </c>
      <c r="L104" s="25" t="s">
        <v>547</v>
      </c>
      <c r="M104" s="26" t="n">
        <f aca="false">IF(AND(L104="Oui",K104="Principal"),I104*J104,0)</f>
        <v>2000</v>
      </c>
      <c r="N104" s="25" t="s">
        <v>548</v>
      </c>
      <c r="O104" s="25"/>
      <c r="P104" s="25" t="s">
        <v>561</v>
      </c>
      <c r="Q104" s="25" t="s">
        <v>557</v>
      </c>
      <c r="R104" s="26" t="n">
        <v>1500</v>
      </c>
      <c r="S104" s="26" t="n">
        <f aca="false">IF(AND(L104="Oui",K104="Principal",R104&lt;&gt;""),I104*R104,0)</f>
        <v>1500</v>
      </c>
      <c r="T104" s="26" t="n">
        <f aca="false">IF(R104&lt;&gt;"",M104-S104,0)</f>
        <v>500</v>
      </c>
      <c r="U104" s="26" t="n">
        <f aca="false">IF(R104="",M104,0)</f>
        <v>0</v>
      </c>
    </row>
    <row r="105" customFormat="false" ht="15" hidden="false" customHeight="false" outlineLevel="0" collapsed="false">
      <c r="A105" s="25" t="s">
        <v>46</v>
      </c>
      <c r="B105" s="25" t="s">
        <v>51</v>
      </c>
      <c r="C105" s="25" t="s">
        <v>49</v>
      </c>
      <c r="D105" s="25" t="n">
        <v>20</v>
      </c>
      <c r="E105" s="25" t="s">
        <v>573</v>
      </c>
      <c r="F105" s="25" t="s">
        <v>117</v>
      </c>
      <c r="G105" s="25" t="n">
        <v>1193</v>
      </c>
      <c r="H105" s="25" t="s">
        <v>592</v>
      </c>
      <c r="I105" s="25" t="n">
        <v>1</v>
      </c>
      <c r="J105" s="26" t="n">
        <v>3100</v>
      </c>
      <c r="K105" s="25" t="s">
        <v>546</v>
      </c>
      <c r="L105" s="25" t="s">
        <v>547</v>
      </c>
      <c r="M105" s="26" t="n">
        <f aca="false">IF(AND(L105="Oui",K105="Principal"),I105*J105,0)</f>
        <v>3100</v>
      </c>
      <c r="N105" s="25" t="s">
        <v>548</v>
      </c>
      <c r="O105" s="25"/>
      <c r="P105" s="25" t="s">
        <v>550</v>
      </c>
      <c r="Q105" s="25" t="s">
        <v>557</v>
      </c>
      <c r="R105" s="26" t="n">
        <v>2400</v>
      </c>
      <c r="S105" s="26" t="n">
        <f aca="false">IF(AND(L105="Oui",K105="Principal",R105&lt;&gt;""),I105*R105,0)</f>
        <v>2400</v>
      </c>
      <c r="T105" s="26" t="n">
        <f aca="false">IF(R105&lt;&gt;"",M105-S105,0)</f>
        <v>700</v>
      </c>
      <c r="U105" s="26" t="n">
        <f aca="false">IF(R105="",M105,0)</f>
        <v>0</v>
      </c>
    </row>
    <row r="106" customFormat="false" ht="15" hidden="false" customHeight="false" outlineLevel="0" collapsed="false">
      <c r="A106" s="25" t="s">
        <v>46</v>
      </c>
      <c r="B106" s="25" t="s">
        <v>51</v>
      </c>
      <c r="C106" s="25" t="s">
        <v>49</v>
      </c>
      <c r="D106" s="25" t="n">
        <v>21</v>
      </c>
      <c r="E106" s="25" t="s">
        <v>577</v>
      </c>
      <c r="F106" s="25" t="s">
        <v>120</v>
      </c>
      <c r="G106" s="25" t="n">
        <v>1252</v>
      </c>
      <c r="H106" s="25" t="s">
        <v>578</v>
      </c>
      <c r="I106" s="25" t="n">
        <v>1</v>
      </c>
      <c r="J106" s="26" t="n">
        <v>6500</v>
      </c>
      <c r="K106" s="25" t="s">
        <v>577</v>
      </c>
      <c r="L106" s="25" t="s">
        <v>579</v>
      </c>
      <c r="M106" s="26" t="n">
        <f aca="false">IF(AND(L106="Oui",K106="Principal"),I106*J106,0)</f>
        <v>0</v>
      </c>
      <c r="N106" s="25" t="s">
        <v>548</v>
      </c>
      <c r="O106" s="25"/>
      <c r="P106" s="25" t="s">
        <v>550</v>
      </c>
      <c r="Q106" s="25" t="s">
        <v>557</v>
      </c>
      <c r="R106" s="26" t="n">
        <v>6000</v>
      </c>
      <c r="S106" s="26" t="n">
        <f aca="false">IF(AND(L106="Oui",K106="Principal",R106&lt;&gt;""),I106*R106,0)</f>
        <v>0</v>
      </c>
      <c r="T106" s="26" t="n">
        <f aca="false">IF(R106&lt;&gt;"",M106-S106,0)</f>
        <v>0</v>
      </c>
      <c r="U106" s="26" t="n">
        <f aca="false">IF(R106="",M106,0)</f>
        <v>0</v>
      </c>
    </row>
    <row r="107" customFormat="false" ht="15" hidden="false" customHeight="false" outlineLevel="0" collapsed="false">
      <c r="A107" s="25" t="s">
        <v>46</v>
      </c>
      <c r="B107" s="25" t="s">
        <v>51</v>
      </c>
      <c r="C107" s="25" t="s">
        <v>50</v>
      </c>
      <c r="D107" s="25" t="n">
        <v>1</v>
      </c>
      <c r="E107" s="25" t="s">
        <v>544</v>
      </c>
      <c r="F107" s="25" t="s">
        <v>151</v>
      </c>
      <c r="G107" s="25" t="n">
        <v>1618</v>
      </c>
      <c r="H107" s="25" t="s">
        <v>600</v>
      </c>
      <c r="I107" s="25" t="n">
        <v>1</v>
      </c>
      <c r="J107" s="26" t="n">
        <v>450</v>
      </c>
      <c r="K107" s="25" t="s">
        <v>546</v>
      </c>
      <c r="L107" s="25" t="s">
        <v>547</v>
      </c>
      <c r="M107" s="26" t="n">
        <f aca="false">IF(AND(L107="Oui",K107="Principal"),I107*J107,0)</f>
        <v>450</v>
      </c>
      <c r="N107" s="25" t="s">
        <v>548</v>
      </c>
      <c r="O107" s="25" t="s">
        <v>601</v>
      </c>
      <c r="P107" s="25" t="s">
        <v>556</v>
      </c>
      <c r="Q107" s="25" t="s">
        <v>557</v>
      </c>
      <c r="R107" s="26" t="n">
        <v>350</v>
      </c>
      <c r="S107" s="26" t="n">
        <f aca="false">IF(AND(L107="Oui",K107="Principal",R107&lt;&gt;""),I107*R107,0)</f>
        <v>350</v>
      </c>
      <c r="T107" s="26" t="n">
        <f aca="false">IF(R107&lt;&gt;"",M107-S107,0)</f>
        <v>100</v>
      </c>
      <c r="U107" s="26" t="n">
        <f aca="false">IF(R107="",M107,0)</f>
        <v>0</v>
      </c>
    </row>
    <row r="108" customFormat="false" ht="15" hidden="false" customHeight="false" outlineLevel="0" collapsed="false">
      <c r="A108" s="25" t="s">
        <v>46</v>
      </c>
      <c r="B108" s="25" t="s">
        <v>51</v>
      </c>
      <c r="C108" s="25" t="s">
        <v>50</v>
      </c>
      <c r="D108" s="25" t="n">
        <v>2</v>
      </c>
      <c r="E108" s="25" t="s">
        <v>544</v>
      </c>
      <c r="F108" s="25" t="s">
        <v>86</v>
      </c>
      <c r="G108" s="25" t="n">
        <v>1729</v>
      </c>
      <c r="H108" s="25" t="s">
        <v>552</v>
      </c>
      <c r="I108" s="25" t="n">
        <v>1</v>
      </c>
      <c r="J108" s="26" t="n">
        <v>1300</v>
      </c>
      <c r="K108" s="25" t="s">
        <v>546</v>
      </c>
      <c r="L108" s="25" t="s">
        <v>547</v>
      </c>
      <c r="M108" s="26" t="n">
        <f aca="false">IF(AND(L108="Oui",K108="Principal"),I108*J108,0)</f>
        <v>1300</v>
      </c>
      <c r="N108" s="25" t="s">
        <v>548</v>
      </c>
      <c r="O108" s="25" t="s">
        <v>553</v>
      </c>
      <c r="P108" s="25" t="s">
        <v>550</v>
      </c>
      <c r="Q108" s="25" t="s">
        <v>551</v>
      </c>
      <c r="R108" s="26"/>
      <c r="S108" s="26" t="n">
        <f aca="false">IF(AND(L108="Oui",K108="Principal",R108&lt;&gt;""),I108*R108,0)</f>
        <v>0</v>
      </c>
      <c r="T108" s="26" t="n">
        <f aca="false">IF(R108&lt;&gt;"",M108-S108,0)</f>
        <v>0</v>
      </c>
      <c r="U108" s="26" t="n">
        <f aca="false">IF(R108="",M108,0)</f>
        <v>1300</v>
      </c>
    </row>
    <row r="109" customFormat="false" ht="15" hidden="false" customHeight="false" outlineLevel="0" collapsed="false">
      <c r="A109" s="25" t="s">
        <v>46</v>
      </c>
      <c r="B109" s="25" t="s">
        <v>51</v>
      </c>
      <c r="C109" s="25" t="s">
        <v>50</v>
      </c>
      <c r="D109" s="25" t="n">
        <v>3</v>
      </c>
      <c r="E109" s="25" t="s">
        <v>554</v>
      </c>
      <c r="F109" s="25" t="s">
        <v>88</v>
      </c>
      <c r="G109" s="25" t="n">
        <v>1286</v>
      </c>
      <c r="H109" s="25" t="s">
        <v>580</v>
      </c>
      <c r="I109" s="25" t="n">
        <v>1</v>
      </c>
      <c r="J109" s="26" t="n">
        <v>550</v>
      </c>
      <c r="K109" s="25" t="s">
        <v>546</v>
      </c>
      <c r="L109" s="25" t="s">
        <v>547</v>
      </c>
      <c r="M109" s="26" t="n">
        <f aca="false">IF(AND(L109="Oui",K109="Principal"),I109*J109,0)</f>
        <v>550</v>
      </c>
      <c r="N109" s="25" t="s">
        <v>548</v>
      </c>
      <c r="O109" s="25"/>
      <c r="P109" s="25" t="s">
        <v>550</v>
      </c>
      <c r="Q109" s="25" t="s">
        <v>557</v>
      </c>
      <c r="R109" s="26" t="n">
        <v>450</v>
      </c>
      <c r="S109" s="26" t="n">
        <f aca="false">IF(AND(L109="Oui",K109="Principal",R109&lt;&gt;""),I109*R109,0)</f>
        <v>450</v>
      </c>
      <c r="T109" s="26" t="n">
        <f aca="false">IF(R109&lt;&gt;"",M109-S109,0)</f>
        <v>100</v>
      </c>
      <c r="U109" s="26" t="n">
        <f aca="false">IF(R109="",M109,0)</f>
        <v>0</v>
      </c>
    </row>
    <row r="110" customFormat="false" ht="15" hidden="false" customHeight="false" outlineLevel="0" collapsed="false">
      <c r="A110" s="25" t="s">
        <v>46</v>
      </c>
      <c r="B110" s="25" t="s">
        <v>51</v>
      </c>
      <c r="C110" s="25" t="s">
        <v>50</v>
      </c>
      <c r="D110" s="25" t="n">
        <v>4</v>
      </c>
      <c r="E110" s="25" t="s">
        <v>167</v>
      </c>
      <c r="F110" s="25" t="s">
        <v>91</v>
      </c>
      <c r="G110" s="25" t="n">
        <v>33</v>
      </c>
      <c r="H110" s="25" t="s">
        <v>558</v>
      </c>
      <c r="I110" s="25" t="n">
        <v>1</v>
      </c>
      <c r="J110" s="26" t="n">
        <v>1200</v>
      </c>
      <c r="K110" s="25" t="s">
        <v>546</v>
      </c>
      <c r="L110" s="25" t="s">
        <v>547</v>
      </c>
      <c r="M110" s="26" t="n">
        <f aca="false">IF(AND(L110="Oui",K110="Principal"),I110*J110,0)</f>
        <v>1200</v>
      </c>
      <c r="N110" s="25" t="s">
        <v>548</v>
      </c>
      <c r="O110" s="25"/>
      <c r="P110" s="25" t="s">
        <v>559</v>
      </c>
      <c r="Q110" s="25" t="s">
        <v>551</v>
      </c>
      <c r="R110" s="26"/>
      <c r="S110" s="26" t="n">
        <f aca="false">IF(AND(L110="Oui",K110="Principal",R110&lt;&gt;""),I110*R110,0)</f>
        <v>0</v>
      </c>
      <c r="T110" s="26" t="n">
        <f aca="false">IF(R110&lt;&gt;"",M110-S110,0)</f>
        <v>0</v>
      </c>
      <c r="U110" s="26" t="n">
        <f aca="false">IF(R110="",M110,0)</f>
        <v>1200</v>
      </c>
    </row>
    <row r="111" customFormat="false" ht="15" hidden="false" customHeight="false" outlineLevel="0" collapsed="false">
      <c r="A111" s="25" t="s">
        <v>46</v>
      </c>
      <c r="B111" s="25" t="s">
        <v>51</v>
      </c>
      <c r="C111" s="25" t="s">
        <v>50</v>
      </c>
      <c r="D111" s="25" t="n">
        <v>5</v>
      </c>
      <c r="E111" s="25" t="s">
        <v>167</v>
      </c>
      <c r="F111" s="25" t="s">
        <v>93</v>
      </c>
      <c r="G111" s="25" t="n">
        <v>1698</v>
      </c>
      <c r="H111" s="25" t="s">
        <v>560</v>
      </c>
      <c r="I111" s="25" t="n">
        <v>4</v>
      </c>
      <c r="J111" s="26" t="n">
        <v>400</v>
      </c>
      <c r="K111" s="25" t="s">
        <v>546</v>
      </c>
      <c r="L111" s="25" t="s">
        <v>547</v>
      </c>
      <c r="M111" s="26" t="n">
        <f aca="false">IF(AND(L111="Oui",K111="Principal"),I111*J111,0)</f>
        <v>1600</v>
      </c>
      <c r="N111" s="25" t="s">
        <v>548</v>
      </c>
      <c r="O111" s="25"/>
      <c r="P111" s="25" t="s">
        <v>561</v>
      </c>
      <c r="Q111" s="25" t="s">
        <v>557</v>
      </c>
      <c r="R111" s="26"/>
      <c r="S111" s="26" t="n">
        <f aca="false">IF(AND(L111="Oui",K111="Principal",R111&lt;&gt;""),I111*R111,0)</f>
        <v>0</v>
      </c>
      <c r="T111" s="26" t="n">
        <f aca="false">IF(R111&lt;&gt;"",M111-S111,0)</f>
        <v>0</v>
      </c>
      <c r="U111" s="26" t="n">
        <f aca="false">IF(R111="",M111,0)</f>
        <v>1600</v>
      </c>
    </row>
    <row r="112" customFormat="false" ht="15" hidden="false" customHeight="false" outlineLevel="0" collapsed="false">
      <c r="A112" s="25" t="s">
        <v>46</v>
      </c>
      <c r="B112" s="25" t="s">
        <v>51</v>
      </c>
      <c r="C112" s="25" t="s">
        <v>50</v>
      </c>
      <c r="D112" s="25" t="n">
        <v>6</v>
      </c>
      <c r="E112" s="25" t="s">
        <v>167</v>
      </c>
      <c r="F112" s="25" t="s">
        <v>95</v>
      </c>
      <c r="G112" s="25" t="n">
        <v>1244</v>
      </c>
      <c r="H112" s="25" t="s">
        <v>562</v>
      </c>
      <c r="I112" s="25" t="n">
        <v>1</v>
      </c>
      <c r="J112" s="26" t="n">
        <v>400</v>
      </c>
      <c r="K112" s="25" t="s">
        <v>546</v>
      </c>
      <c r="L112" s="25" t="s">
        <v>547</v>
      </c>
      <c r="M112" s="26" t="n">
        <f aca="false">IF(AND(L112="Oui",K112="Principal"),I112*J112,0)</f>
        <v>400</v>
      </c>
      <c r="N112" s="25" t="s">
        <v>548</v>
      </c>
      <c r="O112" s="25"/>
      <c r="P112" s="25" t="s">
        <v>550</v>
      </c>
      <c r="Q112" s="25" t="s">
        <v>557</v>
      </c>
      <c r="R112" s="26" t="n">
        <v>130</v>
      </c>
      <c r="S112" s="26" t="n">
        <f aca="false">IF(AND(L112="Oui",K112="Principal",R112&lt;&gt;""),I112*R112,0)</f>
        <v>130</v>
      </c>
      <c r="T112" s="26" t="n">
        <f aca="false">IF(R112&lt;&gt;"",M112-S112,0)</f>
        <v>270</v>
      </c>
      <c r="U112" s="26" t="n">
        <f aca="false">IF(R112="",M112,0)</f>
        <v>0</v>
      </c>
    </row>
    <row r="113" customFormat="false" ht="15" hidden="false" customHeight="false" outlineLevel="0" collapsed="false">
      <c r="A113" s="25" t="s">
        <v>46</v>
      </c>
      <c r="B113" s="25" t="s">
        <v>51</v>
      </c>
      <c r="C113" s="25" t="s">
        <v>50</v>
      </c>
      <c r="D113" s="25" t="n">
        <v>7</v>
      </c>
      <c r="E113" s="25" t="s">
        <v>563</v>
      </c>
      <c r="F113" s="25" t="s">
        <v>97</v>
      </c>
      <c r="G113" s="25" t="n">
        <v>1571</v>
      </c>
      <c r="H113" s="25" t="s">
        <v>564</v>
      </c>
      <c r="I113" s="25" t="n">
        <v>4</v>
      </c>
      <c r="J113" s="26" t="n">
        <v>75</v>
      </c>
      <c r="K113" s="25" t="s">
        <v>546</v>
      </c>
      <c r="L113" s="25" t="s">
        <v>547</v>
      </c>
      <c r="M113" s="26" t="n">
        <f aca="false">IF(AND(L113="Oui",K113="Principal"),I113*J113,0)</f>
        <v>300</v>
      </c>
      <c r="N113" s="25" t="s">
        <v>548</v>
      </c>
      <c r="O113" s="25"/>
      <c r="P113" s="25" t="s">
        <v>550</v>
      </c>
      <c r="Q113" s="25" t="s">
        <v>557</v>
      </c>
      <c r="R113" s="26"/>
      <c r="S113" s="26" t="n">
        <f aca="false">IF(AND(L113="Oui",K113="Principal",R113&lt;&gt;""),I113*R113,0)</f>
        <v>0</v>
      </c>
      <c r="T113" s="26" t="n">
        <f aca="false">IF(R113&lt;&gt;"",M113-S113,0)</f>
        <v>0</v>
      </c>
      <c r="U113" s="26" t="n">
        <f aca="false">IF(R113="",M113,0)</f>
        <v>300</v>
      </c>
    </row>
    <row r="114" customFormat="false" ht="15" hidden="false" customHeight="false" outlineLevel="0" collapsed="false">
      <c r="A114" s="25" t="s">
        <v>46</v>
      </c>
      <c r="B114" s="25" t="s">
        <v>51</v>
      </c>
      <c r="C114" s="25" t="s">
        <v>50</v>
      </c>
      <c r="D114" s="25" t="n">
        <v>8</v>
      </c>
      <c r="E114" s="25" t="s">
        <v>565</v>
      </c>
      <c r="F114" s="25" t="s">
        <v>99</v>
      </c>
      <c r="G114" s="25" t="n">
        <v>1181</v>
      </c>
      <c r="H114" s="25" t="s">
        <v>581</v>
      </c>
      <c r="I114" s="25" t="n">
        <v>2</v>
      </c>
      <c r="J114" s="26" t="n">
        <v>250</v>
      </c>
      <c r="K114" s="25" t="s">
        <v>546</v>
      </c>
      <c r="L114" s="25" t="s">
        <v>547</v>
      </c>
      <c r="M114" s="26" t="n">
        <f aca="false">IF(AND(L114="Oui",K114="Principal"),I114*J114,0)</f>
        <v>500</v>
      </c>
      <c r="N114" s="25" t="s">
        <v>548</v>
      </c>
      <c r="O114" s="25"/>
      <c r="P114" s="25" t="s">
        <v>550</v>
      </c>
      <c r="Q114" s="25" t="s">
        <v>557</v>
      </c>
      <c r="R114" s="26" t="n">
        <v>110</v>
      </c>
      <c r="S114" s="26" t="n">
        <f aca="false">IF(AND(L114="Oui",K114="Principal",R114&lt;&gt;""),I114*R114,0)</f>
        <v>220</v>
      </c>
      <c r="T114" s="26" t="n">
        <f aca="false">IF(R114&lt;&gt;"",M114-S114,0)</f>
        <v>280</v>
      </c>
      <c r="U114" s="26" t="n">
        <f aca="false">IF(R114="",M114,0)</f>
        <v>0</v>
      </c>
    </row>
    <row r="115" customFormat="false" ht="15" hidden="false" customHeight="false" outlineLevel="0" collapsed="false">
      <c r="A115" s="25" t="s">
        <v>46</v>
      </c>
      <c r="B115" s="25" t="s">
        <v>51</v>
      </c>
      <c r="C115" s="25" t="s">
        <v>50</v>
      </c>
      <c r="D115" s="25" t="n">
        <v>9</v>
      </c>
      <c r="E115" s="25" t="s">
        <v>565</v>
      </c>
      <c r="F115" s="25" t="s">
        <v>102</v>
      </c>
      <c r="G115" s="25" t="n">
        <v>1587</v>
      </c>
      <c r="H115" s="25" t="s">
        <v>567</v>
      </c>
      <c r="I115" s="25" t="n">
        <v>1</v>
      </c>
      <c r="J115" s="26" t="n">
        <v>500</v>
      </c>
      <c r="K115" s="25" t="s">
        <v>546</v>
      </c>
      <c r="L115" s="25" t="s">
        <v>547</v>
      </c>
      <c r="M115" s="26" t="n">
        <f aca="false">IF(AND(L115="Oui",K115="Principal"),I115*J115,0)</f>
        <v>500</v>
      </c>
      <c r="N115" s="25" t="s">
        <v>548</v>
      </c>
      <c r="O115" s="25"/>
      <c r="P115" s="25" t="s">
        <v>556</v>
      </c>
      <c r="Q115" s="25" t="s">
        <v>557</v>
      </c>
      <c r="R115" s="26" t="n">
        <v>350</v>
      </c>
      <c r="S115" s="26" t="n">
        <f aca="false">IF(AND(L115="Oui",K115="Principal",R115&lt;&gt;""),I115*R115,0)</f>
        <v>350</v>
      </c>
      <c r="T115" s="26" t="n">
        <f aca="false">IF(R115&lt;&gt;"",M115-S115,0)</f>
        <v>150</v>
      </c>
      <c r="U115" s="26" t="n">
        <f aca="false">IF(R115="",M115,0)</f>
        <v>0</v>
      </c>
    </row>
    <row r="116" customFormat="false" ht="15" hidden="false" customHeight="false" outlineLevel="0" collapsed="false">
      <c r="A116" s="25" t="s">
        <v>46</v>
      </c>
      <c r="B116" s="25" t="s">
        <v>51</v>
      </c>
      <c r="C116" s="25" t="s">
        <v>50</v>
      </c>
      <c r="D116" s="25" t="n">
        <v>10</v>
      </c>
      <c r="E116" s="25" t="s">
        <v>554</v>
      </c>
      <c r="F116" s="25" t="s">
        <v>104</v>
      </c>
      <c r="G116" s="25" t="n">
        <v>1594</v>
      </c>
      <c r="H116" s="25" t="s">
        <v>593</v>
      </c>
      <c r="I116" s="25" t="n">
        <v>1</v>
      </c>
      <c r="J116" s="26" t="n">
        <v>1600</v>
      </c>
      <c r="K116" s="25" t="s">
        <v>546</v>
      </c>
      <c r="L116" s="25" t="s">
        <v>547</v>
      </c>
      <c r="M116" s="26" t="n">
        <f aca="false">IF(AND(L116="Oui",K116="Principal"),I116*J116,0)</f>
        <v>1600</v>
      </c>
      <c r="N116" s="25" t="s">
        <v>548</v>
      </c>
      <c r="O116" s="25"/>
      <c r="P116" s="25" t="s">
        <v>556</v>
      </c>
      <c r="Q116" s="25" t="s">
        <v>557</v>
      </c>
      <c r="R116" s="26" t="n">
        <v>1300</v>
      </c>
      <c r="S116" s="26" t="n">
        <f aca="false">IF(AND(L116="Oui",K116="Principal",R116&lt;&gt;""),I116*R116,0)</f>
        <v>1300</v>
      </c>
      <c r="T116" s="26" t="n">
        <f aca="false">IF(R116&lt;&gt;"",M116-S116,0)</f>
        <v>300</v>
      </c>
      <c r="U116" s="26" t="n">
        <f aca="false">IF(R116="",M116,0)</f>
        <v>0</v>
      </c>
    </row>
    <row r="117" customFormat="false" ht="15" hidden="false" customHeight="false" outlineLevel="0" collapsed="false">
      <c r="A117" s="25" t="s">
        <v>46</v>
      </c>
      <c r="B117" s="25" t="s">
        <v>51</v>
      </c>
      <c r="C117" s="25" t="s">
        <v>50</v>
      </c>
      <c r="D117" s="25" t="n">
        <v>11</v>
      </c>
      <c r="E117" s="25" t="s">
        <v>565</v>
      </c>
      <c r="F117" s="25" t="s">
        <v>107</v>
      </c>
      <c r="G117" s="25" t="n">
        <v>1604</v>
      </c>
      <c r="H117" s="25" t="s">
        <v>582</v>
      </c>
      <c r="I117" s="25" t="n">
        <v>4</v>
      </c>
      <c r="J117" s="26" t="n">
        <v>700</v>
      </c>
      <c r="K117" s="25" t="s">
        <v>546</v>
      </c>
      <c r="L117" s="25" t="s">
        <v>547</v>
      </c>
      <c r="M117" s="26" t="n">
        <f aca="false">IF(AND(L117="Oui",K117="Principal"),I117*J117,0)</f>
        <v>2800</v>
      </c>
      <c r="N117" s="25" t="s">
        <v>548</v>
      </c>
      <c r="O117" s="25"/>
      <c r="P117" s="25" t="s">
        <v>556</v>
      </c>
      <c r="Q117" s="25" t="s">
        <v>557</v>
      </c>
      <c r="R117" s="26" t="n">
        <v>400</v>
      </c>
      <c r="S117" s="26" t="n">
        <f aca="false">IF(AND(L117="Oui",K117="Principal",R117&lt;&gt;""),I117*R117,0)</f>
        <v>1600</v>
      </c>
      <c r="T117" s="26" t="n">
        <f aca="false">IF(R117&lt;&gt;"",M117-S117,0)</f>
        <v>1200</v>
      </c>
      <c r="U117" s="26" t="n">
        <f aca="false">IF(R117="",M117,0)</f>
        <v>0</v>
      </c>
    </row>
    <row r="118" customFormat="false" ht="15" hidden="false" customHeight="false" outlineLevel="0" collapsed="false">
      <c r="A118" s="25" t="s">
        <v>46</v>
      </c>
      <c r="B118" s="25" t="s">
        <v>51</v>
      </c>
      <c r="C118" s="25" t="s">
        <v>50</v>
      </c>
      <c r="D118" s="25" t="n">
        <v>12</v>
      </c>
      <c r="E118" s="25" t="s">
        <v>565</v>
      </c>
      <c r="F118" s="25" t="s">
        <v>110</v>
      </c>
      <c r="G118" s="25" t="n">
        <v>1586</v>
      </c>
      <c r="H118" s="25" t="s">
        <v>583</v>
      </c>
      <c r="I118" s="25" t="n">
        <v>1</v>
      </c>
      <c r="J118" s="26" t="n">
        <v>900</v>
      </c>
      <c r="K118" s="25" t="s">
        <v>546</v>
      </c>
      <c r="L118" s="25" t="s">
        <v>547</v>
      </c>
      <c r="M118" s="26" t="n">
        <f aca="false">IF(AND(L118="Oui",K118="Principal"),I118*J118,0)</f>
        <v>900</v>
      </c>
      <c r="N118" s="25" t="s">
        <v>548</v>
      </c>
      <c r="O118" s="25"/>
      <c r="P118" s="25" t="s">
        <v>556</v>
      </c>
      <c r="Q118" s="25" t="s">
        <v>557</v>
      </c>
      <c r="R118" s="26" t="n">
        <v>650</v>
      </c>
      <c r="S118" s="26" t="n">
        <f aca="false">IF(AND(L118="Oui",K118="Principal",R118&lt;&gt;""),I118*R118,0)</f>
        <v>650</v>
      </c>
      <c r="T118" s="26" t="n">
        <f aca="false">IF(R118&lt;&gt;"",M118-S118,0)</f>
        <v>250</v>
      </c>
      <c r="U118" s="26" t="n">
        <f aca="false">IF(R118="",M118,0)</f>
        <v>0</v>
      </c>
    </row>
    <row r="119" customFormat="false" ht="15" hidden="false" customHeight="false" outlineLevel="0" collapsed="false">
      <c r="A119" s="25" t="s">
        <v>46</v>
      </c>
      <c r="B119" s="25" t="s">
        <v>51</v>
      </c>
      <c r="C119" s="25" t="s">
        <v>50</v>
      </c>
      <c r="D119" s="25" t="n">
        <v>13</v>
      </c>
      <c r="E119" s="25" t="s">
        <v>571</v>
      </c>
      <c r="F119" s="25" t="s">
        <v>113</v>
      </c>
      <c r="G119" s="25" t="n">
        <v>1625</v>
      </c>
      <c r="H119" s="25" t="s">
        <v>572</v>
      </c>
      <c r="I119" s="25" t="n">
        <v>1</v>
      </c>
      <c r="J119" s="26" t="n">
        <v>500</v>
      </c>
      <c r="K119" s="25" t="s">
        <v>546</v>
      </c>
      <c r="L119" s="25" t="s">
        <v>547</v>
      </c>
      <c r="M119" s="26" t="n">
        <f aca="false">IF(AND(L119="Oui",K119="Principal"),I119*J119,0)</f>
        <v>500</v>
      </c>
      <c r="N119" s="25" t="s">
        <v>548</v>
      </c>
      <c r="O119" s="25"/>
      <c r="P119" s="25" t="s">
        <v>556</v>
      </c>
      <c r="Q119" s="25" t="s">
        <v>557</v>
      </c>
      <c r="R119" s="26"/>
      <c r="S119" s="26" t="n">
        <f aca="false">IF(AND(L119="Oui",K119="Principal",R119&lt;&gt;""),I119*R119,0)</f>
        <v>0</v>
      </c>
      <c r="T119" s="26" t="n">
        <f aca="false">IF(R119&lt;&gt;"",M119-S119,0)</f>
        <v>0</v>
      </c>
      <c r="U119" s="26" t="n">
        <f aca="false">IF(R119="",M119,0)</f>
        <v>500</v>
      </c>
    </row>
    <row r="120" customFormat="false" ht="15" hidden="false" customHeight="false" outlineLevel="0" collapsed="false">
      <c r="A120" s="25" t="s">
        <v>46</v>
      </c>
      <c r="B120" s="25" t="s">
        <v>51</v>
      </c>
      <c r="C120" s="25" t="s">
        <v>50</v>
      </c>
      <c r="D120" s="25" t="n">
        <v>14</v>
      </c>
      <c r="E120" s="25" t="s">
        <v>554</v>
      </c>
      <c r="F120" s="25" t="s">
        <v>123</v>
      </c>
      <c r="G120" s="25" t="n">
        <v>1204</v>
      </c>
      <c r="H120" s="25" t="s">
        <v>584</v>
      </c>
      <c r="I120" s="25" t="n">
        <v>1</v>
      </c>
      <c r="J120" s="26" t="n">
        <v>1300</v>
      </c>
      <c r="K120" s="25" t="s">
        <v>546</v>
      </c>
      <c r="L120" s="25" t="s">
        <v>547</v>
      </c>
      <c r="M120" s="26" t="n">
        <f aca="false">IF(AND(L120="Oui",K120="Principal"),I120*J120,0)</f>
        <v>1300</v>
      </c>
      <c r="N120" s="25" t="s">
        <v>548</v>
      </c>
      <c r="O120" s="25"/>
      <c r="P120" s="25" t="s">
        <v>550</v>
      </c>
      <c r="Q120" s="25" t="s">
        <v>557</v>
      </c>
      <c r="R120" s="26" t="n">
        <v>1000</v>
      </c>
      <c r="S120" s="26" t="n">
        <f aca="false">IF(AND(L120="Oui",K120="Principal",R120&lt;&gt;""),I120*R120,0)</f>
        <v>1000</v>
      </c>
      <c r="T120" s="26" t="n">
        <f aca="false">IF(R120&lt;&gt;"",M120-S120,0)</f>
        <v>300</v>
      </c>
      <c r="U120" s="26" t="n">
        <f aca="false">IF(R120="",M120,0)</f>
        <v>0</v>
      </c>
    </row>
    <row r="121" customFormat="false" ht="15" hidden="false" customHeight="false" outlineLevel="0" collapsed="false">
      <c r="A121" s="27" t="s">
        <v>46</v>
      </c>
      <c r="B121" s="27" t="s">
        <v>51</v>
      </c>
      <c r="C121" s="27" t="s">
        <v>50</v>
      </c>
      <c r="D121" s="27" t="n">
        <v>15</v>
      </c>
      <c r="E121" s="27" t="s">
        <v>554</v>
      </c>
      <c r="F121" s="27" t="s">
        <v>126</v>
      </c>
      <c r="G121" s="27"/>
      <c r="H121" s="27" t="s">
        <v>585</v>
      </c>
      <c r="I121" s="27" t="n">
        <v>1</v>
      </c>
      <c r="J121" s="28" t="n">
        <v>0</v>
      </c>
      <c r="K121" s="27" t="s">
        <v>546</v>
      </c>
      <c r="L121" s="27" t="s">
        <v>579</v>
      </c>
      <c r="M121" s="28" t="n">
        <f aca="false">IF(AND(L121="Oui",K121="Principal"),I121*J121,0)</f>
        <v>0</v>
      </c>
      <c r="N121" s="27" t="s">
        <v>128</v>
      </c>
      <c r="O121" s="27" t="s">
        <v>586</v>
      </c>
      <c r="P121" s="27"/>
      <c r="Q121" s="27"/>
      <c r="R121" s="28"/>
      <c r="S121" s="28" t="n">
        <f aca="false">IF(AND(L121="Oui",K121="Principal",R121&lt;&gt;""),I121*R121,0)</f>
        <v>0</v>
      </c>
      <c r="T121" s="28" t="n">
        <f aca="false">IF(R121&lt;&gt;"",M121-S121,0)</f>
        <v>0</v>
      </c>
      <c r="U121" s="28" t="n">
        <f aca="false">IF(R121="",M121,0)</f>
        <v>0</v>
      </c>
    </row>
    <row r="122" customFormat="false" ht="15" hidden="false" customHeight="false" outlineLevel="0" collapsed="false">
      <c r="A122" s="27" t="s">
        <v>46</v>
      </c>
      <c r="B122" s="27" t="s">
        <v>51</v>
      </c>
      <c r="C122" s="27" t="s">
        <v>50</v>
      </c>
      <c r="D122" s="27" t="n">
        <v>16</v>
      </c>
      <c r="E122" s="27" t="s">
        <v>554</v>
      </c>
      <c r="F122" s="27" t="s">
        <v>129</v>
      </c>
      <c r="G122" s="27"/>
      <c r="H122" s="27" t="s">
        <v>585</v>
      </c>
      <c r="I122" s="27" t="n">
        <v>1</v>
      </c>
      <c r="J122" s="28" t="n">
        <v>0</v>
      </c>
      <c r="K122" s="27" t="s">
        <v>546</v>
      </c>
      <c r="L122" s="27" t="s">
        <v>579</v>
      </c>
      <c r="M122" s="28" t="n">
        <f aca="false">IF(AND(L122="Oui",K122="Principal"),I122*J122,0)</f>
        <v>0</v>
      </c>
      <c r="N122" s="27" t="s">
        <v>128</v>
      </c>
      <c r="O122" s="27" t="s">
        <v>586</v>
      </c>
      <c r="P122" s="27"/>
      <c r="Q122" s="27"/>
      <c r="R122" s="28"/>
      <c r="S122" s="28" t="n">
        <f aca="false">IF(AND(L122="Oui",K122="Principal",R122&lt;&gt;""),I122*R122,0)</f>
        <v>0</v>
      </c>
      <c r="T122" s="28" t="n">
        <f aca="false">IF(R122&lt;&gt;"",M122-S122,0)</f>
        <v>0</v>
      </c>
      <c r="U122" s="28" t="n">
        <f aca="false">IF(R122="",M122,0)</f>
        <v>0</v>
      </c>
    </row>
    <row r="123" customFormat="false" ht="15" hidden="false" customHeight="false" outlineLevel="0" collapsed="false">
      <c r="A123" s="25" t="s">
        <v>46</v>
      </c>
      <c r="B123" s="25" t="s">
        <v>51</v>
      </c>
      <c r="C123" s="25" t="s">
        <v>50</v>
      </c>
      <c r="D123" s="25" t="n">
        <v>17</v>
      </c>
      <c r="E123" s="25" t="s">
        <v>565</v>
      </c>
      <c r="F123" s="25" t="s">
        <v>131</v>
      </c>
      <c r="G123" s="25" t="n">
        <v>1183</v>
      </c>
      <c r="H123" s="25" t="s">
        <v>587</v>
      </c>
      <c r="I123" s="25" t="n">
        <v>1</v>
      </c>
      <c r="J123" s="26" t="n">
        <v>100</v>
      </c>
      <c r="K123" s="25" t="s">
        <v>546</v>
      </c>
      <c r="L123" s="25" t="s">
        <v>547</v>
      </c>
      <c r="M123" s="26" t="n">
        <f aca="false">IF(AND(L123="Oui",K123="Principal"),I123*J123,0)</f>
        <v>100</v>
      </c>
      <c r="N123" s="25" t="s">
        <v>548</v>
      </c>
      <c r="O123" s="25"/>
      <c r="P123" s="25" t="s">
        <v>550</v>
      </c>
      <c r="Q123" s="25" t="s">
        <v>557</v>
      </c>
      <c r="R123" s="26"/>
      <c r="S123" s="26" t="n">
        <f aca="false">IF(AND(L123="Oui",K123="Principal",R123&lt;&gt;""),I123*R123,0)</f>
        <v>0</v>
      </c>
      <c r="T123" s="26" t="n">
        <f aca="false">IF(R123&lt;&gt;"",M123-S123,0)</f>
        <v>0</v>
      </c>
      <c r="U123" s="26" t="n">
        <f aca="false">IF(R123="",M123,0)</f>
        <v>100</v>
      </c>
    </row>
    <row r="124" customFormat="false" ht="15" hidden="false" customHeight="false" outlineLevel="0" collapsed="false">
      <c r="A124" s="25" t="s">
        <v>46</v>
      </c>
      <c r="B124" s="25" t="s">
        <v>51</v>
      </c>
      <c r="C124" s="25" t="s">
        <v>50</v>
      </c>
      <c r="D124" s="25" t="n">
        <v>18</v>
      </c>
      <c r="E124" s="25" t="s">
        <v>588</v>
      </c>
      <c r="F124" s="25" t="s">
        <v>153</v>
      </c>
      <c r="G124" s="25" t="n">
        <v>1232</v>
      </c>
      <c r="H124" s="25" t="s">
        <v>602</v>
      </c>
      <c r="I124" s="25" t="n">
        <v>1</v>
      </c>
      <c r="J124" s="26" t="n">
        <v>3250</v>
      </c>
      <c r="K124" s="25" t="s">
        <v>546</v>
      </c>
      <c r="L124" s="25" t="s">
        <v>547</v>
      </c>
      <c r="M124" s="26" t="n">
        <f aca="false">IF(AND(L124="Oui",K124="Principal"),I124*J124,0)</f>
        <v>3250</v>
      </c>
      <c r="N124" s="25" t="s">
        <v>548</v>
      </c>
      <c r="O124" s="25" t="s">
        <v>590</v>
      </c>
      <c r="P124" s="25" t="s">
        <v>550</v>
      </c>
      <c r="Q124" s="25" t="s">
        <v>557</v>
      </c>
      <c r="R124" s="26" t="n">
        <v>2550</v>
      </c>
      <c r="S124" s="26" t="n">
        <f aca="false">IF(AND(L124="Oui",K124="Principal",R124&lt;&gt;""),I124*R124,0)</f>
        <v>2550</v>
      </c>
      <c r="T124" s="26" t="n">
        <f aca="false">IF(R124&lt;&gt;"",M124-S124,0)</f>
        <v>700</v>
      </c>
      <c r="U124" s="26" t="n">
        <f aca="false">IF(R124="",M124,0)</f>
        <v>0</v>
      </c>
    </row>
    <row r="125" customFormat="false" ht="15" hidden="false" customHeight="false" outlineLevel="0" collapsed="false">
      <c r="A125" s="25" t="s">
        <v>46</v>
      </c>
      <c r="B125" s="25" t="s">
        <v>51</v>
      </c>
      <c r="C125" s="25" t="s">
        <v>50</v>
      </c>
      <c r="D125" s="25" t="n">
        <v>19</v>
      </c>
      <c r="E125" s="25" t="s">
        <v>554</v>
      </c>
      <c r="F125" s="25" t="s">
        <v>137</v>
      </c>
      <c r="G125" s="25" t="n">
        <v>1230</v>
      </c>
      <c r="H125" s="25" t="s">
        <v>594</v>
      </c>
      <c r="I125" s="25" t="n">
        <v>1</v>
      </c>
      <c r="J125" s="26" t="n">
        <v>1300</v>
      </c>
      <c r="K125" s="25" t="s">
        <v>546</v>
      </c>
      <c r="L125" s="25" t="s">
        <v>547</v>
      </c>
      <c r="M125" s="26" t="n">
        <f aca="false">IF(AND(L125="Oui",K125="Principal"),I125*J125,0)</f>
        <v>1300</v>
      </c>
      <c r="N125" s="25" t="s">
        <v>548</v>
      </c>
      <c r="O125" s="25"/>
      <c r="P125" s="25" t="s">
        <v>550</v>
      </c>
      <c r="Q125" s="25" t="s">
        <v>557</v>
      </c>
      <c r="R125" s="26" t="n">
        <v>1000</v>
      </c>
      <c r="S125" s="26" t="n">
        <f aca="false">IF(AND(L125="Oui",K125="Principal",R125&lt;&gt;""),I125*R125,0)</f>
        <v>1000</v>
      </c>
      <c r="T125" s="26" t="n">
        <f aca="false">IF(R125&lt;&gt;"",M125-S125,0)</f>
        <v>300</v>
      </c>
      <c r="U125" s="26" t="n">
        <f aca="false">IF(R125="",M125,0)</f>
        <v>0</v>
      </c>
    </row>
    <row r="126" customFormat="false" ht="15" hidden="false" customHeight="false" outlineLevel="0" collapsed="false">
      <c r="A126" s="27" t="s">
        <v>46</v>
      </c>
      <c r="B126" s="27" t="s">
        <v>51</v>
      </c>
      <c r="C126" s="27" t="s">
        <v>50</v>
      </c>
      <c r="D126" s="27" t="n">
        <v>20</v>
      </c>
      <c r="E126" s="27" t="s">
        <v>554</v>
      </c>
      <c r="F126" s="27" t="s">
        <v>130</v>
      </c>
      <c r="G126" s="27"/>
      <c r="H126" s="27" t="s">
        <v>585</v>
      </c>
      <c r="I126" s="27" t="n">
        <v>1</v>
      </c>
      <c r="J126" s="28" t="n">
        <v>0</v>
      </c>
      <c r="K126" s="27" t="s">
        <v>546</v>
      </c>
      <c r="L126" s="27" t="s">
        <v>579</v>
      </c>
      <c r="M126" s="28" t="n">
        <f aca="false">IF(AND(L126="Oui",K126="Principal"),I126*J126,0)</f>
        <v>0</v>
      </c>
      <c r="N126" s="27" t="s">
        <v>128</v>
      </c>
      <c r="O126" s="27" t="s">
        <v>586</v>
      </c>
      <c r="P126" s="27"/>
      <c r="Q126" s="27"/>
      <c r="R126" s="28"/>
      <c r="S126" s="28" t="n">
        <f aca="false">IF(AND(L126="Oui",K126="Principal",R126&lt;&gt;""),I126*R126,0)</f>
        <v>0</v>
      </c>
      <c r="T126" s="28" t="n">
        <f aca="false">IF(R126&lt;&gt;"",M126-S126,0)</f>
        <v>0</v>
      </c>
      <c r="U126" s="28" t="n">
        <f aca="false">IF(R126="",M126,0)</f>
        <v>0</v>
      </c>
    </row>
    <row r="127" customFormat="false" ht="15" hidden="false" customHeight="false" outlineLevel="0" collapsed="false">
      <c r="A127" s="29" t="s">
        <v>46</v>
      </c>
      <c r="B127" s="29" t="s">
        <v>51</v>
      </c>
      <c r="C127" s="29" t="s">
        <v>50</v>
      </c>
      <c r="D127" s="29" t="n">
        <v>21</v>
      </c>
      <c r="E127" s="29" t="s">
        <v>554</v>
      </c>
      <c r="F127" s="29" t="s">
        <v>139</v>
      </c>
      <c r="G127" s="29" t="n">
        <v>31</v>
      </c>
      <c r="H127" s="29" t="s">
        <v>595</v>
      </c>
      <c r="I127" s="29" t="n">
        <v>1</v>
      </c>
      <c r="J127" s="30" t="n">
        <v>1500</v>
      </c>
      <c r="K127" s="29" t="s">
        <v>546</v>
      </c>
      <c r="L127" s="29" t="s">
        <v>547</v>
      </c>
      <c r="M127" s="30" t="n">
        <f aca="false">IF(AND(L127="Oui",K127="Principal"),I127*J127,0)</f>
        <v>1500</v>
      </c>
      <c r="N127" s="29" t="s">
        <v>141</v>
      </c>
      <c r="O127" s="29" t="s">
        <v>596</v>
      </c>
      <c r="P127" s="29" t="s">
        <v>559</v>
      </c>
      <c r="Q127" s="29" t="s">
        <v>551</v>
      </c>
      <c r="R127" s="30"/>
      <c r="S127" s="30" t="n">
        <f aca="false">IF(AND(L127="Oui",K127="Principal",R127&lt;&gt;""),I127*R127,0)</f>
        <v>0</v>
      </c>
      <c r="T127" s="30" t="n">
        <f aca="false">IF(R127&lt;&gt;"",M127-S127,0)</f>
        <v>0</v>
      </c>
      <c r="U127" s="30" t="n">
        <f aca="false">IF(R127="",M127,0)</f>
        <v>1500</v>
      </c>
    </row>
    <row r="128" customFormat="false" ht="15" hidden="false" customHeight="false" outlineLevel="0" collapsed="false">
      <c r="A128" s="27" t="s">
        <v>46</v>
      </c>
      <c r="B128" s="27" t="s">
        <v>51</v>
      </c>
      <c r="C128" s="27" t="s">
        <v>50</v>
      </c>
      <c r="D128" s="27" t="n">
        <v>22</v>
      </c>
      <c r="E128" s="27" t="s">
        <v>554</v>
      </c>
      <c r="F128" s="27" t="s">
        <v>142</v>
      </c>
      <c r="G128" s="27"/>
      <c r="H128" s="27" t="s">
        <v>585</v>
      </c>
      <c r="I128" s="27" t="n">
        <v>1</v>
      </c>
      <c r="J128" s="28" t="n">
        <v>0</v>
      </c>
      <c r="K128" s="27" t="s">
        <v>546</v>
      </c>
      <c r="L128" s="27" t="s">
        <v>579</v>
      </c>
      <c r="M128" s="28" t="n">
        <f aca="false">IF(AND(L128="Oui",K128="Principal"),I128*J128,0)</f>
        <v>0</v>
      </c>
      <c r="N128" s="27" t="s">
        <v>128</v>
      </c>
      <c r="O128" s="27" t="s">
        <v>586</v>
      </c>
      <c r="P128" s="27"/>
      <c r="Q128" s="27"/>
      <c r="R128" s="28"/>
      <c r="S128" s="28" t="n">
        <f aca="false">IF(AND(L128="Oui",K128="Principal",R128&lt;&gt;""),I128*R128,0)</f>
        <v>0</v>
      </c>
      <c r="T128" s="28" t="n">
        <f aca="false">IF(R128&lt;&gt;"",M128-S128,0)</f>
        <v>0</v>
      </c>
      <c r="U128" s="28" t="n">
        <f aca="false">IF(R128="",M128,0)</f>
        <v>0</v>
      </c>
    </row>
    <row r="129" customFormat="false" ht="15" hidden="false" customHeight="false" outlineLevel="0" collapsed="false">
      <c r="A129" s="25" t="s">
        <v>46</v>
      </c>
      <c r="B129" s="25" t="s">
        <v>51</v>
      </c>
      <c r="C129" s="25" t="s">
        <v>50</v>
      </c>
      <c r="D129" s="25" t="n">
        <v>23</v>
      </c>
      <c r="E129" s="25" t="s">
        <v>554</v>
      </c>
      <c r="F129" s="25" t="s">
        <v>143</v>
      </c>
      <c r="G129" s="25" t="n">
        <v>29</v>
      </c>
      <c r="H129" s="25" t="s">
        <v>597</v>
      </c>
      <c r="I129" s="25" t="n">
        <v>1</v>
      </c>
      <c r="J129" s="26" t="n">
        <v>2800</v>
      </c>
      <c r="K129" s="25" t="s">
        <v>546</v>
      </c>
      <c r="L129" s="25" t="s">
        <v>547</v>
      </c>
      <c r="M129" s="26" t="n">
        <f aca="false">IF(AND(L129="Oui",K129="Principal"),I129*J129,0)</f>
        <v>2800</v>
      </c>
      <c r="N129" s="25" t="s">
        <v>548</v>
      </c>
      <c r="O129" s="25"/>
      <c r="P129" s="25" t="s">
        <v>559</v>
      </c>
      <c r="Q129" s="25" t="s">
        <v>551</v>
      </c>
      <c r="R129" s="26"/>
      <c r="S129" s="26" t="n">
        <f aca="false">IF(AND(L129="Oui",K129="Principal",R129&lt;&gt;""),I129*R129,0)</f>
        <v>0</v>
      </c>
      <c r="T129" s="26" t="n">
        <f aca="false">IF(R129&lt;&gt;"",M129-S129,0)</f>
        <v>0</v>
      </c>
      <c r="U129" s="26" t="n">
        <f aca="false">IF(R129="",M129,0)</f>
        <v>2800</v>
      </c>
    </row>
    <row r="130" customFormat="false" ht="15" hidden="false" customHeight="false" outlineLevel="0" collapsed="false">
      <c r="A130" s="25" t="s">
        <v>46</v>
      </c>
      <c r="B130" s="25" t="s">
        <v>51</v>
      </c>
      <c r="C130" s="25" t="s">
        <v>50</v>
      </c>
      <c r="D130" s="25" t="n">
        <v>24</v>
      </c>
      <c r="E130" s="25" t="s">
        <v>554</v>
      </c>
      <c r="F130" s="25" t="s">
        <v>145</v>
      </c>
      <c r="G130" s="25" t="n">
        <v>30</v>
      </c>
      <c r="H130" s="25" t="s">
        <v>598</v>
      </c>
      <c r="I130" s="25" t="n">
        <v>1</v>
      </c>
      <c r="J130" s="26" t="n">
        <v>1000</v>
      </c>
      <c r="K130" s="25" t="s">
        <v>546</v>
      </c>
      <c r="L130" s="25" t="s">
        <v>547</v>
      </c>
      <c r="M130" s="26" t="n">
        <f aca="false">IF(AND(L130="Oui",K130="Principal"),I130*J130,0)</f>
        <v>1000</v>
      </c>
      <c r="N130" s="25" t="s">
        <v>548</v>
      </c>
      <c r="O130" s="25"/>
      <c r="P130" s="25" t="s">
        <v>559</v>
      </c>
      <c r="Q130" s="25" t="s">
        <v>551</v>
      </c>
      <c r="R130" s="26"/>
      <c r="S130" s="26" t="n">
        <f aca="false">IF(AND(L130="Oui",K130="Principal",R130&lt;&gt;""),I130*R130,0)</f>
        <v>0</v>
      </c>
      <c r="T130" s="26" t="n">
        <f aca="false">IF(R130&lt;&gt;"",M130-S130,0)</f>
        <v>0</v>
      </c>
      <c r="U130" s="26" t="n">
        <f aca="false">IF(R130="",M130,0)</f>
        <v>1000</v>
      </c>
    </row>
    <row r="131" customFormat="false" ht="15" hidden="false" customHeight="false" outlineLevel="0" collapsed="false">
      <c r="A131" s="25" t="s">
        <v>46</v>
      </c>
      <c r="B131" s="25" t="s">
        <v>51</v>
      </c>
      <c r="C131" s="25" t="s">
        <v>50</v>
      </c>
      <c r="D131" s="25" t="n">
        <v>25</v>
      </c>
      <c r="E131" s="25" t="s">
        <v>573</v>
      </c>
      <c r="F131" s="25" t="s">
        <v>115</v>
      </c>
      <c r="G131" s="25" t="n">
        <v>1706</v>
      </c>
      <c r="H131" s="25" t="s">
        <v>574</v>
      </c>
      <c r="I131" s="25" t="n">
        <v>1</v>
      </c>
      <c r="J131" s="26" t="n">
        <v>2000</v>
      </c>
      <c r="K131" s="25" t="s">
        <v>546</v>
      </c>
      <c r="L131" s="25" t="s">
        <v>547</v>
      </c>
      <c r="M131" s="26" t="n">
        <f aca="false">IF(AND(L131="Oui",K131="Principal"),I131*J131,0)</f>
        <v>2000</v>
      </c>
      <c r="N131" s="25" t="s">
        <v>548</v>
      </c>
      <c r="O131" s="25"/>
      <c r="P131" s="25" t="s">
        <v>561</v>
      </c>
      <c r="Q131" s="25" t="s">
        <v>557</v>
      </c>
      <c r="R131" s="26" t="n">
        <v>1500</v>
      </c>
      <c r="S131" s="26" t="n">
        <f aca="false">IF(AND(L131="Oui",K131="Principal",R131&lt;&gt;""),I131*R131,0)</f>
        <v>1500</v>
      </c>
      <c r="T131" s="26" t="n">
        <f aca="false">IF(R131&lt;&gt;"",M131-S131,0)</f>
        <v>500</v>
      </c>
      <c r="U131" s="26" t="n">
        <f aca="false">IF(R131="",M131,0)</f>
        <v>0</v>
      </c>
    </row>
    <row r="132" customFormat="false" ht="15" hidden="false" customHeight="false" outlineLevel="0" collapsed="false">
      <c r="A132" s="25" t="s">
        <v>46</v>
      </c>
      <c r="B132" s="25" t="s">
        <v>51</v>
      </c>
      <c r="C132" s="25" t="s">
        <v>50</v>
      </c>
      <c r="D132" s="25" t="n">
        <v>26</v>
      </c>
      <c r="E132" s="25" t="s">
        <v>573</v>
      </c>
      <c r="F132" s="25" t="s">
        <v>117</v>
      </c>
      <c r="G132" s="25" t="n">
        <v>1193</v>
      </c>
      <c r="H132" s="25" t="s">
        <v>592</v>
      </c>
      <c r="I132" s="25" t="n">
        <v>1</v>
      </c>
      <c r="J132" s="26" t="n">
        <v>3100</v>
      </c>
      <c r="K132" s="25" t="s">
        <v>546</v>
      </c>
      <c r="L132" s="25" t="s">
        <v>547</v>
      </c>
      <c r="M132" s="26" t="n">
        <f aca="false">IF(AND(L132="Oui",K132="Principal"),I132*J132,0)</f>
        <v>3100</v>
      </c>
      <c r="N132" s="25" t="s">
        <v>548</v>
      </c>
      <c r="O132" s="25"/>
      <c r="P132" s="25" t="s">
        <v>550</v>
      </c>
      <c r="Q132" s="25" t="s">
        <v>557</v>
      </c>
      <c r="R132" s="26" t="n">
        <v>2400</v>
      </c>
      <c r="S132" s="26" t="n">
        <f aca="false">IF(AND(L132="Oui",K132="Principal",R132&lt;&gt;""),I132*R132,0)</f>
        <v>2400</v>
      </c>
      <c r="T132" s="26" t="n">
        <f aca="false">IF(R132&lt;&gt;"",M132-S132,0)</f>
        <v>700</v>
      </c>
      <c r="U132" s="26" t="n">
        <f aca="false">IF(R132="",M132,0)</f>
        <v>0</v>
      </c>
    </row>
    <row r="133" customFormat="false" ht="15" hidden="false" customHeight="false" outlineLevel="0" collapsed="false">
      <c r="A133" s="25" t="s">
        <v>46</v>
      </c>
      <c r="B133" s="25" t="s">
        <v>51</v>
      </c>
      <c r="C133" s="25" t="s">
        <v>50</v>
      </c>
      <c r="D133" s="25" t="n">
        <v>27</v>
      </c>
      <c r="E133" s="25" t="s">
        <v>573</v>
      </c>
      <c r="F133" s="25" t="s">
        <v>120</v>
      </c>
      <c r="G133" s="25" t="n">
        <v>1252</v>
      </c>
      <c r="H133" s="25" t="s">
        <v>578</v>
      </c>
      <c r="I133" s="25" t="n">
        <v>1</v>
      </c>
      <c r="J133" s="26" t="n">
        <v>6500</v>
      </c>
      <c r="K133" s="25" t="s">
        <v>546</v>
      </c>
      <c r="L133" s="25" t="s">
        <v>547</v>
      </c>
      <c r="M133" s="26" t="n">
        <f aca="false">IF(AND(L133="Oui",K133="Principal"),I133*J133,0)</f>
        <v>6500</v>
      </c>
      <c r="N133" s="25" t="s">
        <v>548</v>
      </c>
      <c r="O133" s="25"/>
      <c r="P133" s="25" t="s">
        <v>550</v>
      </c>
      <c r="Q133" s="25" t="s">
        <v>557</v>
      </c>
      <c r="R133" s="26" t="n">
        <v>6000</v>
      </c>
      <c r="S133" s="26" t="n">
        <f aca="false">IF(AND(L133="Oui",K133="Principal",R133&lt;&gt;""),I133*R133,0)</f>
        <v>6000</v>
      </c>
      <c r="T133" s="26" t="n">
        <f aca="false">IF(R133&lt;&gt;"",M133-S133,0)</f>
        <v>500</v>
      </c>
      <c r="U133" s="26" t="n">
        <f aca="false">IF(R133="",M133,0)</f>
        <v>0</v>
      </c>
    </row>
    <row r="134" customFormat="false" ht="15" hidden="false" customHeight="false" outlineLevel="0" collapsed="false">
      <c r="A134" s="25" t="s">
        <v>46</v>
      </c>
      <c r="B134" s="25" t="s">
        <v>52</v>
      </c>
      <c r="C134" s="25" t="s">
        <v>48</v>
      </c>
      <c r="D134" s="25" t="n">
        <v>1</v>
      </c>
      <c r="E134" s="25" t="s">
        <v>544</v>
      </c>
      <c r="F134" s="25" t="s">
        <v>151</v>
      </c>
      <c r="G134" s="25" t="n">
        <v>1618</v>
      </c>
      <c r="H134" s="25" t="s">
        <v>600</v>
      </c>
      <c r="I134" s="25" t="n">
        <v>2</v>
      </c>
      <c r="J134" s="26" t="n">
        <v>450</v>
      </c>
      <c r="K134" s="25" t="s">
        <v>546</v>
      </c>
      <c r="L134" s="25" t="s">
        <v>547</v>
      </c>
      <c r="M134" s="26" t="n">
        <f aca="false">IF(AND(L134="Oui",K134="Principal"),I134*J134,0)</f>
        <v>900</v>
      </c>
      <c r="N134" s="25" t="s">
        <v>548</v>
      </c>
      <c r="O134" s="25" t="s">
        <v>603</v>
      </c>
      <c r="P134" s="25" t="s">
        <v>556</v>
      </c>
      <c r="Q134" s="25" t="s">
        <v>557</v>
      </c>
      <c r="R134" s="26" t="n">
        <v>350</v>
      </c>
      <c r="S134" s="26" t="n">
        <f aca="false">IF(AND(L134="Oui",K134="Principal",R134&lt;&gt;""),I134*R134,0)</f>
        <v>700</v>
      </c>
      <c r="T134" s="26" t="n">
        <f aca="false">IF(R134&lt;&gt;"",M134-S134,0)</f>
        <v>200</v>
      </c>
      <c r="U134" s="26" t="n">
        <f aca="false">IF(R134="",M134,0)</f>
        <v>0</v>
      </c>
    </row>
    <row r="135" customFormat="false" ht="15" hidden="false" customHeight="false" outlineLevel="0" collapsed="false">
      <c r="A135" s="25" t="s">
        <v>46</v>
      </c>
      <c r="B135" s="25" t="s">
        <v>52</v>
      </c>
      <c r="C135" s="25" t="s">
        <v>48</v>
      </c>
      <c r="D135" s="25" t="n">
        <v>2</v>
      </c>
      <c r="E135" s="25" t="s">
        <v>544</v>
      </c>
      <c r="F135" s="25" t="s">
        <v>86</v>
      </c>
      <c r="G135" s="25" t="n">
        <v>1729</v>
      </c>
      <c r="H135" s="25" t="s">
        <v>552</v>
      </c>
      <c r="I135" s="25" t="n">
        <v>1</v>
      </c>
      <c r="J135" s="26" t="n">
        <v>1300</v>
      </c>
      <c r="K135" s="25" t="s">
        <v>546</v>
      </c>
      <c r="L135" s="25" t="s">
        <v>547</v>
      </c>
      <c r="M135" s="26" t="n">
        <f aca="false">IF(AND(L135="Oui",K135="Principal"),I135*J135,0)</f>
        <v>1300</v>
      </c>
      <c r="N135" s="25" t="s">
        <v>548</v>
      </c>
      <c r="O135" s="25" t="s">
        <v>553</v>
      </c>
      <c r="P135" s="25" t="s">
        <v>550</v>
      </c>
      <c r="Q135" s="25" t="s">
        <v>551</v>
      </c>
      <c r="R135" s="26"/>
      <c r="S135" s="26" t="n">
        <f aca="false">IF(AND(L135="Oui",K135="Principal",R135&lt;&gt;""),I135*R135,0)</f>
        <v>0</v>
      </c>
      <c r="T135" s="26" t="n">
        <f aca="false">IF(R135&lt;&gt;"",M135-S135,0)</f>
        <v>0</v>
      </c>
      <c r="U135" s="26" t="n">
        <f aca="false">IF(R135="",M135,0)</f>
        <v>1300</v>
      </c>
    </row>
    <row r="136" customFormat="false" ht="15" hidden="false" customHeight="false" outlineLevel="0" collapsed="false">
      <c r="A136" s="25" t="s">
        <v>46</v>
      </c>
      <c r="B136" s="25" t="s">
        <v>52</v>
      </c>
      <c r="C136" s="25" t="s">
        <v>48</v>
      </c>
      <c r="D136" s="25" t="n">
        <v>3</v>
      </c>
      <c r="E136" s="25" t="s">
        <v>554</v>
      </c>
      <c r="F136" s="25" t="s">
        <v>88</v>
      </c>
      <c r="G136" s="25" t="n">
        <v>1572</v>
      </c>
      <c r="H136" s="25" t="s">
        <v>555</v>
      </c>
      <c r="I136" s="25" t="n">
        <v>1</v>
      </c>
      <c r="J136" s="26" t="n">
        <v>250</v>
      </c>
      <c r="K136" s="25" t="s">
        <v>546</v>
      </c>
      <c r="L136" s="25" t="s">
        <v>547</v>
      </c>
      <c r="M136" s="26" t="n">
        <f aca="false">IF(AND(L136="Oui",K136="Principal"),I136*J136,0)</f>
        <v>250</v>
      </c>
      <c r="N136" s="25" t="s">
        <v>548</v>
      </c>
      <c r="O136" s="25"/>
      <c r="P136" s="25" t="s">
        <v>556</v>
      </c>
      <c r="Q136" s="25" t="s">
        <v>557</v>
      </c>
      <c r="R136" s="26" t="n">
        <v>150</v>
      </c>
      <c r="S136" s="26" t="n">
        <f aca="false">IF(AND(L136="Oui",K136="Principal",R136&lt;&gt;""),I136*R136,0)</f>
        <v>150</v>
      </c>
      <c r="T136" s="26" t="n">
        <f aca="false">IF(R136&lt;&gt;"",M136-S136,0)</f>
        <v>100</v>
      </c>
      <c r="U136" s="26" t="n">
        <f aca="false">IF(R136="",M136,0)</f>
        <v>0</v>
      </c>
    </row>
    <row r="137" customFormat="false" ht="15" hidden="false" customHeight="false" outlineLevel="0" collapsed="false">
      <c r="A137" s="25" t="s">
        <v>46</v>
      </c>
      <c r="B137" s="25" t="s">
        <v>52</v>
      </c>
      <c r="C137" s="25" t="s">
        <v>48</v>
      </c>
      <c r="D137" s="25" t="n">
        <v>4</v>
      </c>
      <c r="E137" s="25" t="s">
        <v>167</v>
      </c>
      <c r="F137" s="25" t="s">
        <v>91</v>
      </c>
      <c r="G137" s="25" t="n">
        <v>33</v>
      </c>
      <c r="H137" s="25" t="s">
        <v>558</v>
      </c>
      <c r="I137" s="25" t="n">
        <v>1</v>
      </c>
      <c r="J137" s="26" t="n">
        <v>1200</v>
      </c>
      <c r="K137" s="25" t="s">
        <v>546</v>
      </c>
      <c r="L137" s="25" t="s">
        <v>547</v>
      </c>
      <c r="M137" s="26" t="n">
        <f aca="false">IF(AND(L137="Oui",K137="Principal"),I137*J137,0)</f>
        <v>1200</v>
      </c>
      <c r="N137" s="25" t="s">
        <v>548</v>
      </c>
      <c r="O137" s="25"/>
      <c r="P137" s="25" t="s">
        <v>559</v>
      </c>
      <c r="Q137" s="25" t="s">
        <v>551</v>
      </c>
      <c r="R137" s="26"/>
      <c r="S137" s="26" t="n">
        <f aca="false">IF(AND(L137="Oui",K137="Principal",R137&lt;&gt;""),I137*R137,0)</f>
        <v>0</v>
      </c>
      <c r="T137" s="26" t="n">
        <f aca="false">IF(R137&lt;&gt;"",M137-S137,0)</f>
        <v>0</v>
      </c>
      <c r="U137" s="26" t="n">
        <f aca="false">IF(R137="",M137,0)</f>
        <v>1200</v>
      </c>
    </row>
    <row r="138" customFormat="false" ht="15" hidden="false" customHeight="false" outlineLevel="0" collapsed="false">
      <c r="A138" s="25" t="s">
        <v>46</v>
      </c>
      <c r="B138" s="25" t="s">
        <v>52</v>
      </c>
      <c r="C138" s="25" t="s">
        <v>48</v>
      </c>
      <c r="D138" s="25" t="n">
        <v>5</v>
      </c>
      <c r="E138" s="25" t="s">
        <v>167</v>
      </c>
      <c r="F138" s="25" t="s">
        <v>93</v>
      </c>
      <c r="G138" s="25" t="n">
        <v>1698</v>
      </c>
      <c r="H138" s="25" t="s">
        <v>560</v>
      </c>
      <c r="I138" s="25" t="n">
        <v>2</v>
      </c>
      <c r="J138" s="26" t="n">
        <v>400</v>
      </c>
      <c r="K138" s="25" t="s">
        <v>546</v>
      </c>
      <c r="L138" s="25" t="s">
        <v>547</v>
      </c>
      <c r="M138" s="26" t="n">
        <f aca="false">IF(AND(L138="Oui",K138="Principal"),I138*J138,0)</f>
        <v>800</v>
      </c>
      <c r="N138" s="25" t="s">
        <v>548</v>
      </c>
      <c r="O138" s="25"/>
      <c r="P138" s="25" t="s">
        <v>561</v>
      </c>
      <c r="Q138" s="25" t="s">
        <v>557</v>
      </c>
      <c r="R138" s="26"/>
      <c r="S138" s="26" t="n">
        <f aca="false">IF(AND(L138="Oui",K138="Principal",R138&lt;&gt;""),I138*R138,0)</f>
        <v>0</v>
      </c>
      <c r="T138" s="26" t="n">
        <f aca="false">IF(R138&lt;&gt;"",M138-S138,0)</f>
        <v>0</v>
      </c>
      <c r="U138" s="26" t="n">
        <f aca="false">IF(R138="",M138,0)</f>
        <v>800</v>
      </c>
    </row>
    <row r="139" customFormat="false" ht="15" hidden="false" customHeight="false" outlineLevel="0" collapsed="false">
      <c r="A139" s="25" t="s">
        <v>46</v>
      </c>
      <c r="B139" s="25" t="s">
        <v>52</v>
      </c>
      <c r="C139" s="25" t="s">
        <v>48</v>
      </c>
      <c r="D139" s="25" t="n">
        <v>6</v>
      </c>
      <c r="E139" s="25" t="s">
        <v>167</v>
      </c>
      <c r="F139" s="25" t="s">
        <v>95</v>
      </c>
      <c r="G139" s="25" t="n">
        <v>1244</v>
      </c>
      <c r="H139" s="25" t="s">
        <v>562</v>
      </c>
      <c r="I139" s="25" t="n">
        <v>1</v>
      </c>
      <c r="J139" s="26" t="n">
        <v>400</v>
      </c>
      <c r="K139" s="25" t="s">
        <v>546</v>
      </c>
      <c r="L139" s="25" t="s">
        <v>547</v>
      </c>
      <c r="M139" s="26" t="n">
        <f aca="false">IF(AND(L139="Oui",K139="Principal"),I139*J139,0)</f>
        <v>400</v>
      </c>
      <c r="N139" s="25" t="s">
        <v>548</v>
      </c>
      <c r="O139" s="25"/>
      <c r="P139" s="25" t="s">
        <v>550</v>
      </c>
      <c r="Q139" s="25" t="s">
        <v>557</v>
      </c>
      <c r="R139" s="26" t="n">
        <v>130</v>
      </c>
      <c r="S139" s="26" t="n">
        <f aca="false">IF(AND(L139="Oui",K139="Principal",R139&lt;&gt;""),I139*R139,0)</f>
        <v>130</v>
      </c>
      <c r="T139" s="26" t="n">
        <f aca="false">IF(R139&lt;&gt;"",M139-S139,0)</f>
        <v>270</v>
      </c>
      <c r="U139" s="26" t="n">
        <f aca="false">IF(R139="",M139,0)</f>
        <v>0</v>
      </c>
    </row>
    <row r="140" customFormat="false" ht="15" hidden="false" customHeight="false" outlineLevel="0" collapsed="false">
      <c r="A140" s="25" t="s">
        <v>46</v>
      </c>
      <c r="B140" s="25" t="s">
        <v>52</v>
      </c>
      <c r="C140" s="25" t="s">
        <v>48</v>
      </c>
      <c r="D140" s="25" t="n">
        <v>7</v>
      </c>
      <c r="E140" s="25" t="s">
        <v>563</v>
      </c>
      <c r="F140" s="25" t="s">
        <v>97</v>
      </c>
      <c r="G140" s="25" t="n">
        <v>1571</v>
      </c>
      <c r="H140" s="25" t="s">
        <v>564</v>
      </c>
      <c r="I140" s="25" t="n">
        <v>2</v>
      </c>
      <c r="J140" s="26" t="n">
        <v>75</v>
      </c>
      <c r="K140" s="25" t="s">
        <v>546</v>
      </c>
      <c r="L140" s="25" t="s">
        <v>547</v>
      </c>
      <c r="M140" s="26" t="n">
        <f aca="false">IF(AND(L140="Oui",K140="Principal"),I140*J140,0)</f>
        <v>150</v>
      </c>
      <c r="N140" s="25" t="s">
        <v>548</v>
      </c>
      <c r="O140" s="25"/>
      <c r="P140" s="25" t="s">
        <v>550</v>
      </c>
      <c r="Q140" s="25" t="s">
        <v>557</v>
      </c>
      <c r="R140" s="26"/>
      <c r="S140" s="26" t="n">
        <f aca="false">IF(AND(L140="Oui",K140="Principal",R140&lt;&gt;""),I140*R140,0)</f>
        <v>0</v>
      </c>
      <c r="T140" s="26" t="n">
        <f aca="false">IF(R140&lt;&gt;"",M140-S140,0)</f>
        <v>0</v>
      </c>
      <c r="U140" s="26" t="n">
        <f aca="false">IF(R140="",M140,0)</f>
        <v>150</v>
      </c>
    </row>
    <row r="141" customFormat="false" ht="15" hidden="false" customHeight="false" outlineLevel="0" collapsed="false">
      <c r="A141" s="25" t="s">
        <v>46</v>
      </c>
      <c r="B141" s="25" t="s">
        <v>52</v>
      </c>
      <c r="C141" s="25" t="s">
        <v>48</v>
      </c>
      <c r="D141" s="25" t="n">
        <v>8</v>
      </c>
      <c r="E141" s="25" t="s">
        <v>565</v>
      </c>
      <c r="F141" s="25" t="s">
        <v>99</v>
      </c>
      <c r="G141" s="25" t="n">
        <v>9</v>
      </c>
      <c r="H141" s="25" t="s">
        <v>566</v>
      </c>
      <c r="I141" s="25" t="n">
        <v>1</v>
      </c>
      <c r="J141" s="26" t="n">
        <v>150</v>
      </c>
      <c r="K141" s="25" t="s">
        <v>546</v>
      </c>
      <c r="L141" s="25" t="s">
        <v>547</v>
      </c>
      <c r="M141" s="26" t="n">
        <f aca="false">IF(AND(L141="Oui",K141="Principal"),I141*J141,0)</f>
        <v>150</v>
      </c>
      <c r="N141" s="25" t="s">
        <v>548</v>
      </c>
      <c r="O141" s="25"/>
      <c r="P141" s="25" t="s">
        <v>559</v>
      </c>
      <c r="Q141" s="25" t="s">
        <v>551</v>
      </c>
      <c r="R141" s="26"/>
      <c r="S141" s="26" t="n">
        <f aca="false">IF(AND(L141="Oui",K141="Principal",R141&lt;&gt;""),I141*R141,0)</f>
        <v>0</v>
      </c>
      <c r="T141" s="26" t="n">
        <f aca="false">IF(R141&lt;&gt;"",M141-S141,0)</f>
        <v>0</v>
      </c>
      <c r="U141" s="26" t="n">
        <f aca="false">IF(R141="",M141,0)</f>
        <v>150</v>
      </c>
    </row>
    <row r="142" customFormat="false" ht="15" hidden="false" customHeight="false" outlineLevel="0" collapsed="false">
      <c r="A142" s="25" t="s">
        <v>46</v>
      </c>
      <c r="B142" s="25" t="s">
        <v>52</v>
      </c>
      <c r="C142" s="25" t="s">
        <v>48</v>
      </c>
      <c r="D142" s="25" t="n">
        <v>9</v>
      </c>
      <c r="E142" s="25" t="s">
        <v>565</v>
      </c>
      <c r="F142" s="25" t="s">
        <v>102</v>
      </c>
      <c r="G142" s="25" t="n">
        <v>1587</v>
      </c>
      <c r="H142" s="25" t="s">
        <v>567</v>
      </c>
      <c r="I142" s="25" t="n">
        <v>1</v>
      </c>
      <c r="J142" s="26" t="n">
        <v>500</v>
      </c>
      <c r="K142" s="25" t="s">
        <v>546</v>
      </c>
      <c r="L142" s="25" t="s">
        <v>547</v>
      </c>
      <c r="M142" s="26" t="n">
        <f aca="false">IF(AND(L142="Oui",K142="Principal"),I142*J142,0)</f>
        <v>500</v>
      </c>
      <c r="N142" s="25" t="s">
        <v>548</v>
      </c>
      <c r="O142" s="25"/>
      <c r="P142" s="25" t="s">
        <v>556</v>
      </c>
      <c r="Q142" s="25" t="s">
        <v>557</v>
      </c>
      <c r="R142" s="26" t="n">
        <v>350</v>
      </c>
      <c r="S142" s="26" t="n">
        <f aca="false">IF(AND(L142="Oui",K142="Principal",R142&lt;&gt;""),I142*R142,0)</f>
        <v>350</v>
      </c>
      <c r="T142" s="26" t="n">
        <f aca="false">IF(R142&lt;&gt;"",M142-S142,0)</f>
        <v>150</v>
      </c>
      <c r="U142" s="26" t="n">
        <f aca="false">IF(R142="",M142,0)</f>
        <v>0</v>
      </c>
    </row>
    <row r="143" customFormat="false" ht="15" hidden="false" customHeight="false" outlineLevel="0" collapsed="false">
      <c r="A143" s="25" t="s">
        <v>46</v>
      </c>
      <c r="B143" s="25" t="s">
        <v>52</v>
      </c>
      <c r="C143" s="25" t="s">
        <v>48</v>
      </c>
      <c r="D143" s="25" t="n">
        <v>10</v>
      </c>
      <c r="E143" s="25" t="s">
        <v>554</v>
      </c>
      <c r="F143" s="25" t="s">
        <v>104</v>
      </c>
      <c r="G143" s="25" t="n">
        <v>1589</v>
      </c>
      <c r="H143" s="25" t="s">
        <v>568</v>
      </c>
      <c r="I143" s="25" t="n">
        <v>1</v>
      </c>
      <c r="J143" s="26" t="n">
        <v>900</v>
      </c>
      <c r="K143" s="25" t="s">
        <v>546</v>
      </c>
      <c r="L143" s="25" t="s">
        <v>547</v>
      </c>
      <c r="M143" s="26" t="n">
        <f aca="false">IF(AND(L143="Oui",K143="Principal"),I143*J143,0)</f>
        <v>900</v>
      </c>
      <c r="N143" s="25" t="s">
        <v>548</v>
      </c>
      <c r="O143" s="25"/>
      <c r="P143" s="25" t="s">
        <v>556</v>
      </c>
      <c r="Q143" s="25" t="s">
        <v>557</v>
      </c>
      <c r="R143" s="26" t="n">
        <v>650</v>
      </c>
      <c r="S143" s="26" t="n">
        <f aca="false">IF(AND(L143="Oui",K143="Principal",R143&lt;&gt;""),I143*R143,0)</f>
        <v>650</v>
      </c>
      <c r="T143" s="26" t="n">
        <f aca="false">IF(R143&lt;&gt;"",M143-S143,0)</f>
        <v>250</v>
      </c>
      <c r="U143" s="26" t="n">
        <f aca="false">IF(R143="",M143,0)</f>
        <v>0</v>
      </c>
    </row>
    <row r="144" customFormat="false" ht="15" hidden="false" customHeight="false" outlineLevel="0" collapsed="false">
      <c r="A144" s="25" t="s">
        <v>46</v>
      </c>
      <c r="B144" s="25" t="s">
        <v>52</v>
      </c>
      <c r="C144" s="25" t="s">
        <v>48</v>
      </c>
      <c r="D144" s="25" t="n">
        <v>11</v>
      </c>
      <c r="E144" s="25" t="s">
        <v>565</v>
      </c>
      <c r="F144" s="25" t="s">
        <v>107</v>
      </c>
      <c r="G144" s="25" t="n">
        <v>1173</v>
      </c>
      <c r="H144" s="25" t="s">
        <v>569</v>
      </c>
      <c r="I144" s="25" t="n">
        <v>2</v>
      </c>
      <c r="J144" s="26" t="n">
        <v>570</v>
      </c>
      <c r="K144" s="25" t="s">
        <v>546</v>
      </c>
      <c r="L144" s="25" t="s">
        <v>547</v>
      </c>
      <c r="M144" s="26" t="n">
        <f aca="false">IF(AND(L144="Oui",K144="Principal"),I144*J144,0)</f>
        <v>1140</v>
      </c>
      <c r="N144" s="25" t="s">
        <v>548</v>
      </c>
      <c r="O144" s="25"/>
      <c r="P144" s="25" t="s">
        <v>550</v>
      </c>
      <c r="Q144" s="25" t="s">
        <v>557</v>
      </c>
      <c r="R144" s="26" t="n">
        <v>420</v>
      </c>
      <c r="S144" s="26" t="n">
        <f aca="false">IF(AND(L144="Oui",K144="Principal",R144&lt;&gt;""),I144*R144,0)</f>
        <v>840</v>
      </c>
      <c r="T144" s="26" t="n">
        <f aca="false">IF(R144&lt;&gt;"",M144-S144,0)</f>
        <v>300</v>
      </c>
      <c r="U144" s="26" t="n">
        <f aca="false">IF(R144="",M144,0)</f>
        <v>0</v>
      </c>
    </row>
    <row r="145" customFormat="false" ht="15" hidden="false" customHeight="false" outlineLevel="0" collapsed="false">
      <c r="A145" s="25" t="s">
        <v>46</v>
      </c>
      <c r="B145" s="25" t="s">
        <v>52</v>
      </c>
      <c r="C145" s="25" t="s">
        <v>48</v>
      </c>
      <c r="D145" s="25" t="n">
        <v>12</v>
      </c>
      <c r="E145" s="25" t="s">
        <v>565</v>
      </c>
      <c r="F145" s="25" t="s">
        <v>110</v>
      </c>
      <c r="G145" s="25" t="n">
        <v>1250</v>
      </c>
      <c r="H145" s="25" t="s">
        <v>570</v>
      </c>
      <c r="I145" s="25" t="n">
        <v>1</v>
      </c>
      <c r="J145" s="26" t="n">
        <v>250</v>
      </c>
      <c r="K145" s="25" t="s">
        <v>546</v>
      </c>
      <c r="L145" s="25" t="s">
        <v>547</v>
      </c>
      <c r="M145" s="26" t="n">
        <f aca="false">IF(AND(L145="Oui",K145="Principal"),I145*J145,0)</f>
        <v>250</v>
      </c>
      <c r="N145" s="25" t="s">
        <v>548</v>
      </c>
      <c r="O145" s="25"/>
      <c r="P145" s="25" t="s">
        <v>550</v>
      </c>
      <c r="Q145" s="25" t="s">
        <v>557</v>
      </c>
      <c r="R145" s="26" t="n">
        <v>100</v>
      </c>
      <c r="S145" s="26" t="n">
        <f aca="false">IF(AND(L145="Oui",K145="Principal",R145&lt;&gt;""),I145*R145,0)</f>
        <v>100</v>
      </c>
      <c r="T145" s="26" t="n">
        <f aca="false">IF(R145&lt;&gt;"",M145-S145,0)</f>
        <v>150</v>
      </c>
      <c r="U145" s="26" t="n">
        <f aca="false">IF(R145="",M145,0)</f>
        <v>0</v>
      </c>
    </row>
    <row r="146" customFormat="false" ht="15" hidden="false" customHeight="false" outlineLevel="0" collapsed="false">
      <c r="A146" s="25" t="s">
        <v>46</v>
      </c>
      <c r="B146" s="25" t="s">
        <v>52</v>
      </c>
      <c r="C146" s="25" t="s">
        <v>48</v>
      </c>
      <c r="D146" s="25" t="n">
        <v>13</v>
      </c>
      <c r="E146" s="25" t="s">
        <v>571</v>
      </c>
      <c r="F146" s="25" t="s">
        <v>113</v>
      </c>
      <c r="G146" s="25" t="n">
        <v>1625</v>
      </c>
      <c r="H146" s="25" t="s">
        <v>572</v>
      </c>
      <c r="I146" s="25" t="n">
        <v>1</v>
      </c>
      <c r="J146" s="26" t="n">
        <v>500</v>
      </c>
      <c r="K146" s="25" t="s">
        <v>546</v>
      </c>
      <c r="L146" s="25" t="s">
        <v>547</v>
      </c>
      <c r="M146" s="26" t="n">
        <f aca="false">IF(AND(L146="Oui",K146="Principal"),I146*J146,0)</f>
        <v>500</v>
      </c>
      <c r="N146" s="25" t="s">
        <v>548</v>
      </c>
      <c r="O146" s="25"/>
      <c r="P146" s="25" t="s">
        <v>556</v>
      </c>
      <c r="Q146" s="25" t="s">
        <v>557</v>
      </c>
      <c r="R146" s="26"/>
      <c r="S146" s="26" t="n">
        <f aca="false">IF(AND(L146="Oui",K146="Principal",R146&lt;&gt;""),I146*R146,0)</f>
        <v>0</v>
      </c>
      <c r="T146" s="26" t="n">
        <f aca="false">IF(R146&lt;&gt;"",M146-S146,0)</f>
        <v>0</v>
      </c>
      <c r="U146" s="26" t="n">
        <f aca="false">IF(R146="",M146,0)</f>
        <v>500</v>
      </c>
    </row>
    <row r="147" customFormat="false" ht="15" hidden="false" customHeight="false" outlineLevel="0" collapsed="false">
      <c r="A147" s="25" t="s">
        <v>46</v>
      </c>
      <c r="B147" s="25" t="s">
        <v>52</v>
      </c>
      <c r="C147" s="25" t="s">
        <v>48</v>
      </c>
      <c r="D147" s="25" t="n">
        <v>14</v>
      </c>
      <c r="E147" s="25" t="s">
        <v>573</v>
      </c>
      <c r="F147" s="25" t="s">
        <v>115</v>
      </c>
      <c r="G147" s="25" t="n">
        <v>1706</v>
      </c>
      <c r="H147" s="25" t="s">
        <v>574</v>
      </c>
      <c r="I147" s="25" t="n">
        <v>1</v>
      </c>
      <c r="J147" s="26" t="n">
        <v>2000</v>
      </c>
      <c r="K147" s="25" t="s">
        <v>546</v>
      </c>
      <c r="L147" s="25" t="s">
        <v>547</v>
      </c>
      <c r="M147" s="26" t="n">
        <f aca="false">IF(AND(L147="Oui",K147="Principal"),I147*J147,0)</f>
        <v>2000</v>
      </c>
      <c r="N147" s="25" t="s">
        <v>548</v>
      </c>
      <c r="O147" s="25"/>
      <c r="P147" s="25" t="s">
        <v>561</v>
      </c>
      <c r="Q147" s="25" t="s">
        <v>557</v>
      </c>
      <c r="R147" s="26" t="n">
        <v>1500</v>
      </c>
      <c r="S147" s="26" t="n">
        <f aca="false">IF(AND(L147="Oui",K147="Principal",R147&lt;&gt;""),I147*R147,0)</f>
        <v>1500</v>
      </c>
      <c r="T147" s="26" t="n">
        <f aca="false">IF(R147&lt;&gt;"",M147-S147,0)</f>
        <v>500</v>
      </c>
      <c r="U147" s="26" t="n">
        <f aca="false">IF(R147="",M147,0)</f>
        <v>0</v>
      </c>
    </row>
    <row r="148" customFormat="false" ht="15" hidden="false" customHeight="false" outlineLevel="0" collapsed="false">
      <c r="A148" s="25" t="s">
        <v>46</v>
      </c>
      <c r="B148" s="25" t="s">
        <v>52</v>
      </c>
      <c r="C148" s="25" t="s">
        <v>48</v>
      </c>
      <c r="D148" s="25" t="n">
        <v>15</v>
      </c>
      <c r="E148" s="25" t="s">
        <v>573</v>
      </c>
      <c r="F148" s="25" t="s">
        <v>117</v>
      </c>
      <c r="G148" s="25" t="n">
        <v>1287</v>
      </c>
      <c r="H148" s="25" t="s">
        <v>575</v>
      </c>
      <c r="I148" s="25" t="n">
        <v>1</v>
      </c>
      <c r="J148" s="26" t="n">
        <v>2500</v>
      </c>
      <c r="K148" s="25" t="s">
        <v>546</v>
      </c>
      <c r="L148" s="25" t="s">
        <v>547</v>
      </c>
      <c r="M148" s="26" t="n">
        <f aca="false">IF(AND(L148="Oui",K148="Principal"),I148*J148,0)</f>
        <v>2500</v>
      </c>
      <c r="N148" s="25" t="s">
        <v>548</v>
      </c>
      <c r="O148" s="25" t="s">
        <v>576</v>
      </c>
      <c r="P148" s="25" t="s">
        <v>550</v>
      </c>
      <c r="Q148" s="25" t="s">
        <v>557</v>
      </c>
      <c r="R148" s="26" t="n">
        <v>1800</v>
      </c>
      <c r="S148" s="26" t="n">
        <f aca="false">IF(AND(L148="Oui",K148="Principal",R148&lt;&gt;""),I148*R148,0)</f>
        <v>1800</v>
      </c>
      <c r="T148" s="26" t="n">
        <f aca="false">IF(R148&lt;&gt;"",M148-S148,0)</f>
        <v>700</v>
      </c>
      <c r="U148" s="26" t="n">
        <f aca="false">IF(R148="",M148,0)</f>
        <v>0</v>
      </c>
    </row>
    <row r="149" customFormat="false" ht="15" hidden="false" customHeight="false" outlineLevel="0" collapsed="false">
      <c r="A149" s="25" t="s">
        <v>46</v>
      </c>
      <c r="B149" s="25" t="s">
        <v>52</v>
      </c>
      <c r="C149" s="25" t="s">
        <v>48</v>
      </c>
      <c r="D149" s="25" t="n">
        <v>16</v>
      </c>
      <c r="E149" s="25" t="s">
        <v>577</v>
      </c>
      <c r="F149" s="25" t="s">
        <v>120</v>
      </c>
      <c r="G149" s="25" t="n">
        <v>1252</v>
      </c>
      <c r="H149" s="25" t="s">
        <v>578</v>
      </c>
      <c r="I149" s="25" t="n">
        <v>1</v>
      </c>
      <c r="J149" s="26" t="n">
        <v>6500</v>
      </c>
      <c r="K149" s="25" t="s">
        <v>577</v>
      </c>
      <c r="L149" s="25" t="s">
        <v>579</v>
      </c>
      <c r="M149" s="26" t="n">
        <f aca="false">IF(AND(L149="Oui",K149="Principal"),I149*J149,0)</f>
        <v>0</v>
      </c>
      <c r="N149" s="25" t="s">
        <v>548</v>
      </c>
      <c r="O149" s="25"/>
      <c r="P149" s="25" t="s">
        <v>550</v>
      </c>
      <c r="Q149" s="25" t="s">
        <v>557</v>
      </c>
      <c r="R149" s="26" t="n">
        <v>6000</v>
      </c>
      <c r="S149" s="26" t="n">
        <f aca="false">IF(AND(L149="Oui",K149="Principal",R149&lt;&gt;""),I149*R149,0)</f>
        <v>0</v>
      </c>
      <c r="T149" s="26" t="n">
        <f aca="false">IF(R149&lt;&gt;"",M149-S149,0)</f>
        <v>0</v>
      </c>
      <c r="U149" s="26" t="n">
        <f aca="false">IF(R149="",M149,0)</f>
        <v>0</v>
      </c>
    </row>
    <row r="150" customFormat="false" ht="15" hidden="false" customHeight="false" outlineLevel="0" collapsed="false">
      <c r="A150" s="25" t="s">
        <v>46</v>
      </c>
      <c r="B150" s="25" t="s">
        <v>52</v>
      </c>
      <c r="C150" s="25" t="s">
        <v>49</v>
      </c>
      <c r="D150" s="25" t="n">
        <v>1</v>
      </c>
      <c r="E150" s="25" t="s">
        <v>544</v>
      </c>
      <c r="F150" s="25" t="s">
        <v>151</v>
      </c>
      <c r="G150" s="25" t="n">
        <v>1618</v>
      </c>
      <c r="H150" s="25" t="s">
        <v>600</v>
      </c>
      <c r="I150" s="25" t="n">
        <v>2</v>
      </c>
      <c r="J150" s="26" t="n">
        <v>450</v>
      </c>
      <c r="K150" s="25" t="s">
        <v>546</v>
      </c>
      <c r="L150" s="25" t="s">
        <v>547</v>
      </c>
      <c r="M150" s="26" t="n">
        <f aca="false">IF(AND(L150="Oui",K150="Principal"),I150*J150,0)</f>
        <v>900</v>
      </c>
      <c r="N150" s="25" t="s">
        <v>548</v>
      </c>
      <c r="O150" s="25" t="s">
        <v>603</v>
      </c>
      <c r="P150" s="25" t="s">
        <v>556</v>
      </c>
      <c r="Q150" s="25" t="s">
        <v>557</v>
      </c>
      <c r="R150" s="26" t="n">
        <v>350</v>
      </c>
      <c r="S150" s="26" t="n">
        <f aca="false">IF(AND(L150="Oui",K150="Principal",R150&lt;&gt;""),I150*R150,0)</f>
        <v>700</v>
      </c>
      <c r="T150" s="26" t="n">
        <f aca="false">IF(R150&lt;&gt;"",M150-S150,0)</f>
        <v>200</v>
      </c>
      <c r="U150" s="26" t="n">
        <f aca="false">IF(R150="",M150,0)</f>
        <v>0</v>
      </c>
    </row>
    <row r="151" customFormat="false" ht="15" hidden="false" customHeight="false" outlineLevel="0" collapsed="false">
      <c r="A151" s="25" t="s">
        <v>46</v>
      </c>
      <c r="B151" s="25" t="s">
        <v>52</v>
      </c>
      <c r="C151" s="25" t="s">
        <v>49</v>
      </c>
      <c r="D151" s="25" t="n">
        <v>2</v>
      </c>
      <c r="E151" s="25" t="s">
        <v>544</v>
      </c>
      <c r="F151" s="25" t="s">
        <v>86</v>
      </c>
      <c r="G151" s="25" t="n">
        <v>1729</v>
      </c>
      <c r="H151" s="25" t="s">
        <v>552</v>
      </c>
      <c r="I151" s="25" t="n">
        <v>1</v>
      </c>
      <c r="J151" s="26" t="n">
        <v>1300</v>
      </c>
      <c r="K151" s="25" t="s">
        <v>546</v>
      </c>
      <c r="L151" s="25" t="s">
        <v>547</v>
      </c>
      <c r="M151" s="26" t="n">
        <f aca="false">IF(AND(L151="Oui",K151="Principal"),I151*J151,0)</f>
        <v>1300</v>
      </c>
      <c r="N151" s="25" t="s">
        <v>548</v>
      </c>
      <c r="O151" s="25" t="s">
        <v>553</v>
      </c>
      <c r="P151" s="25" t="s">
        <v>550</v>
      </c>
      <c r="Q151" s="25" t="s">
        <v>551</v>
      </c>
      <c r="R151" s="26"/>
      <c r="S151" s="26" t="n">
        <f aca="false">IF(AND(L151="Oui",K151="Principal",R151&lt;&gt;""),I151*R151,0)</f>
        <v>0</v>
      </c>
      <c r="T151" s="26" t="n">
        <f aca="false">IF(R151&lt;&gt;"",M151-S151,0)</f>
        <v>0</v>
      </c>
      <c r="U151" s="26" t="n">
        <f aca="false">IF(R151="",M151,0)</f>
        <v>1300</v>
      </c>
    </row>
    <row r="152" customFormat="false" ht="15" hidden="false" customHeight="false" outlineLevel="0" collapsed="false">
      <c r="A152" s="25" t="s">
        <v>46</v>
      </c>
      <c r="B152" s="25" t="s">
        <v>52</v>
      </c>
      <c r="C152" s="25" t="s">
        <v>49</v>
      </c>
      <c r="D152" s="25" t="n">
        <v>3</v>
      </c>
      <c r="E152" s="25" t="s">
        <v>554</v>
      </c>
      <c r="F152" s="25" t="s">
        <v>88</v>
      </c>
      <c r="G152" s="25" t="n">
        <v>1286</v>
      </c>
      <c r="H152" s="25" t="s">
        <v>580</v>
      </c>
      <c r="I152" s="25" t="n">
        <v>1</v>
      </c>
      <c r="J152" s="26" t="n">
        <v>550</v>
      </c>
      <c r="K152" s="25" t="s">
        <v>546</v>
      </c>
      <c r="L152" s="25" t="s">
        <v>547</v>
      </c>
      <c r="M152" s="26" t="n">
        <f aca="false">IF(AND(L152="Oui",K152="Principal"),I152*J152,0)</f>
        <v>550</v>
      </c>
      <c r="N152" s="25" t="s">
        <v>548</v>
      </c>
      <c r="O152" s="25"/>
      <c r="P152" s="25" t="s">
        <v>550</v>
      </c>
      <c r="Q152" s="25" t="s">
        <v>557</v>
      </c>
      <c r="R152" s="26" t="n">
        <v>450</v>
      </c>
      <c r="S152" s="26" t="n">
        <f aca="false">IF(AND(L152="Oui",K152="Principal",R152&lt;&gt;""),I152*R152,0)</f>
        <v>450</v>
      </c>
      <c r="T152" s="26" t="n">
        <f aca="false">IF(R152&lt;&gt;"",M152-S152,0)</f>
        <v>100</v>
      </c>
      <c r="U152" s="26" t="n">
        <f aca="false">IF(R152="",M152,0)</f>
        <v>0</v>
      </c>
    </row>
    <row r="153" customFormat="false" ht="15" hidden="false" customHeight="false" outlineLevel="0" collapsed="false">
      <c r="A153" s="25" t="s">
        <v>46</v>
      </c>
      <c r="B153" s="25" t="s">
        <v>52</v>
      </c>
      <c r="C153" s="25" t="s">
        <v>49</v>
      </c>
      <c r="D153" s="25" t="n">
        <v>4</v>
      </c>
      <c r="E153" s="25" t="s">
        <v>167</v>
      </c>
      <c r="F153" s="25" t="s">
        <v>91</v>
      </c>
      <c r="G153" s="25" t="n">
        <v>33</v>
      </c>
      <c r="H153" s="25" t="s">
        <v>558</v>
      </c>
      <c r="I153" s="25" t="n">
        <v>1</v>
      </c>
      <c r="J153" s="26" t="n">
        <v>1200</v>
      </c>
      <c r="K153" s="25" t="s">
        <v>546</v>
      </c>
      <c r="L153" s="25" t="s">
        <v>547</v>
      </c>
      <c r="M153" s="26" t="n">
        <f aca="false">IF(AND(L153="Oui",K153="Principal"),I153*J153,0)</f>
        <v>1200</v>
      </c>
      <c r="N153" s="25" t="s">
        <v>548</v>
      </c>
      <c r="O153" s="25"/>
      <c r="P153" s="25" t="s">
        <v>559</v>
      </c>
      <c r="Q153" s="25" t="s">
        <v>551</v>
      </c>
      <c r="R153" s="26"/>
      <c r="S153" s="26" t="n">
        <f aca="false">IF(AND(L153="Oui",K153="Principal",R153&lt;&gt;""),I153*R153,0)</f>
        <v>0</v>
      </c>
      <c r="T153" s="26" t="n">
        <f aca="false">IF(R153&lt;&gt;"",M153-S153,0)</f>
        <v>0</v>
      </c>
      <c r="U153" s="26" t="n">
        <f aca="false">IF(R153="",M153,0)</f>
        <v>1200</v>
      </c>
    </row>
    <row r="154" customFormat="false" ht="15" hidden="false" customHeight="false" outlineLevel="0" collapsed="false">
      <c r="A154" s="25" t="s">
        <v>46</v>
      </c>
      <c r="B154" s="25" t="s">
        <v>52</v>
      </c>
      <c r="C154" s="25" t="s">
        <v>49</v>
      </c>
      <c r="D154" s="25" t="n">
        <v>5</v>
      </c>
      <c r="E154" s="25" t="s">
        <v>167</v>
      </c>
      <c r="F154" s="25" t="s">
        <v>93</v>
      </c>
      <c r="G154" s="25" t="n">
        <v>1698</v>
      </c>
      <c r="H154" s="25" t="s">
        <v>560</v>
      </c>
      <c r="I154" s="25" t="n">
        <v>2</v>
      </c>
      <c r="J154" s="26" t="n">
        <v>400</v>
      </c>
      <c r="K154" s="25" t="s">
        <v>546</v>
      </c>
      <c r="L154" s="25" t="s">
        <v>547</v>
      </c>
      <c r="M154" s="26" t="n">
        <f aca="false">IF(AND(L154="Oui",K154="Principal"),I154*J154,0)</f>
        <v>800</v>
      </c>
      <c r="N154" s="25" t="s">
        <v>548</v>
      </c>
      <c r="O154" s="25"/>
      <c r="P154" s="25" t="s">
        <v>561</v>
      </c>
      <c r="Q154" s="25" t="s">
        <v>557</v>
      </c>
      <c r="R154" s="26"/>
      <c r="S154" s="26" t="n">
        <f aca="false">IF(AND(L154="Oui",K154="Principal",R154&lt;&gt;""),I154*R154,0)</f>
        <v>0</v>
      </c>
      <c r="T154" s="26" t="n">
        <f aca="false">IF(R154&lt;&gt;"",M154-S154,0)</f>
        <v>0</v>
      </c>
      <c r="U154" s="26" t="n">
        <f aca="false">IF(R154="",M154,0)</f>
        <v>800</v>
      </c>
    </row>
    <row r="155" customFormat="false" ht="15" hidden="false" customHeight="false" outlineLevel="0" collapsed="false">
      <c r="A155" s="25" t="s">
        <v>46</v>
      </c>
      <c r="B155" s="25" t="s">
        <v>52</v>
      </c>
      <c r="C155" s="25" t="s">
        <v>49</v>
      </c>
      <c r="D155" s="25" t="n">
        <v>6</v>
      </c>
      <c r="E155" s="25" t="s">
        <v>167</v>
      </c>
      <c r="F155" s="25" t="s">
        <v>95</v>
      </c>
      <c r="G155" s="25" t="n">
        <v>1244</v>
      </c>
      <c r="H155" s="25" t="s">
        <v>562</v>
      </c>
      <c r="I155" s="25" t="n">
        <v>1</v>
      </c>
      <c r="J155" s="26" t="n">
        <v>400</v>
      </c>
      <c r="K155" s="25" t="s">
        <v>546</v>
      </c>
      <c r="L155" s="25" t="s">
        <v>547</v>
      </c>
      <c r="M155" s="26" t="n">
        <f aca="false">IF(AND(L155="Oui",K155="Principal"),I155*J155,0)</f>
        <v>400</v>
      </c>
      <c r="N155" s="25" t="s">
        <v>548</v>
      </c>
      <c r="O155" s="25"/>
      <c r="P155" s="25" t="s">
        <v>550</v>
      </c>
      <c r="Q155" s="25" t="s">
        <v>557</v>
      </c>
      <c r="R155" s="26" t="n">
        <v>130</v>
      </c>
      <c r="S155" s="26" t="n">
        <f aca="false">IF(AND(L155="Oui",K155="Principal",R155&lt;&gt;""),I155*R155,0)</f>
        <v>130</v>
      </c>
      <c r="T155" s="26" t="n">
        <f aca="false">IF(R155&lt;&gt;"",M155-S155,0)</f>
        <v>270</v>
      </c>
      <c r="U155" s="26" t="n">
        <f aca="false">IF(R155="",M155,0)</f>
        <v>0</v>
      </c>
    </row>
    <row r="156" customFormat="false" ht="15" hidden="false" customHeight="false" outlineLevel="0" collapsed="false">
      <c r="A156" s="25" t="s">
        <v>46</v>
      </c>
      <c r="B156" s="25" t="s">
        <v>52</v>
      </c>
      <c r="C156" s="25" t="s">
        <v>49</v>
      </c>
      <c r="D156" s="25" t="n">
        <v>7</v>
      </c>
      <c r="E156" s="25" t="s">
        <v>563</v>
      </c>
      <c r="F156" s="25" t="s">
        <v>97</v>
      </c>
      <c r="G156" s="25" t="n">
        <v>1571</v>
      </c>
      <c r="H156" s="25" t="s">
        <v>564</v>
      </c>
      <c r="I156" s="25" t="n">
        <v>2</v>
      </c>
      <c r="J156" s="26" t="n">
        <v>75</v>
      </c>
      <c r="K156" s="25" t="s">
        <v>546</v>
      </c>
      <c r="L156" s="25" t="s">
        <v>547</v>
      </c>
      <c r="M156" s="26" t="n">
        <f aca="false">IF(AND(L156="Oui",K156="Principal"),I156*J156,0)</f>
        <v>150</v>
      </c>
      <c r="N156" s="25" t="s">
        <v>548</v>
      </c>
      <c r="O156" s="25"/>
      <c r="P156" s="25" t="s">
        <v>550</v>
      </c>
      <c r="Q156" s="25" t="s">
        <v>557</v>
      </c>
      <c r="R156" s="26"/>
      <c r="S156" s="26" t="n">
        <f aca="false">IF(AND(L156="Oui",K156="Principal",R156&lt;&gt;""),I156*R156,0)</f>
        <v>0</v>
      </c>
      <c r="T156" s="26" t="n">
        <f aca="false">IF(R156&lt;&gt;"",M156-S156,0)</f>
        <v>0</v>
      </c>
      <c r="U156" s="26" t="n">
        <f aca="false">IF(R156="",M156,0)</f>
        <v>150</v>
      </c>
    </row>
    <row r="157" customFormat="false" ht="15" hidden="false" customHeight="false" outlineLevel="0" collapsed="false">
      <c r="A157" s="25" t="s">
        <v>46</v>
      </c>
      <c r="B157" s="25" t="s">
        <v>52</v>
      </c>
      <c r="C157" s="25" t="s">
        <v>49</v>
      </c>
      <c r="D157" s="25" t="n">
        <v>8</v>
      </c>
      <c r="E157" s="25" t="s">
        <v>565</v>
      </c>
      <c r="F157" s="25" t="s">
        <v>99</v>
      </c>
      <c r="G157" s="25" t="n">
        <v>1181</v>
      </c>
      <c r="H157" s="25" t="s">
        <v>581</v>
      </c>
      <c r="I157" s="25" t="n">
        <v>1</v>
      </c>
      <c r="J157" s="26" t="n">
        <v>250</v>
      </c>
      <c r="K157" s="25" t="s">
        <v>546</v>
      </c>
      <c r="L157" s="25" t="s">
        <v>547</v>
      </c>
      <c r="M157" s="26" t="n">
        <f aca="false">IF(AND(L157="Oui",K157="Principal"),I157*J157,0)</f>
        <v>250</v>
      </c>
      <c r="N157" s="25" t="s">
        <v>548</v>
      </c>
      <c r="O157" s="25"/>
      <c r="P157" s="25" t="s">
        <v>550</v>
      </c>
      <c r="Q157" s="25" t="s">
        <v>557</v>
      </c>
      <c r="R157" s="26" t="n">
        <v>110</v>
      </c>
      <c r="S157" s="26" t="n">
        <f aca="false">IF(AND(L157="Oui",K157="Principal",R157&lt;&gt;""),I157*R157,0)</f>
        <v>110</v>
      </c>
      <c r="T157" s="26" t="n">
        <f aca="false">IF(R157&lt;&gt;"",M157-S157,0)</f>
        <v>140</v>
      </c>
      <c r="U157" s="26" t="n">
        <f aca="false">IF(R157="",M157,0)</f>
        <v>0</v>
      </c>
    </row>
    <row r="158" customFormat="false" ht="15" hidden="false" customHeight="false" outlineLevel="0" collapsed="false">
      <c r="A158" s="25" t="s">
        <v>46</v>
      </c>
      <c r="B158" s="25" t="s">
        <v>52</v>
      </c>
      <c r="C158" s="25" t="s">
        <v>49</v>
      </c>
      <c r="D158" s="25" t="n">
        <v>9</v>
      </c>
      <c r="E158" s="25" t="s">
        <v>565</v>
      </c>
      <c r="F158" s="25" t="s">
        <v>102</v>
      </c>
      <c r="G158" s="25" t="n">
        <v>1587</v>
      </c>
      <c r="H158" s="25" t="s">
        <v>567</v>
      </c>
      <c r="I158" s="25" t="n">
        <v>1</v>
      </c>
      <c r="J158" s="26" t="n">
        <v>500</v>
      </c>
      <c r="K158" s="25" t="s">
        <v>546</v>
      </c>
      <c r="L158" s="25" t="s">
        <v>547</v>
      </c>
      <c r="M158" s="26" t="n">
        <f aca="false">IF(AND(L158="Oui",K158="Principal"),I158*J158,0)</f>
        <v>500</v>
      </c>
      <c r="N158" s="25" t="s">
        <v>548</v>
      </c>
      <c r="O158" s="25"/>
      <c r="P158" s="25" t="s">
        <v>556</v>
      </c>
      <c r="Q158" s="25" t="s">
        <v>557</v>
      </c>
      <c r="R158" s="26" t="n">
        <v>350</v>
      </c>
      <c r="S158" s="26" t="n">
        <f aca="false">IF(AND(L158="Oui",K158="Principal",R158&lt;&gt;""),I158*R158,0)</f>
        <v>350</v>
      </c>
      <c r="T158" s="26" t="n">
        <f aca="false">IF(R158&lt;&gt;"",M158-S158,0)</f>
        <v>150</v>
      </c>
      <c r="U158" s="26" t="n">
        <f aca="false">IF(R158="",M158,0)</f>
        <v>0</v>
      </c>
    </row>
    <row r="159" customFormat="false" ht="15" hidden="false" customHeight="false" outlineLevel="0" collapsed="false">
      <c r="A159" s="25" t="s">
        <v>46</v>
      </c>
      <c r="B159" s="25" t="s">
        <v>52</v>
      </c>
      <c r="C159" s="25" t="s">
        <v>49</v>
      </c>
      <c r="D159" s="25" t="n">
        <v>10</v>
      </c>
      <c r="E159" s="25" t="s">
        <v>554</v>
      </c>
      <c r="F159" s="25" t="s">
        <v>104</v>
      </c>
      <c r="G159" s="25" t="n">
        <v>1589</v>
      </c>
      <c r="H159" s="25" t="s">
        <v>568</v>
      </c>
      <c r="I159" s="25" t="n">
        <v>1</v>
      </c>
      <c r="J159" s="26" t="n">
        <v>900</v>
      </c>
      <c r="K159" s="25" t="s">
        <v>546</v>
      </c>
      <c r="L159" s="25" t="s">
        <v>547</v>
      </c>
      <c r="M159" s="26" t="n">
        <f aca="false">IF(AND(L159="Oui",K159="Principal"),I159*J159,0)</f>
        <v>900</v>
      </c>
      <c r="N159" s="25" t="s">
        <v>548</v>
      </c>
      <c r="O159" s="25"/>
      <c r="P159" s="25" t="s">
        <v>556</v>
      </c>
      <c r="Q159" s="25" t="s">
        <v>557</v>
      </c>
      <c r="R159" s="26" t="n">
        <v>650</v>
      </c>
      <c r="S159" s="26" t="n">
        <f aca="false">IF(AND(L159="Oui",K159="Principal",R159&lt;&gt;""),I159*R159,0)</f>
        <v>650</v>
      </c>
      <c r="T159" s="26" t="n">
        <f aca="false">IF(R159&lt;&gt;"",M159-S159,0)</f>
        <v>250</v>
      </c>
      <c r="U159" s="26" t="n">
        <f aca="false">IF(R159="",M159,0)</f>
        <v>0</v>
      </c>
    </row>
    <row r="160" customFormat="false" ht="15" hidden="false" customHeight="false" outlineLevel="0" collapsed="false">
      <c r="A160" s="25" t="s">
        <v>46</v>
      </c>
      <c r="B160" s="25" t="s">
        <v>52</v>
      </c>
      <c r="C160" s="25" t="s">
        <v>49</v>
      </c>
      <c r="D160" s="25" t="n">
        <v>11</v>
      </c>
      <c r="E160" s="25" t="s">
        <v>565</v>
      </c>
      <c r="F160" s="25" t="s">
        <v>107</v>
      </c>
      <c r="G160" s="25" t="n">
        <v>1604</v>
      </c>
      <c r="H160" s="25" t="s">
        <v>582</v>
      </c>
      <c r="I160" s="25" t="n">
        <v>2</v>
      </c>
      <c r="J160" s="26" t="n">
        <v>700</v>
      </c>
      <c r="K160" s="25" t="s">
        <v>546</v>
      </c>
      <c r="L160" s="25" t="s">
        <v>547</v>
      </c>
      <c r="M160" s="26" t="n">
        <f aca="false">IF(AND(L160="Oui",K160="Principal"),I160*J160,0)</f>
        <v>1400</v>
      </c>
      <c r="N160" s="25" t="s">
        <v>548</v>
      </c>
      <c r="O160" s="25"/>
      <c r="P160" s="25" t="s">
        <v>556</v>
      </c>
      <c r="Q160" s="25" t="s">
        <v>557</v>
      </c>
      <c r="R160" s="26" t="n">
        <v>400</v>
      </c>
      <c r="S160" s="26" t="n">
        <f aca="false">IF(AND(L160="Oui",K160="Principal",R160&lt;&gt;""),I160*R160,0)</f>
        <v>800</v>
      </c>
      <c r="T160" s="26" t="n">
        <f aca="false">IF(R160&lt;&gt;"",M160-S160,0)</f>
        <v>600</v>
      </c>
      <c r="U160" s="26" t="n">
        <f aca="false">IF(R160="",M160,0)</f>
        <v>0</v>
      </c>
    </row>
    <row r="161" customFormat="false" ht="15" hidden="false" customHeight="false" outlineLevel="0" collapsed="false">
      <c r="A161" s="25" t="s">
        <v>46</v>
      </c>
      <c r="B161" s="25" t="s">
        <v>52</v>
      </c>
      <c r="C161" s="25" t="s">
        <v>49</v>
      </c>
      <c r="D161" s="25" t="n">
        <v>12</v>
      </c>
      <c r="E161" s="25" t="s">
        <v>565</v>
      </c>
      <c r="F161" s="25" t="s">
        <v>110</v>
      </c>
      <c r="G161" s="25" t="n">
        <v>1586</v>
      </c>
      <c r="H161" s="25" t="s">
        <v>583</v>
      </c>
      <c r="I161" s="25" t="n">
        <v>1</v>
      </c>
      <c r="J161" s="26" t="n">
        <v>900</v>
      </c>
      <c r="K161" s="25" t="s">
        <v>546</v>
      </c>
      <c r="L161" s="25" t="s">
        <v>547</v>
      </c>
      <c r="M161" s="26" t="n">
        <f aca="false">IF(AND(L161="Oui",K161="Principal"),I161*J161,0)</f>
        <v>900</v>
      </c>
      <c r="N161" s="25" t="s">
        <v>548</v>
      </c>
      <c r="O161" s="25"/>
      <c r="P161" s="25" t="s">
        <v>556</v>
      </c>
      <c r="Q161" s="25" t="s">
        <v>557</v>
      </c>
      <c r="R161" s="26" t="n">
        <v>650</v>
      </c>
      <c r="S161" s="26" t="n">
        <f aca="false">IF(AND(L161="Oui",K161="Principal",R161&lt;&gt;""),I161*R161,0)</f>
        <v>650</v>
      </c>
      <c r="T161" s="26" t="n">
        <f aca="false">IF(R161&lt;&gt;"",M161-S161,0)</f>
        <v>250</v>
      </c>
      <c r="U161" s="26" t="n">
        <f aca="false">IF(R161="",M161,0)</f>
        <v>0</v>
      </c>
    </row>
    <row r="162" customFormat="false" ht="15" hidden="false" customHeight="false" outlineLevel="0" collapsed="false">
      <c r="A162" s="25" t="s">
        <v>46</v>
      </c>
      <c r="B162" s="25" t="s">
        <v>52</v>
      </c>
      <c r="C162" s="25" t="s">
        <v>49</v>
      </c>
      <c r="D162" s="25" t="n">
        <v>13</v>
      </c>
      <c r="E162" s="25" t="s">
        <v>571</v>
      </c>
      <c r="F162" s="25" t="s">
        <v>113</v>
      </c>
      <c r="G162" s="25" t="n">
        <v>1625</v>
      </c>
      <c r="H162" s="25" t="s">
        <v>572</v>
      </c>
      <c r="I162" s="25" t="n">
        <v>1</v>
      </c>
      <c r="J162" s="26" t="n">
        <v>500</v>
      </c>
      <c r="K162" s="25" t="s">
        <v>546</v>
      </c>
      <c r="L162" s="25" t="s">
        <v>547</v>
      </c>
      <c r="M162" s="26" t="n">
        <f aca="false">IF(AND(L162="Oui",K162="Principal"),I162*J162,0)</f>
        <v>500</v>
      </c>
      <c r="N162" s="25" t="s">
        <v>548</v>
      </c>
      <c r="O162" s="25"/>
      <c r="P162" s="25" t="s">
        <v>556</v>
      </c>
      <c r="Q162" s="25" t="s">
        <v>557</v>
      </c>
      <c r="R162" s="26"/>
      <c r="S162" s="26" t="n">
        <f aca="false">IF(AND(L162="Oui",K162="Principal",R162&lt;&gt;""),I162*R162,0)</f>
        <v>0</v>
      </c>
      <c r="T162" s="26" t="n">
        <f aca="false">IF(R162&lt;&gt;"",M162-S162,0)</f>
        <v>0</v>
      </c>
      <c r="U162" s="26" t="n">
        <f aca="false">IF(R162="",M162,0)</f>
        <v>500</v>
      </c>
    </row>
    <row r="163" customFormat="false" ht="15" hidden="false" customHeight="false" outlineLevel="0" collapsed="false">
      <c r="A163" s="25" t="s">
        <v>46</v>
      </c>
      <c r="B163" s="25" t="s">
        <v>52</v>
      </c>
      <c r="C163" s="25" t="s">
        <v>49</v>
      </c>
      <c r="D163" s="25" t="n">
        <v>14</v>
      </c>
      <c r="E163" s="25" t="s">
        <v>554</v>
      </c>
      <c r="F163" s="25" t="s">
        <v>123</v>
      </c>
      <c r="G163" s="25" t="n">
        <v>1204</v>
      </c>
      <c r="H163" s="25" t="s">
        <v>584</v>
      </c>
      <c r="I163" s="25" t="n">
        <v>1</v>
      </c>
      <c r="J163" s="26" t="n">
        <v>1300</v>
      </c>
      <c r="K163" s="25" t="s">
        <v>546</v>
      </c>
      <c r="L163" s="25" t="s">
        <v>547</v>
      </c>
      <c r="M163" s="26" t="n">
        <f aca="false">IF(AND(L163="Oui",K163="Principal"),I163*J163,0)</f>
        <v>1300</v>
      </c>
      <c r="N163" s="25" t="s">
        <v>548</v>
      </c>
      <c r="O163" s="25"/>
      <c r="P163" s="25" t="s">
        <v>550</v>
      </c>
      <c r="Q163" s="25" t="s">
        <v>557</v>
      </c>
      <c r="R163" s="26" t="n">
        <v>1000</v>
      </c>
      <c r="S163" s="26" t="n">
        <f aca="false">IF(AND(L163="Oui",K163="Principal",R163&lt;&gt;""),I163*R163,0)</f>
        <v>1000</v>
      </c>
      <c r="T163" s="26" t="n">
        <f aca="false">IF(R163&lt;&gt;"",M163-S163,0)</f>
        <v>300</v>
      </c>
      <c r="U163" s="26" t="n">
        <f aca="false">IF(R163="",M163,0)</f>
        <v>0</v>
      </c>
    </row>
    <row r="164" customFormat="false" ht="15" hidden="false" customHeight="false" outlineLevel="0" collapsed="false">
      <c r="A164" s="27" t="s">
        <v>46</v>
      </c>
      <c r="B164" s="27" t="s">
        <v>52</v>
      </c>
      <c r="C164" s="27" t="s">
        <v>49</v>
      </c>
      <c r="D164" s="27" t="n">
        <v>15</v>
      </c>
      <c r="E164" s="27" t="s">
        <v>554</v>
      </c>
      <c r="F164" s="27" t="s">
        <v>126</v>
      </c>
      <c r="G164" s="27"/>
      <c r="H164" s="27" t="s">
        <v>585</v>
      </c>
      <c r="I164" s="27" t="n">
        <v>1</v>
      </c>
      <c r="J164" s="28" t="n">
        <v>0</v>
      </c>
      <c r="K164" s="27" t="s">
        <v>546</v>
      </c>
      <c r="L164" s="27" t="s">
        <v>579</v>
      </c>
      <c r="M164" s="28" t="n">
        <f aca="false">IF(AND(L164="Oui",K164="Principal"),I164*J164,0)</f>
        <v>0</v>
      </c>
      <c r="N164" s="27" t="s">
        <v>128</v>
      </c>
      <c r="O164" s="27" t="s">
        <v>586</v>
      </c>
      <c r="P164" s="27"/>
      <c r="Q164" s="27"/>
      <c r="R164" s="28"/>
      <c r="S164" s="28" t="n">
        <f aca="false">IF(AND(L164="Oui",K164="Principal",R164&lt;&gt;""),I164*R164,0)</f>
        <v>0</v>
      </c>
      <c r="T164" s="28" t="n">
        <f aca="false">IF(R164&lt;&gt;"",M164-S164,0)</f>
        <v>0</v>
      </c>
      <c r="U164" s="28" t="n">
        <f aca="false">IF(R164="",M164,0)</f>
        <v>0</v>
      </c>
    </row>
    <row r="165" customFormat="false" ht="15" hidden="false" customHeight="false" outlineLevel="0" collapsed="false">
      <c r="A165" s="27" t="s">
        <v>46</v>
      </c>
      <c r="B165" s="27" t="s">
        <v>52</v>
      </c>
      <c r="C165" s="27" t="s">
        <v>49</v>
      </c>
      <c r="D165" s="27" t="n">
        <v>16</v>
      </c>
      <c r="E165" s="27" t="s">
        <v>554</v>
      </c>
      <c r="F165" s="27" t="s">
        <v>129</v>
      </c>
      <c r="G165" s="27"/>
      <c r="H165" s="27" t="s">
        <v>585</v>
      </c>
      <c r="I165" s="27" t="n">
        <v>1</v>
      </c>
      <c r="J165" s="28" t="n">
        <v>0</v>
      </c>
      <c r="K165" s="27" t="s">
        <v>546</v>
      </c>
      <c r="L165" s="27" t="s">
        <v>579</v>
      </c>
      <c r="M165" s="28" t="n">
        <f aca="false">IF(AND(L165="Oui",K165="Principal"),I165*J165,0)</f>
        <v>0</v>
      </c>
      <c r="N165" s="27" t="s">
        <v>128</v>
      </c>
      <c r="O165" s="27" t="s">
        <v>586</v>
      </c>
      <c r="P165" s="27"/>
      <c r="Q165" s="27"/>
      <c r="R165" s="28"/>
      <c r="S165" s="28" t="n">
        <f aca="false">IF(AND(L165="Oui",K165="Principal",R165&lt;&gt;""),I165*R165,0)</f>
        <v>0</v>
      </c>
      <c r="T165" s="28" t="n">
        <f aca="false">IF(R165&lt;&gt;"",M165-S165,0)</f>
        <v>0</v>
      </c>
      <c r="U165" s="28" t="n">
        <f aca="false">IF(R165="",M165,0)</f>
        <v>0</v>
      </c>
    </row>
    <row r="166" customFormat="false" ht="15" hidden="false" customHeight="false" outlineLevel="0" collapsed="false">
      <c r="A166" s="25" t="s">
        <v>46</v>
      </c>
      <c r="B166" s="25" t="s">
        <v>52</v>
      </c>
      <c r="C166" s="25" t="s">
        <v>49</v>
      </c>
      <c r="D166" s="25" t="n">
        <v>17</v>
      </c>
      <c r="E166" s="25" t="s">
        <v>565</v>
      </c>
      <c r="F166" s="25" t="s">
        <v>131</v>
      </c>
      <c r="G166" s="25" t="n">
        <v>1183</v>
      </c>
      <c r="H166" s="25" t="s">
        <v>587</v>
      </c>
      <c r="I166" s="25" t="n">
        <v>1</v>
      </c>
      <c r="J166" s="26" t="n">
        <v>100</v>
      </c>
      <c r="K166" s="25" t="s">
        <v>546</v>
      </c>
      <c r="L166" s="25" t="s">
        <v>547</v>
      </c>
      <c r="M166" s="26" t="n">
        <f aca="false">IF(AND(L166="Oui",K166="Principal"),I166*J166,0)</f>
        <v>100</v>
      </c>
      <c r="N166" s="25" t="s">
        <v>548</v>
      </c>
      <c r="O166" s="25"/>
      <c r="P166" s="25" t="s">
        <v>550</v>
      </c>
      <c r="Q166" s="25" t="s">
        <v>557</v>
      </c>
      <c r="R166" s="26"/>
      <c r="S166" s="26" t="n">
        <f aca="false">IF(AND(L166="Oui",K166="Principal",R166&lt;&gt;""),I166*R166,0)</f>
        <v>0</v>
      </c>
      <c r="T166" s="26" t="n">
        <f aca="false">IF(R166&lt;&gt;"",M166-S166,0)</f>
        <v>0</v>
      </c>
      <c r="U166" s="26" t="n">
        <f aca="false">IF(R166="",M166,0)</f>
        <v>100</v>
      </c>
    </row>
    <row r="167" customFormat="false" ht="15" hidden="false" customHeight="false" outlineLevel="0" collapsed="false">
      <c r="A167" s="25" t="s">
        <v>46</v>
      </c>
      <c r="B167" s="25" t="s">
        <v>52</v>
      </c>
      <c r="C167" s="25" t="s">
        <v>49</v>
      </c>
      <c r="D167" s="25" t="n">
        <v>18</v>
      </c>
      <c r="E167" s="25" t="s">
        <v>588</v>
      </c>
      <c r="F167" s="25" t="s">
        <v>156</v>
      </c>
      <c r="G167" s="25" t="n">
        <v>1220</v>
      </c>
      <c r="H167" s="25" t="s">
        <v>604</v>
      </c>
      <c r="I167" s="25" t="n">
        <v>1</v>
      </c>
      <c r="J167" s="26" t="n">
        <v>3250</v>
      </c>
      <c r="K167" s="25" t="s">
        <v>546</v>
      </c>
      <c r="L167" s="25" t="s">
        <v>547</v>
      </c>
      <c r="M167" s="26" t="n">
        <f aca="false">IF(AND(L167="Oui",K167="Principal"),I167*J167,0)</f>
        <v>3250</v>
      </c>
      <c r="N167" s="25" t="s">
        <v>548</v>
      </c>
      <c r="O167" s="25" t="s">
        <v>590</v>
      </c>
      <c r="P167" s="25" t="s">
        <v>550</v>
      </c>
      <c r="Q167" s="25" t="s">
        <v>557</v>
      </c>
      <c r="R167" s="26" t="n">
        <v>2550</v>
      </c>
      <c r="S167" s="26" t="n">
        <f aca="false">IF(AND(L167="Oui",K167="Principal",R167&lt;&gt;""),I167*R167,0)</f>
        <v>2550</v>
      </c>
      <c r="T167" s="26" t="n">
        <f aca="false">IF(R167&lt;&gt;"",M167-S167,0)</f>
        <v>700</v>
      </c>
      <c r="U167" s="26" t="n">
        <f aca="false">IF(R167="",M167,0)</f>
        <v>0</v>
      </c>
    </row>
    <row r="168" customFormat="false" ht="15" hidden="false" customHeight="false" outlineLevel="0" collapsed="false">
      <c r="A168" s="25" t="s">
        <v>46</v>
      </c>
      <c r="B168" s="25" t="s">
        <v>52</v>
      </c>
      <c r="C168" s="25" t="s">
        <v>49</v>
      </c>
      <c r="D168" s="25" t="n">
        <v>19</v>
      </c>
      <c r="E168" s="25" t="s">
        <v>573</v>
      </c>
      <c r="F168" s="25" t="s">
        <v>115</v>
      </c>
      <c r="G168" s="25" t="n">
        <v>1706</v>
      </c>
      <c r="H168" s="25" t="s">
        <v>574</v>
      </c>
      <c r="I168" s="25" t="n">
        <v>1</v>
      </c>
      <c r="J168" s="26" t="n">
        <v>2000</v>
      </c>
      <c r="K168" s="25" t="s">
        <v>546</v>
      </c>
      <c r="L168" s="25" t="s">
        <v>547</v>
      </c>
      <c r="M168" s="26" t="n">
        <f aca="false">IF(AND(L168="Oui",K168="Principal"),I168*J168,0)</f>
        <v>2000</v>
      </c>
      <c r="N168" s="25" t="s">
        <v>548</v>
      </c>
      <c r="O168" s="25"/>
      <c r="P168" s="25" t="s">
        <v>561</v>
      </c>
      <c r="Q168" s="25" t="s">
        <v>557</v>
      </c>
      <c r="R168" s="26" t="n">
        <v>1500</v>
      </c>
      <c r="S168" s="26" t="n">
        <f aca="false">IF(AND(L168="Oui",K168="Principal",R168&lt;&gt;""),I168*R168,0)</f>
        <v>1500</v>
      </c>
      <c r="T168" s="26" t="n">
        <f aca="false">IF(R168&lt;&gt;"",M168-S168,0)</f>
        <v>500</v>
      </c>
      <c r="U168" s="26" t="n">
        <f aca="false">IF(R168="",M168,0)</f>
        <v>0</v>
      </c>
    </row>
    <row r="169" customFormat="false" ht="15" hidden="false" customHeight="false" outlineLevel="0" collapsed="false">
      <c r="A169" s="25" t="s">
        <v>46</v>
      </c>
      <c r="B169" s="25" t="s">
        <v>52</v>
      </c>
      <c r="C169" s="25" t="s">
        <v>49</v>
      </c>
      <c r="D169" s="25" t="n">
        <v>20</v>
      </c>
      <c r="E169" s="25" t="s">
        <v>573</v>
      </c>
      <c r="F169" s="25" t="s">
        <v>117</v>
      </c>
      <c r="G169" s="25" t="n">
        <v>1193</v>
      </c>
      <c r="H169" s="25" t="s">
        <v>592</v>
      </c>
      <c r="I169" s="25" t="n">
        <v>1</v>
      </c>
      <c r="J169" s="26" t="n">
        <v>3100</v>
      </c>
      <c r="K169" s="25" t="s">
        <v>546</v>
      </c>
      <c r="L169" s="25" t="s">
        <v>547</v>
      </c>
      <c r="M169" s="26" t="n">
        <f aca="false">IF(AND(L169="Oui",K169="Principal"),I169*J169,0)</f>
        <v>3100</v>
      </c>
      <c r="N169" s="25" t="s">
        <v>548</v>
      </c>
      <c r="O169" s="25"/>
      <c r="P169" s="25" t="s">
        <v>550</v>
      </c>
      <c r="Q169" s="25" t="s">
        <v>557</v>
      </c>
      <c r="R169" s="26" t="n">
        <v>2400</v>
      </c>
      <c r="S169" s="26" t="n">
        <f aca="false">IF(AND(L169="Oui",K169="Principal",R169&lt;&gt;""),I169*R169,0)</f>
        <v>2400</v>
      </c>
      <c r="T169" s="26" t="n">
        <f aca="false">IF(R169&lt;&gt;"",M169-S169,0)</f>
        <v>700</v>
      </c>
      <c r="U169" s="26" t="n">
        <f aca="false">IF(R169="",M169,0)</f>
        <v>0</v>
      </c>
    </row>
    <row r="170" customFormat="false" ht="15" hidden="false" customHeight="false" outlineLevel="0" collapsed="false">
      <c r="A170" s="25" t="s">
        <v>46</v>
      </c>
      <c r="B170" s="25" t="s">
        <v>52</v>
      </c>
      <c r="C170" s="25" t="s">
        <v>49</v>
      </c>
      <c r="D170" s="25" t="n">
        <v>21</v>
      </c>
      <c r="E170" s="25" t="s">
        <v>577</v>
      </c>
      <c r="F170" s="25" t="s">
        <v>120</v>
      </c>
      <c r="G170" s="25" t="n">
        <v>1252</v>
      </c>
      <c r="H170" s="25" t="s">
        <v>578</v>
      </c>
      <c r="I170" s="25" t="n">
        <v>1</v>
      </c>
      <c r="J170" s="26" t="n">
        <v>6500</v>
      </c>
      <c r="K170" s="25" t="s">
        <v>577</v>
      </c>
      <c r="L170" s="25" t="s">
        <v>579</v>
      </c>
      <c r="M170" s="26" t="n">
        <f aca="false">IF(AND(L170="Oui",K170="Principal"),I170*J170,0)</f>
        <v>0</v>
      </c>
      <c r="N170" s="25" t="s">
        <v>548</v>
      </c>
      <c r="O170" s="25"/>
      <c r="P170" s="25" t="s">
        <v>550</v>
      </c>
      <c r="Q170" s="25" t="s">
        <v>557</v>
      </c>
      <c r="R170" s="26" t="n">
        <v>6000</v>
      </c>
      <c r="S170" s="26" t="n">
        <f aca="false">IF(AND(L170="Oui",K170="Principal",R170&lt;&gt;""),I170*R170,0)</f>
        <v>0</v>
      </c>
      <c r="T170" s="26" t="n">
        <f aca="false">IF(R170&lt;&gt;"",M170-S170,0)</f>
        <v>0</v>
      </c>
      <c r="U170" s="26" t="n">
        <f aca="false">IF(R170="",M170,0)</f>
        <v>0</v>
      </c>
    </row>
    <row r="171" customFormat="false" ht="15" hidden="false" customHeight="false" outlineLevel="0" collapsed="false">
      <c r="A171" s="25" t="s">
        <v>46</v>
      </c>
      <c r="B171" s="25" t="s">
        <v>52</v>
      </c>
      <c r="C171" s="25" t="s">
        <v>50</v>
      </c>
      <c r="D171" s="25" t="n">
        <v>1</v>
      </c>
      <c r="E171" s="25" t="s">
        <v>544</v>
      </c>
      <c r="F171" s="25" t="s">
        <v>151</v>
      </c>
      <c r="G171" s="25" t="n">
        <v>1618</v>
      </c>
      <c r="H171" s="25" t="s">
        <v>600</v>
      </c>
      <c r="I171" s="25" t="n">
        <v>2</v>
      </c>
      <c r="J171" s="26" t="n">
        <v>450</v>
      </c>
      <c r="K171" s="25" t="s">
        <v>546</v>
      </c>
      <c r="L171" s="25" t="s">
        <v>547</v>
      </c>
      <c r="M171" s="26" t="n">
        <f aca="false">IF(AND(L171="Oui",K171="Principal"),I171*J171,0)</f>
        <v>900</v>
      </c>
      <c r="N171" s="25" t="s">
        <v>548</v>
      </c>
      <c r="O171" s="25" t="s">
        <v>603</v>
      </c>
      <c r="P171" s="25" t="s">
        <v>556</v>
      </c>
      <c r="Q171" s="25" t="s">
        <v>557</v>
      </c>
      <c r="R171" s="26" t="n">
        <v>350</v>
      </c>
      <c r="S171" s="26" t="n">
        <f aca="false">IF(AND(L171="Oui",K171="Principal",R171&lt;&gt;""),I171*R171,0)</f>
        <v>700</v>
      </c>
      <c r="T171" s="26" t="n">
        <f aca="false">IF(R171&lt;&gt;"",M171-S171,0)</f>
        <v>200</v>
      </c>
      <c r="U171" s="26" t="n">
        <f aca="false">IF(R171="",M171,0)</f>
        <v>0</v>
      </c>
    </row>
    <row r="172" customFormat="false" ht="15" hidden="false" customHeight="false" outlineLevel="0" collapsed="false">
      <c r="A172" s="25" t="s">
        <v>46</v>
      </c>
      <c r="B172" s="25" t="s">
        <v>52</v>
      </c>
      <c r="C172" s="25" t="s">
        <v>50</v>
      </c>
      <c r="D172" s="25" t="n">
        <v>2</v>
      </c>
      <c r="E172" s="25" t="s">
        <v>544</v>
      </c>
      <c r="F172" s="25" t="s">
        <v>86</v>
      </c>
      <c r="G172" s="25" t="n">
        <v>1729</v>
      </c>
      <c r="H172" s="25" t="s">
        <v>552</v>
      </c>
      <c r="I172" s="25" t="n">
        <v>1</v>
      </c>
      <c r="J172" s="26" t="n">
        <v>1300</v>
      </c>
      <c r="K172" s="25" t="s">
        <v>546</v>
      </c>
      <c r="L172" s="25" t="s">
        <v>547</v>
      </c>
      <c r="M172" s="26" t="n">
        <f aca="false">IF(AND(L172="Oui",K172="Principal"),I172*J172,0)</f>
        <v>1300</v>
      </c>
      <c r="N172" s="25" t="s">
        <v>548</v>
      </c>
      <c r="O172" s="25" t="s">
        <v>553</v>
      </c>
      <c r="P172" s="25" t="s">
        <v>550</v>
      </c>
      <c r="Q172" s="25" t="s">
        <v>551</v>
      </c>
      <c r="R172" s="26"/>
      <c r="S172" s="26" t="n">
        <f aca="false">IF(AND(L172="Oui",K172="Principal",R172&lt;&gt;""),I172*R172,0)</f>
        <v>0</v>
      </c>
      <c r="T172" s="26" t="n">
        <f aca="false">IF(R172&lt;&gt;"",M172-S172,0)</f>
        <v>0</v>
      </c>
      <c r="U172" s="26" t="n">
        <f aca="false">IF(R172="",M172,0)</f>
        <v>1300</v>
      </c>
    </row>
    <row r="173" customFormat="false" ht="15" hidden="false" customHeight="false" outlineLevel="0" collapsed="false">
      <c r="A173" s="25" t="s">
        <v>46</v>
      </c>
      <c r="B173" s="25" t="s">
        <v>52</v>
      </c>
      <c r="C173" s="25" t="s">
        <v>50</v>
      </c>
      <c r="D173" s="25" t="n">
        <v>3</v>
      </c>
      <c r="E173" s="25" t="s">
        <v>554</v>
      </c>
      <c r="F173" s="25" t="s">
        <v>88</v>
      </c>
      <c r="G173" s="25" t="n">
        <v>1286</v>
      </c>
      <c r="H173" s="25" t="s">
        <v>580</v>
      </c>
      <c r="I173" s="25" t="n">
        <v>1</v>
      </c>
      <c r="J173" s="26" t="n">
        <v>550</v>
      </c>
      <c r="K173" s="25" t="s">
        <v>546</v>
      </c>
      <c r="L173" s="25" t="s">
        <v>547</v>
      </c>
      <c r="M173" s="26" t="n">
        <f aca="false">IF(AND(L173="Oui",K173="Principal"),I173*J173,0)</f>
        <v>550</v>
      </c>
      <c r="N173" s="25" t="s">
        <v>548</v>
      </c>
      <c r="O173" s="25"/>
      <c r="P173" s="25" t="s">
        <v>550</v>
      </c>
      <c r="Q173" s="25" t="s">
        <v>557</v>
      </c>
      <c r="R173" s="26" t="n">
        <v>450</v>
      </c>
      <c r="S173" s="26" t="n">
        <f aca="false">IF(AND(L173="Oui",K173="Principal",R173&lt;&gt;""),I173*R173,0)</f>
        <v>450</v>
      </c>
      <c r="T173" s="26" t="n">
        <f aca="false">IF(R173&lt;&gt;"",M173-S173,0)</f>
        <v>100</v>
      </c>
      <c r="U173" s="26" t="n">
        <f aca="false">IF(R173="",M173,0)</f>
        <v>0</v>
      </c>
    </row>
    <row r="174" customFormat="false" ht="15" hidden="false" customHeight="false" outlineLevel="0" collapsed="false">
      <c r="A174" s="25" t="s">
        <v>46</v>
      </c>
      <c r="B174" s="25" t="s">
        <v>52</v>
      </c>
      <c r="C174" s="25" t="s">
        <v>50</v>
      </c>
      <c r="D174" s="25" t="n">
        <v>4</v>
      </c>
      <c r="E174" s="25" t="s">
        <v>167</v>
      </c>
      <c r="F174" s="25" t="s">
        <v>91</v>
      </c>
      <c r="G174" s="25" t="n">
        <v>33</v>
      </c>
      <c r="H174" s="25" t="s">
        <v>558</v>
      </c>
      <c r="I174" s="25" t="n">
        <v>1</v>
      </c>
      <c r="J174" s="26" t="n">
        <v>1200</v>
      </c>
      <c r="K174" s="25" t="s">
        <v>546</v>
      </c>
      <c r="L174" s="25" t="s">
        <v>547</v>
      </c>
      <c r="M174" s="26" t="n">
        <f aca="false">IF(AND(L174="Oui",K174="Principal"),I174*J174,0)</f>
        <v>1200</v>
      </c>
      <c r="N174" s="25" t="s">
        <v>548</v>
      </c>
      <c r="O174" s="25"/>
      <c r="P174" s="25" t="s">
        <v>559</v>
      </c>
      <c r="Q174" s="25" t="s">
        <v>551</v>
      </c>
      <c r="R174" s="26"/>
      <c r="S174" s="26" t="n">
        <f aca="false">IF(AND(L174="Oui",K174="Principal",R174&lt;&gt;""),I174*R174,0)</f>
        <v>0</v>
      </c>
      <c r="T174" s="26" t="n">
        <f aca="false">IF(R174&lt;&gt;"",M174-S174,0)</f>
        <v>0</v>
      </c>
      <c r="U174" s="26" t="n">
        <f aca="false">IF(R174="",M174,0)</f>
        <v>1200</v>
      </c>
    </row>
    <row r="175" customFormat="false" ht="15" hidden="false" customHeight="false" outlineLevel="0" collapsed="false">
      <c r="A175" s="25" t="s">
        <v>46</v>
      </c>
      <c r="B175" s="25" t="s">
        <v>52</v>
      </c>
      <c r="C175" s="25" t="s">
        <v>50</v>
      </c>
      <c r="D175" s="25" t="n">
        <v>5</v>
      </c>
      <c r="E175" s="25" t="s">
        <v>167</v>
      </c>
      <c r="F175" s="25" t="s">
        <v>93</v>
      </c>
      <c r="G175" s="25" t="n">
        <v>1698</v>
      </c>
      <c r="H175" s="25" t="s">
        <v>560</v>
      </c>
      <c r="I175" s="25" t="n">
        <v>6</v>
      </c>
      <c r="J175" s="26" t="n">
        <v>400</v>
      </c>
      <c r="K175" s="25" t="s">
        <v>546</v>
      </c>
      <c r="L175" s="25" t="s">
        <v>547</v>
      </c>
      <c r="M175" s="26" t="n">
        <f aca="false">IF(AND(L175="Oui",K175="Principal"),I175*J175,0)</f>
        <v>2400</v>
      </c>
      <c r="N175" s="25" t="s">
        <v>548</v>
      </c>
      <c r="O175" s="25"/>
      <c r="P175" s="25" t="s">
        <v>561</v>
      </c>
      <c r="Q175" s="25" t="s">
        <v>557</v>
      </c>
      <c r="R175" s="26"/>
      <c r="S175" s="26" t="n">
        <f aca="false">IF(AND(L175="Oui",K175="Principal",R175&lt;&gt;""),I175*R175,0)</f>
        <v>0</v>
      </c>
      <c r="T175" s="26" t="n">
        <f aca="false">IF(R175&lt;&gt;"",M175-S175,0)</f>
        <v>0</v>
      </c>
      <c r="U175" s="26" t="n">
        <f aca="false">IF(R175="",M175,0)</f>
        <v>2400</v>
      </c>
    </row>
    <row r="176" customFormat="false" ht="15" hidden="false" customHeight="false" outlineLevel="0" collapsed="false">
      <c r="A176" s="25" t="s">
        <v>46</v>
      </c>
      <c r="B176" s="25" t="s">
        <v>52</v>
      </c>
      <c r="C176" s="25" t="s">
        <v>50</v>
      </c>
      <c r="D176" s="25" t="n">
        <v>6</v>
      </c>
      <c r="E176" s="25" t="s">
        <v>167</v>
      </c>
      <c r="F176" s="25" t="s">
        <v>95</v>
      </c>
      <c r="G176" s="25" t="n">
        <v>1244</v>
      </c>
      <c r="H176" s="25" t="s">
        <v>562</v>
      </c>
      <c r="I176" s="25" t="n">
        <v>1</v>
      </c>
      <c r="J176" s="26" t="n">
        <v>400</v>
      </c>
      <c r="K176" s="25" t="s">
        <v>546</v>
      </c>
      <c r="L176" s="25" t="s">
        <v>547</v>
      </c>
      <c r="M176" s="26" t="n">
        <f aca="false">IF(AND(L176="Oui",K176="Principal"),I176*J176,0)</f>
        <v>400</v>
      </c>
      <c r="N176" s="25" t="s">
        <v>548</v>
      </c>
      <c r="O176" s="25"/>
      <c r="P176" s="25" t="s">
        <v>550</v>
      </c>
      <c r="Q176" s="25" t="s">
        <v>557</v>
      </c>
      <c r="R176" s="26" t="n">
        <v>130</v>
      </c>
      <c r="S176" s="26" t="n">
        <f aca="false">IF(AND(L176="Oui",K176="Principal",R176&lt;&gt;""),I176*R176,0)</f>
        <v>130</v>
      </c>
      <c r="T176" s="26" t="n">
        <f aca="false">IF(R176&lt;&gt;"",M176-S176,0)</f>
        <v>270</v>
      </c>
      <c r="U176" s="26" t="n">
        <f aca="false">IF(R176="",M176,0)</f>
        <v>0</v>
      </c>
    </row>
    <row r="177" customFormat="false" ht="15" hidden="false" customHeight="false" outlineLevel="0" collapsed="false">
      <c r="A177" s="25" t="s">
        <v>46</v>
      </c>
      <c r="B177" s="25" t="s">
        <v>52</v>
      </c>
      <c r="C177" s="25" t="s">
        <v>50</v>
      </c>
      <c r="D177" s="25" t="n">
        <v>7</v>
      </c>
      <c r="E177" s="25" t="s">
        <v>563</v>
      </c>
      <c r="F177" s="25" t="s">
        <v>97</v>
      </c>
      <c r="G177" s="25" t="n">
        <v>1571</v>
      </c>
      <c r="H177" s="25" t="s">
        <v>564</v>
      </c>
      <c r="I177" s="25" t="n">
        <v>4</v>
      </c>
      <c r="J177" s="26" t="n">
        <v>75</v>
      </c>
      <c r="K177" s="25" t="s">
        <v>546</v>
      </c>
      <c r="L177" s="25" t="s">
        <v>547</v>
      </c>
      <c r="M177" s="26" t="n">
        <f aca="false">IF(AND(L177="Oui",K177="Principal"),I177*J177,0)</f>
        <v>300</v>
      </c>
      <c r="N177" s="25" t="s">
        <v>548</v>
      </c>
      <c r="O177" s="25"/>
      <c r="P177" s="25" t="s">
        <v>550</v>
      </c>
      <c r="Q177" s="25" t="s">
        <v>557</v>
      </c>
      <c r="R177" s="26"/>
      <c r="S177" s="26" t="n">
        <f aca="false">IF(AND(L177="Oui",K177="Principal",R177&lt;&gt;""),I177*R177,0)</f>
        <v>0</v>
      </c>
      <c r="T177" s="26" t="n">
        <f aca="false">IF(R177&lt;&gt;"",M177-S177,0)</f>
        <v>0</v>
      </c>
      <c r="U177" s="26" t="n">
        <f aca="false">IF(R177="",M177,0)</f>
        <v>300</v>
      </c>
    </row>
    <row r="178" customFormat="false" ht="15" hidden="false" customHeight="false" outlineLevel="0" collapsed="false">
      <c r="A178" s="25" t="s">
        <v>46</v>
      </c>
      <c r="B178" s="25" t="s">
        <v>52</v>
      </c>
      <c r="C178" s="25" t="s">
        <v>50</v>
      </c>
      <c r="D178" s="25" t="n">
        <v>8</v>
      </c>
      <c r="E178" s="25" t="s">
        <v>565</v>
      </c>
      <c r="F178" s="25" t="s">
        <v>99</v>
      </c>
      <c r="G178" s="25" t="n">
        <v>1181</v>
      </c>
      <c r="H178" s="25" t="s">
        <v>581</v>
      </c>
      <c r="I178" s="25" t="n">
        <v>2</v>
      </c>
      <c r="J178" s="26" t="n">
        <v>250</v>
      </c>
      <c r="K178" s="25" t="s">
        <v>546</v>
      </c>
      <c r="L178" s="25" t="s">
        <v>547</v>
      </c>
      <c r="M178" s="26" t="n">
        <f aca="false">IF(AND(L178="Oui",K178="Principal"),I178*J178,0)</f>
        <v>500</v>
      </c>
      <c r="N178" s="25" t="s">
        <v>548</v>
      </c>
      <c r="O178" s="25"/>
      <c r="P178" s="25" t="s">
        <v>550</v>
      </c>
      <c r="Q178" s="25" t="s">
        <v>557</v>
      </c>
      <c r="R178" s="26" t="n">
        <v>110</v>
      </c>
      <c r="S178" s="26" t="n">
        <f aca="false">IF(AND(L178="Oui",K178="Principal",R178&lt;&gt;""),I178*R178,0)</f>
        <v>220</v>
      </c>
      <c r="T178" s="26" t="n">
        <f aca="false">IF(R178&lt;&gt;"",M178-S178,0)</f>
        <v>280</v>
      </c>
      <c r="U178" s="26" t="n">
        <f aca="false">IF(R178="",M178,0)</f>
        <v>0</v>
      </c>
    </row>
    <row r="179" customFormat="false" ht="15" hidden="false" customHeight="false" outlineLevel="0" collapsed="false">
      <c r="A179" s="25" t="s">
        <v>46</v>
      </c>
      <c r="B179" s="25" t="s">
        <v>52</v>
      </c>
      <c r="C179" s="25" t="s">
        <v>50</v>
      </c>
      <c r="D179" s="25" t="n">
        <v>9</v>
      </c>
      <c r="E179" s="25" t="s">
        <v>565</v>
      </c>
      <c r="F179" s="25" t="s">
        <v>102</v>
      </c>
      <c r="G179" s="25" t="n">
        <v>1587</v>
      </c>
      <c r="H179" s="25" t="s">
        <v>567</v>
      </c>
      <c r="I179" s="25" t="n">
        <v>1</v>
      </c>
      <c r="J179" s="26" t="n">
        <v>500</v>
      </c>
      <c r="K179" s="25" t="s">
        <v>546</v>
      </c>
      <c r="L179" s="25" t="s">
        <v>547</v>
      </c>
      <c r="M179" s="26" t="n">
        <f aca="false">IF(AND(L179="Oui",K179="Principal"),I179*J179,0)</f>
        <v>500</v>
      </c>
      <c r="N179" s="25" t="s">
        <v>548</v>
      </c>
      <c r="O179" s="25"/>
      <c r="P179" s="25" t="s">
        <v>556</v>
      </c>
      <c r="Q179" s="25" t="s">
        <v>557</v>
      </c>
      <c r="R179" s="26" t="n">
        <v>350</v>
      </c>
      <c r="S179" s="26" t="n">
        <f aca="false">IF(AND(L179="Oui",K179="Principal",R179&lt;&gt;""),I179*R179,0)</f>
        <v>350</v>
      </c>
      <c r="T179" s="26" t="n">
        <f aca="false">IF(R179&lt;&gt;"",M179-S179,0)</f>
        <v>150</v>
      </c>
      <c r="U179" s="26" t="n">
        <f aca="false">IF(R179="",M179,0)</f>
        <v>0</v>
      </c>
    </row>
    <row r="180" customFormat="false" ht="15" hidden="false" customHeight="false" outlineLevel="0" collapsed="false">
      <c r="A180" s="25" t="s">
        <v>46</v>
      </c>
      <c r="B180" s="25" t="s">
        <v>52</v>
      </c>
      <c r="C180" s="25" t="s">
        <v>50</v>
      </c>
      <c r="D180" s="25" t="n">
        <v>10</v>
      </c>
      <c r="E180" s="25" t="s">
        <v>554</v>
      </c>
      <c r="F180" s="25" t="s">
        <v>104</v>
      </c>
      <c r="G180" s="25" t="n">
        <v>1594</v>
      </c>
      <c r="H180" s="25" t="s">
        <v>593</v>
      </c>
      <c r="I180" s="25" t="n">
        <v>1</v>
      </c>
      <c r="J180" s="26" t="n">
        <v>1600</v>
      </c>
      <c r="K180" s="25" t="s">
        <v>546</v>
      </c>
      <c r="L180" s="25" t="s">
        <v>547</v>
      </c>
      <c r="M180" s="26" t="n">
        <f aca="false">IF(AND(L180="Oui",K180="Principal"),I180*J180,0)</f>
        <v>1600</v>
      </c>
      <c r="N180" s="25" t="s">
        <v>548</v>
      </c>
      <c r="O180" s="25"/>
      <c r="P180" s="25" t="s">
        <v>556</v>
      </c>
      <c r="Q180" s="25" t="s">
        <v>557</v>
      </c>
      <c r="R180" s="26" t="n">
        <v>1300</v>
      </c>
      <c r="S180" s="26" t="n">
        <f aca="false">IF(AND(L180="Oui",K180="Principal",R180&lt;&gt;""),I180*R180,0)</f>
        <v>1300</v>
      </c>
      <c r="T180" s="26" t="n">
        <f aca="false">IF(R180&lt;&gt;"",M180-S180,0)</f>
        <v>300</v>
      </c>
      <c r="U180" s="26" t="n">
        <f aca="false">IF(R180="",M180,0)</f>
        <v>0</v>
      </c>
    </row>
    <row r="181" customFormat="false" ht="15" hidden="false" customHeight="false" outlineLevel="0" collapsed="false">
      <c r="A181" s="25" t="s">
        <v>46</v>
      </c>
      <c r="B181" s="25" t="s">
        <v>52</v>
      </c>
      <c r="C181" s="25" t="s">
        <v>50</v>
      </c>
      <c r="D181" s="25" t="n">
        <v>11</v>
      </c>
      <c r="E181" s="25" t="s">
        <v>565</v>
      </c>
      <c r="F181" s="25" t="s">
        <v>107</v>
      </c>
      <c r="G181" s="25" t="n">
        <v>1604</v>
      </c>
      <c r="H181" s="25" t="s">
        <v>582</v>
      </c>
      <c r="I181" s="25" t="n">
        <v>4</v>
      </c>
      <c r="J181" s="26" t="n">
        <v>700</v>
      </c>
      <c r="K181" s="25" t="s">
        <v>546</v>
      </c>
      <c r="L181" s="25" t="s">
        <v>547</v>
      </c>
      <c r="M181" s="26" t="n">
        <f aca="false">IF(AND(L181="Oui",K181="Principal"),I181*J181,0)</f>
        <v>2800</v>
      </c>
      <c r="N181" s="25" t="s">
        <v>548</v>
      </c>
      <c r="O181" s="25"/>
      <c r="P181" s="25" t="s">
        <v>556</v>
      </c>
      <c r="Q181" s="25" t="s">
        <v>557</v>
      </c>
      <c r="R181" s="26" t="n">
        <v>400</v>
      </c>
      <c r="S181" s="26" t="n">
        <f aca="false">IF(AND(L181="Oui",K181="Principal",R181&lt;&gt;""),I181*R181,0)</f>
        <v>1600</v>
      </c>
      <c r="T181" s="26" t="n">
        <f aca="false">IF(R181&lt;&gt;"",M181-S181,0)</f>
        <v>1200</v>
      </c>
      <c r="U181" s="26" t="n">
        <f aca="false">IF(R181="",M181,0)</f>
        <v>0</v>
      </c>
    </row>
    <row r="182" customFormat="false" ht="15" hidden="false" customHeight="false" outlineLevel="0" collapsed="false">
      <c r="A182" s="25" t="s">
        <v>46</v>
      </c>
      <c r="B182" s="25" t="s">
        <v>52</v>
      </c>
      <c r="C182" s="25" t="s">
        <v>50</v>
      </c>
      <c r="D182" s="25" t="n">
        <v>12</v>
      </c>
      <c r="E182" s="25" t="s">
        <v>565</v>
      </c>
      <c r="F182" s="25" t="s">
        <v>110</v>
      </c>
      <c r="G182" s="25" t="n">
        <v>1586</v>
      </c>
      <c r="H182" s="25" t="s">
        <v>583</v>
      </c>
      <c r="I182" s="25" t="n">
        <v>1</v>
      </c>
      <c r="J182" s="26" t="n">
        <v>900</v>
      </c>
      <c r="K182" s="25" t="s">
        <v>546</v>
      </c>
      <c r="L182" s="25" t="s">
        <v>547</v>
      </c>
      <c r="M182" s="26" t="n">
        <f aca="false">IF(AND(L182="Oui",K182="Principal"),I182*J182,0)</f>
        <v>900</v>
      </c>
      <c r="N182" s="25" t="s">
        <v>548</v>
      </c>
      <c r="O182" s="25"/>
      <c r="P182" s="25" t="s">
        <v>556</v>
      </c>
      <c r="Q182" s="25" t="s">
        <v>557</v>
      </c>
      <c r="R182" s="26" t="n">
        <v>650</v>
      </c>
      <c r="S182" s="26" t="n">
        <f aca="false">IF(AND(L182="Oui",K182="Principal",R182&lt;&gt;""),I182*R182,0)</f>
        <v>650</v>
      </c>
      <c r="T182" s="26" t="n">
        <f aca="false">IF(R182&lt;&gt;"",M182-S182,0)</f>
        <v>250</v>
      </c>
      <c r="U182" s="26" t="n">
        <f aca="false">IF(R182="",M182,0)</f>
        <v>0</v>
      </c>
    </row>
    <row r="183" customFormat="false" ht="15" hidden="false" customHeight="false" outlineLevel="0" collapsed="false">
      <c r="A183" s="25" t="s">
        <v>46</v>
      </c>
      <c r="B183" s="25" t="s">
        <v>52</v>
      </c>
      <c r="C183" s="25" t="s">
        <v>50</v>
      </c>
      <c r="D183" s="25" t="n">
        <v>13</v>
      </c>
      <c r="E183" s="25" t="s">
        <v>571</v>
      </c>
      <c r="F183" s="25" t="s">
        <v>113</v>
      </c>
      <c r="G183" s="25" t="n">
        <v>1625</v>
      </c>
      <c r="H183" s="25" t="s">
        <v>572</v>
      </c>
      <c r="I183" s="25" t="n">
        <v>1</v>
      </c>
      <c r="J183" s="26" t="n">
        <v>500</v>
      </c>
      <c r="K183" s="25" t="s">
        <v>546</v>
      </c>
      <c r="L183" s="25" t="s">
        <v>547</v>
      </c>
      <c r="M183" s="26" t="n">
        <f aca="false">IF(AND(L183="Oui",K183="Principal"),I183*J183,0)</f>
        <v>500</v>
      </c>
      <c r="N183" s="25" t="s">
        <v>548</v>
      </c>
      <c r="O183" s="25"/>
      <c r="P183" s="25" t="s">
        <v>556</v>
      </c>
      <c r="Q183" s="25" t="s">
        <v>557</v>
      </c>
      <c r="R183" s="26"/>
      <c r="S183" s="26" t="n">
        <f aca="false">IF(AND(L183="Oui",K183="Principal",R183&lt;&gt;""),I183*R183,0)</f>
        <v>0</v>
      </c>
      <c r="T183" s="26" t="n">
        <f aca="false">IF(R183&lt;&gt;"",M183-S183,0)</f>
        <v>0</v>
      </c>
      <c r="U183" s="26" t="n">
        <f aca="false">IF(R183="",M183,0)</f>
        <v>500</v>
      </c>
    </row>
    <row r="184" customFormat="false" ht="15" hidden="false" customHeight="false" outlineLevel="0" collapsed="false">
      <c r="A184" s="25" t="s">
        <v>46</v>
      </c>
      <c r="B184" s="25" t="s">
        <v>52</v>
      </c>
      <c r="C184" s="25" t="s">
        <v>50</v>
      </c>
      <c r="D184" s="25" t="n">
        <v>14</v>
      </c>
      <c r="E184" s="25" t="s">
        <v>554</v>
      </c>
      <c r="F184" s="25" t="s">
        <v>123</v>
      </c>
      <c r="G184" s="25" t="n">
        <v>1204</v>
      </c>
      <c r="H184" s="25" t="s">
        <v>584</v>
      </c>
      <c r="I184" s="25" t="n">
        <v>1</v>
      </c>
      <c r="J184" s="26" t="n">
        <v>1300</v>
      </c>
      <c r="K184" s="25" t="s">
        <v>546</v>
      </c>
      <c r="L184" s="25" t="s">
        <v>547</v>
      </c>
      <c r="M184" s="26" t="n">
        <f aca="false">IF(AND(L184="Oui",K184="Principal"),I184*J184,0)</f>
        <v>1300</v>
      </c>
      <c r="N184" s="25" t="s">
        <v>548</v>
      </c>
      <c r="O184" s="25"/>
      <c r="P184" s="25" t="s">
        <v>550</v>
      </c>
      <c r="Q184" s="25" t="s">
        <v>557</v>
      </c>
      <c r="R184" s="26" t="n">
        <v>1000</v>
      </c>
      <c r="S184" s="26" t="n">
        <f aca="false">IF(AND(L184="Oui",K184="Principal",R184&lt;&gt;""),I184*R184,0)</f>
        <v>1000</v>
      </c>
      <c r="T184" s="26" t="n">
        <f aca="false">IF(R184&lt;&gt;"",M184-S184,0)</f>
        <v>300</v>
      </c>
      <c r="U184" s="26" t="n">
        <f aca="false">IF(R184="",M184,0)</f>
        <v>0</v>
      </c>
    </row>
    <row r="185" customFormat="false" ht="15" hidden="false" customHeight="false" outlineLevel="0" collapsed="false">
      <c r="A185" s="27" t="s">
        <v>46</v>
      </c>
      <c r="B185" s="27" t="s">
        <v>52</v>
      </c>
      <c r="C185" s="27" t="s">
        <v>50</v>
      </c>
      <c r="D185" s="27" t="n">
        <v>15</v>
      </c>
      <c r="E185" s="27" t="s">
        <v>554</v>
      </c>
      <c r="F185" s="27" t="s">
        <v>126</v>
      </c>
      <c r="G185" s="27"/>
      <c r="H185" s="27" t="s">
        <v>585</v>
      </c>
      <c r="I185" s="27" t="n">
        <v>1</v>
      </c>
      <c r="J185" s="28" t="n">
        <v>0</v>
      </c>
      <c r="K185" s="27" t="s">
        <v>546</v>
      </c>
      <c r="L185" s="27" t="s">
        <v>579</v>
      </c>
      <c r="M185" s="28" t="n">
        <f aca="false">IF(AND(L185="Oui",K185="Principal"),I185*J185,0)</f>
        <v>0</v>
      </c>
      <c r="N185" s="27" t="s">
        <v>128</v>
      </c>
      <c r="O185" s="27" t="s">
        <v>586</v>
      </c>
      <c r="P185" s="27"/>
      <c r="Q185" s="27"/>
      <c r="R185" s="28"/>
      <c r="S185" s="28" t="n">
        <f aca="false">IF(AND(L185="Oui",K185="Principal",R185&lt;&gt;""),I185*R185,0)</f>
        <v>0</v>
      </c>
      <c r="T185" s="28" t="n">
        <f aca="false">IF(R185&lt;&gt;"",M185-S185,0)</f>
        <v>0</v>
      </c>
      <c r="U185" s="28" t="n">
        <f aca="false">IF(R185="",M185,0)</f>
        <v>0</v>
      </c>
    </row>
    <row r="186" customFormat="false" ht="15" hidden="false" customHeight="false" outlineLevel="0" collapsed="false">
      <c r="A186" s="27" t="s">
        <v>46</v>
      </c>
      <c r="B186" s="27" t="s">
        <v>52</v>
      </c>
      <c r="C186" s="27" t="s">
        <v>50</v>
      </c>
      <c r="D186" s="27" t="n">
        <v>16</v>
      </c>
      <c r="E186" s="27" t="s">
        <v>554</v>
      </c>
      <c r="F186" s="27" t="s">
        <v>129</v>
      </c>
      <c r="G186" s="27"/>
      <c r="H186" s="27" t="s">
        <v>585</v>
      </c>
      <c r="I186" s="27" t="n">
        <v>1</v>
      </c>
      <c r="J186" s="28" t="n">
        <v>0</v>
      </c>
      <c r="K186" s="27" t="s">
        <v>546</v>
      </c>
      <c r="L186" s="27" t="s">
        <v>579</v>
      </c>
      <c r="M186" s="28" t="n">
        <f aca="false">IF(AND(L186="Oui",K186="Principal"),I186*J186,0)</f>
        <v>0</v>
      </c>
      <c r="N186" s="27" t="s">
        <v>128</v>
      </c>
      <c r="O186" s="27" t="s">
        <v>586</v>
      </c>
      <c r="P186" s="27"/>
      <c r="Q186" s="27"/>
      <c r="R186" s="28"/>
      <c r="S186" s="28" t="n">
        <f aca="false">IF(AND(L186="Oui",K186="Principal",R186&lt;&gt;""),I186*R186,0)</f>
        <v>0</v>
      </c>
      <c r="T186" s="28" t="n">
        <f aca="false">IF(R186&lt;&gt;"",M186-S186,0)</f>
        <v>0</v>
      </c>
      <c r="U186" s="28" t="n">
        <f aca="false">IF(R186="",M186,0)</f>
        <v>0</v>
      </c>
    </row>
    <row r="187" customFormat="false" ht="15" hidden="false" customHeight="false" outlineLevel="0" collapsed="false">
      <c r="A187" s="25" t="s">
        <v>46</v>
      </c>
      <c r="B187" s="25" t="s">
        <v>52</v>
      </c>
      <c r="C187" s="25" t="s">
        <v>50</v>
      </c>
      <c r="D187" s="25" t="n">
        <v>17</v>
      </c>
      <c r="E187" s="25" t="s">
        <v>565</v>
      </c>
      <c r="F187" s="25" t="s">
        <v>131</v>
      </c>
      <c r="G187" s="25" t="n">
        <v>1183</v>
      </c>
      <c r="H187" s="25" t="s">
        <v>587</v>
      </c>
      <c r="I187" s="25" t="n">
        <v>1</v>
      </c>
      <c r="J187" s="26" t="n">
        <v>100</v>
      </c>
      <c r="K187" s="25" t="s">
        <v>546</v>
      </c>
      <c r="L187" s="25" t="s">
        <v>547</v>
      </c>
      <c r="M187" s="26" t="n">
        <f aca="false">IF(AND(L187="Oui",K187="Principal"),I187*J187,0)</f>
        <v>100</v>
      </c>
      <c r="N187" s="25" t="s">
        <v>548</v>
      </c>
      <c r="O187" s="25"/>
      <c r="P187" s="25" t="s">
        <v>550</v>
      </c>
      <c r="Q187" s="25" t="s">
        <v>557</v>
      </c>
      <c r="R187" s="26"/>
      <c r="S187" s="26" t="n">
        <f aca="false">IF(AND(L187="Oui",K187="Principal",R187&lt;&gt;""),I187*R187,0)</f>
        <v>0</v>
      </c>
      <c r="T187" s="26" t="n">
        <f aca="false">IF(R187&lt;&gt;"",M187-S187,0)</f>
        <v>0</v>
      </c>
      <c r="U187" s="26" t="n">
        <f aca="false">IF(R187="",M187,0)</f>
        <v>100</v>
      </c>
    </row>
    <row r="188" customFormat="false" ht="15" hidden="false" customHeight="false" outlineLevel="0" collapsed="false">
      <c r="A188" s="25" t="s">
        <v>46</v>
      </c>
      <c r="B188" s="25" t="s">
        <v>52</v>
      </c>
      <c r="C188" s="25" t="s">
        <v>50</v>
      </c>
      <c r="D188" s="25" t="n">
        <v>18</v>
      </c>
      <c r="E188" s="25" t="s">
        <v>588</v>
      </c>
      <c r="F188" s="25" t="s">
        <v>156</v>
      </c>
      <c r="G188" s="25" t="n">
        <v>1220</v>
      </c>
      <c r="H188" s="25" t="s">
        <v>604</v>
      </c>
      <c r="I188" s="25" t="n">
        <v>1</v>
      </c>
      <c r="J188" s="26" t="n">
        <v>3250</v>
      </c>
      <c r="K188" s="25" t="s">
        <v>546</v>
      </c>
      <c r="L188" s="25" t="s">
        <v>547</v>
      </c>
      <c r="M188" s="26" t="n">
        <f aca="false">IF(AND(L188="Oui",K188="Principal"),I188*J188,0)</f>
        <v>3250</v>
      </c>
      <c r="N188" s="25" t="s">
        <v>548</v>
      </c>
      <c r="O188" s="25" t="s">
        <v>590</v>
      </c>
      <c r="P188" s="25" t="s">
        <v>550</v>
      </c>
      <c r="Q188" s="25" t="s">
        <v>557</v>
      </c>
      <c r="R188" s="26" t="n">
        <v>2550</v>
      </c>
      <c r="S188" s="26" t="n">
        <f aca="false">IF(AND(L188="Oui",K188="Principal",R188&lt;&gt;""),I188*R188,0)</f>
        <v>2550</v>
      </c>
      <c r="T188" s="26" t="n">
        <f aca="false">IF(R188&lt;&gt;"",M188-S188,0)</f>
        <v>700</v>
      </c>
      <c r="U188" s="26" t="n">
        <f aca="false">IF(R188="",M188,0)</f>
        <v>0</v>
      </c>
    </row>
    <row r="189" customFormat="false" ht="15" hidden="false" customHeight="false" outlineLevel="0" collapsed="false">
      <c r="A189" s="25" t="s">
        <v>46</v>
      </c>
      <c r="B189" s="25" t="s">
        <v>52</v>
      </c>
      <c r="C189" s="25" t="s">
        <v>50</v>
      </c>
      <c r="D189" s="25" t="n">
        <v>19</v>
      </c>
      <c r="E189" s="25" t="s">
        <v>554</v>
      </c>
      <c r="F189" s="25" t="s">
        <v>137</v>
      </c>
      <c r="G189" s="25" t="n">
        <v>1230</v>
      </c>
      <c r="H189" s="25" t="s">
        <v>594</v>
      </c>
      <c r="I189" s="25" t="n">
        <v>1</v>
      </c>
      <c r="J189" s="26" t="n">
        <v>1300</v>
      </c>
      <c r="K189" s="25" t="s">
        <v>546</v>
      </c>
      <c r="L189" s="25" t="s">
        <v>547</v>
      </c>
      <c r="M189" s="26" t="n">
        <f aca="false">IF(AND(L189="Oui",K189="Principal"),I189*J189,0)</f>
        <v>1300</v>
      </c>
      <c r="N189" s="25" t="s">
        <v>548</v>
      </c>
      <c r="O189" s="25"/>
      <c r="P189" s="25" t="s">
        <v>550</v>
      </c>
      <c r="Q189" s="25" t="s">
        <v>557</v>
      </c>
      <c r="R189" s="26" t="n">
        <v>1000</v>
      </c>
      <c r="S189" s="26" t="n">
        <f aca="false">IF(AND(L189="Oui",K189="Principal",R189&lt;&gt;""),I189*R189,0)</f>
        <v>1000</v>
      </c>
      <c r="T189" s="26" t="n">
        <f aca="false">IF(R189&lt;&gt;"",M189-S189,0)</f>
        <v>300</v>
      </c>
      <c r="U189" s="26" t="n">
        <f aca="false">IF(R189="",M189,0)</f>
        <v>0</v>
      </c>
    </row>
    <row r="190" customFormat="false" ht="15" hidden="false" customHeight="false" outlineLevel="0" collapsed="false">
      <c r="A190" s="27" t="s">
        <v>46</v>
      </c>
      <c r="B190" s="27" t="s">
        <v>52</v>
      </c>
      <c r="C190" s="27" t="s">
        <v>50</v>
      </c>
      <c r="D190" s="27" t="n">
        <v>20</v>
      </c>
      <c r="E190" s="27" t="s">
        <v>554</v>
      </c>
      <c r="F190" s="27" t="s">
        <v>130</v>
      </c>
      <c r="G190" s="27"/>
      <c r="H190" s="27" t="s">
        <v>585</v>
      </c>
      <c r="I190" s="27" t="n">
        <v>1</v>
      </c>
      <c r="J190" s="28" t="n">
        <v>0</v>
      </c>
      <c r="K190" s="27" t="s">
        <v>546</v>
      </c>
      <c r="L190" s="27" t="s">
        <v>579</v>
      </c>
      <c r="M190" s="28" t="n">
        <f aca="false">IF(AND(L190="Oui",K190="Principal"),I190*J190,0)</f>
        <v>0</v>
      </c>
      <c r="N190" s="27" t="s">
        <v>128</v>
      </c>
      <c r="O190" s="27" t="s">
        <v>586</v>
      </c>
      <c r="P190" s="27"/>
      <c r="Q190" s="27"/>
      <c r="R190" s="28"/>
      <c r="S190" s="28" t="n">
        <f aca="false">IF(AND(L190="Oui",K190="Principal",R190&lt;&gt;""),I190*R190,0)</f>
        <v>0</v>
      </c>
      <c r="T190" s="28" t="n">
        <f aca="false">IF(R190&lt;&gt;"",M190-S190,0)</f>
        <v>0</v>
      </c>
      <c r="U190" s="28" t="n">
        <f aca="false">IF(R190="",M190,0)</f>
        <v>0</v>
      </c>
    </row>
    <row r="191" customFormat="false" ht="15" hidden="false" customHeight="false" outlineLevel="0" collapsed="false">
      <c r="A191" s="29" t="s">
        <v>46</v>
      </c>
      <c r="B191" s="29" t="s">
        <v>52</v>
      </c>
      <c r="C191" s="29" t="s">
        <v>50</v>
      </c>
      <c r="D191" s="29" t="n">
        <v>21</v>
      </c>
      <c r="E191" s="29" t="s">
        <v>554</v>
      </c>
      <c r="F191" s="29" t="s">
        <v>139</v>
      </c>
      <c r="G191" s="29" t="n">
        <v>31</v>
      </c>
      <c r="H191" s="29" t="s">
        <v>595</v>
      </c>
      <c r="I191" s="29" t="n">
        <v>1</v>
      </c>
      <c r="J191" s="30" t="n">
        <v>1500</v>
      </c>
      <c r="K191" s="29" t="s">
        <v>546</v>
      </c>
      <c r="L191" s="29" t="s">
        <v>547</v>
      </c>
      <c r="M191" s="30" t="n">
        <f aca="false">IF(AND(L191="Oui",K191="Principal"),I191*J191,0)</f>
        <v>1500</v>
      </c>
      <c r="N191" s="29" t="s">
        <v>141</v>
      </c>
      <c r="O191" s="29" t="s">
        <v>596</v>
      </c>
      <c r="P191" s="29" t="s">
        <v>559</v>
      </c>
      <c r="Q191" s="29" t="s">
        <v>551</v>
      </c>
      <c r="R191" s="30"/>
      <c r="S191" s="30" t="n">
        <f aca="false">IF(AND(L191="Oui",K191="Principal",R191&lt;&gt;""),I191*R191,0)</f>
        <v>0</v>
      </c>
      <c r="T191" s="30" t="n">
        <f aca="false">IF(R191&lt;&gt;"",M191-S191,0)</f>
        <v>0</v>
      </c>
      <c r="U191" s="30" t="n">
        <f aca="false">IF(R191="",M191,0)</f>
        <v>1500</v>
      </c>
    </row>
    <row r="192" customFormat="false" ht="15" hidden="false" customHeight="false" outlineLevel="0" collapsed="false">
      <c r="A192" s="27" t="s">
        <v>46</v>
      </c>
      <c r="B192" s="27" t="s">
        <v>52</v>
      </c>
      <c r="C192" s="27" t="s">
        <v>50</v>
      </c>
      <c r="D192" s="27" t="n">
        <v>22</v>
      </c>
      <c r="E192" s="27" t="s">
        <v>554</v>
      </c>
      <c r="F192" s="27" t="s">
        <v>142</v>
      </c>
      <c r="G192" s="27"/>
      <c r="H192" s="27" t="s">
        <v>585</v>
      </c>
      <c r="I192" s="27" t="n">
        <v>1</v>
      </c>
      <c r="J192" s="28" t="n">
        <v>0</v>
      </c>
      <c r="K192" s="27" t="s">
        <v>546</v>
      </c>
      <c r="L192" s="27" t="s">
        <v>579</v>
      </c>
      <c r="M192" s="28" t="n">
        <f aca="false">IF(AND(L192="Oui",K192="Principal"),I192*J192,0)</f>
        <v>0</v>
      </c>
      <c r="N192" s="27" t="s">
        <v>128</v>
      </c>
      <c r="O192" s="27" t="s">
        <v>586</v>
      </c>
      <c r="P192" s="27"/>
      <c r="Q192" s="27"/>
      <c r="R192" s="28"/>
      <c r="S192" s="28" t="n">
        <f aca="false">IF(AND(L192="Oui",K192="Principal",R192&lt;&gt;""),I192*R192,0)</f>
        <v>0</v>
      </c>
      <c r="T192" s="28" t="n">
        <f aca="false">IF(R192&lt;&gt;"",M192-S192,0)</f>
        <v>0</v>
      </c>
      <c r="U192" s="28" t="n">
        <f aca="false">IF(R192="",M192,0)</f>
        <v>0</v>
      </c>
    </row>
    <row r="193" customFormat="false" ht="15" hidden="false" customHeight="false" outlineLevel="0" collapsed="false">
      <c r="A193" s="25" t="s">
        <v>46</v>
      </c>
      <c r="B193" s="25" t="s">
        <v>52</v>
      </c>
      <c r="C193" s="25" t="s">
        <v>50</v>
      </c>
      <c r="D193" s="25" t="n">
        <v>23</v>
      </c>
      <c r="E193" s="25" t="s">
        <v>554</v>
      </c>
      <c r="F193" s="25" t="s">
        <v>143</v>
      </c>
      <c r="G193" s="25" t="n">
        <v>29</v>
      </c>
      <c r="H193" s="25" t="s">
        <v>597</v>
      </c>
      <c r="I193" s="25" t="n">
        <v>1</v>
      </c>
      <c r="J193" s="26" t="n">
        <v>2800</v>
      </c>
      <c r="K193" s="25" t="s">
        <v>546</v>
      </c>
      <c r="L193" s="25" t="s">
        <v>547</v>
      </c>
      <c r="M193" s="26" t="n">
        <f aca="false">IF(AND(L193="Oui",K193="Principal"),I193*J193,0)</f>
        <v>2800</v>
      </c>
      <c r="N193" s="25" t="s">
        <v>548</v>
      </c>
      <c r="O193" s="25"/>
      <c r="P193" s="25" t="s">
        <v>559</v>
      </c>
      <c r="Q193" s="25" t="s">
        <v>551</v>
      </c>
      <c r="R193" s="26"/>
      <c r="S193" s="26" t="n">
        <f aca="false">IF(AND(L193="Oui",K193="Principal",R193&lt;&gt;""),I193*R193,0)</f>
        <v>0</v>
      </c>
      <c r="T193" s="26" t="n">
        <f aca="false">IF(R193&lt;&gt;"",M193-S193,0)</f>
        <v>0</v>
      </c>
      <c r="U193" s="26" t="n">
        <f aca="false">IF(R193="",M193,0)</f>
        <v>2800</v>
      </c>
    </row>
    <row r="194" customFormat="false" ht="15" hidden="false" customHeight="false" outlineLevel="0" collapsed="false">
      <c r="A194" s="25" t="s">
        <v>46</v>
      </c>
      <c r="B194" s="25" t="s">
        <v>52</v>
      </c>
      <c r="C194" s="25" t="s">
        <v>50</v>
      </c>
      <c r="D194" s="25" t="n">
        <v>24</v>
      </c>
      <c r="E194" s="25" t="s">
        <v>554</v>
      </c>
      <c r="F194" s="25" t="s">
        <v>145</v>
      </c>
      <c r="G194" s="25" t="n">
        <v>30</v>
      </c>
      <c r="H194" s="25" t="s">
        <v>598</v>
      </c>
      <c r="I194" s="25" t="n">
        <v>1</v>
      </c>
      <c r="J194" s="26" t="n">
        <v>1000</v>
      </c>
      <c r="K194" s="25" t="s">
        <v>546</v>
      </c>
      <c r="L194" s="25" t="s">
        <v>547</v>
      </c>
      <c r="M194" s="26" t="n">
        <f aca="false">IF(AND(L194="Oui",K194="Principal"),I194*J194,0)</f>
        <v>1000</v>
      </c>
      <c r="N194" s="25" t="s">
        <v>548</v>
      </c>
      <c r="O194" s="25"/>
      <c r="P194" s="25" t="s">
        <v>559</v>
      </c>
      <c r="Q194" s="25" t="s">
        <v>551</v>
      </c>
      <c r="R194" s="26"/>
      <c r="S194" s="26" t="n">
        <f aca="false">IF(AND(L194="Oui",K194="Principal",R194&lt;&gt;""),I194*R194,0)</f>
        <v>0</v>
      </c>
      <c r="T194" s="26" t="n">
        <f aca="false">IF(R194&lt;&gt;"",M194-S194,0)</f>
        <v>0</v>
      </c>
      <c r="U194" s="26" t="n">
        <f aca="false">IF(R194="",M194,0)</f>
        <v>1000</v>
      </c>
    </row>
    <row r="195" customFormat="false" ht="15" hidden="false" customHeight="false" outlineLevel="0" collapsed="false">
      <c r="A195" s="25" t="s">
        <v>46</v>
      </c>
      <c r="B195" s="25" t="s">
        <v>52</v>
      </c>
      <c r="C195" s="25" t="s">
        <v>50</v>
      </c>
      <c r="D195" s="25" t="n">
        <v>25</v>
      </c>
      <c r="E195" s="25" t="s">
        <v>573</v>
      </c>
      <c r="F195" s="25" t="s">
        <v>115</v>
      </c>
      <c r="G195" s="25" t="n">
        <v>1706</v>
      </c>
      <c r="H195" s="25" t="s">
        <v>574</v>
      </c>
      <c r="I195" s="25" t="n">
        <v>1</v>
      </c>
      <c r="J195" s="26" t="n">
        <v>2000</v>
      </c>
      <c r="K195" s="25" t="s">
        <v>546</v>
      </c>
      <c r="L195" s="25" t="s">
        <v>547</v>
      </c>
      <c r="M195" s="26" t="n">
        <f aca="false">IF(AND(L195="Oui",K195="Principal"),I195*J195,0)</f>
        <v>2000</v>
      </c>
      <c r="N195" s="25" t="s">
        <v>548</v>
      </c>
      <c r="O195" s="25"/>
      <c r="P195" s="25" t="s">
        <v>561</v>
      </c>
      <c r="Q195" s="25" t="s">
        <v>557</v>
      </c>
      <c r="R195" s="26" t="n">
        <v>1500</v>
      </c>
      <c r="S195" s="26" t="n">
        <f aca="false">IF(AND(L195="Oui",K195="Principal",R195&lt;&gt;""),I195*R195,0)</f>
        <v>1500</v>
      </c>
      <c r="T195" s="26" t="n">
        <f aca="false">IF(R195&lt;&gt;"",M195-S195,0)</f>
        <v>500</v>
      </c>
      <c r="U195" s="26" t="n">
        <f aca="false">IF(R195="",M195,0)</f>
        <v>0</v>
      </c>
    </row>
    <row r="196" customFormat="false" ht="15" hidden="false" customHeight="false" outlineLevel="0" collapsed="false">
      <c r="A196" s="25" t="s">
        <v>46</v>
      </c>
      <c r="B196" s="25" t="s">
        <v>52</v>
      </c>
      <c r="C196" s="25" t="s">
        <v>50</v>
      </c>
      <c r="D196" s="25" t="n">
        <v>26</v>
      </c>
      <c r="E196" s="25" t="s">
        <v>573</v>
      </c>
      <c r="F196" s="25" t="s">
        <v>117</v>
      </c>
      <c r="G196" s="25" t="n">
        <v>1193</v>
      </c>
      <c r="H196" s="25" t="s">
        <v>592</v>
      </c>
      <c r="I196" s="25" t="n">
        <v>1</v>
      </c>
      <c r="J196" s="26" t="n">
        <v>3100</v>
      </c>
      <c r="K196" s="25" t="s">
        <v>546</v>
      </c>
      <c r="L196" s="25" t="s">
        <v>547</v>
      </c>
      <c r="M196" s="26" t="n">
        <f aca="false">IF(AND(L196="Oui",K196="Principal"),I196*J196,0)</f>
        <v>3100</v>
      </c>
      <c r="N196" s="25" t="s">
        <v>548</v>
      </c>
      <c r="O196" s="25"/>
      <c r="P196" s="25" t="s">
        <v>550</v>
      </c>
      <c r="Q196" s="25" t="s">
        <v>557</v>
      </c>
      <c r="R196" s="26" t="n">
        <v>2400</v>
      </c>
      <c r="S196" s="26" t="n">
        <f aca="false">IF(AND(L196="Oui",K196="Principal",R196&lt;&gt;""),I196*R196,0)</f>
        <v>2400</v>
      </c>
      <c r="T196" s="26" t="n">
        <f aca="false">IF(R196&lt;&gt;"",M196-S196,0)</f>
        <v>700</v>
      </c>
      <c r="U196" s="26" t="n">
        <f aca="false">IF(R196="",M196,0)</f>
        <v>0</v>
      </c>
    </row>
    <row r="197" customFormat="false" ht="15" hidden="false" customHeight="false" outlineLevel="0" collapsed="false">
      <c r="A197" s="25" t="s">
        <v>46</v>
      </c>
      <c r="B197" s="25" t="s">
        <v>52</v>
      </c>
      <c r="C197" s="25" t="s">
        <v>50</v>
      </c>
      <c r="D197" s="25" t="n">
        <v>27</v>
      </c>
      <c r="E197" s="25" t="s">
        <v>573</v>
      </c>
      <c r="F197" s="25" t="s">
        <v>120</v>
      </c>
      <c r="G197" s="25" t="n">
        <v>1252</v>
      </c>
      <c r="H197" s="25" t="s">
        <v>578</v>
      </c>
      <c r="I197" s="25" t="n">
        <v>1</v>
      </c>
      <c r="J197" s="26" t="n">
        <v>6500</v>
      </c>
      <c r="K197" s="25" t="s">
        <v>546</v>
      </c>
      <c r="L197" s="25" t="s">
        <v>547</v>
      </c>
      <c r="M197" s="26" t="n">
        <f aca="false">IF(AND(L197="Oui",K197="Principal"),I197*J197,0)</f>
        <v>6500</v>
      </c>
      <c r="N197" s="25" t="s">
        <v>548</v>
      </c>
      <c r="O197" s="25"/>
      <c r="P197" s="25" t="s">
        <v>550</v>
      </c>
      <c r="Q197" s="25" t="s">
        <v>557</v>
      </c>
      <c r="R197" s="26" t="n">
        <v>6000</v>
      </c>
      <c r="S197" s="26" t="n">
        <f aca="false">IF(AND(L197="Oui",K197="Principal",R197&lt;&gt;""),I197*R197,0)</f>
        <v>6000</v>
      </c>
      <c r="T197" s="26" t="n">
        <f aca="false">IF(R197&lt;&gt;"",M197-S197,0)</f>
        <v>500</v>
      </c>
      <c r="U197" s="26" t="n">
        <f aca="false">IF(R197="",M197,0)</f>
        <v>0</v>
      </c>
    </row>
    <row r="198" customFormat="false" ht="15" hidden="false" customHeight="false" outlineLevel="0" collapsed="false">
      <c r="A198" s="25" t="s">
        <v>53</v>
      </c>
      <c r="B198" s="25" t="s">
        <v>54</v>
      </c>
      <c r="C198" s="25" t="s">
        <v>48</v>
      </c>
      <c r="D198" s="25" t="n">
        <v>1</v>
      </c>
      <c r="E198" s="25" t="s">
        <v>544</v>
      </c>
      <c r="F198" s="25" t="s">
        <v>158</v>
      </c>
      <c r="G198" s="25" t="n">
        <v>1575</v>
      </c>
      <c r="H198" s="25" t="s">
        <v>605</v>
      </c>
      <c r="I198" s="25" t="n">
        <v>6</v>
      </c>
      <c r="J198" s="26" t="n">
        <v>275</v>
      </c>
      <c r="K198" s="25" t="s">
        <v>546</v>
      </c>
      <c r="L198" s="25" t="s">
        <v>547</v>
      </c>
      <c r="M198" s="26" t="n">
        <f aca="false">IF(AND(L198="Oui",K198="Principal"),I198*J198,0)</f>
        <v>1650</v>
      </c>
      <c r="N198" s="25" t="s">
        <v>548</v>
      </c>
      <c r="O198" s="25"/>
      <c r="P198" s="25" t="s">
        <v>556</v>
      </c>
      <c r="Q198" s="25" t="s">
        <v>557</v>
      </c>
      <c r="R198" s="26" t="n">
        <v>175</v>
      </c>
      <c r="S198" s="26" t="n">
        <f aca="false">IF(AND(L198="Oui",K198="Principal",R198&lt;&gt;""),I198*R198,0)</f>
        <v>1050</v>
      </c>
      <c r="T198" s="26" t="n">
        <f aca="false">IF(R198&lt;&gt;"",M198-S198,0)</f>
        <v>600</v>
      </c>
      <c r="U198" s="26" t="n">
        <f aca="false">IF(R198="",M198,0)</f>
        <v>0</v>
      </c>
    </row>
    <row r="199" customFormat="false" ht="15" hidden="false" customHeight="false" outlineLevel="0" collapsed="false">
      <c r="A199" s="25" t="s">
        <v>53</v>
      </c>
      <c r="B199" s="25" t="s">
        <v>54</v>
      </c>
      <c r="C199" s="25" t="s">
        <v>48</v>
      </c>
      <c r="D199" s="25" t="n">
        <v>2</v>
      </c>
      <c r="E199" s="25" t="s">
        <v>554</v>
      </c>
      <c r="F199" s="25" t="s">
        <v>88</v>
      </c>
      <c r="G199" s="25" t="n">
        <v>1572</v>
      </c>
      <c r="H199" s="25" t="s">
        <v>555</v>
      </c>
      <c r="I199" s="25" t="n">
        <v>1</v>
      </c>
      <c r="J199" s="26" t="n">
        <v>250</v>
      </c>
      <c r="K199" s="25" t="s">
        <v>546</v>
      </c>
      <c r="L199" s="25" t="s">
        <v>547</v>
      </c>
      <c r="M199" s="26" t="n">
        <f aca="false">IF(AND(L199="Oui",K199="Principal"),I199*J199,0)</f>
        <v>250</v>
      </c>
      <c r="N199" s="25" t="s">
        <v>548</v>
      </c>
      <c r="O199" s="25"/>
      <c r="P199" s="25" t="s">
        <v>556</v>
      </c>
      <c r="Q199" s="25" t="s">
        <v>557</v>
      </c>
      <c r="R199" s="26" t="n">
        <v>150</v>
      </c>
      <c r="S199" s="26" t="n">
        <f aca="false">IF(AND(L199="Oui",K199="Principal",R199&lt;&gt;""),I199*R199,0)</f>
        <v>150</v>
      </c>
      <c r="T199" s="26" t="n">
        <f aca="false">IF(R199&lt;&gt;"",M199-S199,0)</f>
        <v>100</v>
      </c>
      <c r="U199" s="26" t="n">
        <f aca="false">IF(R199="",M199,0)</f>
        <v>0</v>
      </c>
    </row>
    <row r="200" customFormat="false" ht="15" hidden="false" customHeight="false" outlineLevel="0" collapsed="false">
      <c r="A200" s="25" t="s">
        <v>53</v>
      </c>
      <c r="B200" s="25" t="s">
        <v>54</v>
      </c>
      <c r="C200" s="25" t="s">
        <v>48</v>
      </c>
      <c r="D200" s="25" t="n">
        <v>3</v>
      </c>
      <c r="E200" s="25" t="s">
        <v>160</v>
      </c>
      <c r="F200" s="25" t="s">
        <v>160</v>
      </c>
      <c r="G200" s="25" t="n">
        <v>1277</v>
      </c>
      <c r="H200" s="25" t="s">
        <v>606</v>
      </c>
      <c r="I200" s="25" t="n">
        <v>7</v>
      </c>
      <c r="J200" s="26" t="n">
        <v>150</v>
      </c>
      <c r="K200" s="25" t="s">
        <v>546</v>
      </c>
      <c r="L200" s="25" t="s">
        <v>547</v>
      </c>
      <c r="M200" s="26" t="n">
        <f aca="false">IF(AND(L200="Oui",K200="Principal"),I200*J200,0)</f>
        <v>1050</v>
      </c>
      <c r="N200" s="25" t="s">
        <v>548</v>
      </c>
      <c r="O200" s="25"/>
      <c r="P200" s="25" t="s">
        <v>550</v>
      </c>
      <c r="Q200" s="25" t="s">
        <v>557</v>
      </c>
      <c r="R200" s="26"/>
      <c r="S200" s="26" t="n">
        <f aca="false">IF(AND(L200="Oui",K200="Principal",R200&lt;&gt;""),I200*R200,0)</f>
        <v>0</v>
      </c>
      <c r="T200" s="26" t="n">
        <f aca="false">IF(R200&lt;&gt;"",M200-S200,0)</f>
        <v>0</v>
      </c>
      <c r="U200" s="26" t="n">
        <f aca="false">IF(R200="",M200,0)</f>
        <v>1050</v>
      </c>
    </row>
    <row r="201" customFormat="false" ht="15" hidden="false" customHeight="false" outlineLevel="0" collapsed="false">
      <c r="A201" s="25" t="s">
        <v>53</v>
      </c>
      <c r="B201" s="25" t="s">
        <v>54</v>
      </c>
      <c r="C201" s="25" t="s">
        <v>48</v>
      </c>
      <c r="D201" s="25" t="n">
        <v>4</v>
      </c>
      <c r="E201" s="25" t="s">
        <v>563</v>
      </c>
      <c r="F201" s="25" t="s">
        <v>97</v>
      </c>
      <c r="G201" s="25" t="n">
        <v>1571</v>
      </c>
      <c r="H201" s="25" t="s">
        <v>564</v>
      </c>
      <c r="I201" s="25" t="n">
        <v>2</v>
      </c>
      <c r="J201" s="26" t="n">
        <v>75</v>
      </c>
      <c r="K201" s="25" t="s">
        <v>546</v>
      </c>
      <c r="L201" s="25" t="s">
        <v>547</v>
      </c>
      <c r="M201" s="26" t="n">
        <f aca="false">IF(AND(L201="Oui",K201="Principal"),I201*J201,0)</f>
        <v>150</v>
      </c>
      <c r="N201" s="25" t="s">
        <v>548</v>
      </c>
      <c r="O201" s="25"/>
      <c r="P201" s="25" t="s">
        <v>550</v>
      </c>
      <c r="Q201" s="25" t="s">
        <v>557</v>
      </c>
      <c r="R201" s="26"/>
      <c r="S201" s="26" t="n">
        <f aca="false">IF(AND(L201="Oui",K201="Principal",R201&lt;&gt;""),I201*R201,0)</f>
        <v>0</v>
      </c>
      <c r="T201" s="26" t="n">
        <f aca="false">IF(R201&lt;&gt;"",M201-S201,0)</f>
        <v>0</v>
      </c>
      <c r="U201" s="26" t="n">
        <f aca="false">IF(R201="",M201,0)</f>
        <v>150</v>
      </c>
    </row>
    <row r="202" customFormat="false" ht="15" hidden="false" customHeight="false" outlineLevel="0" collapsed="false">
      <c r="A202" s="25" t="s">
        <v>53</v>
      </c>
      <c r="B202" s="25" t="s">
        <v>54</v>
      </c>
      <c r="C202" s="25" t="s">
        <v>48</v>
      </c>
      <c r="D202" s="25" t="n">
        <v>5</v>
      </c>
      <c r="E202" s="25" t="s">
        <v>563</v>
      </c>
      <c r="F202" s="25" t="s">
        <v>162</v>
      </c>
      <c r="G202" s="25" t="n">
        <v>1635</v>
      </c>
      <c r="H202" s="25" t="s">
        <v>607</v>
      </c>
      <c r="I202" s="25" t="n">
        <v>1</v>
      </c>
      <c r="J202" s="26" t="n">
        <v>100</v>
      </c>
      <c r="K202" s="25" t="s">
        <v>546</v>
      </c>
      <c r="L202" s="25" t="s">
        <v>547</v>
      </c>
      <c r="M202" s="26" t="n">
        <f aca="false">IF(AND(L202="Oui",K202="Principal"),I202*J202,0)</f>
        <v>100</v>
      </c>
      <c r="N202" s="25" t="s">
        <v>548</v>
      </c>
      <c r="O202" s="25"/>
      <c r="P202" s="25" t="s">
        <v>556</v>
      </c>
      <c r="Q202" s="25" t="s">
        <v>557</v>
      </c>
      <c r="R202" s="26" t="n">
        <v>80</v>
      </c>
      <c r="S202" s="26" t="n">
        <f aca="false">IF(AND(L202="Oui",K202="Principal",R202&lt;&gt;""),I202*R202,0)</f>
        <v>80</v>
      </c>
      <c r="T202" s="26" t="n">
        <f aca="false">IF(R202&lt;&gt;"",M202-S202,0)</f>
        <v>20</v>
      </c>
      <c r="U202" s="26" t="n">
        <f aca="false">IF(R202="",M202,0)</f>
        <v>0</v>
      </c>
    </row>
    <row r="203" customFormat="false" ht="15" hidden="false" customHeight="false" outlineLevel="0" collapsed="false">
      <c r="A203" s="25" t="s">
        <v>53</v>
      </c>
      <c r="B203" s="25" t="s">
        <v>54</v>
      </c>
      <c r="C203" s="25" t="s">
        <v>48</v>
      </c>
      <c r="D203" s="25" t="n">
        <v>6</v>
      </c>
      <c r="E203" s="25" t="s">
        <v>565</v>
      </c>
      <c r="F203" s="25" t="s">
        <v>99</v>
      </c>
      <c r="G203" s="25" t="n">
        <v>9</v>
      </c>
      <c r="H203" s="25" t="s">
        <v>566</v>
      </c>
      <c r="I203" s="25" t="n">
        <v>1</v>
      </c>
      <c r="J203" s="26" t="n">
        <v>150</v>
      </c>
      <c r="K203" s="25" t="s">
        <v>546</v>
      </c>
      <c r="L203" s="25" t="s">
        <v>547</v>
      </c>
      <c r="M203" s="26" t="n">
        <f aca="false">IF(AND(L203="Oui",K203="Principal"),I203*J203,0)</f>
        <v>150</v>
      </c>
      <c r="N203" s="25" t="s">
        <v>548</v>
      </c>
      <c r="O203" s="25"/>
      <c r="P203" s="25" t="s">
        <v>559</v>
      </c>
      <c r="Q203" s="25" t="s">
        <v>551</v>
      </c>
      <c r="R203" s="26"/>
      <c r="S203" s="26" t="n">
        <f aca="false">IF(AND(L203="Oui",K203="Principal",R203&lt;&gt;""),I203*R203,0)</f>
        <v>0</v>
      </c>
      <c r="T203" s="26" t="n">
        <f aca="false">IF(R203&lt;&gt;"",M203-S203,0)</f>
        <v>0</v>
      </c>
      <c r="U203" s="26" t="n">
        <f aca="false">IF(R203="",M203,0)</f>
        <v>150</v>
      </c>
    </row>
    <row r="204" customFormat="false" ht="15" hidden="false" customHeight="false" outlineLevel="0" collapsed="false">
      <c r="A204" s="25" t="s">
        <v>53</v>
      </c>
      <c r="B204" s="25" t="s">
        <v>54</v>
      </c>
      <c r="C204" s="25" t="s">
        <v>48</v>
      </c>
      <c r="D204" s="25" t="n">
        <v>7</v>
      </c>
      <c r="E204" s="25" t="s">
        <v>565</v>
      </c>
      <c r="F204" s="25" t="s">
        <v>164</v>
      </c>
      <c r="G204" s="25" t="n">
        <v>10</v>
      </c>
      <c r="H204" s="25" t="s">
        <v>608</v>
      </c>
      <c r="I204" s="25" t="n">
        <v>1</v>
      </c>
      <c r="J204" s="26" t="n">
        <v>200</v>
      </c>
      <c r="K204" s="25" t="s">
        <v>546</v>
      </c>
      <c r="L204" s="25" t="s">
        <v>547</v>
      </c>
      <c r="M204" s="26" t="n">
        <f aca="false">IF(AND(L204="Oui",K204="Principal"),I204*J204,0)</f>
        <v>200</v>
      </c>
      <c r="N204" s="25" t="s">
        <v>548</v>
      </c>
      <c r="O204" s="25"/>
      <c r="P204" s="25" t="s">
        <v>559</v>
      </c>
      <c r="Q204" s="25" t="s">
        <v>551</v>
      </c>
      <c r="R204" s="26"/>
      <c r="S204" s="26" t="n">
        <f aca="false">IF(AND(L204="Oui",K204="Principal",R204&lt;&gt;""),I204*R204,0)</f>
        <v>0</v>
      </c>
      <c r="T204" s="26" t="n">
        <f aca="false">IF(R204&lt;&gt;"",M204-S204,0)</f>
        <v>0</v>
      </c>
      <c r="U204" s="26" t="n">
        <f aca="false">IF(R204="",M204,0)</f>
        <v>200</v>
      </c>
    </row>
    <row r="205" customFormat="false" ht="15" hidden="false" customHeight="false" outlineLevel="0" collapsed="false">
      <c r="A205" s="25" t="s">
        <v>53</v>
      </c>
      <c r="B205" s="25" t="s">
        <v>54</v>
      </c>
      <c r="C205" s="25" t="s">
        <v>48</v>
      </c>
      <c r="D205" s="25" t="n">
        <v>8</v>
      </c>
      <c r="E205" s="25" t="s">
        <v>609</v>
      </c>
      <c r="F205" s="25" t="s">
        <v>131</v>
      </c>
      <c r="G205" s="25" t="n">
        <v>1183</v>
      </c>
      <c r="H205" s="25" t="s">
        <v>587</v>
      </c>
      <c r="I205" s="25" t="n">
        <v>1</v>
      </c>
      <c r="J205" s="26" t="n">
        <v>100</v>
      </c>
      <c r="K205" s="25" t="s">
        <v>546</v>
      </c>
      <c r="L205" s="25" t="s">
        <v>547</v>
      </c>
      <c r="M205" s="26" t="n">
        <f aca="false">IF(AND(L205="Oui",K205="Principal"),I205*J205,0)</f>
        <v>100</v>
      </c>
      <c r="N205" s="25" t="s">
        <v>548</v>
      </c>
      <c r="O205" s="25"/>
      <c r="P205" s="25" t="s">
        <v>550</v>
      </c>
      <c r="Q205" s="25" t="s">
        <v>557</v>
      </c>
      <c r="R205" s="26"/>
      <c r="S205" s="26" t="n">
        <f aca="false">IF(AND(L205="Oui",K205="Principal",R205&lt;&gt;""),I205*R205,0)</f>
        <v>0</v>
      </c>
      <c r="T205" s="26" t="n">
        <f aca="false">IF(R205&lt;&gt;"",M205-S205,0)</f>
        <v>0</v>
      </c>
      <c r="U205" s="26" t="n">
        <f aca="false">IF(R205="",M205,0)</f>
        <v>100</v>
      </c>
    </row>
    <row r="206" customFormat="false" ht="15" hidden="false" customHeight="false" outlineLevel="0" collapsed="false">
      <c r="A206" s="25" t="s">
        <v>53</v>
      </c>
      <c r="B206" s="25" t="s">
        <v>54</v>
      </c>
      <c r="C206" s="25" t="s">
        <v>48</v>
      </c>
      <c r="D206" s="25" t="n">
        <v>9</v>
      </c>
      <c r="E206" s="25" t="s">
        <v>554</v>
      </c>
      <c r="F206" s="25" t="s">
        <v>104</v>
      </c>
      <c r="G206" s="25" t="n">
        <v>1589</v>
      </c>
      <c r="H206" s="25" t="s">
        <v>568</v>
      </c>
      <c r="I206" s="25" t="n">
        <v>1</v>
      </c>
      <c r="J206" s="26" t="n">
        <v>900</v>
      </c>
      <c r="K206" s="25" t="s">
        <v>546</v>
      </c>
      <c r="L206" s="25" t="s">
        <v>547</v>
      </c>
      <c r="M206" s="26" t="n">
        <f aca="false">IF(AND(L206="Oui",K206="Principal"),I206*J206,0)</f>
        <v>900</v>
      </c>
      <c r="N206" s="25" t="s">
        <v>548</v>
      </c>
      <c r="O206" s="25"/>
      <c r="P206" s="25" t="s">
        <v>556</v>
      </c>
      <c r="Q206" s="25" t="s">
        <v>557</v>
      </c>
      <c r="R206" s="26" t="n">
        <v>650</v>
      </c>
      <c r="S206" s="26" t="n">
        <f aca="false">IF(AND(L206="Oui",K206="Principal",R206&lt;&gt;""),I206*R206,0)</f>
        <v>650</v>
      </c>
      <c r="T206" s="26" t="n">
        <f aca="false">IF(R206&lt;&gt;"",M206-S206,0)</f>
        <v>250</v>
      </c>
      <c r="U206" s="26" t="n">
        <f aca="false">IF(R206="",M206,0)</f>
        <v>0</v>
      </c>
    </row>
    <row r="207" customFormat="false" ht="15" hidden="false" customHeight="false" outlineLevel="0" collapsed="false">
      <c r="A207" s="25" t="s">
        <v>53</v>
      </c>
      <c r="B207" s="25" t="s">
        <v>54</v>
      </c>
      <c r="C207" s="25" t="s">
        <v>48</v>
      </c>
      <c r="D207" s="25" t="n">
        <v>10</v>
      </c>
      <c r="E207" s="25" t="s">
        <v>565</v>
      </c>
      <c r="F207" s="25" t="s">
        <v>166</v>
      </c>
      <c r="G207" s="25" t="n">
        <v>1173</v>
      </c>
      <c r="H207" s="25" t="s">
        <v>569</v>
      </c>
      <c r="I207" s="25" t="n">
        <v>1</v>
      </c>
      <c r="J207" s="26" t="n">
        <v>570</v>
      </c>
      <c r="K207" s="25" t="s">
        <v>546</v>
      </c>
      <c r="L207" s="25" t="s">
        <v>547</v>
      </c>
      <c r="M207" s="26" t="n">
        <f aca="false">IF(AND(L207="Oui",K207="Principal"),I207*J207,0)</f>
        <v>570</v>
      </c>
      <c r="N207" s="25" t="s">
        <v>548</v>
      </c>
      <c r="O207" s="25"/>
      <c r="P207" s="25" t="s">
        <v>550</v>
      </c>
      <c r="Q207" s="25" t="s">
        <v>557</v>
      </c>
      <c r="R207" s="26" t="n">
        <v>420</v>
      </c>
      <c r="S207" s="26" t="n">
        <f aca="false">IF(AND(L207="Oui",K207="Principal",R207&lt;&gt;""),I207*R207,0)</f>
        <v>420</v>
      </c>
      <c r="T207" s="26" t="n">
        <f aca="false">IF(R207&lt;&gt;"",M207-S207,0)</f>
        <v>150</v>
      </c>
      <c r="U207" s="26" t="n">
        <f aca="false">IF(R207="",M207,0)</f>
        <v>0</v>
      </c>
    </row>
    <row r="208" customFormat="false" ht="15" hidden="false" customHeight="false" outlineLevel="0" collapsed="false">
      <c r="A208" s="25" t="s">
        <v>53</v>
      </c>
      <c r="B208" s="25" t="s">
        <v>54</v>
      </c>
      <c r="C208" s="25" t="s">
        <v>48</v>
      </c>
      <c r="D208" s="25" t="n">
        <v>11</v>
      </c>
      <c r="E208" s="25" t="s">
        <v>565</v>
      </c>
      <c r="F208" s="25" t="s">
        <v>110</v>
      </c>
      <c r="G208" s="25" t="n">
        <v>1250</v>
      </c>
      <c r="H208" s="25" t="s">
        <v>570</v>
      </c>
      <c r="I208" s="25" t="n">
        <v>1</v>
      </c>
      <c r="J208" s="26" t="n">
        <v>250</v>
      </c>
      <c r="K208" s="25" t="s">
        <v>546</v>
      </c>
      <c r="L208" s="25" t="s">
        <v>547</v>
      </c>
      <c r="M208" s="26" t="n">
        <f aca="false">IF(AND(L208="Oui",K208="Principal"),I208*J208,0)</f>
        <v>250</v>
      </c>
      <c r="N208" s="25" t="s">
        <v>548</v>
      </c>
      <c r="O208" s="25"/>
      <c r="P208" s="25" t="s">
        <v>550</v>
      </c>
      <c r="Q208" s="25" t="s">
        <v>557</v>
      </c>
      <c r="R208" s="26" t="n">
        <v>100</v>
      </c>
      <c r="S208" s="26" t="n">
        <f aca="false">IF(AND(L208="Oui",K208="Principal",R208&lt;&gt;""),I208*R208,0)</f>
        <v>100</v>
      </c>
      <c r="T208" s="26" t="n">
        <f aca="false">IF(R208&lt;&gt;"",M208-S208,0)</f>
        <v>150</v>
      </c>
      <c r="U208" s="26" t="n">
        <f aca="false">IF(R208="",M208,0)</f>
        <v>0</v>
      </c>
    </row>
    <row r="209" customFormat="false" ht="15" hidden="false" customHeight="false" outlineLevel="0" collapsed="false">
      <c r="A209" s="25" t="s">
        <v>53</v>
      </c>
      <c r="B209" s="25" t="s">
        <v>54</v>
      </c>
      <c r="C209" s="25" t="s">
        <v>48</v>
      </c>
      <c r="D209" s="25" t="n">
        <v>12</v>
      </c>
      <c r="E209" s="25" t="s">
        <v>167</v>
      </c>
      <c r="F209" s="25" t="s">
        <v>167</v>
      </c>
      <c r="G209" s="25" t="n">
        <v>1255</v>
      </c>
      <c r="H209" s="25" t="s">
        <v>610</v>
      </c>
      <c r="I209" s="25" t="n">
        <v>1</v>
      </c>
      <c r="J209" s="26" t="n">
        <v>900</v>
      </c>
      <c r="K209" s="25" t="s">
        <v>546</v>
      </c>
      <c r="L209" s="25" t="s">
        <v>547</v>
      </c>
      <c r="M209" s="26" t="n">
        <f aca="false">IF(AND(L209="Oui",K209="Principal"),I209*J209,0)</f>
        <v>900</v>
      </c>
      <c r="N209" s="25" t="s">
        <v>548</v>
      </c>
      <c r="O209" s="25"/>
      <c r="P209" s="25" t="s">
        <v>550</v>
      </c>
      <c r="Q209" s="25" t="s">
        <v>557</v>
      </c>
      <c r="R209" s="26" t="n">
        <v>600</v>
      </c>
      <c r="S209" s="26" t="n">
        <f aca="false">IF(AND(L209="Oui",K209="Principal",R209&lt;&gt;""),I209*R209,0)</f>
        <v>600</v>
      </c>
      <c r="T209" s="26" t="n">
        <f aca="false">IF(R209&lt;&gt;"",M209-S209,0)</f>
        <v>300</v>
      </c>
      <c r="U209" s="26" t="n">
        <f aca="false">IF(R209="",M209,0)</f>
        <v>0</v>
      </c>
    </row>
    <row r="210" customFormat="false" ht="15" hidden="false" customHeight="false" outlineLevel="0" collapsed="false">
      <c r="A210" s="31" t="s">
        <v>53</v>
      </c>
      <c r="B210" s="31" t="s">
        <v>54</v>
      </c>
      <c r="C210" s="31" t="s">
        <v>48</v>
      </c>
      <c r="D210" s="31" t="n">
        <v>13</v>
      </c>
      <c r="E210" s="31" t="s">
        <v>167</v>
      </c>
      <c r="F210" s="31" t="s">
        <v>170</v>
      </c>
      <c r="G210" s="31" t="s">
        <v>611</v>
      </c>
      <c r="H210" s="31" t="s">
        <v>612</v>
      </c>
      <c r="I210" s="31" t="n">
        <v>20</v>
      </c>
      <c r="J210" s="32" t="n">
        <v>25</v>
      </c>
      <c r="K210" s="31" t="s">
        <v>546</v>
      </c>
      <c r="L210" s="31" t="s">
        <v>547</v>
      </c>
      <c r="M210" s="32" t="n">
        <f aca="false">IF(AND(L210="Oui",K210="Principal"),I210*J210,0)</f>
        <v>500</v>
      </c>
      <c r="N210" s="31" t="s">
        <v>172</v>
      </c>
      <c r="O210" s="31" t="s">
        <v>613</v>
      </c>
      <c r="P210" s="31" t="s">
        <v>550</v>
      </c>
      <c r="Q210" s="31" t="s">
        <v>557</v>
      </c>
      <c r="R210" s="32" t="n">
        <v>25</v>
      </c>
      <c r="S210" s="32" t="n">
        <f aca="false">IF(AND(L210="Oui",K210="Principal",R210&lt;&gt;""),I210*R210,0)</f>
        <v>500</v>
      </c>
      <c r="T210" s="32" t="n">
        <f aca="false">IF(R210&lt;&gt;"",M210-S210,0)</f>
        <v>0</v>
      </c>
      <c r="U210" s="32" t="n">
        <f aca="false">IF(R210="",M210,0)</f>
        <v>0</v>
      </c>
    </row>
    <row r="211" customFormat="false" ht="15" hidden="false" customHeight="false" outlineLevel="0" collapsed="false">
      <c r="A211" s="25" t="s">
        <v>53</v>
      </c>
      <c r="B211" s="25" t="s">
        <v>54</v>
      </c>
      <c r="C211" s="25" t="s">
        <v>48</v>
      </c>
      <c r="D211" s="25" t="n">
        <v>14</v>
      </c>
      <c r="E211" s="25" t="s">
        <v>167</v>
      </c>
      <c r="F211" s="25" t="s">
        <v>173</v>
      </c>
      <c r="G211" s="25" t="n">
        <v>1202</v>
      </c>
      <c r="H211" s="25" t="s">
        <v>599</v>
      </c>
      <c r="I211" s="25" t="n">
        <v>1</v>
      </c>
      <c r="J211" s="26" t="n">
        <v>250</v>
      </c>
      <c r="K211" s="25" t="s">
        <v>546</v>
      </c>
      <c r="L211" s="25" t="s">
        <v>547</v>
      </c>
      <c r="M211" s="26" t="n">
        <f aca="false">IF(AND(L211="Oui",K211="Principal"),I211*J211,0)</f>
        <v>250</v>
      </c>
      <c r="N211" s="25" t="s">
        <v>548</v>
      </c>
      <c r="O211" s="25"/>
      <c r="P211" s="25" t="s">
        <v>550</v>
      </c>
      <c r="Q211" s="25" t="s">
        <v>557</v>
      </c>
      <c r="R211" s="26" t="n">
        <v>100</v>
      </c>
      <c r="S211" s="26" t="n">
        <f aca="false">IF(AND(L211="Oui",K211="Principal",R211&lt;&gt;""),I211*R211,0)</f>
        <v>100</v>
      </c>
      <c r="T211" s="26" t="n">
        <f aca="false">IF(R211&lt;&gt;"",M211-S211,0)</f>
        <v>150</v>
      </c>
      <c r="U211" s="26" t="n">
        <f aca="false">IF(R211="",M211,0)</f>
        <v>0</v>
      </c>
    </row>
    <row r="212" customFormat="false" ht="15" hidden="false" customHeight="false" outlineLevel="0" collapsed="false">
      <c r="A212" s="25" t="s">
        <v>53</v>
      </c>
      <c r="B212" s="25" t="s">
        <v>54</v>
      </c>
      <c r="C212" s="25" t="s">
        <v>48</v>
      </c>
      <c r="D212" s="25" t="n">
        <v>15</v>
      </c>
      <c r="E212" s="25" t="s">
        <v>565</v>
      </c>
      <c r="F212" s="25" t="s">
        <v>174</v>
      </c>
      <c r="G212" s="25" t="n">
        <v>1218</v>
      </c>
      <c r="H212" s="25" t="s">
        <v>614</v>
      </c>
      <c r="I212" s="25" t="n">
        <v>1</v>
      </c>
      <c r="J212" s="26" t="n">
        <v>400</v>
      </c>
      <c r="K212" s="25" t="s">
        <v>546</v>
      </c>
      <c r="L212" s="25" t="s">
        <v>547</v>
      </c>
      <c r="M212" s="26" t="n">
        <f aca="false">IF(AND(L212="Oui",K212="Principal"),I212*J212,0)</f>
        <v>400</v>
      </c>
      <c r="N212" s="25" t="s">
        <v>548</v>
      </c>
      <c r="O212" s="25"/>
      <c r="P212" s="25" t="s">
        <v>550</v>
      </c>
      <c r="Q212" s="25" t="s">
        <v>557</v>
      </c>
      <c r="R212" s="26" t="n">
        <v>250</v>
      </c>
      <c r="S212" s="26" t="n">
        <f aca="false">IF(AND(L212="Oui",K212="Principal",R212&lt;&gt;""),I212*R212,0)</f>
        <v>250</v>
      </c>
      <c r="T212" s="26" t="n">
        <f aca="false">IF(R212&lt;&gt;"",M212-S212,0)</f>
        <v>150</v>
      </c>
      <c r="U212" s="26" t="n">
        <f aca="false">IF(R212="",M212,0)</f>
        <v>0</v>
      </c>
    </row>
    <row r="213" customFormat="false" ht="15" hidden="false" customHeight="false" outlineLevel="0" collapsed="false">
      <c r="A213" s="25" t="s">
        <v>53</v>
      </c>
      <c r="B213" s="25" t="s">
        <v>54</v>
      </c>
      <c r="C213" s="25" t="s">
        <v>48</v>
      </c>
      <c r="D213" s="25" t="n">
        <v>16</v>
      </c>
      <c r="E213" s="25" t="s">
        <v>573</v>
      </c>
      <c r="F213" s="25" t="s">
        <v>176</v>
      </c>
      <c r="G213" s="25" t="n">
        <v>19</v>
      </c>
      <c r="H213" s="25" t="s">
        <v>615</v>
      </c>
      <c r="I213" s="25" t="n">
        <v>1</v>
      </c>
      <c r="J213" s="26" t="n">
        <v>2500</v>
      </c>
      <c r="K213" s="25" t="s">
        <v>546</v>
      </c>
      <c r="L213" s="25" t="s">
        <v>547</v>
      </c>
      <c r="M213" s="26" t="n">
        <f aca="false">IF(AND(L213="Oui",K213="Principal"),I213*J213,0)</f>
        <v>2500</v>
      </c>
      <c r="N213" s="25" t="s">
        <v>548</v>
      </c>
      <c r="O213" s="25"/>
      <c r="P213" s="25" t="s">
        <v>559</v>
      </c>
      <c r="Q213" s="25" t="s">
        <v>551</v>
      </c>
      <c r="R213" s="26"/>
      <c r="S213" s="26" t="n">
        <f aca="false">IF(AND(L213="Oui",K213="Principal",R213&lt;&gt;""),I213*R213,0)</f>
        <v>0</v>
      </c>
      <c r="T213" s="26" t="n">
        <f aca="false">IF(R213&lt;&gt;"",M213-S213,0)</f>
        <v>0</v>
      </c>
      <c r="U213" s="26" t="n">
        <f aca="false">IF(R213="",M213,0)</f>
        <v>2500</v>
      </c>
    </row>
    <row r="214" customFormat="false" ht="15" hidden="false" customHeight="false" outlineLevel="0" collapsed="false">
      <c r="A214" s="25" t="s">
        <v>53</v>
      </c>
      <c r="B214" s="25" t="s">
        <v>54</v>
      </c>
      <c r="C214" s="25" t="s">
        <v>48</v>
      </c>
      <c r="D214" s="25" t="n">
        <v>17</v>
      </c>
      <c r="E214" s="25" t="s">
        <v>573</v>
      </c>
      <c r="F214" s="25" t="s">
        <v>117</v>
      </c>
      <c r="G214" s="25" t="n">
        <v>1287</v>
      </c>
      <c r="H214" s="25" t="s">
        <v>575</v>
      </c>
      <c r="I214" s="25" t="n">
        <v>1</v>
      </c>
      <c r="J214" s="26" t="n">
        <v>2500</v>
      </c>
      <c r="K214" s="25" t="s">
        <v>546</v>
      </c>
      <c r="L214" s="25" t="s">
        <v>547</v>
      </c>
      <c r="M214" s="26" t="n">
        <f aca="false">IF(AND(L214="Oui",K214="Principal"),I214*J214,0)</f>
        <v>2500</v>
      </c>
      <c r="N214" s="25" t="s">
        <v>548</v>
      </c>
      <c r="O214" s="25" t="s">
        <v>576</v>
      </c>
      <c r="P214" s="25" t="s">
        <v>550</v>
      </c>
      <c r="Q214" s="25" t="s">
        <v>557</v>
      </c>
      <c r="R214" s="26" t="n">
        <v>1800</v>
      </c>
      <c r="S214" s="26" t="n">
        <f aca="false">IF(AND(L214="Oui",K214="Principal",R214&lt;&gt;""),I214*R214,0)</f>
        <v>1800</v>
      </c>
      <c r="T214" s="26" t="n">
        <f aca="false">IF(R214&lt;&gt;"",M214-S214,0)</f>
        <v>700</v>
      </c>
      <c r="U214" s="26" t="n">
        <f aca="false">IF(R214="",M214,0)</f>
        <v>0</v>
      </c>
    </row>
    <row r="215" customFormat="false" ht="15" hidden="false" customHeight="false" outlineLevel="0" collapsed="false">
      <c r="A215" s="33" t="s">
        <v>53</v>
      </c>
      <c r="B215" s="33" t="s">
        <v>54</v>
      </c>
      <c r="C215" s="33" t="s">
        <v>48</v>
      </c>
      <c r="D215" s="33" t="n">
        <v>18</v>
      </c>
      <c r="E215" s="33" t="s">
        <v>616</v>
      </c>
      <c r="F215" s="33" t="s">
        <v>179</v>
      </c>
      <c r="G215" s="33" t="n">
        <v>1391</v>
      </c>
      <c r="H215" s="33" t="s">
        <v>617</v>
      </c>
      <c r="I215" s="33" t="n">
        <v>1</v>
      </c>
      <c r="J215" s="34" t="n">
        <v>3900</v>
      </c>
      <c r="K215" s="33" t="s">
        <v>618</v>
      </c>
      <c r="L215" s="33" t="s">
        <v>579</v>
      </c>
      <c r="M215" s="34" t="n">
        <f aca="false">IF(AND(L215="Oui",K215="Principal"),I215*J215,0)</f>
        <v>0</v>
      </c>
      <c r="N215" s="33" t="s">
        <v>182</v>
      </c>
      <c r="O215" s="33" t="s">
        <v>619</v>
      </c>
      <c r="P215" s="33" t="s">
        <v>550</v>
      </c>
      <c r="Q215" s="33" t="s">
        <v>557</v>
      </c>
      <c r="R215" s="34" t="n">
        <v>2900</v>
      </c>
      <c r="S215" s="34" t="n">
        <f aca="false">IF(AND(L215="Oui",K215="Principal",R215&lt;&gt;""),I215*R215,0)</f>
        <v>0</v>
      </c>
      <c r="T215" s="34" t="n">
        <f aca="false">IF(R215&lt;&gt;"",M215-S215,0)</f>
        <v>0</v>
      </c>
      <c r="U215" s="34" t="n">
        <f aca="false">IF(R215="",M215,0)</f>
        <v>0</v>
      </c>
    </row>
    <row r="216" customFormat="false" ht="15" hidden="false" customHeight="false" outlineLevel="0" collapsed="false">
      <c r="A216" s="25" t="s">
        <v>53</v>
      </c>
      <c r="B216" s="25" t="s">
        <v>54</v>
      </c>
      <c r="C216" s="25" t="s">
        <v>48</v>
      </c>
      <c r="D216" s="25" t="n">
        <v>19</v>
      </c>
      <c r="E216" s="25" t="s">
        <v>616</v>
      </c>
      <c r="F216" s="25" t="s">
        <v>183</v>
      </c>
      <c r="G216" s="25" t="n">
        <v>1520</v>
      </c>
      <c r="H216" s="25" t="s">
        <v>620</v>
      </c>
      <c r="I216" s="25" t="n">
        <v>1</v>
      </c>
      <c r="J216" s="26" t="n">
        <v>3890</v>
      </c>
      <c r="K216" s="25" t="s">
        <v>618</v>
      </c>
      <c r="L216" s="25" t="s">
        <v>579</v>
      </c>
      <c r="M216" s="26" t="n">
        <f aca="false">IF(AND(L216="Oui",K216="Principal"),I216*J216,0)</f>
        <v>0</v>
      </c>
      <c r="N216" s="25" t="s">
        <v>548</v>
      </c>
      <c r="O216" s="25"/>
      <c r="P216" s="25" t="s">
        <v>550</v>
      </c>
      <c r="Q216" s="25" t="s">
        <v>557</v>
      </c>
      <c r="R216" s="26" t="n">
        <v>2890</v>
      </c>
      <c r="S216" s="26" t="n">
        <f aca="false">IF(AND(L216="Oui",K216="Principal",R216&lt;&gt;""),I216*R216,0)</f>
        <v>0</v>
      </c>
      <c r="T216" s="26" t="n">
        <f aca="false">IF(R216&lt;&gt;"",M216-S216,0)</f>
        <v>0</v>
      </c>
      <c r="U216" s="26" t="n">
        <f aca="false">IF(R216="",M216,0)</f>
        <v>0</v>
      </c>
    </row>
    <row r="217" customFormat="false" ht="15" hidden="false" customHeight="false" outlineLevel="0" collapsed="false">
      <c r="A217" s="25" t="s">
        <v>53</v>
      </c>
      <c r="B217" s="25" t="s">
        <v>54</v>
      </c>
      <c r="C217" s="25" t="s">
        <v>48</v>
      </c>
      <c r="D217" s="25" t="n">
        <v>20</v>
      </c>
      <c r="E217" s="25" t="s">
        <v>616</v>
      </c>
      <c r="F217" s="25" t="s">
        <v>185</v>
      </c>
      <c r="G217" s="25" t="n">
        <v>1488</v>
      </c>
      <c r="H217" s="25" t="s">
        <v>621</v>
      </c>
      <c r="I217" s="25" t="n">
        <v>1</v>
      </c>
      <c r="J217" s="26" t="n">
        <v>3890</v>
      </c>
      <c r="K217" s="25" t="s">
        <v>618</v>
      </c>
      <c r="L217" s="25" t="s">
        <v>579</v>
      </c>
      <c r="M217" s="26" t="n">
        <f aca="false">IF(AND(L217="Oui",K217="Principal"),I217*J217,0)</f>
        <v>0</v>
      </c>
      <c r="N217" s="25" t="s">
        <v>548</v>
      </c>
      <c r="O217" s="25"/>
      <c r="P217" s="25" t="s">
        <v>550</v>
      </c>
      <c r="Q217" s="25" t="s">
        <v>557</v>
      </c>
      <c r="R217" s="26" t="n">
        <v>2890</v>
      </c>
      <c r="S217" s="26" t="n">
        <f aca="false">IF(AND(L217="Oui",K217="Principal",R217&lt;&gt;""),I217*R217,0)</f>
        <v>0</v>
      </c>
      <c r="T217" s="26" t="n">
        <f aca="false">IF(R217&lt;&gt;"",M217-S217,0)</f>
        <v>0</v>
      </c>
      <c r="U217" s="26" t="n">
        <f aca="false">IF(R217="",M217,0)</f>
        <v>0</v>
      </c>
    </row>
    <row r="218" customFormat="false" ht="15" hidden="false" customHeight="false" outlineLevel="0" collapsed="false">
      <c r="A218" s="25" t="s">
        <v>53</v>
      </c>
      <c r="B218" s="25" t="s">
        <v>54</v>
      </c>
      <c r="C218" s="25" t="s">
        <v>48</v>
      </c>
      <c r="D218" s="25" t="n">
        <v>21</v>
      </c>
      <c r="E218" s="25" t="s">
        <v>577</v>
      </c>
      <c r="F218" s="25" t="s">
        <v>120</v>
      </c>
      <c r="G218" s="25" t="n">
        <v>1199</v>
      </c>
      <c r="H218" s="25" t="s">
        <v>622</v>
      </c>
      <c r="I218" s="25" t="n">
        <v>1</v>
      </c>
      <c r="J218" s="26" t="n">
        <v>7500</v>
      </c>
      <c r="K218" s="25" t="s">
        <v>577</v>
      </c>
      <c r="L218" s="25" t="s">
        <v>579</v>
      </c>
      <c r="M218" s="26" t="n">
        <f aca="false">IF(AND(L218="Oui",K218="Principal"),I218*J218,0)</f>
        <v>0</v>
      </c>
      <c r="N218" s="25" t="s">
        <v>548</v>
      </c>
      <c r="O218" s="25"/>
      <c r="P218" s="25" t="s">
        <v>550</v>
      </c>
      <c r="Q218" s="25" t="s">
        <v>557</v>
      </c>
      <c r="R218" s="26" t="n">
        <v>6000</v>
      </c>
      <c r="S218" s="26" t="n">
        <f aca="false">IF(AND(L218="Oui",K218="Principal",R218&lt;&gt;""),I218*R218,0)</f>
        <v>0</v>
      </c>
      <c r="T218" s="26" t="n">
        <f aca="false">IF(R218&lt;&gt;"",M218-S218,0)</f>
        <v>0</v>
      </c>
      <c r="U218" s="26" t="n">
        <f aca="false">IF(R218="",M218,0)</f>
        <v>0</v>
      </c>
    </row>
    <row r="219" customFormat="false" ht="15" hidden="false" customHeight="false" outlineLevel="0" collapsed="false">
      <c r="A219" s="25" t="s">
        <v>53</v>
      </c>
      <c r="B219" s="25" t="s">
        <v>54</v>
      </c>
      <c r="C219" s="25" t="s">
        <v>49</v>
      </c>
      <c r="D219" s="25" t="n">
        <v>1</v>
      </c>
      <c r="E219" s="25" t="s">
        <v>544</v>
      </c>
      <c r="F219" s="25" t="s">
        <v>158</v>
      </c>
      <c r="G219" s="25" t="n">
        <v>1575</v>
      </c>
      <c r="H219" s="25" t="s">
        <v>605</v>
      </c>
      <c r="I219" s="25" t="n">
        <v>6</v>
      </c>
      <c r="J219" s="26" t="n">
        <v>275</v>
      </c>
      <c r="K219" s="25" t="s">
        <v>546</v>
      </c>
      <c r="L219" s="25" t="s">
        <v>547</v>
      </c>
      <c r="M219" s="26" t="n">
        <f aca="false">IF(AND(L219="Oui",K219="Principal"),I219*J219,0)</f>
        <v>1650</v>
      </c>
      <c r="N219" s="25" t="s">
        <v>548</v>
      </c>
      <c r="O219" s="25"/>
      <c r="P219" s="25" t="s">
        <v>556</v>
      </c>
      <c r="Q219" s="25" t="s">
        <v>557</v>
      </c>
      <c r="R219" s="26" t="n">
        <v>175</v>
      </c>
      <c r="S219" s="26" t="n">
        <f aca="false">IF(AND(L219="Oui",K219="Principal",R219&lt;&gt;""),I219*R219,0)</f>
        <v>1050</v>
      </c>
      <c r="T219" s="26" t="n">
        <f aca="false">IF(R219&lt;&gt;"",M219-S219,0)</f>
        <v>600</v>
      </c>
      <c r="U219" s="26" t="n">
        <f aca="false">IF(R219="",M219,0)</f>
        <v>0</v>
      </c>
    </row>
    <row r="220" customFormat="false" ht="15" hidden="false" customHeight="false" outlineLevel="0" collapsed="false">
      <c r="A220" s="25" t="s">
        <v>53</v>
      </c>
      <c r="B220" s="25" t="s">
        <v>54</v>
      </c>
      <c r="C220" s="25" t="s">
        <v>49</v>
      </c>
      <c r="D220" s="25" t="n">
        <v>2</v>
      </c>
      <c r="E220" s="25" t="s">
        <v>554</v>
      </c>
      <c r="F220" s="25" t="s">
        <v>88</v>
      </c>
      <c r="G220" s="25" t="n">
        <v>1286</v>
      </c>
      <c r="H220" s="25" t="s">
        <v>580</v>
      </c>
      <c r="I220" s="25" t="n">
        <v>1</v>
      </c>
      <c r="J220" s="26" t="n">
        <v>550</v>
      </c>
      <c r="K220" s="25" t="s">
        <v>546</v>
      </c>
      <c r="L220" s="25" t="s">
        <v>547</v>
      </c>
      <c r="M220" s="26" t="n">
        <f aca="false">IF(AND(L220="Oui",K220="Principal"),I220*J220,0)</f>
        <v>550</v>
      </c>
      <c r="N220" s="25" t="s">
        <v>548</v>
      </c>
      <c r="O220" s="25"/>
      <c r="P220" s="25" t="s">
        <v>550</v>
      </c>
      <c r="Q220" s="25" t="s">
        <v>557</v>
      </c>
      <c r="R220" s="26" t="n">
        <v>450</v>
      </c>
      <c r="S220" s="26" t="n">
        <f aca="false">IF(AND(L220="Oui",K220="Principal",R220&lt;&gt;""),I220*R220,0)</f>
        <v>450</v>
      </c>
      <c r="T220" s="26" t="n">
        <f aca="false">IF(R220&lt;&gt;"",M220-S220,0)</f>
        <v>100</v>
      </c>
      <c r="U220" s="26" t="n">
        <f aca="false">IF(R220="",M220,0)</f>
        <v>0</v>
      </c>
    </row>
    <row r="221" customFormat="false" ht="15" hidden="false" customHeight="false" outlineLevel="0" collapsed="false">
      <c r="A221" s="25" t="s">
        <v>53</v>
      </c>
      <c r="B221" s="25" t="s">
        <v>54</v>
      </c>
      <c r="C221" s="25" t="s">
        <v>49</v>
      </c>
      <c r="D221" s="25" t="n">
        <v>3</v>
      </c>
      <c r="E221" s="25" t="s">
        <v>160</v>
      </c>
      <c r="F221" s="25" t="s">
        <v>160</v>
      </c>
      <c r="G221" s="25" t="n">
        <v>1277</v>
      </c>
      <c r="H221" s="25" t="s">
        <v>606</v>
      </c>
      <c r="I221" s="25" t="n">
        <v>7</v>
      </c>
      <c r="J221" s="26" t="n">
        <v>150</v>
      </c>
      <c r="K221" s="25" t="s">
        <v>546</v>
      </c>
      <c r="L221" s="25" t="s">
        <v>547</v>
      </c>
      <c r="M221" s="26" t="n">
        <f aca="false">IF(AND(L221="Oui",K221="Principal"),I221*J221,0)</f>
        <v>1050</v>
      </c>
      <c r="N221" s="25" t="s">
        <v>548</v>
      </c>
      <c r="O221" s="25"/>
      <c r="P221" s="25" t="s">
        <v>550</v>
      </c>
      <c r="Q221" s="25" t="s">
        <v>557</v>
      </c>
      <c r="R221" s="26"/>
      <c r="S221" s="26" t="n">
        <f aca="false">IF(AND(L221="Oui",K221="Principal",R221&lt;&gt;""),I221*R221,0)</f>
        <v>0</v>
      </c>
      <c r="T221" s="26" t="n">
        <f aca="false">IF(R221&lt;&gt;"",M221-S221,0)</f>
        <v>0</v>
      </c>
      <c r="U221" s="26" t="n">
        <f aca="false">IF(R221="",M221,0)</f>
        <v>1050</v>
      </c>
    </row>
    <row r="222" customFormat="false" ht="15" hidden="false" customHeight="false" outlineLevel="0" collapsed="false">
      <c r="A222" s="25" t="s">
        <v>53</v>
      </c>
      <c r="B222" s="25" t="s">
        <v>54</v>
      </c>
      <c r="C222" s="25" t="s">
        <v>49</v>
      </c>
      <c r="D222" s="25" t="n">
        <v>4</v>
      </c>
      <c r="E222" s="25" t="s">
        <v>563</v>
      </c>
      <c r="F222" s="25" t="s">
        <v>188</v>
      </c>
      <c r="G222" s="25" t="n">
        <v>8</v>
      </c>
      <c r="H222" s="25" t="s">
        <v>188</v>
      </c>
      <c r="I222" s="25" t="n">
        <v>1</v>
      </c>
      <c r="J222" s="26" t="n">
        <v>500</v>
      </c>
      <c r="K222" s="25" t="s">
        <v>546</v>
      </c>
      <c r="L222" s="25" t="s">
        <v>547</v>
      </c>
      <c r="M222" s="26" t="n">
        <f aca="false">IF(AND(L222="Oui",K222="Principal"),I222*J222,0)</f>
        <v>500</v>
      </c>
      <c r="N222" s="25" t="s">
        <v>548</v>
      </c>
      <c r="O222" s="25"/>
      <c r="P222" s="25" t="s">
        <v>559</v>
      </c>
      <c r="Q222" s="25" t="s">
        <v>551</v>
      </c>
      <c r="R222" s="26"/>
      <c r="S222" s="26" t="n">
        <f aca="false">IF(AND(L222="Oui",K222="Principal",R222&lt;&gt;""),I222*R222,0)</f>
        <v>0</v>
      </c>
      <c r="T222" s="26" t="n">
        <f aca="false">IF(R222&lt;&gt;"",M222-S222,0)</f>
        <v>0</v>
      </c>
      <c r="U222" s="26" t="n">
        <f aca="false">IF(R222="",M222,0)</f>
        <v>500</v>
      </c>
    </row>
    <row r="223" customFormat="false" ht="15" hidden="false" customHeight="false" outlineLevel="0" collapsed="false">
      <c r="A223" s="25" t="s">
        <v>53</v>
      </c>
      <c r="B223" s="25" t="s">
        <v>54</v>
      </c>
      <c r="C223" s="25" t="s">
        <v>49</v>
      </c>
      <c r="D223" s="25" t="n">
        <v>5</v>
      </c>
      <c r="E223" s="25" t="s">
        <v>563</v>
      </c>
      <c r="F223" s="25" t="s">
        <v>162</v>
      </c>
      <c r="G223" s="25" t="n">
        <v>1635</v>
      </c>
      <c r="H223" s="25" t="s">
        <v>607</v>
      </c>
      <c r="I223" s="25" t="n">
        <v>2</v>
      </c>
      <c r="J223" s="26" t="n">
        <v>100</v>
      </c>
      <c r="K223" s="25" t="s">
        <v>546</v>
      </c>
      <c r="L223" s="25" t="s">
        <v>547</v>
      </c>
      <c r="M223" s="26" t="n">
        <f aca="false">IF(AND(L223="Oui",K223="Principal"),I223*J223,0)</f>
        <v>200</v>
      </c>
      <c r="N223" s="25" t="s">
        <v>548</v>
      </c>
      <c r="O223" s="25"/>
      <c r="P223" s="25" t="s">
        <v>556</v>
      </c>
      <c r="Q223" s="25" t="s">
        <v>557</v>
      </c>
      <c r="R223" s="26" t="n">
        <v>80</v>
      </c>
      <c r="S223" s="26" t="n">
        <f aca="false">IF(AND(L223="Oui",K223="Principal",R223&lt;&gt;""),I223*R223,0)</f>
        <v>160</v>
      </c>
      <c r="T223" s="26" t="n">
        <f aca="false">IF(R223&lt;&gt;"",M223-S223,0)</f>
        <v>40</v>
      </c>
      <c r="U223" s="26" t="n">
        <f aca="false">IF(R223="",M223,0)</f>
        <v>0</v>
      </c>
    </row>
    <row r="224" customFormat="false" ht="15" hidden="false" customHeight="false" outlineLevel="0" collapsed="false">
      <c r="A224" s="25" t="s">
        <v>53</v>
      </c>
      <c r="B224" s="25" t="s">
        <v>54</v>
      </c>
      <c r="C224" s="25" t="s">
        <v>49</v>
      </c>
      <c r="D224" s="25" t="n">
        <v>6</v>
      </c>
      <c r="E224" s="25" t="s">
        <v>565</v>
      </c>
      <c r="F224" s="25" t="s">
        <v>99</v>
      </c>
      <c r="G224" s="25" t="n">
        <v>1181</v>
      </c>
      <c r="H224" s="25" t="s">
        <v>581</v>
      </c>
      <c r="I224" s="25" t="n">
        <v>2</v>
      </c>
      <c r="J224" s="26" t="n">
        <v>250</v>
      </c>
      <c r="K224" s="25" t="s">
        <v>546</v>
      </c>
      <c r="L224" s="25" t="s">
        <v>547</v>
      </c>
      <c r="M224" s="26" t="n">
        <f aca="false">IF(AND(L224="Oui",K224="Principal"),I224*J224,0)</f>
        <v>500</v>
      </c>
      <c r="N224" s="25" t="s">
        <v>548</v>
      </c>
      <c r="O224" s="25"/>
      <c r="P224" s="25" t="s">
        <v>550</v>
      </c>
      <c r="Q224" s="25" t="s">
        <v>557</v>
      </c>
      <c r="R224" s="26" t="n">
        <v>110</v>
      </c>
      <c r="S224" s="26" t="n">
        <f aca="false">IF(AND(L224="Oui",K224="Principal",R224&lt;&gt;""),I224*R224,0)</f>
        <v>220</v>
      </c>
      <c r="T224" s="26" t="n">
        <f aca="false">IF(R224&lt;&gt;"",M224-S224,0)</f>
        <v>280</v>
      </c>
      <c r="U224" s="26" t="n">
        <f aca="false">IF(R224="",M224,0)</f>
        <v>0</v>
      </c>
    </row>
    <row r="225" customFormat="false" ht="15" hidden="false" customHeight="false" outlineLevel="0" collapsed="false">
      <c r="A225" s="25" t="s">
        <v>53</v>
      </c>
      <c r="B225" s="25" t="s">
        <v>54</v>
      </c>
      <c r="C225" s="25" t="s">
        <v>49</v>
      </c>
      <c r="D225" s="25" t="n">
        <v>7</v>
      </c>
      <c r="E225" s="25" t="s">
        <v>565</v>
      </c>
      <c r="F225" s="25" t="s">
        <v>102</v>
      </c>
      <c r="G225" s="25" t="n">
        <v>1587</v>
      </c>
      <c r="H225" s="25" t="s">
        <v>567</v>
      </c>
      <c r="I225" s="25" t="n">
        <v>1</v>
      </c>
      <c r="J225" s="26" t="n">
        <v>500</v>
      </c>
      <c r="K225" s="25" t="s">
        <v>546</v>
      </c>
      <c r="L225" s="25" t="s">
        <v>547</v>
      </c>
      <c r="M225" s="26" t="n">
        <f aca="false">IF(AND(L225="Oui",K225="Principal"),I225*J225,0)</f>
        <v>500</v>
      </c>
      <c r="N225" s="25" t="s">
        <v>548</v>
      </c>
      <c r="O225" s="25"/>
      <c r="P225" s="25" t="s">
        <v>556</v>
      </c>
      <c r="Q225" s="25" t="s">
        <v>557</v>
      </c>
      <c r="R225" s="26" t="n">
        <v>350</v>
      </c>
      <c r="S225" s="26" t="n">
        <f aca="false">IF(AND(L225="Oui",K225="Principal",R225&lt;&gt;""),I225*R225,0)</f>
        <v>350</v>
      </c>
      <c r="T225" s="26" t="n">
        <f aca="false">IF(R225&lt;&gt;"",M225-S225,0)</f>
        <v>150</v>
      </c>
      <c r="U225" s="26" t="n">
        <f aca="false">IF(R225="",M225,0)</f>
        <v>0</v>
      </c>
    </row>
    <row r="226" customFormat="false" ht="15" hidden="false" customHeight="false" outlineLevel="0" collapsed="false">
      <c r="A226" s="25" t="s">
        <v>53</v>
      </c>
      <c r="B226" s="25" t="s">
        <v>54</v>
      </c>
      <c r="C226" s="25" t="s">
        <v>49</v>
      </c>
      <c r="D226" s="25" t="n">
        <v>8</v>
      </c>
      <c r="E226" s="25" t="s">
        <v>609</v>
      </c>
      <c r="F226" s="25" t="s">
        <v>131</v>
      </c>
      <c r="G226" s="25" t="n">
        <v>1183</v>
      </c>
      <c r="H226" s="25" t="s">
        <v>587</v>
      </c>
      <c r="I226" s="25" t="n">
        <v>1</v>
      </c>
      <c r="J226" s="26" t="n">
        <v>100</v>
      </c>
      <c r="K226" s="25" t="s">
        <v>546</v>
      </c>
      <c r="L226" s="25" t="s">
        <v>547</v>
      </c>
      <c r="M226" s="26" t="n">
        <f aca="false">IF(AND(L226="Oui",K226="Principal"),I226*J226,0)</f>
        <v>100</v>
      </c>
      <c r="N226" s="25" t="s">
        <v>548</v>
      </c>
      <c r="O226" s="25"/>
      <c r="P226" s="25" t="s">
        <v>550</v>
      </c>
      <c r="Q226" s="25" t="s">
        <v>557</v>
      </c>
      <c r="R226" s="26"/>
      <c r="S226" s="26" t="n">
        <f aca="false">IF(AND(L226="Oui",K226="Principal",R226&lt;&gt;""),I226*R226,0)</f>
        <v>0</v>
      </c>
      <c r="T226" s="26" t="n">
        <f aca="false">IF(R226&lt;&gt;"",M226-S226,0)</f>
        <v>0</v>
      </c>
      <c r="U226" s="26" t="n">
        <f aca="false">IF(R226="",M226,0)</f>
        <v>100</v>
      </c>
    </row>
    <row r="227" customFormat="false" ht="15" hidden="false" customHeight="false" outlineLevel="0" collapsed="false">
      <c r="A227" s="25" t="s">
        <v>53</v>
      </c>
      <c r="B227" s="25" t="s">
        <v>54</v>
      </c>
      <c r="C227" s="25" t="s">
        <v>49</v>
      </c>
      <c r="D227" s="25" t="n">
        <v>9</v>
      </c>
      <c r="E227" s="25" t="s">
        <v>554</v>
      </c>
      <c r="F227" s="25" t="s">
        <v>104</v>
      </c>
      <c r="G227" s="25" t="n">
        <v>1589</v>
      </c>
      <c r="H227" s="25" t="s">
        <v>568</v>
      </c>
      <c r="I227" s="25" t="n">
        <v>1</v>
      </c>
      <c r="J227" s="26" t="n">
        <v>900</v>
      </c>
      <c r="K227" s="25" t="s">
        <v>546</v>
      </c>
      <c r="L227" s="25" t="s">
        <v>547</v>
      </c>
      <c r="M227" s="26" t="n">
        <f aca="false">IF(AND(L227="Oui",K227="Principal"),I227*J227,0)</f>
        <v>900</v>
      </c>
      <c r="N227" s="25" t="s">
        <v>548</v>
      </c>
      <c r="O227" s="25"/>
      <c r="P227" s="25" t="s">
        <v>556</v>
      </c>
      <c r="Q227" s="25" t="s">
        <v>557</v>
      </c>
      <c r="R227" s="26" t="n">
        <v>650</v>
      </c>
      <c r="S227" s="26" t="n">
        <f aca="false">IF(AND(L227="Oui",K227="Principal",R227&lt;&gt;""),I227*R227,0)</f>
        <v>650</v>
      </c>
      <c r="T227" s="26" t="n">
        <f aca="false">IF(R227&lt;&gt;"",M227-S227,0)</f>
        <v>250</v>
      </c>
      <c r="U227" s="26" t="n">
        <f aca="false">IF(R227="",M227,0)</f>
        <v>0</v>
      </c>
    </row>
    <row r="228" customFormat="false" ht="15" hidden="false" customHeight="false" outlineLevel="0" collapsed="false">
      <c r="A228" s="25" t="s">
        <v>53</v>
      </c>
      <c r="B228" s="25" t="s">
        <v>54</v>
      </c>
      <c r="C228" s="25" t="s">
        <v>49</v>
      </c>
      <c r="D228" s="25" t="n">
        <v>10</v>
      </c>
      <c r="E228" s="25" t="s">
        <v>565</v>
      </c>
      <c r="F228" s="25" t="s">
        <v>166</v>
      </c>
      <c r="G228" s="25" t="n">
        <v>1604</v>
      </c>
      <c r="H228" s="25" t="s">
        <v>582</v>
      </c>
      <c r="I228" s="25" t="n">
        <v>2</v>
      </c>
      <c r="J228" s="26" t="n">
        <v>700</v>
      </c>
      <c r="K228" s="25" t="s">
        <v>546</v>
      </c>
      <c r="L228" s="25" t="s">
        <v>547</v>
      </c>
      <c r="M228" s="26" t="n">
        <f aca="false">IF(AND(L228="Oui",K228="Principal"),I228*J228,0)</f>
        <v>1400</v>
      </c>
      <c r="N228" s="25" t="s">
        <v>548</v>
      </c>
      <c r="O228" s="25"/>
      <c r="P228" s="25" t="s">
        <v>556</v>
      </c>
      <c r="Q228" s="25" t="s">
        <v>557</v>
      </c>
      <c r="R228" s="26" t="n">
        <v>400</v>
      </c>
      <c r="S228" s="26" t="n">
        <f aca="false">IF(AND(L228="Oui",K228="Principal",R228&lt;&gt;""),I228*R228,0)</f>
        <v>800</v>
      </c>
      <c r="T228" s="26" t="n">
        <f aca="false">IF(R228&lt;&gt;"",M228-S228,0)</f>
        <v>600</v>
      </c>
      <c r="U228" s="26" t="n">
        <f aca="false">IF(R228="",M228,0)</f>
        <v>0</v>
      </c>
    </row>
    <row r="229" customFormat="false" ht="15" hidden="false" customHeight="false" outlineLevel="0" collapsed="false">
      <c r="A229" s="25" t="s">
        <v>53</v>
      </c>
      <c r="B229" s="25" t="s">
        <v>54</v>
      </c>
      <c r="C229" s="25" t="s">
        <v>49</v>
      </c>
      <c r="D229" s="25" t="n">
        <v>11</v>
      </c>
      <c r="E229" s="25" t="s">
        <v>565</v>
      </c>
      <c r="F229" s="25" t="s">
        <v>110</v>
      </c>
      <c r="G229" s="25" t="n">
        <v>1586</v>
      </c>
      <c r="H229" s="25" t="s">
        <v>583</v>
      </c>
      <c r="I229" s="25" t="n">
        <v>1</v>
      </c>
      <c r="J229" s="26" t="n">
        <v>900</v>
      </c>
      <c r="K229" s="25" t="s">
        <v>546</v>
      </c>
      <c r="L229" s="25" t="s">
        <v>547</v>
      </c>
      <c r="M229" s="26" t="n">
        <f aca="false">IF(AND(L229="Oui",K229="Principal"),I229*J229,0)</f>
        <v>900</v>
      </c>
      <c r="N229" s="25" t="s">
        <v>548</v>
      </c>
      <c r="O229" s="25"/>
      <c r="P229" s="25" t="s">
        <v>556</v>
      </c>
      <c r="Q229" s="25" t="s">
        <v>557</v>
      </c>
      <c r="R229" s="26" t="n">
        <v>650</v>
      </c>
      <c r="S229" s="26" t="n">
        <f aca="false">IF(AND(L229="Oui",K229="Principal",R229&lt;&gt;""),I229*R229,0)</f>
        <v>650</v>
      </c>
      <c r="T229" s="26" t="n">
        <f aca="false">IF(R229&lt;&gt;"",M229-S229,0)</f>
        <v>250</v>
      </c>
      <c r="U229" s="26" t="n">
        <f aca="false">IF(R229="",M229,0)</f>
        <v>0</v>
      </c>
    </row>
    <row r="230" customFormat="false" ht="15" hidden="false" customHeight="false" outlineLevel="0" collapsed="false">
      <c r="A230" s="25" t="s">
        <v>53</v>
      </c>
      <c r="B230" s="25" t="s">
        <v>54</v>
      </c>
      <c r="C230" s="25" t="s">
        <v>49</v>
      </c>
      <c r="D230" s="25" t="n">
        <v>12</v>
      </c>
      <c r="E230" s="25" t="s">
        <v>167</v>
      </c>
      <c r="F230" s="25" t="s">
        <v>167</v>
      </c>
      <c r="G230" s="25" t="n">
        <v>1714</v>
      </c>
      <c r="H230" s="25" t="s">
        <v>623</v>
      </c>
      <c r="I230" s="25" t="n">
        <v>1</v>
      </c>
      <c r="J230" s="26" t="n">
        <v>1000</v>
      </c>
      <c r="K230" s="25" t="s">
        <v>546</v>
      </c>
      <c r="L230" s="25" t="s">
        <v>547</v>
      </c>
      <c r="M230" s="26" t="n">
        <f aca="false">IF(AND(L230="Oui",K230="Principal"),I230*J230,0)</f>
        <v>1000</v>
      </c>
      <c r="N230" s="25" t="s">
        <v>548</v>
      </c>
      <c r="O230" s="25"/>
      <c r="P230" s="25" t="s">
        <v>561</v>
      </c>
      <c r="Q230" s="25" t="s">
        <v>557</v>
      </c>
      <c r="R230" s="26" t="n">
        <v>718</v>
      </c>
      <c r="S230" s="26" t="n">
        <f aca="false">IF(AND(L230="Oui",K230="Principal",R230&lt;&gt;""),I230*R230,0)</f>
        <v>718</v>
      </c>
      <c r="T230" s="26" t="n">
        <f aca="false">IF(R230&lt;&gt;"",M230-S230,0)</f>
        <v>282</v>
      </c>
      <c r="U230" s="26" t="n">
        <f aca="false">IF(R230="",M230,0)</f>
        <v>0</v>
      </c>
    </row>
    <row r="231" customFormat="false" ht="15" hidden="false" customHeight="false" outlineLevel="0" collapsed="false">
      <c r="A231" s="31" t="s">
        <v>53</v>
      </c>
      <c r="B231" s="31" t="s">
        <v>54</v>
      </c>
      <c r="C231" s="31" t="s">
        <v>49</v>
      </c>
      <c r="D231" s="31" t="n">
        <v>13</v>
      </c>
      <c r="E231" s="31" t="s">
        <v>167</v>
      </c>
      <c r="F231" s="31" t="s">
        <v>170</v>
      </c>
      <c r="G231" s="31" t="s">
        <v>611</v>
      </c>
      <c r="H231" s="31" t="s">
        <v>612</v>
      </c>
      <c r="I231" s="31" t="n">
        <v>20</v>
      </c>
      <c r="J231" s="32" t="n">
        <v>25</v>
      </c>
      <c r="K231" s="31" t="s">
        <v>546</v>
      </c>
      <c r="L231" s="31" t="s">
        <v>547</v>
      </c>
      <c r="M231" s="32" t="n">
        <f aca="false">IF(AND(L231="Oui",K231="Principal"),I231*J231,0)</f>
        <v>500</v>
      </c>
      <c r="N231" s="31" t="s">
        <v>172</v>
      </c>
      <c r="O231" s="31" t="s">
        <v>613</v>
      </c>
      <c r="P231" s="31" t="s">
        <v>550</v>
      </c>
      <c r="Q231" s="31" t="s">
        <v>557</v>
      </c>
      <c r="R231" s="32" t="n">
        <v>25</v>
      </c>
      <c r="S231" s="32" t="n">
        <f aca="false">IF(AND(L231="Oui",K231="Principal",R231&lt;&gt;""),I231*R231,0)</f>
        <v>500</v>
      </c>
      <c r="T231" s="32" t="n">
        <f aca="false">IF(R231&lt;&gt;"",M231-S231,0)</f>
        <v>0</v>
      </c>
      <c r="U231" s="32" t="n">
        <f aca="false">IF(R231="",M231,0)</f>
        <v>0</v>
      </c>
    </row>
    <row r="232" customFormat="false" ht="15" hidden="false" customHeight="false" outlineLevel="0" collapsed="false">
      <c r="A232" s="25" t="s">
        <v>53</v>
      </c>
      <c r="B232" s="25" t="s">
        <v>54</v>
      </c>
      <c r="C232" s="25" t="s">
        <v>49</v>
      </c>
      <c r="D232" s="25" t="n">
        <v>14</v>
      </c>
      <c r="E232" s="25" t="s">
        <v>167</v>
      </c>
      <c r="F232" s="25" t="s">
        <v>173</v>
      </c>
      <c r="G232" s="25" t="n">
        <v>1202</v>
      </c>
      <c r="H232" s="25" t="s">
        <v>599</v>
      </c>
      <c r="I232" s="25" t="n">
        <v>1</v>
      </c>
      <c r="J232" s="26" t="n">
        <v>250</v>
      </c>
      <c r="K232" s="25" t="s">
        <v>546</v>
      </c>
      <c r="L232" s="25" t="s">
        <v>547</v>
      </c>
      <c r="M232" s="26" t="n">
        <f aca="false">IF(AND(L232="Oui",K232="Principal"),I232*J232,0)</f>
        <v>250</v>
      </c>
      <c r="N232" s="25" t="s">
        <v>548</v>
      </c>
      <c r="O232" s="25"/>
      <c r="P232" s="25" t="s">
        <v>550</v>
      </c>
      <c r="Q232" s="25" t="s">
        <v>557</v>
      </c>
      <c r="R232" s="26" t="n">
        <v>100</v>
      </c>
      <c r="S232" s="26" t="n">
        <f aca="false">IF(AND(L232="Oui",K232="Principal",R232&lt;&gt;""),I232*R232,0)</f>
        <v>100</v>
      </c>
      <c r="T232" s="26" t="n">
        <f aca="false">IF(R232&lt;&gt;"",M232-S232,0)</f>
        <v>150</v>
      </c>
      <c r="U232" s="26" t="n">
        <f aca="false">IF(R232="",M232,0)</f>
        <v>0</v>
      </c>
    </row>
    <row r="233" customFormat="false" ht="15" hidden="false" customHeight="false" outlineLevel="0" collapsed="false">
      <c r="A233" s="25" t="s">
        <v>53</v>
      </c>
      <c r="B233" s="25" t="s">
        <v>54</v>
      </c>
      <c r="C233" s="25" t="s">
        <v>49</v>
      </c>
      <c r="D233" s="25" t="n">
        <v>15</v>
      </c>
      <c r="E233" s="25" t="s">
        <v>565</v>
      </c>
      <c r="F233" s="25" t="s">
        <v>174</v>
      </c>
      <c r="G233" s="25" t="n">
        <v>1218</v>
      </c>
      <c r="H233" s="25" t="s">
        <v>614</v>
      </c>
      <c r="I233" s="25" t="n">
        <v>1</v>
      </c>
      <c r="J233" s="26" t="n">
        <v>400</v>
      </c>
      <c r="K233" s="25" t="s">
        <v>546</v>
      </c>
      <c r="L233" s="25" t="s">
        <v>547</v>
      </c>
      <c r="M233" s="26" t="n">
        <f aca="false">IF(AND(L233="Oui",K233="Principal"),I233*J233,0)</f>
        <v>400</v>
      </c>
      <c r="N233" s="25" t="s">
        <v>548</v>
      </c>
      <c r="O233" s="25"/>
      <c r="P233" s="25" t="s">
        <v>550</v>
      </c>
      <c r="Q233" s="25" t="s">
        <v>557</v>
      </c>
      <c r="R233" s="26" t="n">
        <v>250</v>
      </c>
      <c r="S233" s="26" t="n">
        <f aca="false">IF(AND(L233="Oui",K233="Principal",R233&lt;&gt;""),I233*R233,0)</f>
        <v>250</v>
      </c>
      <c r="T233" s="26" t="n">
        <f aca="false">IF(R233&lt;&gt;"",M233-S233,0)</f>
        <v>150</v>
      </c>
      <c r="U233" s="26" t="n">
        <f aca="false">IF(R233="",M233,0)</f>
        <v>0</v>
      </c>
    </row>
    <row r="234" customFormat="false" ht="15" hidden="false" customHeight="false" outlineLevel="0" collapsed="false">
      <c r="A234" s="25" t="s">
        <v>53</v>
      </c>
      <c r="B234" s="25" t="s">
        <v>54</v>
      </c>
      <c r="C234" s="25" t="s">
        <v>49</v>
      </c>
      <c r="D234" s="25" t="n">
        <v>16</v>
      </c>
      <c r="E234" s="25" t="s">
        <v>573</v>
      </c>
      <c r="F234" s="25" t="s">
        <v>176</v>
      </c>
      <c r="G234" s="25" t="n">
        <v>19</v>
      </c>
      <c r="H234" s="25" t="s">
        <v>615</v>
      </c>
      <c r="I234" s="25" t="n">
        <v>1</v>
      </c>
      <c r="J234" s="26" t="n">
        <v>2500</v>
      </c>
      <c r="K234" s="25" t="s">
        <v>546</v>
      </c>
      <c r="L234" s="25" t="s">
        <v>547</v>
      </c>
      <c r="M234" s="26" t="n">
        <f aca="false">IF(AND(L234="Oui",K234="Principal"),I234*J234,0)</f>
        <v>2500</v>
      </c>
      <c r="N234" s="25" t="s">
        <v>548</v>
      </c>
      <c r="O234" s="25"/>
      <c r="P234" s="25" t="s">
        <v>559</v>
      </c>
      <c r="Q234" s="25" t="s">
        <v>551</v>
      </c>
      <c r="R234" s="26"/>
      <c r="S234" s="26" t="n">
        <f aca="false">IF(AND(L234="Oui",K234="Principal",R234&lt;&gt;""),I234*R234,0)</f>
        <v>0</v>
      </c>
      <c r="T234" s="26" t="n">
        <f aca="false">IF(R234&lt;&gt;"",M234-S234,0)</f>
        <v>0</v>
      </c>
      <c r="U234" s="26" t="n">
        <f aca="false">IF(R234="",M234,0)</f>
        <v>2500</v>
      </c>
    </row>
    <row r="235" customFormat="false" ht="15" hidden="false" customHeight="false" outlineLevel="0" collapsed="false">
      <c r="A235" s="25" t="s">
        <v>53</v>
      </c>
      <c r="B235" s="25" t="s">
        <v>54</v>
      </c>
      <c r="C235" s="25" t="s">
        <v>49</v>
      </c>
      <c r="D235" s="25" t="n">
        <v>17</v>
      </c>
      <c r="E235" s="25" t="s">
        <v>573</v>
      </c>
      <c r="F235" s="25" t="s">
        <v>117</v>
      </c>
      <c r="G235" s="25" t="n">
        <v>1288</v>
      </c>
      <c r="H235" s="25" t="s">
        <v>624</v>
      </c>
      <c r="I235" s="25" t="n">
        <v>1</v>
      </c>
      <c r="J235" s="26" t="n">
        <v>2500</v>
      </c>
      <c r="K235" s="25" t="s">
        <v>546</v>
      </c>
      <c r="L235" s="25" t="s">
        <v>547</v>
      </c>
      <c r="M235" s="26" t="n">
        <f aca="false">IF(AND(L235="Oui",K235="Principal"),I235*J235,0)</f>
        <v>2500</v>
      </c>
      <c r="N235" s="25" t="s">
        <v>548</v>
      </c>
      <c r="O235" s="25"/>
      <c r="P235" s="25" t="s">
        <v>550</v>
      </c>
      <c r="Q235" s="25" t="s">
        <v>557</v>
      </c>
      <c r="R235" s="26" t="n">
        <v>2000</v>
      </c>
      <c r="S235" s="26" t="n">
        <f aca="false">IF(AND(L235="Oui",K235="Principal",R235&lt;&gt;""),I235*R235,0)</f>
        <v>2000</v>
      </c>
      <c r="T235" s="26" t="n">
        <f aca="false">IF(R235&lt;&gt;"",M235-S235,0)</f>
        <v>500</v>
      </c>
      <c r="U235" s="26" t="n">
        <f aca="false">IF(R235="",M235,0)</f>
        <v>0</v>
      </c>
    </row>
    <row r="236" customFormat="false" ht="15" hidden="false" customHeight="false" outlineLevel="0" collapsed="false">
      <c r="A236" s="33" t="s">
        <v>53</v>
      </c>
      <c r="B236" s="33" t="s">
        <v>54</v>
      </c>
      <c r="C236" s="33" t="s">
        <v>49</v>
      </c>
      <c r="D236" s="33" t="n">
        <v>18</v>
      </c>
      <c r="E236" s="33" t="s">
        <v>616</v>
      </c>
      <c r="F236" s="33" t="s">
        <v>179</v>
      </c>
      <c r="G236" s="33" t="n">
        <v>1391</v>
      </c>
      <c r="H236" s="33" t="s">
        <v>617</v>
      </c>
      <c r="I236" s="33" t="n">
        <v>1</v>
      </c>
      <c r="J236" s="34" t="n">
        <v>3900</v>
      </c>
      <c r="K236" s="33" t="s">
        <v>546</v>
      </c>
      <c r="L236" s="33" t="s">
        <v>547</v>
      </c>
      <c r="M236" s="34" t="n">
        <f aca="false">IF(AND(L236="Oui",K236="Principal"),I236*J236,0)</f>
        <v>3900</v>
      </c>
      <c r="N236" s="33" t="s">
        <v>182</v>
      </c>
      <c r="O236" s="33" t="s">
        <v>619</v>
      </c>
      <c r="P236" s="33" t="s">
        <v>550</v>
      </c>
      <c r="Q236" s="33" t="s">
        <v>557</v>
      </c>
      <c r="R236" s="34" t="n">
        <v>2900</v>
      </c>
      <c r="S236" s="34" t="n">
        <f aca="false">IF(AND(L236="Oui",K236="Principal",R236&lt;&gt;""),I236*R236,0)</f>
        <v>2900</v>
      </c>
      <c r="T236" s="34" t="n">
        <f aca="false">IF(R236&lt;&gt;"",M236-S236,0)</f>
        <v>1000</v>
      </c>
      <c r="U236" s="34" t="n">
        <f aca="false">IF(R236="",M236,0)</f>
        <v>0</v>
      </c>
    </row>
    <row r="237" customFormat="false" ht="15" hidden="false" customHeight="false" outlineLevel="0" collapsed="false">
      <c r="A237" s="25" t="s">
        <v>53</v>
      </c>
      <c r="B237" s="25" t="s">
        <v>54</v>
      </c>
      <c r="C237" s="25" t="s">
        <v>49</v>
      </c>
      <c r="D237" s="25" t="n">
        <v>19</v>
      </c>
      <c r="E237" s="25" t="s">
        <v>616</v>
      </c>
      <c r="F237" s="25" t="s">
        <v>183</v>
      </c>
      <c r="G237" s="25" t="n">
        <v>1520</v>
      </c>
      <c r="H237" s="25" t="s">
        <v>620</v>
      </c>
      <c r="I237" s="25" t="n">
        <v>1</v>
      </c>
      <c r="J237" s="26" t="n">
        <v>3890</v>
      </c>
      <c r="K237" s="25" t="s">
        <v>546</v>
      </c>
      <c r="L237" s="25" t="s">
        <v>547</v>
      </c>
      <c r="M237" s="26" t="n">
        <f aca="false">IF(AND(L237="Oui",K237="Principal"),I237*J237,0)</f>
        <v>3890</v>
      </c>
      <c r="N237" s="25" t="s">
        <v>548</v>
      </c>
      <c r="O237" s="25"/>
      <c r="P237" s="25" t="s">
        <v>550</v>
      </c>
      <c r="Q237" s="25" t="s">
        <v>557</v>
      </c>
      <c r="R237" s="26" t="n">
        <v>2890</v>
      </c>
      <c r="S237" s="26" t="n">
        <f aca="false">IF(AND(L237="Oui",K237="Principal",R237&lt;&gt;""),I237*R237,0)</f>
        <v>2890</v>
      </c>
      <c r="T237" s="26" t="n">
        <f aca="false">IF(R237&lt;&gt;"",M237-S237,0)</f>
        <v>1000</v>
      </c>
      <c r="U237" s="26" t="n">
        <f aca="false">IF(R237="",M237,0)</f>
        <v>0</v>
      </c>
    </row>
    <row r="238" customFormat="false" ht="15" hidden="false" customHeight="false" outlineLevel="0" collapsed="false">
      <c r="A238" s="25" t="s">
        <v>53</v>
      </c>
      <c r="B238" s="25" t="s">
        <v>54</v>
      </c>
      <c r="C238" s="25" t="s">
        <v>49</v>
      </c>
      <c r="D238" s="25" t="n">
        <v>20</v>
      </c>
      <c r="E238" s="25" t="s">
        <v>616</v>
      </c>
      <c r="F238" s="25" t="s">
        <v>185</v>
      </c>
      <c r="G238" s="25" t="n">
        <v>1488</v>
      </c>
      <c r="H238" s="25" t="s">
        <v>621</v>
      </c>
      <c r="I238" s="25" t="n">
        <v>1</v>
      </c>
      <c r="J238" s="26" t="n">
        <v>3890</v>
      </c>
      <c r="K238" s="25" t="s">
        <v>546</v>
      </c>
      <c r="L238" s="25" t="s">
        <v>547</v>
      </c>
      <c r="M238" s="26" t="n">
        <f aca="false">IF(AND(L238="Oui",K238="Principal"),I238*J238,0)</f>
        <v>3890</v>
      </c>
      <c r="N238" s="25" t="s">
        <v>548</v>
      </c>
      <c r="O238" s="25"/>
      <c r="P238" s="25" t="s">
        <v>550</v>
      </c>
      <c r="Q238" s="25" t="s">
        <v>557</v>
      </c>
      <c r="R238" s="26" t="n">
        <v>2890</v>
      </c>
      <c r="S238" s="26" t="n">
        <f aca="false">IF(AND(L238="Oui",K238="Principal",R238&lt;&gt;""),I238*R238,0)</f>
        <v>2890</v>
      </c>
      <c r="T238" s="26" t="n">
        <f aca="false">IF(R238&lt;&gt;"",M238-S238,0)</f>
        <v>1000</v>
      </c>
      <c r="U238" s="26" t="n">
        <f aca="false">IF(R238="",M238,0)</f>
        <v>0</v>
      </c>
    </row>
    <row r="239" customFormat="false" ht="15" hidden="false" customHeight="false" outlineLevel="0" collapsed="false">
      <c r="A239" s="25" t="s">
        <v>53</v>
      </c>
      <c r="B239" s="25" t="s">
        <v>54</v>
      </c>
      <c r="C239" s="25" t="s">
        <v>49</v>
      </c>
      <c r="D239" s="25" t="n">
        <v>21</v>
      </c>
      <c r="E239" s="25" t="s">
        <v>577</v>
      </c>
      <c r="F239" s="25" t="s">
        <v>120</v>
      </c>
      <c r="G239" s="25" t="n">
        <v>1199</v>
      </c>
      <c r="H239" s="25" t="s">
        <v>622</v>
      </c>
      <c r="I239" s="25" t="n">
        <v>1</v>
      </c>
      <c r="J239" s="26" t="n">
        <v>7500</v>
      </c>
      <c r="K239" s="25" t="s">
        <v>577</v>
      </c>
      <c r="L239" s="25" t="s">
        <v>579</v>
      </c>
      <c r="M239" s="26" t="n">
        <f aca="false">IF(AND(L239="Oui",K239="Principal"),I239*J239,0)</f>
        <v>0</v>
      </c>
      <c r="N239" s="25" t="s">
        <v>548</v>
      </c>
      <c r="O239" s="25"/>
      <c r="P239" s="25" t="s">
        <v>550</v>
      </c>
      <c r="Q239" s="25" t="s">
        <v>557</v>
      </c>
      <c r="R239" s="26" t="n">
        <v>6000</v>
      </c>
      <c r="S239" s="26" t="n">
        <f aca="false">IF(AND(L239="Oui",K239="Principal",R239&lt;&gt;""),I239*R239,0)</f>
        <v>0</v>
      </c>
      <c r="T239" s="26" t="n">
        <f aca="false">IF(R239&lt;&gt;"",M239-S239,0)</f>
        <v>0</v>
      </c>
      <c r="U239" s="26" t="n">
        <f aca="false">IF(R239="",M239,0)</f>
        <v>0</v>
      </c>
    </row>
    <row r="240" customFormat="false" ht="15" hidden="false" customHeight="false" outlineLevel="0" collapsed="false">
      <c r="A240" s="25" t="s">
        <v>53</v>
      </c>
      <c r="B240" s="25" t="s">
        <v>54</v>
      </c>
      <c r="C240" s="25" t="s">
        <v>50</v>
      </c>
      <c r="D240" s="25" t="n">
        <v>1</v>
      </c>
      <c r="E240" s="25" t="s">
        <v>544</v>
      </c>
      <c r="F240" s="25" t="s">
        <v>158</v>
      </c>
      <c r="G240" s="25" t="n">
        <v>1575</v>
      </c>
      <c r="H240" s="25" t="s">
        <v>605</v>
      </c>
      <c r="I240" s="25" t="n">
        <v>6</v>
      </c>
      <c r="J240" s="26" t="n">
        <v>275</v>
      </c>
      <c r="K240" s="25" t="s">
        <v>546</v>
      </c>
      <c r="L240" s="25" t="s">
        <v>547</v>
      </c>
      <c r="M240" s="26" t="n">
        <f aca="false">IF(AND(L240="Oui",K240="Principal"),I240*J240,0)</f>
        <v>1650</v>
      </c>
      <c r="N240" s="25" t="s">
        <v>548</v>
      </c>
      <c r="O240" s="25"/>
      <c r="P240" s="25" t="s">
        <v>556</v>
      </c>
      <c r="Q240" s="25" t="s">
        <v>557</v>
      </c>
      <c r="R240" s="26" t="n">
        <v>175</v>
      </c>
      <c r="S240" s="26" t="n">
        <f aca="false">IF(AND(L240="Oui",K240="Principal",R240&lt;&gt;""),I240*R240,0)</f>
        <v>1050</v>
      </c>
      <c r="T240" s="26" t="n">
        <f aca="false">IF(R240&lt;&gt;"",M240-S240,0)</f>
        <v>600</v>
      </c>
      <c r="U240" s="26" t="n">
        <f aca="false">IF(R240="",M240,0)</f>
        <v>0</v>
      </c>
    </row>
    <row r="241" customFormat="false" ht="15" hidden="false" customHeight="false" outlineLevel="0" collapsed="false">
      <c r="A241" s="25" t="s">
        <v>53</v>
      </c>
      <c r="B241" s="25" t="s">
        <v>54</v>
      </c>
      <c r="C241" s="25" t="s">
        <v>50</v>
      </c>
      <c r="D241" s="25" t="n">
        <v>2</v>
      </c>
      <c r="E241" s="25" t="s">
        <v>554</v>
      </c>
      <c r="F241" s="25" t="s">
        <v>88</v>
      </c>
      <c r="G241" s="25" t="n">
        <v>1286</v>
      </c>
      <c r="H241" s="25" t="s">
        <v>580</v>
      </c>
      <c r="I241" s="25" t="n">
        <v>1</v>
      </c>
      <c r="J241" s="26" t="n">
        <v>550</v>
      </c>
      <c r="K241" s="25" t="s">
        <v>546</v>
      </c>
      <c r="L241" s="25" t="s">
        <v>547</v>
      </c>
      <c r="M241" s="26" t="n">
        <f aca="false">IF(AND(L241="Oui",K241="Principal"),I241*J241,0)</f>
        <v>550</v>
      </c>
      <c r="N241" s="25" t="s">
        <v>548</v>
      </c>
      <c r="O241" s="25"/>
      <c r="P241" s="25" t="s">
        <v>550</v>
      </c>
      <c r="Q241" s="25" t="s">
        <v>557</v>
      </c>
      <c r="R241" s="26" t="n">
        <v>450</v>
      </c>
      <c r="S241" s="26" t="n">
        <f aca="false">IF(AND(L241="Oui",K241="Principal",R241&lt;&gt;""),I241*R241,0)</f>
        <v>450</v>
      </c>
      <c r="T241" s="26" t="n">
        <f aca="false">IF(R241&lt;&gt;"",M241-S241,0)</f>
        <v>100</v>
      </c>
      <c r="U241" s="26" t="n">
        <f aca="false">IF(R241="",M241,0)</f>
        <v>0</v>
      </c>
    </row>
    <row r="242" customFormat="false" ht="15" hidden="false" customHeight="false" outlineLevel="0" collapsed="false">
      <c r="A242" s="25" t="s">
        <v>53</v>
      </c>
      <c r="B242" s="25" t="s">
        <v>54</v>
      </c>
      <c r="C242" s="25" t="s">
        <v>50</v>
      </c>
      <c r="D242" s="25" t="n">
        <v>3</v>
      </c>
      <c r="E242" s="25" t="s">
        <v>160</v>
      </c>
      <c r="F242" s="25" t="s">
        <v>160</v>
      </c>
      <c r="G242" s="25" t="n">
        <v>1277</v>
      </c>
      <c r="H242" s="25" t="s">
        <v>606</v>
      </c>
      <c r="I242" s="25" t="n">
        <v>7</v>
      </c>
      <c r="J242" s="26" t="n">
        <v>150</v>
      </c>
      <c r="K242" s="25" t="s">
        <v>546</v>
      </c>
      <c r="L242" s="25" t="s">
        <v>547</v>
      </c>
      <c r="M242" s="26" t="n">
        <f aca="false">IF(AND(L242="Oui",K242="Principal"),I242*J242,0)</f>
        <v>1050</v>
      </c>
      <c r="N242" s="25" t="s">
        <v>548</v>
      </c>
      <c r="O242" s="25"/>
      <c r="P242" s="25" t="s">
        <v>550</v>
      </c>
      <c r="Q242" s="25" t="s">
        <v>557</v>
      </c>
      <c r="R242" s="26"/>
      <c r="S242" s="26" t="n">
        <f aca="false">IF(AND(L242="Oui",K242="Principal",R242&lt;&gt;""),I242*R242,0)</f>
        <v>0</v>
      </c>
      <c r="T242" s="26" t="n">
        <f aca="false">IF(R242&lt;&gt;"",M242-S242,0)</f>
        <v>0</v>
      </c>
      <c r="U242" s="26" t="n">
        <f aca="false">IF(R242="",M242,0)</f>
        <v>1050</v>
      </c>
    </row>
    <row r="243" customFormat="false" ht="15" hidden="false" customHeight="false" outlineLevel="0" collapsed="false">
      <c r="A243" s="25" t="s">
        <v>53</v>
      </c>
      <c r="B243" s="25" t="s">
        <v>54</v>
      </c>
      <c r="C243" s="25" t="s">
        <v>50</v>
      </c>
      <c r="D243" s="25" t="n">
        <v>4</v>
      </c>
      <c r="E243" s="25" t="s">
        <v>563</v>
      </c>
      <c r="F243" s="25" t="s">
        <v>188</v>
      </c>
      <c r="G243" s="25" t="n">
        <v>8</v>
      </c>
      <c r="H243" s="25" t="s">
        <v>188</v>
      </c>
      <c r="I243" s="25" t="n">
        <v>1</v>
      </c>
      <c r="J243" s="26" t="n">
        <v>500</v>
      </c>
      <c r="K243" s="25" t="s">
        <v>546</v>
      </c>
      <c r="L243" s="25" t="s">
        <v>547</v>
      </c>
      <c r="M243" s="26" t="n">
        <f aca="false">IF(AND(L243="Oui",K243="Principal"),I243*J243,0)</f>
        <v>500</v>
      </c>
      <c r="N243" s="25" t="s">
        <v>548</v>
      </c>
      <c r="O243" s="25"/>
      <c r="P243" s="25" t="s">
        <v>559</v>
      </c>
      <c r="Q243" s="25" t="s">
        <v>551</v>
      </c>
      <c r="R243" s="26"/>
      <c r="S243" s="26" t="n">
        <f aca="false">IF(AND(L243="Oui",K243="Principal",R243&lt;&gt;""),I243*R243,0)</f>
        <v>0</v>
      </c>
      <c r="T243" s="26" t="n">
        <f aca="false">IF(R243&lt;&gt;"",M243-S243,0)</f>
        <v>0</v>
      </c>
      <c r="U243" s="26" t="n">
        <f aca="false">IF(R243="",M243,0)</f>
        <v>500</v>
      </c>
    </row>
    <row r="244" customFormat="false" ht="15" hidden="false" customHeight="false" outlineLevel="0" collapsed="false">
      <c r="A244" s="25" t="s">
        <v>53</v>
      </c>
      <c r="B244" s="25" t="s">
        <v>54</v>
      </c>
      <c r="C244" s="25" t="s">
        <v>50</v>
      </c>
      <c r="D244" s="25" t="n">
        <v>5</v>
      </c>
      <c r="E244" s="25" t="s">
        <v>563</v>
      </c>
      <c r="F244" s="25" t="s">
        <v>162</v>
      </c>
      <c r="G244" s="25" t="n">
        <v>1635</v>
      </c>
      <c r="H244" s="25" t="s">
        <v>607</v>
      </c>
      <c r="I244" s="25" t="n">
        <v>2</v>
      </c>
      <c r="J244" s="26" t="n">
        <v>100</v>
      </c>
      <c r="K244" s="25" t="s">
        <v>546</v>
      </c>
      <c r="L244" s="25" t="s">
        <v>547</v>
      </c>
      <c r="M244" s="26" t="n">
        <f aca="false">IF(AND(L244="Oui",K244="Principal"),I244*J244,0)</f>
        <v>200</v>
      </c>
      <c r="N244" s="25" t="s">
        <v>548</v>
      </c>
      <c r="O244" s="25"/>
      <c r="P244" s="25" t="s">
        <v>556</v>
      </c>
      <c r="Q244" s="25" t="s">
        <v>557</v>
      </c>
      <c r="R244" s="26" t="n">
        <v>80</v>
      </c>
      <c r="S244" s="26" t="n">
        <f aca="false">IF(AND(L244="Oui",K244="Principal",R244&lt;&gt;""),I244*R244,0)</f>
        <v>160</v>
      </c>
      <c r="T244" s="26" t="n">
        <f aca="false">IF(R244&lt;&gt;"",M244-S244,0)</f>
        <v>40</v>
      </c>
      <c r="U244" s="26" t="n">
        <f aca="false">IF(R244="",M244,0)</f>
        <v>0</v>
      </c>
    </row>
    <row r="245" customFormat="false" ht="15" hidden="false" customHeight="false" outlineLevel="0" collapsed="false">
      <c r="A245" s="25" t="s">
        <v>53</v>
      </c>
      <c r="B245" s="25" t="s">
        <v>54</v>
      </c>
      <c r="C245" s="25" t="s">
        <v>50</v>
      </c>
      <c r="D245" s="25" t="n">
        <v>6</v>
      </c>
      <c r="E245" s="25" t="s">
        <v>565</v>
      </c>
      <c r="F245" s="25" t="s">
        <v>99</v>
      </c>
      <c r="G245" s="25" t="n">
        <v>1181</v>
      </c>
      <c r="H245" s="25" t="s">
        <v>581</v>
      </c>
      <c r="I245" s="25" t="n">
        <v>2</v>
      </c>
      <c r="J245" s="26" t="n">
        <v>250</v>
      </c>
      <c r="K245" s="25" t="s">
        <v>546</v>
      </c>
      <c r="L245" s="25" t="s">
        <v>547</v>
      </c>
      <c r="M245" s="26" t="n">
        <f aca="false">IF(AND(L245="Oui",K245="Principal"),I245*J245,0)</f>
        <v>500</v>
      </c>
      <c r="N245" s="25" t="s">
        <v>548</v>
      </c>
      <c r="O245" s="25"/>
      <c r="P245" s="25" t="s">
        <v>550</v>
      </c>
      <c r="Q245" s="25" t="s">
        <v>557</v>
      </c>
      <c r="R245" s="26" t="n">
        <v>110</v>
      </c>
      <c r="S245" s="26" t="n">
        <f aca="false">IF(AND(L245="Oui",K245="Principal",R245&lt;&gt;""),I245*R245,0)</f>
        <v>220</v>
      </c>
      <c r="T245" s="26" t="n">
        <f aca="false">IF(R245&lt;&gt;"",M245-S245,0)</f>
        <v>280</v>
      </c>
      <c r="U245" s="26" t="n">
        <f aca="false">IF(R245="",M245,0)</f>
        <v>0</v>
      </c>
    </row>
    <row r="246" customFormat="false" ht="15" hidden="false" customHeight="false" outlineLevel="0" collapsed="false">
      <c r="A246" s="25" t="s">
        <v>53</v>
      </c>
      <c r="B246" s="25" t="s">
        <v>54</v>
      </c>
      <c r="C246" s="25" t="s">
        <v>50</v>
      </c>
      <c r="D246" s="25" t="n">
        <v>7</v>
      </c>
      <c r="E246" s="25" t="s">
        <v>565</v>
      </c>
      <c r="F246" s="25" t="s">
        <v>102</v>
      </c>
      <c r="G246" s="25" t="n">
        <v>1587</v>
      </c>
      <c r="H246" s="25" t="s">
        <v>567</v>
      </c>
      <c r="I246" s="25" t="n">
        <v>1</v>
      </c>
      <c r="J246" s="26" t="n">
        <v>500</v>
      </c>
      <c r="K246" s="25" t="s">
        <v>546</v>
      </c>
      <c r="L246" s="25" t="s">
        <v>547</v>
      </c>
      <c r="M246" s="26" t="n">
        <f aca="false">IF(AND(L246="Oui",K246="Principal"),I246*J246,0)</f>
        <v>500</v>
      </c>
      <c r="N246" s="25" t="s">
        <v>548</v>
      </c>
      <c r="O246" s="25"/>
      <c r="P246" s="25" t="s">
        <v>556</v>
      </c>
      <c r="Q246" s="25" t="s">
        <v>557</v>
      </c>
      <c r="R246" s="26" t="n">
        <v>350</v>
      </c>
      <c r="S246" s="26" t="n">
        <f aca="false">IF(AND(L246="Oui",K246="Principal",R246&lt;&gt;""),I246*R246,0)</f>
        <v>350</v>
      </c>
      <c r="T246" s="26" t="n">
        <f aca="false">IF(R246&lt;&gt;"",M246-S246,0)</f>
        <v>150</v>
      </c>
      <c r="U246" s="26" t="n">
        <f aca="false">IF(R246="",M246,0)</f>
        <v>0</v>
      </c>
    </row>
    <row r="247" customFormat="false" ht="15" hidden="false" customHeight="false" outlineLevel="0" collapsed="false">
      <c r="A247" s="25" t="s">
        <v>53</v>
      </c>
      <c r="B247" s="25" t="s">
        <v>54</v>
      </c>
      <c r="C247" s="25" t="s">
        <v>50</v>
      </c>
      <c r="D247" s="25" t="n">
        <v>8</v>
      </c>
      <c r="E247" s="25" t="s">
        <v>609</v>
      </c>
      <c r="F247" s="25" t="s">
        <v>131</v>
      </c>
      <c r="G247" s="25" t="n">
        <v>1183</v>
      </c>
      <c r="H247" s="25" t="s">
        <v>587</v>
      </c>
      <c r="I247" s="25" t="n">
        <v>1</v>
      </c>
      <c r="J247" s="26" t="n">
        <v>100</v>
      </c>
      <c r="K247" s="25" t="s">
        <v>546</v>
      </c>
      <c r="L247" s="25" t="s">
        <v>547</v>
      </c>
      <c r="M247" s="26" t="n">
        <f aca="false">IF(AND(L247="Oui",K247="Principal"),I247*J247,0)</f>
        <v>100</v>
      </c>
      <c r="N247" s="25" t="s">
        <v>548</v>
      </c>
      <c r="O247" s="25"/>
      <c r="P247" s="25" t="s">
        <v>550</v>
      </c>
      <c r="Q247" s="25" t="s">
        <v>557</v>
      </c>
      <c r="R247" s="26"/>
      <c r="S247" s="26" t="n">
        <f aca="false">IF(AND(L247="Oui",K247="Principal",R247&lt;&gt;""),I247*R247,0)</f>
        <v>0</v>
      </c>
      <c r="T247" s="26" t="n">
        <f aca="false">IF(R247&lt;&gt;"",M247-S247,0)</f>
        <v>0</v>
      </c>
      <c r="U247" s="26" t="n">
        <f aca="false">IF(R247="",M247,0)</f>
        <v>100</v>
      </c>
    </row>
    <row r="248" customFormat="false" ht="15" hidden="false" customHeight="false" outlineLevel="0" collapsed="false">
      <c r="A248" s="25" t="s">
        <v>53</v>
      </c>
      <c r="B248" s="25" t="s">
        <v>54</v>
      </c>
      <c r="C248" s="25" t="s">
        <v>50</v>
      </c>
      <c r="D248" s="25" t="n">
        <v>9</v>
      </c>
      <c r="E248" s="25" t="s">
        <v>554</v>
      </c>
      <c r="F248" s="25" t="s">
        <v>104</v>
      </c>
      <c r="G248" s="25" t="n">
        <v>1594</v>
      </c>
      <c r="H248" s="25" t="s">
        <v>593</v>
      </c>
      <c r="I248" s="25" t="n">
        <v>1</v>
      </c>
      <c r="J248" s="26" t="n">
        <v>1600</v>
      </c>
      <c r="K248" s="25" t="s">
        <v>546</v>
      </c>
      <c r="L248" s="25" t="s">
        <v>547</v>
      </c>
      <c r="M248" s="26" t="n">
        <f aca="false">IF(AND(L248="Oui",K248="Principal"),I248*J248,0)</f>
        <v>1600</v>
      </c>
      <c r="N248" s="25" t="s">
        <v>548</v>
      </c>
      <c r="O248" s="25"/>
      <c r="P248" s="25" t="s">
        <v>556</v>
      </c>
      <c r="Q248" s="25" t="s">
        <v>557</v>
      </c>
      <c r="R248" s="26" t="n">
        <v>1300</v>
      </c>
      <c r="S248" s="26" t="n">
        <f aca="false">IF(AND(L248="Oui",K248="Principal",R248&lt;&gt;""),I248*R248,0)</f>
        <v>1300</v>
      </c>
      <c r="T248" s="26" t="n">
        <f aca="false">IF(R248&lt;&gt;"",M248-S248,0)</f>
        <v>300</v>
      </c>
      <c r="U248" s="26" t="n">
        <f aca="false">IF(R248="",M248,0)</f>
        <v>0</v>
      </c>
    </row>
    <row r="249" customFormat="false" ht="15" hidden="false" customHeight="false" outlineLevel="0" collapsed="false">
      <c r="A249" s="25" t="s">
        <v>53</v>
      </c>
      <c r="B249" s="25" t="s">
        <v>54</v>
      </c>
      <c r="C249" s="25" t="s">
        <v>50</v>
      </c>
      <c r="D249" s="25" t="n">
        <v>10</v>
      </c>
      <c r="E249" s="25" t="s">
        <v>565</v>
      </c>
      <c r="F249" s="25" t="s">
        <v>166</v>
      </c>
      <c r="G249" s="25" t="n">
        <v>1604</v>
      </c>
      <c r="H249" s="25" t="s">
        <v>582</v>
      </c>
      <c r="I249" s="25" t="n">
        <v>2</v>
      </c>
      <c r="J249" s="26" t="n">
        <v>700</v>
      </c>
      <c r="K249" s="25" t="s">
        <v>546</v>
      </c>
      <c r="L249" s="25" t="s">
        <v>547</v>
      </c>
      <c r="M249" s="26" t="n">
        <f aca="false">IF(AND(L249="Oui",K249="Principal"),I249*J249,0)</f>
        <v>1400</v>
      </c>
      <c r="N249" s="25" t="s">
        <v>548</v>
      </c>
      <c r="O249" s="25"/>
      <c r="P249" s="25" t="s">
        <v>556</v>
      </c>
      <c r="Q249" s="25" t="s">
        <v>557</v>
      </c>
      <c r="R249" s="26" t="n">
        <v>400</v>
      </c>
      <c r="S249" s="26" t="n">
        <f aca="false">IF(AND(L249="Oui",K249="Principal",R249&lt;&gt;""),I249*R249,0)</f>
        <v>800</v>
      </c>
      <c r="T249" s="26" t="n">
        <f aca="false">IF(R249&lt;&gt;"",M249-S249,0)</f>
        <v>600</v>
      </c>
      <c r="U249" s="26" t="n">
        <f aca="false">IF(R249="",M249,0)</f>
        <v>0</v>
      </c>
    </row>
    <row r="250" customFormat="false" ht="15" hidden="false" customHeight="false" outlineLevel="0" collapsed="false">
      <c r="A250" s="25" t="s">
        <v>53</v>
      </c>
      <c r="B250" s="25" t="s">
        <v>54</v>
      </c>
      <c r="C250" s="25" t="s">
        <v>50</v>
      </c>
      <c r="D250" s="25" t="n">
        <v>11</v>
      </c>
      <c r="E250" s="25" t="s">
        <v>565</v>
      </c>
      <c r="F250" s="25" t="s">
        <v>110</v>
      </c>
      <c r="G250" s="25" t="n">
        <v>1586</v>
      </c>
      <c r="H250" s="25" t="s">
        <v>583</v>
      </c>
      <c r="I250" s="25" t="n">
        <v>1</v>
      </c>
      <c r="J250" s="26" t="n">
        <v>900</v>
      </c>
      <c r="K250" s="25" t="s">
        <v>546</v>
      </c>
      <c r="L250" s="25" t="s">
        <v>547</v>
      </c>
      <c r="M250" s="26" t="n">
        <f aca="false">IF(AND(L250="Oui",K250="Principal"),I250*J250,0)</f>
        <v>900</v>
      </c>
      <c r="N250" s="25" t="s">
        <v>548</v>
      </c>
      <c r="O250" s="25"/>
      <c r="P250" s="25" t="s">
        <v>556</v>
      </c>
      <c r="Q250" s="25" t="s">
        <v>557</v>
      </c>
      <c r="R250" s="26" t="n">
        <v>650</v>
      </c>
      <c r="S250" s="26" t="n">
        <f aca="false">IF(AND(L250="Oui",K250="Principal",R250&lt;&gt;""),I250*R250,0)</f>
        <v>650</v>
      </c>
      <c r="T250" s="26" t="n">
        <f aca="false">IF(R250&lt;&gt;"",M250-S250,0)</f>
        <v>250</v>
      </c>
      <c r="U250" s="26" t="n">
        <f aca="false">IF(R250="",M250,0)</f>
        <v>0</v>
      </c>
    </row>
    <row r="251" customFormat="false" ht="15" hidden="false" customHeight="false" outlineLevel="0" collapsed="false">
      <c r="A251" s="25" t="s">
        <v>53</v>
      </c>
      <c r="B251" s="25" t="s">
        <v>54</v>
      </c>
      <c r="C251" s="25" t="s">
        <v>50</v>
      </c>
      <c r="D251" s="25" t="n">
        <v>12</v>
      </c>
      <c r="E251" s="25" t="s">
        <v>167</v>
      </c>
      <c r="F251" s="25" t="s">
        <v>167</v>
      </c>
      <c r="G251" s="25" t="n">
        <v>1714</v>
      </c>
      <c r="H251" s="25" t="s">
        <v>623</v>
      </c>
      <c r="I251" s="25" t="n">
        <v>1</v>
      </c>
      <c r="J251" s="26" t="n">
        <v>1000</v>
      </c>
      <c r="K251" s="25" t="s">
        <v>546</v>
      </c>
      <c r="L251" s="25" t="s">
        <v>547</v>
      </c>
      <c r="M251" s="26" t="n">
        <f aca="false">IF(AND(L251="Oui",K251="Principal"),I251*J251,0)</f>
        <v>1000</v>
      </c>
      <c r="N251" s="25" t="s">
        <v>548</v>
      </c>
      <c r="O251" s="25"/>
      <c r="P251" s="25" t="s">
        <v>561</v>
      </c>
      <c r="Q251" s="25" t="s">
        <v>557</v>
      </c>
      <c r="R251" s="26" t="n">
        <v>718</v>
      </c>
      <c r="S251" s="26" t="n">
        <f aca="false">IF(AND(L251="Oui",K251="Principal",R251&lt;&gt;""),I251*R251,0)</f>
        <v>718</v>
      </c>
      <c r="T251" s="26" t="n">
        <f aca="false">IF(R251&lt;&gt;"",M251-S251,0)</f>
        <v>282</v>
      </c>
      <c r="U251" s="26" t="n">
        <f aca="false">IF(R251="",M251,0)</f>
        <v>0</v>
      </c>
    </row>
    <row r="252" customFormat="false" ht="15" hidden="false" customHeight="false" outlineLevel="0" collapsed="false">
      <c r="A252" s="31" t="s">
        <v>53</v>
      </c>
      <c r="B252" s="31" t="s">
        <v>54</v>
      </c>
      <c r="C252" s="31" t="s">
        <v>50</v>
      </c>
      <c r="D252" s="31" t="n">
        <v>13</v>
      </c>
      <c r="E252" s="31" t="s">
        <v>167</v>
      </c>
      <c r="F252" s="31" t="s">
        <v>170</v>
      </c>
      <c r="G252" s="31" t="s">
        <v>611</v>
      </c>
      <c r="H252" s="31" t="s">
        <v>612</v>
      </c>
      <c r="I252" s="31" t="n">
        <v>20</v>
      </c>
      <c r="J252" s="32" t="n">
        <v>25</v>
      </c>
      <c r="K252" s="31" t="s">
        <v>546</v>
      </c>
      <c r="L252" s="31" t="s">
        <v>547</v>
      </c>
      <c r="M252" s="32" t="n">
        <f aca="false">IF(AND(L252="Oui",K252="Principal"),I252*J252,0)</f>
        <v>500</v>
      </c>
      <c r="N252" s="31" t="s">
        <v>172</v>
      </c>
      <c r="O252" s="31" t="s">
        <v>613</v>
      </c>
      <c r="P252" s="31" t="s">
        <v>550</v>
      </c>
      <c r="Q252" s="31" t="s">
        <v>557</v>
      </c>
      <c r="R252" s="32" t="n">
        <v>25</v>
      </c>
      <c r="S252" s="32" t="n">
        <f aca="false">IF(AND(L252="Oui",K252="Principal",R252&lt;&gt;""),I252*R252,0)</f>
        <v>500</v>
      </c>
      <c r="T252" s="32" t="n">
        <f aca="false">IF(R252&lt;&gt;"",M252-S252,0)</f>
        <v>0</v>
      </c>
      <c r="U252" s="32" t="n">
        <f aca="false">IF(R252="",M252,0)</f>
        <v>0</v>
      </c>
    </row>
    <row r="253" customFormat="false" ht="15" hidden="false" customHeight="false" outlineLevel="0" collapsed="false">
      <c r="A253" s="25" t="s">
        <v>53</v>
      </c>
      <c r="B253" s="25" t="s">
        <v>54</v>
      </c>
      <c r="C253" s="25" t="s">
        <v>50</v>
      </c>
      <c r="D253" s="25" t="n">
        <v>14</v>
      </c>
      <c r="E253" s="25" t="s">
        <v>167</v>
      </c>
      <c r="F253" s="25" t="s">
        <v>173</v>
      </c>
      <c r="G253" s="25" t="n">
        <v>1202</v>
      </c>
      <c r="H253" s="25" t="s">
        <v>599</v>
      </c>
      <c r="I253" s="25" t="n">
        <v>1</v>
      </c>
      <c r="J253" s="26" t="n">
        <v>250</v>
      </c>
      <c r="K253" s="25" t="s">
        <v>546</v>
      </c>
      <c r="L253" s="25" t="s">
        <v>547</v>
      </c>
      <c r="M253" s="26" t="n">
        <f aca="false">IF(AND(L253="Oui",K253="Principal"),I253*J253,0)</f>
        <v>250</v>
      </c>
      <c r="N253" s="25" t="s">
        <v>548</v>
      </c>
      <c r="O253" s="25"/>
      <c r="P253" s="25" t="s">
        <v>550</v>
      </c>
      <c r="Q253" s="25" t="s">
        <v>557</v>
      </c>
      <c r="R253" s="26" t="n">
        <v>100</v>
      </c>
      <c r="S253" s="26" t="n">
        <f aca="false">IF(AND(L253="Oui",K253="Principal",R253&lt;&gt;""),I253*R253,0)</f>
        <v>100</v>
      </c>
      <c r="T253" s="26" t="n">
        <f aca="false">IF(R253&lt;&gt;"",M253-S253,0)</f>
        <v>150</v>
      </c>
      <c r="U253" s="26" t="n">
        <f aca="false">IF(R253="",M253,0)</f>
        <v>0</v>
      </c>
    </row>
    <row r="254" customFormat="false" ht="15" hidden="false" customHeight="false" outlineLevel="0" collapsed="false">
      <c r="A254" s="25" t="s">
        <v>53</v>
      </c>
      <c r="B254" s="25" t="s">
        <v>54</v>
      </c>
      <c r="C254" s="25" t="s">
        <v>50</v>
      </c>
      <c r="D254" s="25" t="n">
        <v>15</v>
      </c>
      <c r="E254" s="25" t="s">
        <v>565</v>
      </c>
      <c r="F254" s="25" t="s">
        <v>174</v>
      </c>
      <c r="G254" s="25" t="n">
        <v>1218</v>
      </c>
      <c r="H254" s="25" t="s">
        <v>614</v>
      </c>
      <c r="I254" s="25" t="n">
        <v>1</v>
      </c>
      <c r="J254" s="26" t="n">
        <v>400</v>
      </c>
      <c r="K254" s="25" t="s">
        <v>546</v>
      </c>
      <c r="L254" s="25" t="s">
        <v>547</v>
      </c>
      <c r="M254" s="26" t="n">
        <f aca="false">IF(AND(L254="Oui",K254="Principal"),I254*J254,0)</f>
        <v>400</v>
      </c>
      <c r="N254" s="25" t="s">
        <v>548</v>
      </c>
      <c r="O254" s="25"/>
      <c r="P254" s="25" t="s">
        <v>550</v>
      </c>
      <c r="Q254" s="25" t="s">
        <v>557</v>
      </c>
      <c r="R254" s="26" t="n">
        <v>250</v>
      </c>
      <c r="S254" s="26" t="n">
        <f aca="false">IF(AND(L254="Oui",K254="Principal",R254&lt;&gt;""),I254*R254,0)</f>
        <v>250</v>
      </c>
      <c r="T254" s="26" t="n">
        <f aca="false">IF(R254&lt;&gt;"",M254-S254,0)</f>
        <v>150</v>
      </c>
      <c r="U254" s="26" t="n">
        <f aca="false">IF(R254="",M254,0)</f>
        <v>0</v>
      </c>
    </row>
    <row r="255" customFormat="false" ht="15" hidden="false" customHeight="false" outlineLevel="0" collapsed="false">
      <c r="A255" s="25" t="s">
        <v>53</v>
      </c>
      <c r="B255" s="25" t="s">
        <v>54</v>
      </c>
      <c r="C255" s="25" t="s">
        <v>50</v>
      </c>
      <c r="D255" s="25" t="n">
        <v>16</v>
      </c>
      <c r="E255" s="25" t="s">
        <v>573</v>
      </c>
      <c r="F255" s="25" t="s">
        <v>176</v>
      </c>
      <c r="G255" s="25" t="n">
        <v>19</v>
      </c>
      <c r="H255" s="25" t="s">
        <v>615</v>
      </c>
      <c r="I255" s="25" t="n">
        <v>1</v>
      </c>
      <c r="J255" s="26" t="n">
        <v>2500</v>
      </c>
      <c r="K255" s="25" t="s">
        <v>546</v>
      </c>
      <c r="L255" s="25" t="s">
        <v>547</v>
      </c>
      <c r="M255" s="26" t="n">
        <f aca="false">IF(AND(L255="Oui",K255="Principal"),I255*J255,0)</f>
        <v>2500</v>
      </c>
      <c r="N255" s="25" t="s">
        <v>548</v>
      </c>
      <c r="O255" s="25"/>
      <c r="P255" s="25" t="s">
        <v>559</v>
      </c>
      <c r="Q255" s="25" t="s">
        <v>551</v>
      </c>
      <c r="R255" s="26"/>
      <c r="S255" s="26" t="n">
        <f aca="false">IF(AND(L255="Oui",K255="Principal",R255&lt;&gt;""),I255*R255,0)</f>
        <v>0</v>
      </c>
      <c r="T255" s="26" t="n">
        <f aca="false">IF(R255&lt;&gt;"",M255-S255,0)</f>
        <v>0</v>
      </c>
      <c r="U255" s="26" t="n">
        <f aca="false">IF(R255="",M255,0)</f>
        <v>2500</v>
      </c>
    </row>
    <row r="256" customFormat="false" ht="15" hidden="false" customHeight="false" outlineLevel="0" collapsed="false">
      <c r="A256" s="25" t="s">
        <v>53</v>
      </c>
      <c r="B256" s="25" t="s">
        <v>54</v>
      </c>
      <c r="C256" s="25" t="s">
        <v>50</v>
      </c>
      <c r="D256" s="25" t="n">
        <v>17</v>
      </c>
      <c r="E256" s="25" t="s">
        <v>573</v>
      </c>
      <c r="F256" s="25" t="s">
        <v>117</v>
      </c>
      <c r="G256" s="25" t="n">
        <v>1288</v>
      </c>
      <c r="H256" s="25" t="s">
        <v>624</v>
      </c>
      <c r="I256" s="25" t="n">
        <v>1</v>
      </c>
      <c r="J256" s="26" t="n">
        <v>2500</v>
      </c>
      <c r="K256" s="25" t="s">
        <v>546</v>
      </c>
      <c r="L256" s="25" t="s">
        <v>547</v>
      </c>
      <c r="M256" s="26" t="n">
        <f aca="false">IF(AND(L256="Oui",K256="Principal"),I256*J256,0)</f>
        <v>2500</v>
      </c>
      <c r="N256" s="25" t="s">
        <v>548</v>
      </c>
      <c r="O256" s="25"/>
      <c r="P256" s="25" t="s">
        <v>550</v>
      </c>
      <c r="Q256" s="25" t="s">
        <v>557</v>
      </c>
      <c r="R256" s="26" t="n">
        <v>2000</v>
      </c>
      <c r="S256" s="26" t="n">
        <f aca="false">IF(AND(L256="Oui",K256="Principal",R256&lt;&gt;""),I256*R256,0)</f>
        <v>2000</v>
      </c>
      <c r="T256" s="26" t="n">
        <f aca="false">IF(R256&lt;&gt;"",M256-S256,0)</f>
        <v>500</v>
      </c>
      <c r="U256" s="26" t="n">
        <f aca="false">IF(R256="",M256,0)</f>
        <v>0</v>
      </c>
    </row>
    <row r="257" customFormat="false" ht="15" hidden="false" customHeight="false" outlineLevel="0" collapsed="false">
      <c r="A257" s="33" t="s">
        <v>53</v>
      </c>
      <c r="B257" s="33" t="s">
        <v>54</v>
      </c>
      <c r="C257" s="33" t="s">
        <v>50</v>
      </c>
      <c r="D257" s="33" t="n">
        <v>18</v>
      </c>
      <c r="E257" s="33" t="s">
        <v>616</v>
      </c>
      <c r="F257" s="33" t="s">
        <v>179</v>
      </c>
      <c r="G257" s="33" t="n">
        <v>1391</v>
      </c>
      <c r="H257" s="33" t="s">
        <v>617</v>
      </c>
      <c r="I257" s="33" t="n">
        <v>1</v>
      </c>
      <c r="J257" s="34" t="n">
        <v>3900</v>
      </c>
      <c r="K257" s="33" t="s">
        <v>546</v>
      </c>
      <c r="L257" s="33" t="s">
        <v>547</v>
      </c>
      <c r="M257" s="34" t="n">
        <f aca="false">IF(AND(L257="Oui",K257="Principal"),I257*J257,0)</f>
        <v>3900</v>
      </c>
      <c r="N257" s="33" t="s">
        <v>182</v>
      </c>
      <c r="O257" s="33" t="s">
        <v>619</v>
      </c>
      <c r="P257" s="33" t="s">
        <v>550</v>
      </c>
      <c r="Q257" s="33" t="s">
        <v>557</v>
      </c>
      <c r="R257" s="34" t="n">
        <v>2900</v>
      </c>
      <c r="S257" s="34" t="n">
        <f aca="false">IF(AND(L257="Oui",K257="Principal",R257&lt;&gt;""),I257*R257,0)</f>
        <v>2900</v>
      </c>
      <c r="T257" s="34" t="n">
        <f aca="false">IF(R257&lt;&gt;"",M257-S257,0)</f>
        <v>1000</v>
      </c>
      <c r="U257" s="34" t="n">
        <f aca="false">IF(R257="",M257,0)</f>
        <v>0</v>
      </c>
    </row>
    <row r="258" customFormat="false" ht="15" hidden="false" customHeight="false" outlineLevel="0" collapsed="false">
      <c r="A258" s="25" t="s">
        <v>53</v>
      </c>
      <c r="B258" s="25" t="s">
        <v>54</v>
      </c>
      <c r="C258" s="25" t="s">
        <v>50</v>
      </c>
      <c r="D258" s="25" t="n">
        <v>19</v>
      </c>
      <c r="E258" s="25" t="s">
        <v>616</v>
      </c>
      <c r="F258" s="25" t="s">
        <v>183</v>
      </c>
      <c r="G258" s="25" t="n">
        <v>1520</v>
      </c>
      <c r="H258" s="25" t="s">
        <v>620</v>
      </c>
      <c r="I258" s="25" t="n">
        <v>1</v>
      </c>
      <c r="J258" s="26" t="n">
        <v>3890</v>
      </c>
      <c r="K258" s="25" t="s">
        <v>546</v>
      </c>
      <c r="L258" s="25" t="s">
        <v>547</v>
      </c>
      <c r="M258" s="26" t="n">
        <f aca="false">IF(AND(L258="Oui",K258="Principal"),I258*J258,0)</f>
        <v>3890</v>
      </c>
      <c r="N258" s="25" t="s">
        <v>548</v>
      </c>
      <c r="O258" s="25"/>
      <c r="P258" s="25" t="s">
        <v>550</v>
      </c>
      <c r="Q258" s="25" t="s">
        <v>557</v>
      </c>
      <c r="R258" s="26" t="n">
        <v>2890</v>
      </c>
      <c r="S258" s="26" t="n">
        <f aca="false">IF(AND(L258="Oui",K258="Principal",R258&lt;&gt;""),I258*R258,0)</f>
        <v>2890</v>
      </c>
      <c r="T258" s="26" t="n">
        <f aca="false">IF(R258&lt;&gt;"",M258-S258,0)</f>
        <v>1000</v>
      </c>
      <c r="U258" s="26" t="n">
        <f aca="false">IF(R258="",M258,0)</f>
        <v>0</v>
      </c>
    </row>
    <row r="259" customFormat="false" ht="15" hidden="false" customHeight="false" outlineLevel="0" collapsed="false">
      <c r="A259" s="25" t="s">
        <v>53</v>
      </c>
      <c r="B259" s="25" t="s">
        <v>54</v>
      </c>
      <c r="C259" s="25" t="s">
        <v>50</v>
      </c>
      <c r="D259" s="25" t="n">
        <v>20</v>
      </c>
      <c r="E259" s="25" t="s">
        <v>616</v>
      </c>
      <c r="F259" s="25" t="s">
        <v>185</v>
      </c>
      <c r="G259" s="25" t="n">
        <v>1488</v>
      </c>
      <c r="H259" s="25" t="s">
        <v>621</v>
      </c>
      <c r="I259" s="25" t="n">
        <v>1</v>
      </c>
      <c r="J259" s="26" t="n">
        <v>3890</v>
      </c>
      <c r="K259" s="25" t="s">
        <v>546</v>
      </c>
      <c r="L259" s="25" t="s">
        <v>547</v>
      </c>
      <c r="M259" s="26" t="n">
        <f aca="false">IF(AND(L259="Oui",K259="Principal"),I259*J259,0)</f>
        <v>3890</v>
      </c>
      <c r="N259" s="25" t="s">
        <v>548</v>
      </c>
      <c r="O259" s="25"/>
      <c r="P259" s="25" t="s">
        <v>550</v>
      </c>
      <c r="Q259" s="25" t="s">
        <v>557</v>
      </c>
      <c r="R259" s="26" t="n">
        <v>2890</v>
      </c>
      <c r="S259" s="26" t="n">
        <f aca="false">IF(AND(L259="Oui",K259="Principal",R259&lt;&gt;""),I259*R259,0)</f>
        <v>2890</v>
      </c>
      <c r="T259" s="26" t="n">
        <f aca="false">IF(R259&lt;&gt;"",M259-S259,0)</f>
        <v>1000</v>
      </c>
      <c r="U259" s="26" t="n">
        <f aca="false">IF(R259="",M259,0)</f>
        <v>0</v>
      </c>
    </row>
    <row r="260" customFormat="false" ht="15" hidden="false" customHeight="false" outlineLevel="0" collapsed="false">
      <c r="A260" s="25" t="s">
        <v>53</v>
      </c>
      <c r="B260" s="25" t="s">
        <v>54</v>
      </c>
      <c r="C260" s="25" t="s">
        <v>50</v>
      </c>
      <c r="D260" s="25" t="n">
        <v>21</v>
      </c>
      <c r="E260" s="25" t="s">
        <v>625</v>
      </c>
      <c r="F260" s="25" t="s">
        <v>190</v>
      </c>
      <c r="G260" s="25" t="n">
        <v>1494</v>
      </c>
      <c r="H260" s="25" t="s">
        <v>626</v>
      </c>
      <c r="I260" s="25" t="n">
        <v>1</v>
      </c>
      <c r="J260" s="26" t="n">
        <v>3890</v>
      </c>
      <c r="K260" s="25" t="s">
        <v>546</v>
      </c>
      <c r="L260" s="25" t="s">
        <v>547</v>
      </c>
      <c r="M260" s="26" t="n">
        <f aca="false">IF(AND(L260="Oui",K260="Principal"),I260*J260,0)</f>
        <v>3890</v>
      </c>
      <c r="N260" s="25" t="s">
        <v>548</v>
      </c>
      <c r="O260" s="25"/>
      <c r="P260" s="25" t="s">
        <v>550</v>
      </c>
      <c r="Q260" s="25" t="s">
        <v>557</v>
      </c>
      <c r="R260" s="26" t="n">
        <v>2890</v>
      </c>
      <c r="S260" s="26" t="n">
        <f aca="false">IF(AND(L260="Oui",K260="Principal",R260&lt;&gt;""),I260*R260,0)</f>
        <v>2890</v>
      </c>
      <c r="T260" s="26" t="n">
        <f aca="false">IF(R260&lt;&gt;"",M260-S260,0)</f>
        <v>1000</v>
      </c>
      <c r="U260" s="26" t="n">
        <f aca="false">IF(R260="",M260,0)</f>
        <v>0</v>
      </c>
    </row>
    <row r="261" customFormat="false" ht="15" hidden="false" customHeight="false" outlineLevel="0" collapsed="false">
      <c r="A261" s="25" t="s">
        <v>53</v>
      </c>
      <c r="B261" s="25" t="s">
        <v>54</v>
      </c>
      <c r="C261" s="25" t="s">
        <v>50</v>
      </c>
      <c r="D261" s="25" t="n">
        <v>22</v>
      </c>
      <c r="E261" s="25" t="s">
        <v>625</v>
      </c>
      <c r="F261" s="25" t="s">
        <v>192</v>
      </c>
      <c r="G261" s="25" t="n">
        <v>1485</v>
      </c>
      <c r="H261" s="25" t="s">
        <v>627</v>
      </c>
      <c r="I261" s="25" t="n">
        <v>1</v>
      </c>
      <c r="J261" s="26" t="n">
        <v>2790</v>
      </c>
      <c r="K261" s="25" t="s">
        <v>546</v>
      </c>
      <c r="L261" s="25" t="s">
        <v>547</v>
      </c>
      <c r="M261" s="26" t="n">
        <f aca="false">IF(AND(L261="Oui",K261="Principal"),I261*J261,0)</f>
        <v>2790</v>
      </c>
      <c r="N261" s="25" t="s">
        <v>548</v>
      </c>
      <c r="O261" s="25"/>
      <c r="P261" s="25" t="s">
        <v>550</v>
      </c>
      <c r="Q261" s="25" t="s">
        <v>557</v>
      </c>
      <c r="R261" s="26" t="n">
        <v>1790</v>
      </c>
      <c r="S261" s="26" t="n">
        <f aca="false">IF(AND(L261="Oui",K261="Principal",R261&lt;&gt;""),I261*R261,0)</f>
        <v>1790</v>
      </c>
      <c r="T261" s="26" t="n">
        <f aca="false">IF(R261&lt;&gt;"",M261-S261,0)</f>
        <v>1000</v>
      </c>
      <c r="U261" s="26" t="n">
        <f aca="false">IF(R261="",M261,0)</f>
        <v>0</v>
      </c>
    </row>
    <row r="262" customFormat="false" ht="15" hidden="false" customHeight="false" outlineLevel="0" collapsed="false">
      <c r="A262" s="29" t="s">
        <v>53</v>
      </c>
      <c r="B262" s="29" t="s">
        <v>54</v>
      </c>
      <c r="C262" s="29" t="s">
        <v>50</v>
      </c>
      <c r="D262" s="29" t="n">
        <v>23</v>
      </c>
      <c r="E262" s="29" t="s">
        <v>625</v>
      </c>
      <c r="F262" s="29" t="s">
        <v>194</v>
      </c>
      <c r="G262" s="29" t="n">
        <v>1499</v>
      </c>
      <c r="H262" s="29" t="s">
        <v>628</v>
      </c>
      <c r="I262" s="29" t="n">
        <v>1</v>
      </c>
      <c r="J262" s="30" t="n">
        <v>2060</v>
      </c>
      <c r="K262" s="29" t="s">
        <v>546</v>
      </c>
      <c r="L262" s="29" t="s">
        <v>547</v>
      </c>
      <c r="M262" s="30" t="n">
        <f aca="false">IF(AND(L262="Oui",K262="Principal"),I262*J262,0)</f>
        <v>2060</v>
      </c>
      <c r="N262" s="29" t="s">
        <v>141</v>
      </c>
      <c r="O262" s="29" t="s">
        <v>629</v>
      </c>
      <c r="P262" s="29" t="s">
        <v>550</v>
      </c>
      <c r="Q262" s="29" t="s">
        <v>557</v>
      </c>
      <c r="R262" s="30" t="n">
        <v>1060</v>
      </c>
      <c r="S262" s="30" t="n">
        <f aca="false">IF(AND(L262="Oui",K262="Principal",R262&lt;&gt;""),I262*R262,0)</f>
        <v>1060</v>
      </c>
      <c r="T262" s="30" t="n">
        <f aca="false">IF(R262&lt;&gt;"",M262-S262,0)</f>
        <v>1000</v>
      </c>
      <c r="U262" s="30" t="n">
        <f aca="false">IF(R262="",M262,0)</f>
        <v>0</v>
      </c>
    </row>
    <row r="263" customFormat="false" ht="15" hidden="false" customHeight="false" outlineLevel="0" collapsed="false">
      <c r="A263" s="25" t="s">
        <v>53</v>
      </c>
      <c r="B263" s="25" t="s">
        <v>54</v>
      </c>
      <c r="C263" s="25" t="s">
        <v>50</v>
      </c>
      <c r="D263" s="25" t="n">
        <v>24</v>
      </c>
      <c r="E263" s="25" t="s">
        <v>577</v>
      </c>
      <c r="F263" s="25" t="s">
        <v>120</v>
      </c>
      <c r="G263" s="25" t="n">
        <v>1199</v>
      </c>
      <c r="H263" s="25" t="s">
        <v>622</v>
      </c>
      <c r="I263" s="25" t="n">
        <v>1</v>
      </c>
      <c r="J263" s="26" t="n">
        <v>7500</v>
      </c>
      <c r="K263" s="25" t="s">
        <v>577</v>
      </c>
      <c r="L263" s="25" t="s">
        <v>579</v>
      </c>
      <c r="M263" s="26" t="n">
        <f aca="false">IF(AND(L263="Oui",K263="Principal"),I263*J263,0)</f>
        <v>0</v>
      </c>
      <c r="N263" s="25" t="s">
        <v>548</v>
      </c>
      <c r="O263" s="25"/>
      <c r="P263" s="25" t="s">
        <v>550</v>
      </c>
      <c r="Q263" s="25" t="s">
        <v>557</v>
      </c>
      <c r="R263" s="26" t="n">
        <v>6000</v>
      </c>
      <c r="S263" s="26" t="n">
        <f aca="false">IF(AND(L263="Oui",K263="Principal",R263&lt;&gt;""),I263*R263,0)</f>
        <v>0</v>
      </c>
      <c r="T263" s="26" t="n">
        <f aca="false">IF(R263&lt;&gt;"",M263-S263,0)</f>
        <v>0</v>
      </c>
      <c r="U263" s="26" t="n">
        <f aca="false">IF(R263="",M263,0)</f>
        <v>0</v>
      </c>
    </row>
    <row r="264" customFormat="false" ht="15" hidden="false" customHeight="false" outlineLevel="0" collapsed="false">
      <c r="A264" s="25" t="s">
        <v>53</v>
      </c>
      <c r="B264" s="25" t="s">
        <v>55</v>
      </c>
      <c r="C264" s="25" t="s">
        <v>48</v>
      </c>
      <c r="D264" s="25" t="n">
        <v>1</v>
      </c>
      <c r="E264" s="25" t="s">
        <v>544</v>
      </c>
      <c r="F264" s="25" t="s">
        <v>151</v>
      </c>
      <c r="G264" s="25" t="n">
        <v>1618</v>
      </c>
      <c r="H264" s="25" t="s">
        <v>600</v>
      </c>
      <c r="I264" s="25" t="n">
        <v>3</v>
      </c>
      <c r="J264" s="26" t="n">
        <v>450</v>
      </c>
      <c r="K264" s="25" t="s">
        <v>546</v>
      </c>
      <c r="L264" s="25" t="s">
        <v>547</v>
      </c>
      <c r="M264" s="26" t="n">
        <f aca="false">IF(AND(L264="Oui",K264="Principal"),I264*J264,0)</f>
        <v>1350</v>
      </c>
      <c r="N264" s="25" t="s">
        <v>548</v>
      </c>
      <c r="O264" s="25"/>
      <c r="P264" s="25" t="s">
        <v>556</v>
      </c>
      <c r="Q264" s="25" t="s">
        <v>557</v>
      </c>
      <c r="R264" s="26" t="n">
        <v>350</v>
      </c>
      <c r="S264" s="26" t="n">
        <f aca="false">IF(AND(L264="Oui",K264="Principal",R264&lt;&gt;""),I264*R264,0)</f>
        <v>1050</v>
      </c>
      <c r="T264" s="26" t="n">
        <f aca="false">IF(R264&lt;&gt;"",M264-S264,0)</f>
        <v>300</v>
      </c>
      <c r="U264" s="26" t="n">
        <f aca="false">IF(R264="",M264,0)</f>
        <v>0</v>
      </c>
    </row>
    <row r="265" customFormat="false" ht="15" hidden="false" customHeight="false" outlineLevel="0" collapsed="false">
      <c r="A265" s="25" t="s">
        <v>53</v>
      </c>
      <c r="B265" s="25" t="s">
        <v>55</v>
      </c>
      <c r="C265" s="25" t="s">
        <v>48</v>
      </c>
      <c r="D265" s="25" t="n">
        <v>2</v>
      </c>
      <c r="E265" s="25" t="s">
        <v>544</v>
      </c>
      <c r="F265" s="25" t="s">
        <v>158</v>
      </c>
      <c r="G265" s="25" t="n">
        <v>1575</v>
      </c>
      <c r="H265" s="25" t="s">
        <v>605</v>
      </c>
      <c r="I265" s="25" t="n">
        <v>3</v>
      </c>
      <c r="J265" s="26" t="n">
        <v>275</v>
      </c>
      <c r="K265" s="25" t="s">
        <v>546</v>
      </c>
      <c r="L265" s="25" t="s">
        <v>547</v>
      </c>
      <c r="M265" s="26" t="n">
        <f aca="false">IF(AND(L265="Oui",K265="Principal"),I265*J265,0)</f>
        <v>825</v>
      </c>
      <c r="N265" s="25" t="s">
        <v>548</v>
      </c>
      <c r="O265" s="25"/>
      <c r="P265" s="25" t="s">
        <v>556</v>
      </c>
      <c r="Q265" s="25" t="s">
        <v>557</v>
      </c>
      <c r="R265" s="26" t="n">
        <v>175</v>
      </c>
      <c r="S265" s="26" t="n">
        <f aca="false">IF(AND(L265="Oui",K265="Principal",R265&lt;&gt;""),I265*R265,0)</f>
        <v>525</v>
      </c>
      <c r="T265" s="26" t="n">
        <f aca="false">IF(R265&lt;&gt;"",M265-S265,0)</f>
        <v>300</v>
      </c>
      <c r="U265" s="26" t="n">
        <f aca="false">IF(R265="",M265,0)</f>
        <v>0</v>
      </c>
    </row>
    <row r="266" customFormat="false" ht="15" hidden="false" customHeight="false" outlineLevel="0" collapsed="false">
      <c r="A266" s="27" t="s">
        <v>53</v>
      </c>
      <c r="B266" s="27" t="s">
        <v>55</v>
      </c>
      <c r="C266" s="27" t="s">
        <v>48</v>
      </c>
      <c r="D266" s="27" t="n">
        <v>3</v>
      </c>
      <c r="E266" s="27" t="s">
        <v>544</v>
      </c>
      <c r="F266" s="27" t="s">
        <v>196</v>
      </c>
      <c r="G266" s="27"/>
      <c r="H266" s="27" t="s">
        <v>585</v>
      </c>
      <c r="I266" s="27" t="n">
        <v>2</v>
      </c>
      <c r="J266" s="28" t="n">
        <v>0</v>
      </c>
      <c r="K266" s="27" t="s">
        <v>546</v>
      </c>
      <c r="L266" s="27" t="s">
        <v>579</v>
      </c>
      <c r="M266" s="28" t="n">
        <f aca="false">IF(AND(L266="Oui",K266="Principal"),I266*J266,0)</f>
        <v>0</v>
      </c>
      <c r="N266" s="27" t="s">
        <v>128</v>
      </c>
      <c r="O266" s="27" t="s">
        <v>586</v>
      </c>
      <c r="P266" s="27"/>
      <c r="Q266" s="27"/>
      <c r="R266" s="28"/>
      <c r="S266" s="28" t="n">
        <f aca="false">IF(AND(L266="Oui",K266="Principal",R266&lt;&gt;""),I266*R266,0)</f>
        <v>0</v>
      </c>
      <c r="T266" s="28" t="n">
        <f aca="false">IF(R266&lt;&gt;"",M266-S266,0)</f>
        <v>0</v>
      </c>
      <c r="U266" s="28" t="n">
        <f aca="false">IF(R266="",M266,0)</f>
        <v>0</v>
      </c>
    </row>
    <row r="267" customFormat="false" ht="15" hidden="false" customHeight="false" outlineLevel="0" collapsed="false">
      <c r="A267" s="25" t="s">
        <v>53</v>
      </c>
      <c r="B267" s="25" t="s">
        <v>55</v>
      </c>
      <c r="C267" s="25" t="s">
        <v>48</v>
      </c>
      <c r="D267" s="25" t="n">
        <v>4</v>
      </c>
      <c r="E267" s="25" t="s">
        <v>554</v>
      </c>
      <c r="F267" s="25" t="s">
        <v>88</v>
      </c>
      <c r="G267" s="25" t="n">
        <v>1572</v>
      </c>
      <c r="H267" s="25" t="s">
        <v>555</v>
      </c>
      <c r="I267" s="25" t="n">
        <v>1</v>
      </c>
      <c r="J267" s="26" t="n">
        <v>250</v>
      </c>
      <c r="K267" s="25" t="s">
        <v>546</v>
      </c>
      <c r="L267" s="25" t="s">
        <v>547</v>
      </c>
      <c r="M267" s="26" t="n">
        <f aca="false">IF(AND(L267="Oui",K267="Principal"),I267*J267,0)</f>
        <v>250</v>
      </c>
      <c r="N267" s="25" t="s">
        <v>548</v>
      </c>
      <c r="O267" s="25"/>
      <c r="P267" s="25" t="s">
        <v>556</v>
      </c>
      <c r="Q267" s="25" t="s">
        <v>557</v>
      </c>
      <c r="R267" s="26" t="n">
        <v>150</v>
      </c>
      <c r="S267" s="26" t="n">
        <f aca="false">IF(AND(L267="Oui",K267="Principal",R267&lt;&gt;""),I267*R267,0)</f>
        <v>150</v>
      </c>
      <c r="T267" s="26" t="n">
        <f aca="false">IF(R267&lt;&gt;"",M267-S267,0)</f>
        <v>100</v>
      </c>
      <c r="U267" s="26" t="n">
        <f aca="false">IF(R267="",M267,0)</f>
        <v>0</v>
      </c>
    </row>
    <row r="268" customFormat="false" ht="15" hidden="false" customHeight="false" outlineLevel="0" collapsed="false">
      <c r="A268" s="25" t="s">
        <v>53</v>
      </c>
      <c r="B268" s="25" t="s">
        <v>55</v>
      </c>
      <c r="C268" s="25" t="s">
        <v>48</v>
      </c>
      <c r="D268" s="25" t="n">
        <v>5</v>
      </c>
      <c r="E268" s="25" t="s">
        <v>160</v>
      </c>
      <c r="F268" s="25" t="s">
        <v>160</v>
      </c>
      <c r="G268" s="25" t="n">
        <v>1277</v>
      </c>
      <c r="H268" s="25" t="s">
        <v>606</v>
      </c>
      <c r="I268" s="25" t="n">
        <v>9</v>
      </c>
      <c r="J268" s="26" t="n">
        <v>150</v>
      </c>
      <c r="K268" s="25" t="s">
        <v>546</v>
      </c>
      <c r="L268" s="25" t="s">
        <v>547</v>
      </c>
      <c r="M268" s="26" t="n">
        <f aca="false">IF(AND(L268="Oui",K268="Principal"),I268*J268,0)</f>
        <v>1350</v>
      </c>
      <c r="N268" s="25" t="s">
        <v>548</v>
      </c>
      <c r="O268" s="25"/>
      <c r="P268" s="25" t="s">
        <v>550</v>
      </c>
      <c r="Q268" s="25" t="s">
        <v>557</v>
      </c>
      <c r="R268" s="26"/>
      <c r="S268" s="26" t="n">
        <f aca="false">IF(AND(L268="Oui",K268="Principal",R268&lt;&gt;""),I268*R268,0)</f>
        <v>0</v>
      </c>
      <c r="T268" s="26" t="n">
        <f aca="false">IF(R268&lt;&gt;"",M268-S268,0)</f>
        <v>0</v>
      </c>
      <c r="U268" s="26" t="n">
        <f aca="false">IF(R268="",M268,0)</f>
        <v>1350</v>
      </c>
    </row>
    <row r="269" customFormat="false" ht="15" hidden="false" customHeight="false" outlineLevel="0" collapsed="false">
      <c r="A269" s="25" t="s">
        <v>53</v>
      </c>
      <c r="B269" s="25" t="s">
        <v>55</v>
      </c>
      <c r="C269" s="25" t="s">
        <v>48</v>
      </c>
      <c r="D269" s="25" t="n">
        <v>6</v>
      </c>
      <c r="E269" s="25" t="s">
        <v>563</v>
      </c>
      <c r="F269" s="25" t="s">
        <v>97</v>
      </c>
      <c r="G269" s="25" t="n">
        <v>1571</v>
      </c>
      <c r="H269" s="25" t="s">
        <v>564</v>
      </c>
      <c r="I269" s="25" t="n">
        <v>2</v>
      </c>
      <c r="J269" s="26" t="n">
        <v>75</v>
      </c>
      <c r="K269" s="25" t="s">
        <v>546</v>
      </c>
      <c r="L269" s="25" t="s">
        <v>547</v>
      </c>
      <c r="M269" s="26" t="n">
        <f aca="false">IF(AND(L269="Oui",K269="Principal"),I269*J269,0)</f>
        <v>150</v>
      </c>
      <c r="N269" s="25" t="s">
        <v>548</v>
      </c>
      <c r="O269" s="25"/>
      <c r="P269" s="25" t="s">
        <v>550</v>
      </c>
      <c r="Q269" s="25" t="s">
        <v>557</v>
      </c>
      <c r="R269" s="26"/>
      <c r="S269" s="26" t="n">
        <f aca="false">IF(AND(L269="Oui",K269="Principal",R269&lt;&gt;""),I269*R269,0)</f>
        <v>0</v>
      </c>
      <c r="T269" s="26" t="n">
        <f aca="false">IF(R269&lt;&gt;"",M269-S269,0)</f>
        <v>0</v>
      </c>
      <c r="U269" s="26" t="n">
        <f aca="false">IF(R269="",M269,0)</f>
        <v>150</v>
      </c>
    </row>
    <row r="270" customFormat="false" ht="15" hidden="false" customHeight="false" outlineLevel="0" collapsed="false">
      <c r="A270" s="25" t="s">
        <v>53</v>
      </c>
      <c r="B270" s="25" t="s">
        <v>55</v>
      </c>
      <c r="C270" s="25" t="s">
        <v>48</v>
      </c>
      <c r="D270" s="25" t="n">
        <v>7</v>
      </c>
      <c r="E270" s="25" t="s">
        <v>563</v>
      </c>
      <c r="F270" s="25" t="s">
        <v>162</v>
      </c>
      <c r="G270" s="25" t="n">
        <v>1635</v>
      </c>
      <c r="H270" s="25" t="s">
        <v>607</v>
      </c>
      <c r="I270" s="25" t="n">
        <v>2</v>
      </c>
      <c r="J270" s="26" t="n">
        <v>100</v>
      </c>
      <c r="K270" s="25" t="s">
        <v>546</v>
      </c>
      <c r="L270" s="25" t="s">
        <v>547</v>
      </c>
      <c r="M270" s="26" t="n">
        <f aca="false">IF(AND(L270="Oui",K270="Principal"),I270*J270,0)</f>
        <v>200</v>
      </c>
      <c r="N270" s="25" t="s">
        <v>548</v>
      </c>
      <c r="O270" s="25"/>
      <c r="P270" s="25" t="s">
        <v>556</v>
      </c>
      <c r="Q270" s="25" t="s">
        <v>557</v>
      </c>
      <c r="R270" s="26" t="n">
        <v>80</v>
      </c>
      <c r="S270" s="26" t="n">
        <f aca="false">IF(AND(L270="Oui",K270="Principal",R270&lt;&gt;""),I270*R270,0)</f>
        <v>160</v>
      </c>
      <c r="T270" s="26" t="n">
        <f aca="false">IF(R270&lt;&gt;"",M270-S270,0)</f>
        <v>40</v>
      </c>
      <c r="U270" s="26" t="n">
        <f aca="false">IF(R270="",M270,0)</f>
        <v>0</v>
      </c>
    </row>
    <row r="271" customFormat="false" ht="15" hidden="false" customHeight="false" outlineLevel="0" collapsed="false">
      <c r="A271" s="25" t="s">
        <v>53</v>
      </c>
      <c r="B271" s="25" t="s">
        <v>55</v>
      </c>
      <c r="C271" s="25" t="s">
        <v>48</v>
      </c>
      <c r="D271" s="25" t="n">
        <v>8</v>
      </c>
      <c r="E271" s="25" t="s">
        <v>563</v>
      </c>
      <c r="F271" s="25" t="s">
        <v>197</v>
      </c>
      <c r="G271" s="25" t="n">
        <v>1674</v>
      </c>
      <c r="H271" s="25" t="s">
        <v>630</v>
      </c>
      <c r="I271" s="25" t="n">
        <v>1</v>
      </c>
      <c r="J271" s="26" t="n">
        <v>100</v>
      </c>
      <c r="K271" s="25" t="s">
        <v>546</v>
      </c>
      <c r="L271" s="25" t="s">
        <v>547</v>
      </c>
      <c r="M271" s="26" t="n">
        <f aca="false">IF(AND(L271="Oui",K271="Principal"),I271*J271,0)</f>
        <v>100</v>
      </c>
      <c r="N271" s="25" t="s">
        <v>548</v>
      </c>
      <c r="O271" s="25"/>
      <c r="P271" s="25" t="s">
        <v>556</v>
      </c>
      <c r="Q271" s="25" t="s">
        <v>557</v>
      </c>
      <c r="R271" s="26" t="n">
        <v>80</v>
      </c>
      <c r="S271" s="26" t="n">
        <f aca="false">IF(AND(L271="Oui",K271="Principal",R271&lt;&gt;""),I271*R271,0)</f>
        <v>80</v>
      </c>
      <c r="T271" s="26" t="n">
        <f aca="false">IF(R271&lt;&gt;"",M271-S271,0)</f>
        <v>20</v>
      </c>
      <c r="U271" s="26" t="n">
        <f aca="false">IF(R271="",M271,0)</f>
        <v>0</v>
      </c>
    </row>
    <row r="272" customFormat="false" ht="15" hidden="false" customHeight="false" outlineLevel="0" collapsed="false">
      <c r="A272" s="25" t="s">
        <v>53</v>
      </c>
      <c r="B272" s="25" t="s">
        <v>55</v>
      </c>
      <c r="C272" s="25" t="s">
        <v>48</v>
      </c>
      <c r="D272" s="25" t="n">
        <v>9</v>
      </c>
      <c r="E272" s="25" t="s">
        <v>565</v>
      </c>
      <c r="F272" s="25" t="s">
        <v>99</v>
      </c>
      <c r="G272" s="25" t="n">
        <v>9</v>
      </c>
      <c r="H272" s="25" t="s">
        <v>566</v>
      </c>
      <c r="I272" s="25" t="n">
        <v>1</v>
      </c>
      <c r="J272" s="26" t="n">
        <v>150</v>
      </c>
      <c r="K272" s="25" t="s">
        <v>546</v>
      </c>
      <c r="L272" s="25" t="s">
        <v>547</v>
      </c>
      <c r="M272" s="26" t="n">
        <f aca="false">IF(AND(L272="Oui",K272="Principal"),I272*J272,0)</f>
        <v>150</v>
      </c>
      <c r="N272" s="25" t="s">
        <v>548</v>
      </c>
      <c r="O272" s="25"/>
      <c r="P272" s="25" t="s">
        <v>559</v>
      </c>
      <c r="Q272" s="25" t="s">
        <v>551</v>
      </c>
      <c r="R272" s="26"/>
      <c r="S272" s="26" t="n">
        <f aca="false">IF(AND(L272="Oui",K272="Principal",R272&lt;&gt;""),I272*R272,0)</f>
        <v>0</v>
      </c>
      <c r="T272" s="26" t="n">
        <f aca="false">IF(R272&lt;&gt;"",M272-S272,0)</f>
        <v>0</v>
      </c>
      <c r="U272" s="26" t="n">
        <f aca="false">IF(R272="",M272,0)</f>
        <v>150</v>
      </c>
    </row>
    <row r="273" customFormat="false" ht="15" hidden="false" customHeight="false" outlineLevel="0" collapsed="false">
      <c r="A273" s="25" t="s">
        <v>53</v>
      </c>
      <c r="B273" s="25" t="s">
        <v>55</v>
      </c>
      <c r="C273" s="25" t="s">
        <v>48</v>
      </c>
      <c r="D273" s="25" t="n">
        <v>10</v>
      </c>
      <c r="E273" s="25" t="s">
        <v>565</v>
      </c>
      <c r="F273" s="25" t="s">
        <v>102</v>
      </c>
      <c r="G273" s="25" t="n">
        <v>1587</v>
      </c>
      <c r="H273" s="25" t="s">
        <v>567</v>
      </c>
      <c r="I273" s="25" t="n">
        <v>1</v>
      </c>
      <c r="J273" s="26" t="n">
        <v>500</v>
      </c>
      <c r="K273" s="25" t="s">
        <v>546</v>
      </c>
      <c r="L273" s="25" t="s">
        <v>547</v>
      </c>
      <c r="M273" s="26" t="n">
        <f aca="false">IF(AND(L273="Oui",K273="Principal"),I273*J273,0)</f>
        <v>500</v>
      </c>
      <c r="N273" s="25" t="s">
        <v>548</v>
      </c>
      <c r="O273" s="25"/>
      <c r="P273" s="25" t="s">
        <v>556</v>
      </c>
      <c r="Q273" s="25" t="s">
        <v>557</v>
      </c>
      <c r="R273" s="26" t="n">
        <v>350</v>
      </c>
      <c r="S273" s="26" t="n">
        <f aca="false">IF(AND(L273="Oui",K273="Principal",R273&lt;&gt;""),I273*R273,0)</f>
        <v>350</v>
      </c>
      <c r="T273" s="26" t="n">
        <f aca="false">IF(R273&lt;&gt;"",M273-S273,0)</f>
        <v>150</v>
      </c>
      <c r="U273" s="26" t="n">
        <f aca="false">IF(R273="",M273,0)</f>
        <v>0</v>
      </c>
    </row>
    <row r="274" customFormat="false" ht="15" hidden="false" customHeight="false" outlineLevel="0" collapsed="false">
      <c r="A274" s="25" t="s">
        <v>53</v>
      </c>
      <c r="B274" s="25" t="s">
        <v>55</v>
      </c>
      <c r="C274" s="25" t="s">
        <v>48</v>
      </c>
      <c r="D274" s="25" t="n">
        <v>11</v>
      </c>
      <c r="E274" s="25" t="s">
        <v>609</v>
      </c>
      <c r="F274" s="25" t="s">
        <v>131</v>
      </c>
      <c r="G274" s="25" t="n">
        <v>1183</v>
      </c>
      <c r="H274" s="25" t="s">
        <v>587</v>
      </c>
      <c r="I274" s="25" t="n">
        <v>1</v>
      </c>
      <c r="J274" s="26" t="n">
        <v>100</v>
      </c>
      <c r="K274" s="25" t="s">
        <v>546</v>
      </c>
      <c r="L274" s="25" t="s">
        <v>547</v>
      </c>
      <c r="M274" s="26" t="n">
        <f aca="false">IF(AND(L274="Oui",K274="Principal"),I274*J274,0)</f>
        <v>100</v>
      </c>
      <c r="N274" s="25" t="s">
        <v>548</v>
      </c>
      <c r="O274" s="25"/>
      <c r="P274" s="25" t="s">
        <v>550</v>
      </c>
      <c r="Q274" s="25" t="s">
        <v>557</v>
      </c>
      <c r="R274" s="26"/>
      <c r="S274" s="26" t="n">
        <f aca="false">IF(AND(L274="Oui",K274="Principal",R274&lt;&gt;""),I274*R274,0)</f>
        <v>0</v>
      </c>
      <c r="T274" s="26" t="n">
        <f aca="false">IF(R274&lt;&gt;"",M274-S274,0)</f>
        <v>0</v>
      </c>
      <c r="U274" s="26" t="n">
        <f aca="false">IF(R274="",M274,0)</f>
        <v>100</v>
      </c>
    </row>
    <row r="275" customFormat="false" ht="15" hidden="false" customHeight="false" outlineLevel="0" collapsed="false">
      <c r="A275" s="25" t="s">
        <v>53</v>
      </c>
      <c r="B275" s="25" t="s">
        <v>55</v>
      </c>
      <c r="C275" s="25" t="s">
        <v>48</v>
      </c>
      <c r="D275" s="25" t="n">
        <v>12</v>
      </c>
      <c r="E275" s="25" t="s">
        <v>609</v>
      </c>
      <c r="F275" s="25" t="s">
        <v>199</v>
      </c>
      <c r="G275" s="25" t="n">
        <v>1578</v>
      </c>
      <c r="H275" s="25" t="s">
        <v>631</v>
      </c>
      <c r="I275" s="25" t="n">
        <v>1</v>
      </c>
      <c r="J275" s="26" t="n">
        <v>1500</v>
      </c>
      <c r="K275" s="25" t="s">
        <v>546</v>
      </c>
      <c r="L275" s="25" t="s">
        <v>547</v>
      </c>
      <c r="M275" s="26" t="n">
        <f aca="false">IF(AND(L275="Oui",K275="Principal"),I275*J275,0)</f>
        <v>1500</v>
      </c>
      <c r="N275" s="25" t="s">
        <v>548</v>
      </c>
      <c r="O275" s="25"/>
      <c r="P275" s="25" t="s">
        <v>556</v>
      </c>
      <c r="Q275" s="25" t="s">
        <v>557</v>
      </c>
      <c r="R275" s="26" t="n">
        <v>650</v>
      </c>
      <c r="S275" s="26" t="n">
        <f aca="false">IF(AND(L275="Oui",K275="Principal",R275&lt;&gt;""),I275*R275,0)</f>
        <v>650</v>
      </c>
      <c r="T275" s="26" t="n">
        <f aca="false">IF(R275&lt;&gt;"",M275-S275,0)</f>
        <v>850</v>
      </c>
      <c r="U275" s="26" t="n">
        <f aca="false">IF(R275="",M275,0)</f>
        <v>0</v>
      </c>
    </row>
    <row r="276" customFormat="false" ht="15" hidden="false" customHeight="false" outlineLevel="0" collapsed="false">
      <c r="A276" s="25" t="s">
        <v>53</v>
      </c>
      <c r="B276" s="25" t="s">
        <v>55</v>
      </c>
      <c r="C276" s="25" t="s">
        <v>48</v>
      </c>
      <c r="D276" s="25" t="n">
        <v>13</v>
      </c>
      <c r="E276" s="25" t="s">
        <v>554</v>
      </c>
      <c r="F276" s="25" t="s">
        <v>104</v>
      </c>
      <c r="G276" s="25" t="n">
        <v>1589</v>
      </c>
      <c r="H276" s="25" t="s">
        <v>568</v>
      </c>
      <c r="I276" s="25" t="n">
        <v>1</v>
      </c>
      <c r="J276" s="26" t="n">
        <v>900</v>
      </c>
      <c r="K276" s="25" t="s">
        <v>546</v>
      </c>
      <c r="L276" s="25" t="s">
        <v>547</v>
      </c>
      <c r="M276" s="26" t="n">
        <f aca="false">IF(AND(L276="Oui",K276="Principal"),I276*J276,0)</f>
        <v>900</v>
      </c>
      <c r="N276" s="25" t="s">
        <v>548</v>
      </c>
      <c r="O276" s="25"/>
      <c r="P276" s="25" t="s">
        <v>556</v>
      </c>
      <c r="Q276" s="25" t="s">
        <v>557</v>
      </c>
      <c r="R276" s="26" t="n">
        <v>650</v>
      </c>
      <c r="S276" s="26" t="n">
        <f aca="false">IF(AND(L276="Oui",K276="Principal",R276&lt;&gt;""),I276*R276,0)</f>
        <v>650</v>
      </c>
      <c r="T276" s="26" t="n">
        <f aca="false">IF(R276&lt;&gt;"",M276-S276,0)</f>
        <v>250</v>
      </c>
      <c r="U276" s="26" t="n">
        <f aca="false">IF(R276="",M276,0)</f>
        <v>0</v>
      </c>
    </row>
    <row r="277" customFormat="false" ht="15" hidden="false" customHeight="false" outlineLevel="0" collapsed="false">
      <c r="A277" s="25" t="s">
        <v>53</v>
      </c>
      <c r="B277" s="25" t="s">
        <v>55</v>
      </c>
      <c r="C277" s="25" t="s">
        <v>48</v>
      </c>
      <c r="D277" s="25" t="n">
        <v>14</v>
      </c>
      <c r="E277" s="25" t="s">
        <v>565</v>
      </c>
      <c r="F277" s="25" t="s">
        <v>166</v>
      </c>
      <c r="G277" s="25" t="n">
        <v>1173</v>
      </c>
      <c r="H277" s="25" t="s">
        <v>569</v>
      </c>
      <c r="I277" s="25" t="n">
        <v>1</v>
      </c>
      <c r="J277" s="26" t="n">
        <v>570</v>
      </c>
      <c r="K277" s="25" t="s">
        <v>546</v>
      </c>
      <c r="L277" s="25" t="s">
        <v>547</v>
      </c>
      <c r="M277" s="26" t="n">
        <f aca="false">IF(AND(L277="Oui",K277="Principal"),I277*J277,0)</f>
        <v>570</v>
      </c>
      <c r="N277" s="25" t="s">
        <v>548</v>
      </c>
      <c r="O277" s="25"/>
      <c r="P277" s="25" t="s">
        <v>550</v>
      </c>
      <c r="Q277" s="25" t="s">
        <v>557</v>
      </c>
      <c r="R277" s="26" t="n">
        <v>420</v>
      </c>
      <c r="S277" s="26" t="n">
        <f aca="false">IF(AND(L277="Oui",K277="Principal",R277&lt;&gt;""),I277*R277,0)</f>
        <v>420</v>
      </c>
      <c r="T277" s="26" t="n">
        <f aca="false">IF(R277&lt;&gt;"",M277-S277,0)</f>
        <v>150</v>
      </c>
      <c r="U277" s="26" t="n">
        <f aca="false">IF(R277="",M277,0)</f>
        <v>0</v>
      </c>
    </row>
    <row r="278" customFormat="false" ht="15" hidden="false" customHeight="false" outlineLevel="0" collapsed="false">
      <c r="A278" s="25" t="s">
        <v>53</v>
      </c>
      <c r="B278" s="25" t="s">
        <v>55</v>
      </c>
      <c r="C278" s="25" t="s">
        <v>48</v>
      </c>
      <c r="D278" s="25" t="n">
        <v>15</v>
      </c>
      <c r="E278" s="25" t="s">
        <v>565</v>
      </c>
      <c r="F278" s="25" t="s">
        <v>110</v>
      </c>
      <c r="G278" s="25" t="n">
        <v>1250</v>
      </c>
      <c r="H278" s="25" t="s">
        <v>570</v>
      </c>
      <c r="I278" s="25" t="n">
        <v>1</v>
      </c>
      <c r="J278" s="26" t="n">
        <v>250</v>
      </c>
      <c r="K278" s="25" t="s">
        <v>546</v>
      </c>
      <c r="L278" s="25" t="s">
        <v>547</v>
      </c>
      <c r="M278" s="26" t="n">
        <f aca="false">IF(AND(L278="Oui",K278="Principal"),I278*J278,0)</f>
        <v>250</v>
      </c>
      <c r="N278" s="25" t="s">
        <v>548</v>
      </c>
      <c r="O278" s="25"/>
      <c r="P278" s="25" t="s">
        <v>550</v>
      </c>
      <c r="Q278" s="25" t="s">
        <v>557</v>
      </c>
      <c r="R278" s="26" t="n">
        <v>100</v>
      </c>
      <c r="S278" s="26" t="n">
        <f aca="false">IF(AND(L278="Oui",K278="Principal",R278&lt;&gt;""),I278*R278,0)</f>
        <v>100</v>
      </c>
      <c r="T278" s="26" t="n">
        <f aca="false">IF(R278&lt;&gt;"",M278-S278,0)</f>
        <v>150</v>
      </c>
      <c r="U278" s="26" t="n">
        <f aca="false">IF(R278="",M278,0)</f>
        <v>0</v>
      </c>
    </row>
    <row r="279" customFormat="false" ht="15" hidden="false" customHeight="false" outlineLevel="0" collapsed="false">
      <c r="A279" s="25" t="s">
        <v>53</v>
      </c>
      <c r="B279" s="25" t="s">
        <v>55</v>
      </c>
      <c r="C279" s="25" t="s">
        <v>48</v>
      </c>
      <c r="D279" s="25" t="n">
        <v>16</v>
      </c>
      <c r="E279" s="25" t="s">
        <v>167</v>
      </c>
      <c r="F279" s="25" t="s">
        <v>167</v>
      </c>
      <c r="G279" s="25" t="n">
        <v>1255</v>
      </c>
      <c r="H279" s="25" t="s">
        <v>610</v>
      </c>
      <c r="I279" s="25" t="n">
        <v>1</v>
      </c>
      <c r="J279" s="26" t="n">
        <v>900</v>
      </c>
      <c r="K279" s="25" t="s">
        <v>546</v>
      </c>
      <c r="L279" s="25" t="s">
        <v>547</v>
      </c>
      <c r="M279" s="26" t="n">
        <f aca="false">IF(AND(L279="Oui",K279="Principal"),I279*J279,0)</f>
        <v>900</v>
      </c>
      <c r="N279" s="25" t="s">
        <v>548</v>
      </c>
      <c r="O279" s="25"/>
      <c r="P279" s="25" t="s">
        <v>550</v>
      </c>
      <c r="Q279" s="25" t="s">
        <v>557</v>
      </c>
      <c r="R279" s="26" t="n">
        <v>600</v>
      </c>
      <c r="S279" s="26" t="n">
        <f aca="false">IF(AND(L279="Oui",K279="Principal",R279&lt;&gt;""),I279*R279,0)</f>
        <v>600</v>
      </c>
      <c r="T279" s="26" t="n">
        <f aca="false">IF(R279&lt;&gt;"",M279-S279,0)</f>
        <v>300</v>
      </c>
      <c r="U279" s="26" t="n">
        <f aca="false">IF(R279="",M279,0)</f>
        <v>0</v>
      </c>
    </row>
    <row r="280" customFormat="false" ht="15" hidden="false" customHeight="false" outlineLevel="0" collapsed="false">
      <c r="A280" s="31" t="s">
        <v>53</v>
      </c>
      <c r="B280" s="31" t="s">
        <v>55</v>
      </c>
      <c r="C280" s="31" t="s">
        <v>48</v>
      </c>
      <c r="D280" s="31" t="n">
        <v>17</v>
      </c>
      <c r="E280" s="31" t="s">
        <v>167</v>
      </c>
      <c r="F280" s="31" t="s">
        <v>170</v>
      </c>
      <c r="G280" s="31" t="s">
        <v>611</v>
      </c>
      <c r="H280" s="31" t="s">
        <v>612</v>
      </c>
      <c r="I280" s="31" t="n">
        <v>20</v>
      </c>
      <c r="J280" s="32" t="n">
        <v>25</v>
      </c>
      <c r="K280" s="31" t="s">
        <v>546</v>
      </c>
      <c r="L280" s="31" t="s">
        <v>547</v>
      </c>
      <c r="M280" s="32" t="n">
        <f aca="false">IF(AND(L280="Oui",K280="Principal"),I280*J280,0)</f>
        <v>500</v>
      </c>
      <c r="N280" s="31" t="s">
        <v>172</v>
      </c>
      <c r="O280" s="31" t="s">
        <v>613</v>
      </c>
      <c r="P280" s="31" t="s">
        <v>550</v>
      </c>
      <c r="Q280" s="31" t="s">
        <v>557</v>
      </c>
      <c r="R280" s="32" t="n">
        <v>25</v>
      </c>
      <c r="S280" s="32" t="n">
        <f aca="false">IF(AND(L280="Oui",K280="Principal",R280&lt;&gt;""),I280*R280,0)</f>
        <v>500</v>
      </c>
      <c r="T280" s="32" t="n">
        <f aca="false">IF(R280&lt;&gt;"",M280-S280,0)</f>
        <v>0</v>
      </c>
      <c r="U280" s="32" t="n">
        <f aca="false">IF(R280="",M280,0)</f>
        <v>0</v>
      </c>
    </row>
    <row r="281" customFormat="false" ht="15" hidden="false" customHeight="false" outlineLevel="0" collapsed="false">
      <c r="A281" s="25" t="s">
        <v>53</v>
      </c>
      <c r="B281" s="25" t="s">
        <v>55</v>
      </c>
      <c r="C281" s="25" t="s">
        <v>48</v>
      </c>
      <c r="D281" s="25" t="n">
        <v>18</v>
      </c>
      <c r="E281" s="25" t="s">
        <v>167</v>
      </c>
      <c r="F281" s="25" t="s">
        <v>173</v>
      </c>
      <c r="G281" s="25" t="n">
        <v>1202</v>
      </c>
      <c r="H281" s="25" t="s">
        <v>599</v>
      </c>
      <c r="I281" s="25" t="n">
        <v>1</v>
      </c>
      <c r="J281" s="26" t="n">
        <v>250</v>
      </c>
      <c r="K281" s="25" t="s">
        <v>546</v>
      </c>
      <c r="L281" s="25" t="s">
        <v>547</v>
      </c>
      <c r="M281" s="26" t="n">
        <f aca="false">IF(AND(L281="Oui",K281="Principal"),I281*J281,0)</f>
        <v>250</v>
      </c>
      <c r="N281" s="25" t="s">
        <v>548</v>
      </c>
      <c r="O281" s="25"/>
      <c r="P281" s="25" t="s">
        <v>550</v>
      </c>
      <c r="Q281" s="25" t="s">
        <v>557</v>
      </c>
      <c r="R281" s="26" t="n">
        <v>100</v>
      </c>
      <c r="S281" s="26" t="n">
        <f aca="false">IF(AND(L281="Oui",K281="Principal",R281&lt;&gt;""),I281*R281,0)</f>
        <v>100</v>
      </c>
      <c r="T281" s="26" t="n">
        <f aca="false">IF(R281&lt;&gt;"",M281-S281,0)</f>
        <v>150</v>
      </c>
      <c r="U281" s="26" t="n">
        <f aca="false">IF(R281="",M281,0)</f>
        <v>0</v>
      </c>
    </row>
    <row r="282" customFormat="false" ht="15" hidden="false" customHeight="false" outlineLevel="0" collapsed="false">
      <c r="A282" s="25" t="s">
        <v>53</v>
      </c>
      <c r="B282" s="25" t="s">
        <v>55</v>
      </c>
      <c r="C282" s="25" t="s">
        <v>48</v>
      </c>
      <c r="D282" s="25" t="n">
        <v>19</v>
      </c>
      <c r="E282" s="25" t="s">
        <v>565</v>
      </c>
      <c r="F282" s="25" t="s">
        <v>174</v>
      </c>
      <c r="G282" s="25" t="n">
        <v>1218</v>
      </c>
      <c r="H282" s="25" t="s">
        <v>614</v>
      </c>
      <c r="I282" s="25" t="n">
        <v>1</v>
      </c>
      <c r="J282" s="26" t="n">
        <v>400</v>
      </c>
      <c r="K282" s="25" t="s">
        <v>546</v>
      </c>
      <c r="L282" s="25" t="s">
        <v>547</v>
      </c>
      <c r="M282" s="26" t="n">
        <f aca="false">IF(AND(L282="Oui",K282="Principal"),I282*J282,0)</f>
        <v>400</v>
      </c>
      <c r="N282" s="25" t="s">
        <v>548</v>
      </c>
      <c r="O282" s="25"/>
      <c r="P282" s="25" t="s">
        <v>550</v>
      </c>
      <c r="Q282" s="25" t="s">
        <v>557</v>
      </c>
      <c r="R282" s="26" t="n">
        <v>250</v>
      </c>
      <c r="S282" s="26" t="n">
        <f aca="false">IF(AND(L282="Oui",K282="Principal",R282&lt;&gt;""),I282*R282,0)</f>
        <v>250</v>
      </c>
      <c r="T282" s="26" t="n">
        <f aca="false">IF(R282&lt;&gt;"",M282-S282,0)</f>
        <v>150</v>
      </c>
      <c r="U282" s="26" t="n">
        <f aca="false">IF(R282="",M282,0)</f>
        <v>0</v>
      </c>
    </row>
    <row r="283" customFormat="false" ht="15" hidden="false" customHeight="false" outlineLevel="0" collapsed="false">
      <c r="A283" s="25" t="s">
        <v>53</v>
      </c>
      <c r="B283" s="25" t="s">
        <v>55</v>
      </c>
      <c r="C283" s="25" t="s">
        <v>48</v>
      </c>
      <c r="D283" s="25" t="n">
        <v>20</v>
      </c>
      <c r="E283" s="25" t="s">
        <v>573</v>
      </c>
      <c r="F283" s="25" t="s">
        <v>176</v>
      </c>
      <c r="G283" s="25" t="n">
        <v>19</v>
      </c>
      <c r="H283" s="25" t="s">
        <v>615</v>
      </c>
      <c r="I283" s="25" t="n">
        <v>1</v>
      </c>
      <c r="J283" s="26" t="n">
        <v>2500</v>
      </c>
      <c r="K283" s="25" t="s">
        <v>546</v>
      </c>
      <c r="L283" s="25" t="s">
        <v>547</v>
      </c>
      <c r="M283" s="26" t="n">
        <f aca="false">IF(AND(L283="Oui",K283="Principal"),I283*J283,0)</f>
        <v>2500</v>
      </c>
      <c r="N283" s="25" t="s">
        <v>548</v>
      </c>
      <c r="O283" s="25"/>
      <c r="P283" s="25" t="s">
        <v>559</v>
      </c>
      <c r="Q283" s="25" t="s">
        <v>551</v>
      </c>
      <c r="R283" s="26"/>
      <c r="S283" s="26" t="n">
        <f aca="false">IF(AND(L283="Oui",K283="Principal",R283&lt;&gt;""),I283*R283,0)</f>
        <v>0</v>
      </c>
      <c r="T283" s="26" t="n">
        <f aca="false">IF(R283&lt;&gt;"",M283-S283,0)</f>
        <v>0</v>
      </c>
      <c r="U283" s="26" t="n">
        <f aca="false">IF(R283="",M283,0)</f>
        <v>2500</v>
      </c>
    </row>
    <row r="284" customFormat="false" ht="15" hidden="false" customHeight="false" outlineLevel="0" collapsed="false">
      <c r="A284" s="25" t="s">
        <v>53</v>
      </c>
      <c r="B284" s="25" t="s">
        <v>55</v>
      </c>
      <c r="C284" s="25" t="s">
        <v>48</v>
      </c>
      <c r="D284" s="25" t="n">
        <v>21</v>
      </c>
      <c r="E284" s="25" t="s">
        <v>573</v>
      </c>
      <c r="F284" s="25" t="s">
        <v>117</v>
      </c>
      <c r="G284" s="25" t="n">
        <v>1287</v>
      </c>
      <c r="H284" s="25" t="s">
        <v>575</v>
      </c>
      <c r="I284" s="25" t="n">
        <v>1</v>
      </c>
      <c r="J284" s="26" t="n">
        <v>2500</v>
      </c>
      <c r="K284" s="25" t="s">
        <v>546</v>
      </c>
      <c r="L284" s="25" t="s">
        <v>547</v>
      </c>
      <c r="M284" s="26" t="n">
        <f aca="false">IF(AND(L284="Oui",K284="Principal"),I284*J284,0)</f>
        <v>2500</v>
      </c>
      <c r="N284" s="25" t="s">
        <v>548</v>
      </c>
      <c r="O284" s="25" t="s">
        <v>576</v>
      </c>
      <c r="P284" s="25" t="s">
        <v>550</v>
      </c>
      <c r="Q284" s="25" t="s">
        <v>557</v>
      </c>
      <c r="R284" s="26" t="n">
        <v>1800</v>
      </c>
      <c r="S284" s="26" t="n">
        <f aca="false">IF(AND(L284="Oui",K284="Principal",R284&lt;&gt;""),I284*R284,0)</f>
        <v>1800</v>
      </c>
      <c r="T284" s="26" t="n">
        <f aca="false">IF(R284&lt;&gt;"",M284-S284,0)</f>
        <v>700</v>
      </c>
      <c r="U284" s="26" t="n">
        <f aca="false">IF(R284="",M284,0)</f>
        <v>0</v>
      </c>
    </row>
    <row r="285" customFormat="false" ht="15" hidden="false" customHeight="false" outlineLevel="0" collapsed="false">
      <c r="A285" s="25" t="s">
        <v>53</v>
      </c>
      <c r="B285" s="25" t="s">
        <v>55</v>
      </c>
      <c r="C285" s="25" t="s">
        <v>48</v>
      </c>
      <c r="D285" s="25" t="n">
        <v>22</v>
      </c>
      <c r="E285" s="25" t="s">
        <v>616</v>
      </c>
      <c r="F285" s="25" t="s">
        <v>202</v>
      </c>
      <c r="G285" s="25" t="n">
        <v>1516</v>
      </c>
      <c r="H285" s="25" t="s">
        <v>632</v>
      </c>
      <c r="I285" s="25" t="n">
        <v>1</v>
      </c>
      <c r="J285" s="26" t="n">
        <v>1740</v>
      </c>
      <c r="K285" s="25" t="s">
        <v>618</v>
      </c>
      <c r="L285" s="25" t="s">
        <v>579</v>
      </c>
      <c r="M285" s="26" t="n">
        <f aca="false">IF(AND(L285="Oui",K285="Principal"),I285*J285,0)</f>
        <v>0</v>
      </c>
      <c r="N285" s="25" t="s">
        <v>548</v>
      </c>
      <c r="O285" s="25"/>
      <c r="P285" s="25" t="s">
        <v>550</v>
      </c>
      <c r="Q285" s="25" t="s">
        <v>557</v>
      </c>
      <c r="R285" s="26" t="n">
        <v>990</v>
      </c>
      <c r="S285" s="26" t="n">
        <f aca="false">IF(AND(L285="Oui",K285="Principal",R285&lt;&gt;""),I285*R285,0)</f>
        <v>0</v>
      </c>
      <c r="T285" s="26" t="n">
        <f aca="false">IF(R285&lt;&gt;"",M285-S285,0)</f>
        <v>0</v>
      </c>
      <c r="U285" s="26" t="n">
        <f aca="false">IF(R285="",M285,0)</f>
        <v>0</v>
      </c>
    </row>
    <row r="286" customFormat="false" ht="15" hidden="false" customHeight="false" outlineLevel="0" collapsed="false">
      <c r="A286" s="25" t="s">
        <v>53</v>
      </c>
      <c r="B286" s="25" t="s">
        <v>55</v>
      </c>
      <c r="C286" s="25" t="s">
        <v>48</v>
      </c>
      <c r="D286" s="25" t="n">
        <v>23</v>
      </c>
      <c r="E286" s="25" t="s">
        <v>616</v>
      </c>
      <c r="F286" s="25" t="s">
        <v>204</v>
      </c>
      <c r="G286" s="25" t="n">
        <v>1510</v>
      </c>
      <c r="H286" s="25" t="s">
        <v>633</v>
      </c>
      <c r="I286" s="25" t="n">
        <v>1</v>
      </c>
      <c r="J286" s="26" t="n">
        <v>5000</v>
      </c>
      <c r="K286" s="25" t="s">
        <v>618</v>
      </c>
      <c r="L286" s="25" t="s">
        <v>579</v>
      </c>
      <c r="M286" s="26" t="n">
        <f aca="false">IF(AND(L286="Oui",K286="Principal"),I286*J286,0)</f>
        <v>0</v>
      </c>
      <c r="N286" s="25" t="s">
        <v>548</v>
      </c>
      <c r="O286" s="25"/>
      <c r="P286" s="25" t="s">
        <v>550</v>
      </c>
      <c r="Q286" s="25" t="s">
        <v>557</v>
      </c>
      <c r="R286" s="26" t="n">
        <v>2890</v>
      </c>
      <c r="S286" s="26" t="n">
        <f aca="false">IF(AND(L286="Oui",K286="Principal",R286&lt;&gt;""),I286*R286,0)</f>
        <v>0</v>
      </c>
      <c r="T286" s="26" t="n">
        <f aca="false">IF(R286&lt;&gt;"",M286-S286,0)</f>
        <v>0</v>
      </c>
      <c r="U286" s="26" t="n">
        <f aca="false">IF(R286="",M286,0)</f>
        <v>0</v>
      </c>
    </row>
    <row r="287" customFormat="false" ht="15" hidden="false" customHeight="false" outlineLevel="0" collapsed="false">
      <c r="A287" s="25" t="s">
        <v>53</v>
      </c>
      <c r="B287" s="25" t="s">
        <v>55</v>
      </c>
      <c r="C287" s="25" t="s">
        <v>48</v>
      </c>
      <c r="D287" s="25" t="n">
        <v>24</v>
      </c>
      <c r="E287" s="25" t="s">
        <v>616</v>
      </c>
      <c r="F287" s="25" t="s">
        <v>206</v>
      </c>
      <c r="G287" s="25" t="n">
        <v>1523</v>
      </c>
      <c r="H287" s="25" t="s">
        <v>634</v>
      </c>
      <c r="I287" s="25" t="n">
        <v>1</v>
      </c>
      <c r="J287" s="26" t="n">
        <v>3890</v>
      </c>
      <c r="K287" s="25" t="s">
        <v>618</v>
      </c>
      <c r="L287" s="25" t="s">
        <v>579</v>
      </c>
      <c r="M287" s="26" t="n">
        <f aca="false">IF(AND(L287="Oui",K287="Principal"),I287*J287,0)</f>
        <v>0</v>
      </c>
      <c r="N287" s="25" t="s">
        <v>548</v>
      </c>
      <c r="O287" s="25"/>
      <c r="P287" s="25" t="s">
        <v>550</v>
      </c>
      <c r="Q287" s="25" t="s">
        <v>557</v>
      </c>
      <c r="R287" s="26" t="n">
        <v>2890</v>
      </c>
      <c r="S287" s="26" t="n">
        <f aca="false">IF(AND(L287="Oui",K287="Principal",R287&lt;&gt;""),I287*R287,0)</f>
        <v>0</v>
      </c>
      <c r="T287" s="26" t="n">
        <f aca="false">IF(R287&lt;&gt;"",M287-S287,0)</f>
        <v>0</v>
      </c>
      <c r="U287" s="26" t="n">
        <f aca="false">IF(R287="",M287,0)</f>
        <v>0</v>
      </c>
    </row>
    <row r="288" customFormat="false" ht="15" hidden="false" customHeight="false" outlineLevel="0" collapsed="false">
      <c r="A288" s="25" t="s">
        <v>53</v>
      </c>
      <c r="B288" s="25" t="s">
        <v>55</v>
      </c>
      <c r="C288" s="25" t="s">
        <v>48</v>
      </c>
      <c r="D288" s="25" t="n">
        <v>25</v>
      </c>
      <c r="E288" s="25" t="s">
        <v>616</v>
      </c>
      <c r="F288" s="25" t="s">
        <v>208</v>
      </c>
      <c r="G288" s="25" t="n">
        <v>1491</v>
      </c>
      <c r="H288" s="25" t="s">
        <v>635</v>
      </c>
      <c r="I288" s="25" t="n">
        <v>1</v>
      </c>
      <c r="J288" s="26" t="n">
        <v>3890</v>
      </c>
      <c r="K288" s="25" t="s">
        <v>618</v>
      </c>
      <c r="L288" s="25" t="s">
        <v>579</v>
      </c>
      <c r="M288" s="26" t="n">
        <f aca="false">IF(AND(L288="Oui",K288="Principal"),I288*J288,0)</f>
        <v>0</v>
      </c>
      <c r="N288" s="25" t="s">
        <v>548</v>
      </c>
      <c r="O288" s="25"/>
      <c r="P288" s="25" t="s">
        <v>550</v>
      </c>
      <c r="Q288" s="25" t="s">
        <v>557</v>
      </c>
      <c r="R288" s="26" t="n">
        <v>2890</v>
      </c>
      <c r="S288" s="26" t="n">
        <f aca="false">IF(AND(L288="Oui",K288="Principal",R288&lt;&gt;""),I288*R288,0)</f>
        <v>0</v>
      </c>
      <c r="T288" s="26" t="n">
        <f aca="false">IF(R288&lt;&gt;"",M288-S288,0)</f>
        <v>0</v>
      </c>
      <c r="U288" s="26" t="n">
        <f aca="false">IF(R288="",M288,0)</f>
        <v>0</v>
      </c>
    </row>
    <row r="289" customFormat="false" ht="15" hidden="false" customHeight="false" outlineLevel="0" collapsed="false">
      <c r="A289" s="25" t="s">
        <v>53</v>
      </c>
      <c r="B289" s="25" t="s">
        <v>55</v>
      </c>
      <c r="C289" s="25" t="s">
        <v>48</v>
      </c>
      <c r="D289" s="25" t="n">
        <v>26</v>
      </c>
      <c r="E289" s="25" t="s">
        <v>577</v>
      </c>
      <c r="F289" s="25" t="s">
        <v>120</v>
      </c>
      <c r="G289" s="25" t="n">
        <v>1199</v>
      </c>
      <c r="H289" s="25" t="s">
        <v>622</v>
      </c>
      <c r="I289" s="25" t="n">
        <v>1</v>
      </c>
      <c r="J289" s="26" t="n">
        <v>7500</v>
      </c>
      <c r="K289" s="25" t="s">
        <v>577</v>
      </c>
      <c r="L289" s="25" t="s">
        <v>579</v>
      </c>
      <c r="M289" s="26" t="n">
        <f aca="false">IF(AND(L289="Oui",K289="Principal"),I289*J289,0)</f>
        <v>0</v>
      </c>
      <c r="N289" s="25" t="s">
        <v>548</v>
      </c>
      <c r="O289" s="25"/>
      <c r="P289" s="25" t="s">
        <v>550</v>
      </c>
      <c r="Q289" s="25" t="s">
        <v>557</v>
      </c>
      <c r="R289" s="26" t="n">
        <v>6000</v>
      </c>
      <c r="S289" s="26" t="n">
        <f aca="false">IF(AND(L289="Oui",K289="Principal",R289&lt;&gt;""),I289*R289,0)</f>
        <v>0</v>
      </c>
      <c r="T289" s="26" t="n">
        <f aca="false">IF(R289&lt;&gt;"",M289-S289,0)</f>
        <v>0</v>
      </c>
      <c r="U289" s="26" t="n">
        <f aca="false">IF(R289="",M289,0)</f>
        <v>0</v>
      </c>
    </row>
    <row r="290" customFormat="false" ht="15" hidden="false" customHeight="false" outlineLevel="0" collapsed="false">
      <c r="A290" s="25" t="s">
        <v>53</v>
      </c>
      <c r="B290" s="25" t="s">
        <v>55</v>
      </c>
      <c r="C290" s="25" t="s">
        <v>49</v>
      </c>
      <c r="D290" s="25" t="n">
        <v>1</v>
      </c>
      <c r="E290" s="25" t="s">
        <v>544</v>
      </c>
      <c r="F290" s="25" t="s">
        <v>151</v>
      </c>
      <c r="G290" s="25" t="n">
        <v>1618</v>
      </c>
      <c r="H290" s="25" t="s">
        <v>600</v>
      </c>
      <c r="I290" s="25" t="n">
        <v>3</v>
      </c>
      <c r="J290" s="26" t="n">
        <v>450</v>
      </c>
      <c r="K290" s="25" t="s">
        <v>546</v>
      </c>
      <c r="L290" s="25" t="s">
        <v>547</v>
      </c>
      <c r="M290" s="26" t="n">
        <f aca="false">IF(AND(L290="Oui",K290="Principal"),I290*J290,0)</f>
        <v>1350</v>
      </c>
      <c r="N290" s="25" t="s">
        <v>548</v>
      </c>
      <c r="O290" s="25"/>
      <c r="P290" s="25" t="s">
        <v>556</v>
      </c>
      <c r="Q290" s="25" t="s">
        <v>557</v>
      </c>
      <c r="R290" s="26" t="n">
        <v>350</v>
      </c>
      <c r="S290" s="26" t="n">
        <f aca="false">IF(AND(L290="Oui",K290="Principal",R290&lt;&gt;""),I290*R290,0)</f>
        <v>1050</v>
      </c>
      <c r="T290" s="26" t="n">
        <f aca="false">IF(R290&lt;&gt;"",M290-S290,0)</f>
        <v>300</v>
      </c>
      <c r="U290" s="26" t="n">
        <f aca="false">IF(R290="",M290,0)</f>
        <v>0</v>
      </c>
    </row>
    <row r="291" customFormat="false" ht="15" hidden="false" customHeight="false" outlineLevel="0" collapsed="false">
      <c r="A291" s="25" t="s">
        <v>53</v>
      </c>
      <c r="B291" s="25" t="s">
        <v>55</v>
      </c>
      <c r="C291" s="25" t="s">
        <v>49</v>
      </c>
      <c r="D291" s="25" t="n">
        <v>2</v>
      </c>
      <c r="E291" s="25" t="s">
        <v>544</v>
      </c>
      <c r="F291" s="25" t="s">
        <v>158</v>
      </c>
      <c r="G291" s="25" t="n">
        <v>1575</v>
      </c>
      <c r="H291" s="25" t="s">
        <v>605</v>
      </c>
      <c r="I291" s="25" t="n">
        <v>3</v>
      </c>
      <c r="J291" s="26" t="n">
        <v>275</v>
      </c>
      <c r="K291" s="25" t="s">
        <v>546</v>
      </c>
      <c r="L291" s="25" t="s">
        <v>547</v>
      </c>
      <c r="M291" s="26" t="n">
        <f aca="false">IF(AND(L291="Oui",K291="Principal"),I291*J291,0)</f>
        <v>825</v>
      </c>
      <c r="N291" s="25" t="s">
        <v>548</v>
      </c>
      <c r="O291" s="25"/>
      <c r="P291" s="25" t="s">
        <v>556</v>
      </c>
      <c r="Q291" s="25" t="s">
        <v>557</v>
      </c>
      <c r="R291" s="26" t="n">
        <v>175</v>
      </c>
      <c r="S291" s="26" t="n">
        <f aca="false">IF(AND(L291="Oui",K291="Principal",R291&lt;&gt;""),I291*R291,0)</f>
        <v>525</v>
      </c>
      <c r="T291" s="26" t="n">
        <f aca="false">IF(R291&lt;&gt;"",M291-S291,0)</f>
        <v>300</v>
      </c>
      <c r="U291" s="26" t="n">
        <f aca="false">IF(R291="",M291,0)</f>
        <v>0</v>
      </c>
    </row>
    <row r="292" customFormat="false" ht="15" hidden="false" customHeight="false" outlineLevel="0" collapsed="false">
      <c r="A292" s="27" t="s">
        <v>53</v>
      </c>
      <c r="B292" s="27" t="s">
        <v>55</v>
      </c>
      <c r="C292" s="27" t="s">
        <v>49</v>
      </c>
      <c r="D292" s="27" t="n">
        <v>3</v>
      </c>
      <c r="E292" s="27" t="s">
        <v>544</v>
      </c>
      <c r="F292" s="27" t="s">
        <v>196</v>
      </c>
      <c r="G292" s="27"/>
      <c r="H292" s="27" t="s">
        <v>585</v>
      </c>
      <c r="I292" s="27" t="n">
        <v>2</v>
      </c>
      <c r="J292" s="28" t="n">
        <v>0</v>
      </c>
      <c r="K292" s="27" t="s">
        <v>546</v>
      </c>
      <c r="L292" s="27" t="s">
        <v>579</v>
      </c>
      <c r="M292" s="28" t="n">
        <f aca="false">IF(AND(L292="Oui",K292="Principal"),I292*J292,0)</f>
        <v>0</v>
      </c>
      <c r="N292" s="27" t="s">
        <v>128</v>
      </c>
      <c r="O292" s="27" t="s">
        <v>586</v>
      </c>
      <c r="P292" s="27"/>
      <c r="Q292" s="27"/>
      <c r="R292" s="28"/>
      <c r="S292" s="28" t="n">
        <f aca="false">IF(AND(L292="Oui",K292="Principal",R292&lt;&gt;""),I292*R292,0)</f>
        <v>0</v>
      </c>
      <c r="T292" s="28" t="n">
        <f aca="false">IF(R292&lt;&gt;"",M292-S292,0)</f>
        <v>0</v>
      </c>
      <c r="U292" s="28" t="n">
        <f aca="false">IF(R292="",M292,0)</f>
        <v>0</v>
      </c>
    </row>
    <row r="293" customFormat="false" ht="15" hidden="false" customHeight="false" outlineLevel="0" collapsed="false">
      <c r="A293" s="25" t="s">
        <v>53</v>
      </c>
      <c r="B293" s="25" t="s">
        <v>55</v>
      </c>
      <c r="C293" s="25" t="s">
        <v>49</v>
      </c>
      <c r="D293" s="25" t="n">
        <v>4</v>
      </c>
      <c r="E293" s="25" t="s">
        <v>554</v>
      </c>
      <c r="F293" s="25" t="s">
        <v>88</v>
      </c>
      <c r="G293" s="25" t="n">
        <v>1286</v>
      </c>
      <c r="H293" s="25" t="s">
        <v>580</v>
      </c>
      <c r="I293" s="25" t="n">
        <v>1</v>
      </c>
      <c r="J293" s="26" t="n">
        <v>550</v>
      </c>
      <c r="K293" s="25" t="s">
        <v>546</v>
      </c>
      <c r="L293" s="25" t="s">
        <v>547</v>
      </c>
      <c r="M293" s="26" t="n">
        <f aca="false">IF(AND(L293="Oui",K293="Principal"),I293*J293,0)</f>
        <v>550</v>
      </c>
      <c r="N293" s="25" t="s">
        <v>548</v>
      </c>
      <c r="O293" s="25"/>
      <c r="P293" s="25" t="s">
        <v>550</v>
      </c>
      <c r="Q293" s="25" t="s">
        <v>557</v>
      </c>
      <c r="R293" s="26" t="n">
        <v>450</v>
      </c>
      <c r="S293" s="26" t="n">
        <f aca="false">IF(AND(L293="Oui",K293="Principal",R293&lt;&gt;""),I293*R293,0)</f>
        <v>450</v>
      </c>
      <c r="T293" s="26" t="n">
        <f aca="false">IF(R293&lt;&gt;"",M293-S293,0)</f>
        <v>100</v>
      </c>
      <c r="U293" s="26" t="n">
        <f aca="false">IF(R293="",M293,0)</f>
        <v>0</v>
      </c>
    </row>
    <row r="294" customFormat="false" ht="15" hidden="false" customHeight="false" outlineLevel="0" collapsed="false">
      <c r="A294" s="25" t="s">
        <v>53</v>
      </c>
      <c r="B294" s="25" t="s">
        <v>55</v>
      </c>
      <c r="C294" s="25" t="s">
        <v>49</v>
      </c>
      <c r="D294" s="25" t="n">
        <v>5</v>
      </c>
      <c r="E294" s="25" t="s">
        <v>160</v>
      </c>
      <c r="F294" s="25" t="s">
        <v>160</v>
      </c>
      <c r="G294" s="25" t="n">
        <v>1277</v>
      </c>
      <c r="H294" s="25" t="s">
        <v>606</v>
      </c>
      <c r="I294" s="25" t="n">
        <v>9</v>
      </c>
      <c r="J294" s="26" t="n">
        <v>150</v>
      </c>
      <c r="K294" s="25" t="s">
        <v>546</v>
      </c>
      <c r="L294" s="25" t="s">
        <v>547</v>
      </c>
      <c r="M294" s="26" t="n">
        <f aca="false">IF(AND(L294="Oui",K294="Principal"),I294*J294,0)</f>
        <v>1350</v>
      </c>
      <c r="N294" s="25" t="s">
        <v>548</v>
      </c>
      <c r="O294" s="25"/>
      <c r="P294" s="25" t="s">
        <v>550</v>
      </c>
      <c r="Q294" s="25" t="s">
        <v>557</v>
      </c>
      <c r="R294" s="26"/>
      <c r="S294" s="26" t="n">
        <f aca="false">IF(AND(L294="Oui",K294="Principal",R294&lt;&gt;""),I294*R294,0)</f>
        <v>0</v>
      </c>
      <c r="T294" s="26" t="n">
        <f aca="false">IF(R294&lt;&gt;"",M294-S294,0)</f>
        <v>0</v>
      </c>
      <c r="U294" s="26" t="n">
        <f aca="false">IF(R294="",M294,0)</f>
        <v>1350</v>
      </c>
    </row>
    <row r="295" customFormat="false" ht="15" hidden="false" customHeight="false" outlineLevel="0" collapsed="false">
      <c r="A295" s="25" t="s">
        <v>53</v>
      </c>
      <c r="B295" s="25" t="s">
        <v>55</v>
      </c>
      <c r="C295" s="25" t="s">
        <v>49</v>
      </c>
      <c r="D295" s="25" t="n">
        <v>6</v>
      </c>
      <c r="E295" s="25" t="s">
        <v>563</v>
      </c>
      <c r="F295" s="25" t="s">
        <v>188</v>
      </c>
      <c r="G295" s="25" t="n">
        <v>8</v>
      </c>
      <c r="H295" s="25" t="s">
        <v>188</v>
      </c>
      <c r="I295" s="25" t="n">
        <v>1</v>
      </c>
      <c r="J295" s="26" t="n">
        <v>500</v>
      </c>
      <c r="K295" s="25" t="s">
        <v>546</v>
      </c>
      <c r="L295" s="25" t="s">
        <v>547</v>
      </c>
      <c r="M295" s="26" t="n">
        <f aca="false">IF(AND(L295="Oui",K295="Principal"),I295*J295,0)</f>
        <v>500</v>
      </c>
      <c r="N295" s="25" t="s">
        <v>548</v>
      </c>
      <c r="O295" s="25"/>
      <c r="P295" s="25" t="s">
        <v>559</v>
      </c>
      <c r="Q295" s="25" t="s">
        <v>551</v>
      </c>
      <c r="R295" s="26"/>
      <c r="S295" s="26" t="n">
        <f aca="false">IF(AND(L295="Oui",K295="Principal",R295&lt;&gt;""),I295*R295,0)</f>
        <v>0</v>
      </c>
      <c r="T295" s="26" t="n">
        <f aca="false">IF(R295&lt;&gt;"",M295-S295,0)</f>
        <v>0</v>
      </c>
      <c r="U295" s="26" t="n">
        <f aca="false">IF(R295="",M295,0)</f>
        <v>500</v>
      </c>
    </row>
    <row r="296" customFormat="false" ht="15" hidden="false" customHeight="false" outlineLevel="0" collapsed="false">
      <c r="A296" s="25" t="s">
        <v>53</v>
      </c>
      <c r="B296" s="25" t="s">
        <v>55</v>
      </c>
      <c r="C296" s="25" t="s">
        <v>49</v>
      </c>
      <c r="D296" s="25" t="n">
        <v>7</v>
      </c>
      <c r="E296" s="25" t="s">
        <v>563</v>
      </c>
      <c r="F296" s="25" t="s">
        <v>162</v>
      </c>
      <c r="G296" s="25" t="n">
        <v>1635</v>
      </c>
      <c r="H296" s="25" t="s">
        <v>607</v>
      </c>
      <c r="I296" s="25" t="n">
        <v>2</v>
      </c>
      <c r="J296" s="26" t="n">
        <v>100</v>
      </c>
      <c r="K296" s="25" t="s">
        <v>546</v>
      </c>
      <c r="L296" s="25" t="s">
        <v>547</v>
      </c>
      <c r="M296" s="26" t="n">
        <f aca="false">IF(AND(L296="Oui",K296="Principal"),I296*J296,0)</f>
        <v>200</v>
      </c>
      <c r="N296" s="25" t="s">
        <v>548</v>
      </c>
      <c r="O296" s="25"/>
      <c r="P296" s="25" t="s">
        <v>556</v>
      </c>
      <c r="Q296" s="25" t="s">
        <v>557</v>
      </c>
      <c r="R296" s="26" t="n">
        <v>80</v>
      </c>
      <c r="S296" s="26" t="n">
        <f aca="false">IF(AND(L296="Oui",K296="Principal",R296&lt;&gt;""),I296*R296,0)</f>
        <v>160</v>
      </c>
      <c r="T296" s="26" t="n">
        <f aca="false">IF(R296&lt;&gt;"",M296-S296,0)</f>
        <v>40</v>
      </c>
      <c r="U296" s="26" t="n">
        <f aca="false">IF(R296="",M296,0)</f>
        <v>0</v>
      </c>
    </row>
    <row r="297" customFormat="false" ht="15" hidden="false" customHeight="false" outlineLevel="0" collapsed="false">
      <c r="A297" s="25" t="s">
        <v>53</v>
      </c>
      <c r="B297" s="25" t="s">
        <v>55</v>
      </c>
      <c r="C297" s="25" t="s">
        <v>49</v>
      </c>
      <c r="D297" s="25" t="n">
        <v>8</v>
      </c>
      <c r="E297" s="25" t="s">
        <v>563</v>
      </c>
      <c r="F297" s="25" t="s">
        <v>197</v>
      </c>
      <c r="G297" s="25" t="n">
        <v>1674</v>
      </c>
      <c r="H297" s="25" t="s">
        <v>630</v>
      </c>
      <c r="I297" s="25" t="n">
        <v>1</v>
      </c>
      <c r="J297" s="26" t="n">
        <v>100</v>
      </c>
      <c r="K297" s="25" t="s">
        <v>546</v>
      </c>
      <c r="L297" s="25" t="s">
        <v>547</v>
      </c>
      <c r="M297" s="26" t="n">
        <f aca="false">IF(AND(L297="Oui",K297="Principal"),I297*J297,0)</f>
        <v>100</v>
      </c>
      <c r="N297" s="25" t="s">
        <v>548</v>
      </c>
      <c r="O297" s="25"/>
      <c r="P297" s="25" t="s">
        <v>556</v>
      </c>
      <c r="Q297" s="25" t="s">
        <v>557</v>
      </c>
      <c r="R297" s="26" t="n">
        <v>80</v>
      </c>
      <c r="S297" s="26" t="n">
        <f aca="false">IF(AND(L297="Oui",K297="Principal",R297&lt;&gt;""),I297*R297,0)</f>
        <v>80</v>
      </c>
      <c r="T297" s="26" t="n">
        <f aca="false">IF(R297&lt;&gt;"",M297-S297,0)</f>
        <v>20</v>
      </c>
      <c r="U297" s="26" t="n">
        <f aca="false">IF(R297="",M297,0)</f>
        <v>0</v>
      </c>
    </row>
    <row r="298" customFormat="false" ht="15" hidden="false" customHeight="false" outlineLevel="0" collapsed="false">
      <c r="A298" s="25" t="s">
        <v>53</v>
      </c>
      <c r="B298" s="25" t="s">
        <v>55</v>
      </c>
      <c r="C298" s="25" t="s">
        <v>49</v>
      </c>
      <c r="D298" s="25" t="n">
        <v>9</v>
      </c>
      <c r="E298" s="25" t="s">
        <v>565</v>
      </c>
      <c r="F298" s="25" t="s">
        <v>99</v>
      </c>
      <c r="G298" s="25" t="n">
        <v>1181</v>
      </c>
      <c r="H298" s="25" t="s">
        <v>581</v>
      </c>
      <c r="I298" s="25" t="n">
        <v>2</v>
      </c>
      <c r="J298" s="26" t="n">
        <v>250</v>
      </c>
      <c r="K298" s="25" t="s">
        <v>546</v>
      </c>
      <c r="L298" s="25" t="s">
        <v>547</v>
      </c>
      <c r="M298" s="26" t="n">
        <f aca="false">IF(AND(L298="Oui",K298="Principal"),I298*J298,0)</f>
        <v>500</v>
      </c>
      <c r="N298" s="25" t="s">
        <v>548</v>
      </c>
      <c r="O298" s="25"/>
      <c r="P298" s="25" t="s">
        <v>550</v>
      </c>
      <c r="Q298" s="25" t="s">
        <v>557</v>
      </c>
      <c r="R298" s="26" t="n">
        <v>110</v>
      </c>
      <c r="S298" s="26" t="n">
        <f aca="false">IF(AND(L298="Oui",K298="Principal",R298&lt;&gt;""),I298*R298,0)</f>
        <v>220</v>
      </c>
      <c r="T298" s="26" t="n">
        <f aca="false">IF(R298&lt;&gt;"",M298-S298,0)</f>
        <v>280</v>
      </c>
      <c r="U298" s="26" t="n">
        <f aca="false">IF(R298="",M298,0)</f>
        <v>0</v>
      </c>
    </row>
    <row r="299" customFormat="false" ht="15" hidden="false" customHeight="false" outlineLevel="0" collapsed="false">
      <c r="A299" s="25" t="s">
        <v>53</v>
      </c>
      <c r="B299" s="25" t="s">
        <v>55</v>
      </c>
      <c r="C299" s="25" t="s">
        <v>49</v>
      </c>
      <c r="D299" s="25" t="n">
        <v>10</v>
      </c>
      <c r="E299" s="25" t="s">
        <v>565</v>
      </c>
      <c r="F299" s="25" t="s">
        <v>102</v>
      </c>
      <c r="G299" s="25" t="n">
        <v>1587</v>
      </c>
      <c r="H299" s="25" t="s">
        <v>567</v>
      </c>
      <c r="I299" s="25" t="n">
        <v>1</v>
      </c>
      <c r="J299" s="26" t="n">
        <v>500</v>
      </c>
      <c r="K299" s="25" t="s">
        <v>546</v>
      </c>
      <c r="L299" s="25" t="s">
        <v>547</v>
      </c>
      <c r="M299" s="26" t="n">
        <f aca="false">IF(AND(L299="Oui",K299="Principal"),I299*J299,0)</f>
        <v>500</v>
      </c>
      <c r="N299" s="25" t="s">
        <v>548</v>
      </c>
      <c r="O299" s="25"/>
      <c r="P299" s="25" t="s">
        <v>556</v>
      </c>
      <c r="Q299" s="25" t="s">
        <v>557</v>
      </c>
      <c r="R299" s="26" t="n">
        <v>350</v>
      </c>
      <c r="S299" s="26" t="n">
        <f aca="false">IF(AND(L299="Oui",K299="Principal",R299&lt;&gt;""),I299*R299,0)</f>
        <v>350</v>
      </c>
      <c r="T299" s="26" t="n">
        <f aca="false">IF(R299&lt;&gt;"",M299-S299,0)</f>
        <v>150</v>
      </c>
      <c r="U299" s="26" t="n">
        <f aca="false">IF(R299="",M299,0)</f>
        <v>0</v>
      </c>
    </row>
    <row r="300" customFormat="false" ht="15" hidden="false" customHeight="false" outlineLevel="0" collapsed="false">
      <c r="A300" s="25" t="s">
        <v>53</v>
      </c>
      <c r="B300" s="25" t="s">
        <v>55</v>
      </c>
      <c r="C300" s="25" t="s">
        <v>49</v>
      </c>
      <c r="D300" s="25" t="n">
        <v>11</v>
      </c>
      <c r="E300" s="25" t="s">
        <v>609</v>
      </c>
      <c r="F300" s="25" t="s">
        <v>131</v>
      </c>
      <c r="G300" s="25" t="n">
        <v>1183</v>
      </c>
      <c r="H300" s="25" t="s">
        <v>587</v>
      </c>
      <c r="I300" s="25" t="n">
        <v>1</v>
      </c>
      <c r="J300" s="26" t="n">
        <v>100</v>
      </c>
      <c r="K300" s="25" t="s">
        <v>546</v>
      </c>
      <c r="L300" s="25" t="s">
        <v>547</v>
      </c>
      <c r="M300" s="26" t="n">
        <f aca="false">IF(AND(L300="Oui",K300="Principal"),I300*J300,0)</f>
        <v>100</v>
      </c>
      <c r="N300" s="25" t="s">
        <v>548</v>
      </c>
      <c r="O300" s="25"/>
      <c r="P300" s="25" t="s">
        <v>550</v>
      </c>
      <c r="Q300" s="25" t="s">
        <v>557</v>
      </c>
      <c r="R300" s="26"/>
      <c r="S300" s="26" t="n">
        <f aca="false">IF(AND(L300="Oui",K300="Principal",R300&lt;&gt;""),I300*R300,0)</f>
        <v>0</v>
      </c>
      <c r="T300" s="26" t="n">
        <f aca="false">IF(R300&lt;&gt;"",M300-S300,0)</f>
        <v>0</v>
      </c>
      <c r="U300" s="26" t="n">
        <f aca="false">IF(R300="",M300,0)</f>
        <v>100</v>
      </c>
    </row>
    <row r="301" customFormat="false" ht="15" hidden="false" customHeight="false" outlineLevel="0" collapsed="false">
      <c r="A301" s="25" t="s">
        <v>53</v>
      </c>
      <c r="B301" s="25" t="s">
        <v>55</v>
      </c>
      <c r="C301" s="25" t="s">
        <v>49</v>
      </c>
      <c r="D301" s="25" t="n">
        <v>12</v>
      </c>
      <c r="E301" s="25" t="s">
        <v>609</v>
      </c>
      <c r="F301" s="25" t="s">
        <v>199</v>
      </c>
      <c r="G301" s="25" t="n">
        <v>1290</v>
      </c>
      <c r="H301" s="25" t="s">
        <v>636</v>
      </c>
      <c r="I301" s="25" t="n">
        <v>1</v>
      </c>
      <c r="J301" s="26" t="n">
        <v>1600</v>
      </c>
      <c r="K301" s="25" t="s">
        <v>546</v>
      </c>
      <c r="L301" s="25" t="s">
        <v>547</v>
      </c>
      <c r="M301" s="26" t="n">
        <f aca="false">IF(AND(L301="Oui",K301="Principal"),I301*J301,0)</f>
        <v>1600</v>
      </c>
      <c r="N301" s="25" t="s">
        <v>548</v>
      </c>
      <c r="O301" s="25"/>
      <c r="P301" s="25" t="s">
        <v>550</v>
      </c>
      <c r="Q301" s="25" t="s">
        <v>557</v>
      </c>
      <c r="R301" s="26" t="n">
        <v>1300</v>
      </c>
      <c r="S301" s="26" t="n">
        <f aca="false">IF(AND(L301="Oui",K301="Principal",R301&lt;&gt;""),I301*R301,0)</f>
        <v>1300</v>
      </c>
      <c r="T301" s="26" t="n">
        <f aca="false">IF(R301&lt;&gt;"",M301-S301,0)</f>
        <v>300</v>
      </c>
      <c r="U301" s="26" t="n">
        <f aca="false">IF(R301="",M301,0)</f>
        <v>0</v>
      </c>
    </row>
    <row r="302" customFormat="false" ht="15" hidden="false" customHeight="false" outlineLevel="0" collapsed="false">
      <c r="A302" s="25" t="s">
        <v>53</v>
      </c>
      <c r="B302" s="25" t="s">
        <v>55</v>
      </c>
      <c r="C302" s="25" t="s">
        <v>49</v>
      </c>
      <c r="D302" s="25" t="n">
        <v>13</v>
      </c>
      <c r="E302" s="25" t="s">
        <v>554</v>
      </c>
      <c r="F302" s="25" t="s">
        <v>104</v>
      </c>
      <c r="G302" s="25" t="n">
        <v>1589</v>
      </c>
      <c r="H302" s="25" t="s">
        <v>568</v>
      </c>
      <c r="I302" s="25" t="n">
        <v>1</v>
      </c>
      <c r="J302" s="26" t="n">
        <v>900</v>
      </c>
      <c r="K302" s="25" t="s">
        <v>546</v>
      </c>
      <c r="L302" s="25" t="s">
        <v>547</v>
      </c>
      <c r="M302" s="26" t="n">
        <f aca="false">IF(AND(L302="Oui",K302="Principal"),I302*J302,0)</f>
        <v>900</v>
      </c>
      <c r="N302" s="25" t="s">
        <v>548</v>
      </c>
      <c r="O302" s="25"/>
      <c r="P302" s="25" t="s">
        <v>556</v>
      </c>
      <c r="Q302" s="25" t="s">
        <v>557</v>
      </c>
      <c r="R302" s="26" t="n">
        <v>650</v>
      </c>
      <c r="S302" s="26" t="n">
        <f aca="false">IF(AND(L302="Oui",K302="Principal",R302&lt;&gt;""),I302*R302,0)</f>
        <v>650</v>
      </c>
      <c r="T302" s="26" t="n">
        <f aca="false">IF(R302&lt;&gt;"",M302-S302,0)</f>
        <v>250</v>
      </c>
      <c r="U302" s="26" t="n">
        <f aca="false">IF(R302="",M302,0)</f>
        <v>0</v>
      </c>
    </row>
    <row r="303" customFormat="false" ht="15" hidden="false" customHeight="false" outlineLevel="0" collapsed="false">
      <c r="A303" s="25" t="s">
        <v>53</v>
      </c>
      <c r="B303" s="25" t="s">
        <v>55</v>
      </c>
      <c r="C303" s="25" t="s">
        <v>49</v>
      </c>
      <c r="D303" s="25" t="n">
        <v>14</v>
      </c>
      <c r="E303" s="25" t="s">
        <v>565</v>
      </c>
      <c r="F303" s="25" t="s">
        <v>166</v>
      </c>
      <c r="G303" s="25" t="n">
        <v>1604</v>
      </c>
      <c r="H303" s="25" t="s">
        <v>582</v>
      </c>
      <c r="I303" s="25" t="n">
        <v>2</v>
      </c>
      <c r="J303" s="26" t="n">
        <v>700</v>
      </c>
      <c r="K303" s="25" t="s">
        <v>546</v>
      </c>
      <c r="L303" s="25" t="s">
        <v>547</v>
      </c>
      <c r="M303" s="26" t="n">
        <f aca="false">IF(AND(L303="Oui",K303="Principal"),I303*J303,0)</f>
        <v>1400</v>
      </c>
      <c r="N303" s="25" t="s">
        <v>548</v>
      </c>
      <c r="O303" s="25"/>
      <c r="P303" s="25" t="s">
        <v>556</v>
      </c>
      <c r="Q303" s="25" t="s">
        <v>557</v>
      </c>
      <c r="R303" s="26" t="n">
        <v>400</v>
      </c>
      <c r="S303" s="26" t="n">
        <f aca="false">IF(AND(L303="Oui",K303="Principal",R303&lt;&gt;""),I303*R303,0)</f>
        <v>800</v>
      </c>
      <c r="T303" s="26" t="n">
        <f aca="false">IF(R303&lt;&gt;"",M303-S303,0)</f>
        <v>600</v>
      </c>
      <c r="U303" s="26" t="n">
        <f aca="false">IF(R303="",M303,0)</f>
        <v>0</v>
      </c>
    </row>
    <row r="304" customFormat="false" ht="15" hidden="false" customHeight="false" outlineLevel="0" collapsed="false">
      <c r="A304" s="25" t="s">
        <v>53</v>
      </c>
      <c r="B304" s="25" t="s">
        <v>55</v>
      </c>
      <c r="C304" s="25" t="s">
        <v>49</v>
      </c>
      <c r="D304" s="25" t="n">
        <v>15</v>
      </c>
      <c r="E304" s="25" t="s">
        <v>565</v>
      </c>
      <c r="F304" s="25" t="s">
        <v>110</v>
      </c>
      <c r="G304" s="25" t="n">
        <v>1586</v>
      </c>
      <c r="H304" s="25" t="s">
        <v>583</v>
      </c>
      <c r="I304" s="25" t="n">
        <v>1</v>
      </c>
      <c r="J304" s="26" t="n">
        <v>900</v>
      </c>
      <c r="K304" s="25" t="s">
        <v>546</v>
      </c>
      <c r="L304" s="25" t="s">
        <v>547</v>
      </c>
      <c r="M304" s="26" t="n">
        <f aca="false">IF(AND(L304="Oui",K304="Principal"),I304*J304,0)</f>
        <v>900</v>
      </c>
      <c r="N304" s="25" t="s">
        <v>548</v>
      </c>
      <c r="O304" s="25"/>
      <c r="P304" s="25" t="s">
        <v>556</v>
      </c>
      <c r="Q304" s="25" t="s">
        <v>557</v>
      </c>
      <c r="R304" s="26" t="n">
        <v>650</v>
      </c>
      <c r="S304" s="26" t="n">
        <f aca="false">IF(AND(L304="Oui",K304="Principal",R304&lt;&gt;""),I304*R304,0)</f>
        <v>650</v>
      </c>
      <c r="T304" s="26" t="n">
        <f aca="false">IF(R304&lt;&gt;"",M304-S304,0)</f>
        <v>250</v>
      </c>
      <c r="U304" s="26" t="n">
        <f aca="false">IF(R304="",M304,0)</f>
        <v>0</v>
      </c>
    </row>
    <row r="305" customFormat="false" ht="15" hidden="false" customHeight="false" outlineLevel="0" collapsed="false">
      <c r="A305" s="25" t="s">
        <v>53</v>
      </c>
      <c r="B305" s="25" t="s">
        <v>55</v>
      </c>
      <c r="C305" s="25" t="s">
        <v>49</v>
      </c>
      <c r="D305" s="25" t="n">
        <v>16</v>
      </c>
      <c r="E305" s="25" t="s">
        <v>167</v>
      </c>
      <c r="F305" s="25" t="s">
        <v>167</v>
      </c>
      <c r="G305" s="25" t="n">
        <v>1714</v>
      </c>
      <c r="H305" s="25" t="s">
        <v>623</v>
      </c>
      <c r="I305" s="25" t="n">
        <v>1</v>
      </c>
      <c r="J305" s="26" t="n">
        <v>1000</v>
      </c>
      <c r="K305" s="25" t="s">
        <v>546</v>
      </c>
      <c r="L305" s="25" t="s">
        <v>547</v>
      </c>
      <c r="M305" s="26" t="n">
        <f aca="false">IF(AND(L305="Oui",K305="Principal"),I305*J305,0)</f>
        <v>1000</v>
      </c>
      <c r="N305" s="25" t="s">
        <v>548</v>
      </c>
      <c r="O305" s="25"/>
      <c r="P305" s="25" t="s">
        <v>561</v>
      </c>
      <c r="Q305" s="25" t="s">
        <v>557</v>
      </c>
      <c r="R305" s="26" t="n">
        <v>718</v>
      </c>
      <c r="S305" s="26" t="n">
        <f aca="false">IF(AND(L305="Oui",K305="Principal",R305&lt;&gt;""),I305*R305,0)</f>
        <v>718</v>
      </c>
      <c r="T305" s="26" t="n">
        <f aca="false">IF(R305&lt;&gt;"",M305-S305,0)</f>
        <v>282</v>
      </c>
      <c r="U305" s="26" t="n">
        <f aca="false">IF(R305="",M305,0)</f>
        <v>0</v>
      </c>
    </row>
    <row r="306" customFormat="false" ht="15" hidden="false" customHeight="false" outlineLevel="0" collapsed="false">
      <c r="A306" s="31" t="s">
        <v>53</v>
      </c>
      <c r="B306" s="31" t="s">
        <v>55</v>
      </c>
      <c r="C306" s="31" t="s">
        <v>49</v>
      </c>
      <c r="D306" s="31" t="n">
        <v>17</v>
      </c>
      <c r="E306" s="31" t="s">
        <v>167</v>
      </c>
      <c r="F306" s="31" t="s">
        <v>170</v>
      </c>
      <c r="G306" s="31" t="s">
        <v>611</v>
      </c>
      <c r="H306" s="31" t="s">
        <v>612</v>
      </c>
      <c r="I306" s="31" t="n">
        <v>20</v>
      </c>
      <c r="J306" s="32" t="n">
        <v>25</v>
      </c>
      <c r="K306" s="31" t="s">
        <v>546</v>
      </c>
      <c r="L306" s="31" t="s">
        <v>547</v>
      </c>
      <c r="M306" s="32" t="n">
        <f aca="false">IF(AND(L306="Oui",K306="Principal"),I306*J306,0)</f>
        <v>500</v>
      </c>
      <c r="N306" s="31" t="s">
        <v>172</v>
      </c>
      <c r="O306" s="31" t="s">
        <v>613</v>
      </c>
      <c r="P306" s="31" t="s">
        <v>550</v>
      </c>
      <c r="Q306" s="31" t="s">
        <v>557</v>
      </c>
      <c r="R306" s="32" t="n">
        <v>25</v>
      </c>
      <c r="S306" s="32" t="n">
        <f aca="false">IF(AND(L306="Oui",K306="Principal",R306&lt;&gt;""),I306*R306,0)</f>
        <v>500</v>
      </c>
      <c r="T306" s="32" t="n">
        <f aca="false">IF(R306&lt;&gt;"",M306-S306,0)</f>
        <v>0</v>
      </c>
      <c r="U306" s="32" t="n">
        <f aca="false">IF(R306="",M306,0)</f>
        <v>0</v>
      </c>
    </row>
    <row r="307" customFormat="false" ht="15" hidden="false" customHeight="false" outlineLevel="0" collapsed="false">
      <c r="A307" s="25" t="s">
        <v>53</v>
      </c>
      <c r="B307" s="25" t="s">
        <v>55</v>
      </c>
      <c r="C307" s="25" t="s">
        <v>49</v>
      </c>
      <c r="D307" s="25" t="n">
        <v>18</v>
      </c>
      <c r="E307" s="25" t="s">
        <v>167</v>
      </c>
      <c r="F307" s="25" t="s">
        <v>173</v>
      </c>
      <c r="G307" s="25" t="n">
        <v>1202</v>
      </c>
      <c r="H307" s="25" t="s">
        <v>599</v>
      </c>
      <c r="I307" s="25" t="n">
        <v>1</v>
      </c>
      <c r="J307" s="26" t="n">
        <v>250</v>
      </c>
      <c r="K307" s="25" t="s">
        <v>546</v>
      </c>
      <c r="L307" s="25" t="s">
        <v>547</v>
      </c>
      <c r="M307" s="26" t="n">
        <f aca="false">IF(AND(L307="Oui",K307="Principal"),I307*J307,0)</f>
        <v>250</v>
      </c>
      <c r="N307" s="25" t="s">
        <v>548</v>
      </c>
      <c r="O307" s="25"/>
      <c r="P307" s="25" t="s">
        <v>550</v>
      </c>
      <c r="Q307" s="25" t="s">
        <v>557</v>
      </c>
      <c r="R307" s="26" t="n">
        <v>100</v>
      </c>
      <c r="S307" s="26" t="n">
        <f aca="false">IF(AND(L307="Oui",K307="Principal",R307&lt;&gt;""),I307*R307,0)</f>
        <v>100</v>
      </c>
      <c r="T307" s="26" t="n">
        <f aca="false">IF(R307&lt;&gt;"",M307-S307,0)</f>
        <v>150</v>
      </c>
      <c r="U307" s="26" t="n">
        <f aca="false">IF(R307="",M307,0)</f>
        <v>0</v>
      </c>
    </row>
    <row r="308" customFormat="false" ht="15" hidden="false" customHeight="false" outlineLevel="0" collapsed="false">
      <c r="A308" s="25" t="s">
        <v>53</v>
      </c>
      <c r="B308" s="25" t="s">
        <v>55</v>
      </c>
      <c r="C308" s="25" t="s">
        <v>49</v>
      </c>
      <c r="D308" s="25" t="n">
        <v>19</v>
      </c>
      <c r="E308" s="25" t="s">
        <v>565</v>
      </c>
      <c r="F308" s="25" t="s">
        <v>174</v>
      </c>
      <c r="G308" s="25" t="n">
        <v>1218</v>
      </c>
      <c r="H308" s="25" t="s">
        <v>614</v>
      </c>
      <c r="I308" s="25" t="n">
        <v>1</v>
      </c>
      <c r="J308" s="26" t="n">
        <v>400</v>
      </c>
      <c r="K308" s="25" t="s">
        <v>546</v>
      </c>
      <c r="L308" s="25" t="s">
        <v>547</v>
      </c>
      <c r="M308" s="26" t="n">
        <f aca="false">IF(AND(L308="Oui",K308="Principal"),I308*J308,0)</f>
        <v>400</v>
      </c>
      <c r="N308" s="25" t="s">
        <v>548</v>
      </c>
      <c r="O308" s="25"/>
      <c r="P308" s="25" t="s">
        <v>550</v>
      </c>
      <c r="Q308" s="25" t="s">
        <v>557</v>
      </c>
      <c r="R308" s="26" t="n">
        <v>250</v>
      </c>
      <c r="S308" s="26" t="n">
        <f aca="false">IF(AND(L308="Oui",K308="Principal",R308&lt;&gt;""),I308*R308,0)</f>
        <v>250</v>
      </c>
      <c r="T308" s="26" t="n">
        <f aca="false">IF(R308&lt;&gt;"",M308-S308,0)</f>
        <v>150</v>
      </c>
      <c r="U308" s="26" t="n">
        <f aca="false">IF(R308="",M308,0)</f>
        <v>0</v>
      </c>
    </row>
    <row r="309" customFormat="false" ht="15" hidden="false" customHeight="false" outlineLevel="0" collapsed="false">
      <c r="A309" s="25" t="s">
        <v>53</v>
      </c>
      <c r="B309" s="25" t="s">
        <v>55</v>
      </c>
      <c r="C309" s="25" t="s">
        <v>49</v>
      </c>
      <c r="D309" s="25" t="n">
        <v>20</v>
      </c>
      <c r="E309" s="25" t="s">
        <v>573</v>
      </c>
      <c r="F309" s="25" t="s">
        <v>176</v>
      </c>
      <c r="G309" s="25" t="n">
        <v>19</v>
      </c>
      <c r="H309" s="25" t="s">
        <v>615</v>
      </c>
      <c r="I309" s="25" t="n">
        <v>1</v>
      </c>
      <c r="J309" s="26" t="n">
        <v>2500</v>
      </c>
      <c r="K309" s="25" t="s">
        <v>546</v>
      </c>
      <c r="L309" s="25" t="s">
        <v>547</v>
      </c>
      <c r="M309" s="26" t="n">
        <f aca="false">IF(AND(L309="Oui",K309="Principal"),I309*J309,0)</f>
        <v>2500</v>
      </c>
      <c r="N309" s="25" t="s">
        <v>548</v>
      </c>
      <c r="O309" s="25"/>
      <c r="P309" s="25" t="s">
        <v>559</v>
      </c>
      <c r="Q309" s="25" t="s">
        <v>551</v>
      </c>
      <c r="R309" s="26"/>
      <c r="S309" s="26" t="n">
        <f aca="false">IF(AND(L309="Oui",K309="Principal",R309&lt;&gt;""),I309*R309,0)</f>
        <v>0</v>
      </c>
      <c r="T309" s="26" t="n">
        <f aca="false">IF(R309&lt;&gt;"",M309-S309,0)</f>
        <v>0</v>
      </c>
      <c r="U309" s="26" t="n">
        <f aca="false">IF(R309="",M309,0)</f>
        <v>2500</v>
      </c>
    </row>
    <row r="310" customFormat="false" ht="15" hidden="false" customHeight="false" outlineLevel="0" collapsed="false">
      <c r="A310" s="25" t="s">
        <v>53</v>
      </c>
      <c r="B310" s="25" t="s">
        <v>55</v>
      </c>
      <c r="C310" s="25" t="s">
        <v>49</v>
      </c>
      <c r="D310" s="25" t="n">
        <v>21</v>
      </c>
      <c r="E310" s="25" t="s">
        <v>573</v>
      </c>
      <c r="F310" s="25" t="s">
        <v>117</v>
      </c>
      <c r="G310" s="25" t="n">
        <v>1288</v>
      </c>
      <c r="H310" s="25" t="s">
        <v>624</v>
      </c>
      <c r="I310" s="25" t="n">
        <v>1</v>
      </c>
      <c r="J310" s="26" t="n">
        <v>2500</v>
      </c>
      <c r="K310" s="25" t="s">
        <v>546</v>
      </c>
      <c r="L310" s="25" t="s">
        <v>547</v>
      </c>
      <c r="M310" s="26" t="n">
        <f aca="false">IF(AND(L310="Oui",K310="Principal"),I310*J310,0)</f>
        <v>2500</v>
      </c>
      <c r="N310" s="25" t="s">
        <v>548</v>
      </c>
      <c r="O310" s="25"/>
      <c r="P310" s="25" t="s">
        <v>550</v>
      </c>
      <c r="Q310" s="25" t="s">
        <v>557</v>
      </c>
      <c r="R310" s="26" t="n">
        <v>2000</v>
      </c>
      <c r="S310" s="26" t="n">
        <f aca="false">IF(AND(L310="Oui",K310="Principal",R310&lt;&gt;""),I310*R310,0)</f>
        <v>2000</v>
      </c>
      <c r="T310" s="26" t="n">
        <f aca="false">IF(R310&lt;&gt;"",M310-S310,0)</f>
        <v>500</v>
      </c>
      <c r="U310" s="26" t="n">
        <f aca="false">IF(R310="",M310,0)</f>
        <v>0</v>
      </c>
    </row>
    <row r="311" customFormat="false" ht="15" hidden="false" customHeight="false" outlineLevel="0" collapsed="false">
      <c r="A311" s="25" t="s">
        <v>53</v>
      </c>
      <c r="B311" s="25" t="s">
        <v>55</v>
      </c>
      <c r="C311" s="25" t="s">
        <v>49</v>
      </c>
      <c r="D311" s="25" t="n">
        <v>22</v>
      </c>
      <c r="E311" s="25" t="s">
        <v>616</v>
      </c>
      <c r="F311" s="25" t="s">
        <v>202</v>
      </c>
      <c r="G311" s="25" t="n">
        <v>1516</v>
      </c>
      <c r="H311" s="25" t="s">
        <v>632</v>
      </c>
      <c r="I311" s="25" t="n">
        <v>1</v>
      </c>
      <c r="J311" s="26" t="n">
        <v>1740</v>
      </c>
      <c r="K311" s="25" t="s">
        <v>546</v>
      </c>
      <c r="L311" s="25" t="s">
        <v>547</v>
      </c>
      <c r="M311" s="26" t="n">
        <f aca="false">IF(AND(L311="Oui",K311="Principal"),I311*J311,0)</f>
        <v>1740</v>
      </c>
      <c r="N311" s="25" t="s">
        <v>548</v>
      </c>
      <c r="O311" s="25"/>
      <c r="P311" s="25" t="s">
        <v>550</v>
      </c>
      <c r="Q311" s="25" t="s">
        <v>557</v>
      </c>
      <c r="R311" s="26" t="n">
        <v>990</v>
      </c>
      <c r="S311" s="26" t="n">
        <f aca="false">IF(AND(L311="Oui",K311="Principal",R311&lt;&gt;""),I311*R311,0)</f>
        <v>990</v>
      </c>
      <c r="T311" s="26" t="n">
        <f aca="false">IF(R311&lt;&gt;"",M311-S311,0)</f>
        <v>750</v>
      </c>
      <c r="U311" s="26" t="n">
        <f aca="false">IF(R311="",M311,0)</f>
        <v>0</v>
      </c>
    </row>
    <row r="312" customFormat="false" ht="15" hidden="false" customHeight="false" outlineLevel="0" collapsed="false">
      <c r="A312" s="25" t="s">
        <v>53</v>
      </c>
      <c r="B312" s="25" t="s">
        <v>55</v>
      </c>
      <c r="C312" s="25" t="s">
        <v>49</v>
      </c>
      <c r="D312" s="25" t="n">
        <v>23</v>
      </c>
      <c r="E312" s="25" t="s">
        <v>616</v>
      </c>
      <c r="F312" s="25" t="s">
        <v>204</v>
      </c>
      <c r="G312" s="25" t="n">
        <v>1510</v>
      </c>
      <c r="H312" s="25" t="s">
        <v>633</v>
      </c>
      <c r="I312" s="25" t="n">
        <v>1</v>
      </c>
      <c r="J312" s="26" t="n">
        <v>5000</v>
      </c>
      <c r="K312" s="25" t="s">
        <v>546</v>
      </c>
      <c r="L312" s="25" t="s">
        <v>547</v>
      </c>
      <c r="M312" s="26" t="n">
        <f aca="false">IF(AND(L312="Oui",K312="Principal"),I312*J312,0)</f>
        <v>5000</v>
      </c>
      <c r="N312" s="25" t="s">
        <v>548</v>
      </c>
      <c r="O312" s="25"/>
      <c r="P312" s="25" t="s">
        <v>550</v>
      </c>
      <c r="Q312" s="25" t="s">
        <v>557</v>
      </c>
      <c r="R312" s="26" t="n">
        <v>2890</v>
      </c>
      <c r="S312" s="26" t="n">
        <f aca="false">IF(AND(L312="Oui",K312="Principal",R312&lt;&gt;""),I312*R312,0)</f>
        <v>2890</v>
      </c>
      <c r="T312" s="26" t="n">
        <f aca="false">IF(R312&lt;&gt;"",M312-S312,0)</f>
        <v>2110</v>
      </c>
      <c r="U312" s="26" t="n">
        <f aca="false">IF(R312="",M312,0)</f>
        <v>0</v>
      </c>
    </row>
    <row r="313" customFormat="false" ht="15" hidden="false" customHeight="false" outlineLevel="0" collapsed="false">
      <c r="A313" s="25" t="s">
        <v>53</v>
      </c>
      <c r="B313" s="25" t="s">
        <v>55</v>
      </c>
      <c r="C313" s="25" t="s">
        <v>49</v>
      </c>
      <c r="D313" s="25" t="n">
        <v>24</v>
      </c>
      <c r="E313" s="25" t="s">
        <v>616</v>
      </c>
      <c r="F313" s="25" t="s">
        <v>206</v>
      </c>
      <c r="G313" s="25" t="n">
        <v>1523</v>
      </c>
      <c r="H313" s="25" t="s">
        <v>634</v>
      </c>
      <c r="I313" s="25" t="n">
        <v>1</v>
      </c>
      <c r="J313" s="26" t="n">
        <v>3890</v>
      </c>
      <c r="K313" s="25" t="s">
        <v>546</v>
      </c>
      <c r="L313" s="25" t="s">
        <v>547</v>
      </c>
      <c r="M313" s="26" t="n">
        <f aca="false">IF(AND(L313="Oui",K313="Principal"),I313*J313,0)</f>
        <v>3890</v>
      </c>
      <c r="N313" s="25" t="s">
        <v>548</v>
      </c>
      <c r="O313" s="25"/>
      <c r="P313" s="25" t="s">
        <v>550</v>
      </c>
      <c r="Q313" s="25" t="s">
        <v>557</v>
      </c>
      <c r="R313" s="26" t="n">
        <v>2890</v>
      </c>
      <c r="S313" s="26" t="n">
        <f aca="false">IF(AND(L313="Oui",K313="Principal",R313&lt;&gt;""),I313*R313,0)</f>
        <v>2890</v>
      </c>
      <c r="T313" s="26" t="n">
        <f aca="false">IF(R313&lt;&gt;"",M313-S313,0)</f>
        <v>1000</v>
      </c>
      <c r="U313" s="26" t="n">
        <f aca="false">IF(R313="",M313,0)</f>
        <v>0</v>
      </c>
    </row>
    <row r="314" customFormat="false" ht="15" hidden="false" customHeight="false" outlineLevel="0" collapsed="false">
      <c r="A314" s="25" t="s">
        <v>53</v>
      </c>
      <c r="B314" s="25" t="s">
        <v>55</v>
      </c>
      <c r="C314" s="25" t="s">
        <v>49</v>
      </c>
      <c r="D314" s="25" t="n">
        <v>25</v>
      </c>
      <c r="E314" s="25" t="s">
        <v>616</v>
      </c>
      <c r="F314" s="25" t="s">
        <v>208</v>
      </c>
      <c r="G314" s="25" t="n">
        <v>1491</v>
      </c>
      <c r="H314" s="25" t="s">
        <v>635</v>
      </c>
      <c r="I314" s="25" t="n">
        <v>1</v>
      </c>
      <c r="J314" s="26" t="n">
        <v>3890</v>
      </c>
      <c r="K314" s="25" t="s">
        <v>546</v>
      </c>
      <c r="L314" s="25" t="s">
        <v>547</v>
      </c>
      <c r="M314" s="26" t="n">
        <f aca="false">IF(AND(L314="Oui",K314="Principal"),I314*J314,0)</f>
        <v>3890</v>
      </c>
      <c r="N314" s="25" t="s">
        <v>548</v>
      </c>
      <c r="O314" s="25"/>
      <c r="P314" s="25" t="s">
        <v>550</v>
      </c>
      <c r="Q314" s="25" t="s">
        <v>557</v>
      </c>
      <c r="R314" s="26" t="n">
        <v>2890</v>
      </c>
      <c r="S314" s="26" t="n">
        <f aca="false">IF(AND(L314="Oui",K314="Principal",R314&lt;&gt;""),I314*R314,0)</f>
        <v>2890</v>
      </c>
      <c r="T314" s="26" t="n">
        <f aca="false">IF(R314&lt;&gt;"",M314-S314,0)</f>
        <v>1000</v>
      </c>
      <c r="U314" s="26" t="n">
        <f aca="false">IF(R314="",M314,0)</f>
        <v>0</v>
      </c>
    </row>
    <row r="315" customFormat="false" ht="15" hidden="false" customHeight="false" outlineLevel="0" collapsed="false">
      <c r="A315" s="25" t="s">
        <v>53</v>
      </c>
      <c r="B315" s="25" t="s">
        <v>55</v>
      </c>
      <c r="C315" s="25" t="s">
        <v>49</v>
      </c>
      <c r="D315" s="25" t="n">
        <v>26</v>
      </c>
      <c r="E315" s="25" t="s">
        <v>577</v>
      </c>
      <c r="F315" s="25" t="s">
        <v>120</v>
      </c>
      <c r="G315" s="25" t="n">
        <v>1199</v>
      </c>
      <c r="H315" s="25" t="s">
        <v>622</v>
      </c>
      <c r="I315" s="25" t="n">
        <v>1</v>
      </c>
      <c r="J315" s="26" t="n">
        <v>7500</v>
      </c>
      <c r="K315" s="25" t="s">
        <v>577</v>
      </c>
      <c r="L315" s="25" t="s">
        <v>579</v>
      </c>
      <c r="M315" s="26" t="n">
        <f aca="false">IF(AND(L315="Oui",K315="Principal"),I315*J315,0)</f>
        <v>0</v>
      </c>
      <c r="N315" s="25" t="s">
        <v>548</v>
      </c>
      <c r="O315" s="25"/>
      <c r="P315" s="25" t="s">
        <v>550</v>
      </c>
      <c r="Q315" s="25" t="s">
        <v>557</v>
      </c>
      <c r="R315" s="26" t="n">
        <v>6000</v>
      </c>
      <c r="S315" s="26" t="n">
        <f aca="false">IF(AND(L315="Oui",K315="Principal",R315&lt;&gt;""),I315*R315,0)</f>
        <v>0</v>
      </c>
      <c r="T315" s="26" t="n">
        <f aca="false">IF(R315&lt;&gt;"",M315-S315,0)</f>
        <v>0</v>
      </c>
      <c r="U315" s="26" t="n">
        <f aca="false">IF(R315="",M315,0)</f>
        <v>0</v>
      </c>
    </row>
    <row r="316" customFormat="false" ht="15" hidden="false" customHeight="false" outlineLevel="0" collapsed="false">
      <c r="A316" s="25" t="s">
        <v>53</v>
      </c>
      <c r="B316" s="25" t="s">
        <v>55</v>
      </c>
      <c r="C316" s="25" t="s">
        <v>50</v>
      </c>
      <c r="D316" s="25" t="n">
        <v>1</v>
      </c>
      <c r="E316" s="25" t="s">
        <v>544</v>
      </c>
      <c r="F316" s="25" t="s">
        <v>151</v>
      </c>
      <c r="G316" s="25" t="n">
        <v>1618</v>
      </c>
      <c r="H316" s="25" t="s">
        <v>600</v>
      </c>
      <c r="I316" s="25" t="n">
        <v>3</v>
      </c>
      <c r="J316" s="26" t="n">
        <v>450</v>
      </c>
      <c r="K316" s="25" t="s">
        <v>546</v>
      </c>
      <c r="L316" s="25" t="s">
        <v>547</v>
      </c>
      <c r="M316" s="26" t="n">
        <f aca="false">IF(AND(L316="Oui",K316="Principal"),I316*J316,0)</f>
        <v>1350</v>
      </c>
      <c r="N316" s="25" t="s">
        <v>548</v>
      </c>
      <c r="O316" s="25"/>
      <c r="P316" s="25" t="s">
        <v>556</v>
      </c>
      <c r="Q316" s="25" t="s">
        <v>557</v>
      </c>
      <c r="R316" s="26" t="n">
        <v>350</v>
      </c>
      <c r="S316" s="26" t="n">
        <f aca="false">IF(AND(L316="Oui",K316="Principal",R316&lt;&gt;""),I316*R316,0)</f>
        <v>1050</v>
      </c>
      <c r="T316" s="26" t="n">
        <f aca="false">IF(R316&lt;&gt;"",M316-S316,0)</f>
        <v>300</v>
      </c>
      <c r="U316" s="26" t="n">
        <f aca="false">IF(R316="",M316,0)</f>
        <v>0</v>
      </c>
    </row>
    <row r="317" customFormat="false" ht="15" hidden="false" customHeight="false" outlineLevel="0" collapsed="false">
      <c r="A317" s="25" t="s">
        <v>53</v>
      </c>
      <c r="B317" s="25" t="s">
        <v>55</v>
      </c>
      <c r="C317" s="25" t="s">
        <v>50</v>
      </c>
      <c r="D317" s="25" t="n">
        <v>2</v>
      </c>
      <c r="E317" s="25" t="s">
        <v>544</v>
      </c>
      <c r="F317" s="25" t="s">
        <v>158</v>
      </c>
      <c r="G317" s="25" t="n">
        <v>1575</v>
      </c>
      <c r="H317" s="25" t="s">
        <v>605</v>
      </c>
      <c r="I317" s="25" t="n">
        <v>3</v>
      </c>
      <c r="J317" s="26" t="n">
        <v>275</v>
      </c>
      <c r="K317" s="25" t="s">
        <v>546</v>
      </c>
      <c r="L317" s="25" t="s">
        <v>547</v>
      </c>
      <c r="M317" s="26" t="n">
        <f aca="false">IF(AND(L317="Oui",K317="Principal"),I317*J317,0)</f>
        <v>825</v>
      </c>
      <c r="N317" s="25" t="s">
        <v>548</v>
      </c>
      <c r="O317" s="25"/>
      <c r="P317" s="25" t="s">
        <v>556</v>
      </c>
      <c r="Q317" s="25" t="s">
        <v>557</v>
      </c>
      <c r="R317" s="26" t="n">
        <v>175</v>
      </c>
      <c r="S317" s="26" t="n">
        <f aca="false">IF(AND(L317="Oui",K317="Principal",R317&lt;&gt;""),I317*R317,0)</f>
        <v>525</v>
      </c>
      <c r="T317" s="26" t="n">
        <f aca="false">IF(R317&lt;&gt;"",M317-S317,0)</f>
        <v>300</v>
      </c>
      <c r="U317" s="26" t="n">
        <f aca="false">IF(R317="",M317,0)</f>
        <v>0</v>
      </c>
    </row>
    <row r="318" customFormat="false" ht="15" hidden="false" customHeight="false" outlineLevel="0" collapsed="false">
      <c r="A318" s="27" t="s">
        <v>53</v>
      </c>
      <c r="B318" s="27" t="s">
        <v>55</v>
      </c>
      <c r="C318" s="27" t="s">
        <v>50</v>
      </c>
      <c r="D318" s="27" t="n">
        <v>3</v>
      </c>
      <c r="E318" s="27" t="s">
        <v>544</v>
      </c>
      <c r="F318" s="27" t="s">
        <v>196</v>
      </c>
      <c r="G318" s="27"/>
      <c r="H318" s="27" t="s">
        <v>585</v>
      </c>
      <c r="I318" s="27" t="n">
        <v>2</v>
      </c>
      <c r="J318" s="28" t="n">
        <v>0</v>
      </c>
      <c r="K318" s="27" t="s">
        <v>546</v>
      </c>
      <c r="L318" s="27" t="s">
        <v>579</v>
      </c>
      <c r="M318" s="28" t="n">
        <f aca="false">IF(AND(L318="Oui",K318="Principal"),I318*J318,0)</f>
        <v>0</v>
      </c>
      <c r="N318" s="27" t="s">
        <v>128</v>
      </c>
      <c r="O318" s="27" t="s">
        <v>586</v>
      </c>
      <c r="P318" s="27"/>
      <c r="Q318" s="27"/>
      <c r="R318" s="28"/>
      <c r="S318" s="28" t="n">
        <f aca="false">IF(AND(L318="Oui",K318="Principal",R318&lt;&gt;""),I318*R318,0)</f>
        <v>0</v>
      </c>
      <c r="T318" s="28" t="n">
        <f aca="false">IF(R318&lt;&gt;"",M318-S318,0)</f>
        <v>0</v>
      </c>
      <c r="U318" s="28" t="n">
        <f aca="false">IF(R318="",M318,0)</f>
        <v>0</v>
      </c>
    </row>
    <row r="319" customFormat="false" ht="15" hidden="false" customHeight="false" outlineLevel="0" collapsed="false">
      <c r="A319" s="25" t="s">
        <v>53</v>
      </c>
      <c r="B319" s="25" t="s">
        <v>55</v>
      </c>
      <c r="C319" s="25" t="s">
        <v>50</v>
      </c>
      <c r="D319" s="25" t="n">
        <v>4</v>
      </c>
      <c r="E319" s="25" t="s">
        <v>554</v>
      </c>
      <c r="F319" s="25" t="s">
        <v>88</v>
      </c>
      <c r="G319" s="25" t="n">
        <v>1286</v>
      </c>
      <c r="H319" s="25" t="s">
        <v>580</v>
      </c>
      <c r="I319" s="25" t="n">
        <v>1</v>
      </c>
      <c r="J319" s="26" t="n">
        <v>550</v>
      </c>
      <c r="K319" s="25" t="s">
        <v>546</v>
      </c>
      <c r="L319" s="25" t="s">
        <v>547</v>
      </c>
      <c r="M319" s="26" t="n">
        <f aca="false">IF(AND(L319="Oui",K319="Principal"),I319*J319,0)</f>
        <v>550</v>
      </c>
      <c r="N319" s="25" t="s">
        <v>548</v>
      </c>
      <c r="O319" s="25"/>
      <c r="P319" s="25" t="s">
        <v>550</v>
      </c>
      <c r="Q319" s="25" t="s">
        <v>557</v>
      </c>
      <c r="R319" s="26" t="n">
        <v>450</v>
      </c>
      <c r="S319" s="26" t="n">
        <f aca="false">IF(AND(L319="Oui",K319="Principal",R319&lt;&gt;""),I319*R319,0)</f>
        <v>450</v>
      </c>
      <c r="T319" s="26" t="n">
        <f aca="false">IF(R319&lt;&gt;"",M319-S319,0)</f>
        <v>100</v>
      </c>
      <c r="U319" s="26" t="n">
        <f aca="false">IF(R319="",M319,0)</f>
        <v>0</v>
      </c>
    </row>
    <row r="320" customFormat="false" ht="15" hidden="false" customHeight="false" outlineLevel="0" collapsed="false">
      <c r="A320" s="25" t="s">
        <v>53</v>
      </c>
      <c r="B320" s="25" t="s">
        <v>55</v>
      </c>
      <c r="C320" s="25" t="s">
        <v>50</v>
      </c>
      <c r="D320" s="25" t="n">
        <v>5</v>
      </c>
      <c r="E320" s="25" t="s">
        <v>160</v>
      </c>
      <c r="F320" s="25" t="s">
        <v>160</v>
      </c>
      <c r="G320" s="25" t="n">
        <v>1277</v>
      </c>
      <c r="H320" s="25" t="s">
        <v>606</v>
      </c>
      <c r="I320" s="25" t="n">
        <v>9</v>
      </c>
      <c r="J320" s="26" t="n">
        <v>150</v>
      </c>
      <c r="K320" s="25" t="s">
        <v>546</v>
      </c>
      <c r="L320" s="25" t="s">
        <v>547</v>
      </c>
      <c r="M320" s="26" t="n">
        <f aca="false">IF(AND(L320="Oui",K320="Principal"),I320*J320,0)</f>
        <v>1350</v>
      </c>
      <c r="N320" s="25" t="s">
        <v>548</v>
      </c>
      <c r="O320" s="25"/>
      <c r="P320" s="25" t="s">
        <v>550</v>
      </c>
      <c r="Q320" s="25" t="s">
        <v>557</v>
      </c>
      <c r="R320" s="26"/>
      <c r="S320" s="26" t="n">
        <f aca="false">IF(AND(L320="Oui",K320="Principal",R320&lt;&gt;""),I320*R320,0)</f>
        <v>0</v>
      </c>
      <c r="T320" s="26" t="n">
        <f aca="false">IF(R320&lt;&gt;"",M320-S320,0)</f>
        <v>0</v>
      </c>
      <c r="U320" s="26" t="n">
        <f aca="false">IF(R320="",M320,0)</f>
        <v>1350</v>
      </c>
    </row>
    <row r="321" customFormat="false" ht="15" hidden="false" customHeight="false" outlineLevel="0" collapsed="false">
      <c r="A321" s="25" t="s">
        <v>53</v>
      </c>
      <c r="B321" s="25" t="s">
        <v>55</v>
      </c>
      <c r="C321" s="25" t="s">
        <v>50</v>
      </c>
      <c r="D321" s="25" t="n">
        <v>6</v>
      </c>
      <c r="E321" s="25" t="s">
        <v>563</v>
      </c>
      <c r="F321" s="25" t="s">
        <v>188</v>
      </c>
      <c r="G321" s="25" t="n">
        <v>8</v>
      </c>
      <c r="H321" s="25" t="s">
        <v>188</v>
      </c>
      <c r="I321" s="25" t="n">
        <v>1</v>
      </c>
      <c r="J321" s="26" t="n">
        <v>500</v>
      </c>
      <c r="K321" s="25" t="s">
        <v>546</v>
      </c>
      <c r="L321" s="25" t="s">
        <v>547</v>
      </c>
      <c r="M321" s="26" t="n">
        <f aca="false">IF(AND(L321="Oui",K321="Principal"),I321*J321,0)</f>
        <v>500</v>
      </c>
      <c r="N321" s="25" t="s">
        <v>548</v>
      </c>
      <c r="O321" s="25"/>
      <c r="P321" s="25" t="s">
        <v>559</v>
      </c>
      <c r="Q321" s="25" t="s">
        <v>551</v>
      </c>
      <c r="R321" s="26"/>
      <c r="S321" s="26" t="n">
        <f aca="false">IF(AND(L321="Oui",K321="Principal",R321&lt;&gt;""),I321*R321,0)</f>
        <v>0</v>
      </c>
      <c r="T321" s="26" t="n">
        <f aca="false">IF(R321&lt;&gt;"",M321-S321,0)</f>
        <v>0</v>
      </c>
      <c r="U321" s="26" t="n">
        <f aca="false">IF(R321="",M321,0)</f>
        <v>500</v>
      </c>
    </row>
    <row r="322" customFormat="false" ht="15" hidden="false" customHeight="false" outlineLevel="0" collapsed="false">
      <c r="A322" s="25" t="s">
        <v>53</v>
      </c>
      <c r="B322" s="25" t="s">
        <v>55</v>
      </c>
      <c r="C322" s="25" t="s">
        <v>50</v>
      </c>
      <c r="D322" s="25" t="n">
        <v>7</v>
      </c>
      <c r="E322" s="25" t="s">
        <v>563</v>
      </c>
      <c r="F322" s="25" t="s">
        <v>162</v>
      </c>
      <c r="G322" s="25" t="n">
        <v>1635</v>
      </c>
      <c r="H322" s="25" t="s">
        <v>607</v>
      </c>
      <c r="I322" s="25" t="n">
        <v>2</v>
      </c>
      <c r="J322" s="26" t="n">
        <v>100</v>
      </c>
      <c r="K322" s="25" t="s">
        <v>546</v>
      </c>
      <c r="L322" s="25" t="s">
        <v>547</v>
      </c>
      <c r="M322" s="26" t="n">
        <f aca="false">IF(AND(L322="Oui",K322="Principal"),I322*J322,0)</f>
        <v>200</v>
      </c>
      <c r="N322" s="25" t="s">
        <v>548</v>
      </c>
      <c r="O322" s="25"/>
      <c r="P322" s="25" t="s">
        <v>556</v>
      </c>
      <c r="Q322" s="25" t="s">
        <v>557</v>
      </c>
      <c r="R322" s="26" t="n">
        <v>80</v>
      </c>
      <c r="S322" s="26" t="n">
        <f aca="false">IF(AND(L322="Oui",K322="Principal",R322&lt;&gt;""),I322*R322,0)</f>
        <v>160</v>
      </c>
      <c r="T322" s="26" t="n">
        <f aca="false">IF(R322&lt;&gt;"",M322-S322,0)</f>
        <v>40</v>
      </c>
      <c r="U322" s="26" t="n">
        <f aca="false">IF(R322="",M322,0)</f>
        <v>0</v>
      </c>
    </row>
    <row r="323" customFormat="false" ht="15" hidden="false" customHeight="false" outlineLevel="0" collapsed="false">
      <c r="A323" s="25" t="s">
        <v>53</v>
      </c>
      <c r="B323" s="25" t="s">
        <v>55</v>
      </c>
      <c r="C323" s="25" t="s">
        <v>50</v>
      </c>
      <c r="D323" s="25" t="n">
        <v>8</v>
      </c>
      <c r="E323" s="25" t="s">
        <v>563</v>
      </c>
      <c r="F323" s="25" t="s">
        <v>197</v>
      </c>
      <c r="G323" s="25" t="n">
        <v>1674</v>
      </c>
      <c r="H323" s="25" t="s">
        <v>630</v>
      </c>
      <c r="I323" s="25" t="n">
        <v>1</v>
      </c>
      <c r="J323" s="26" t="n">
        <v>100</v>
      </c>
      <c r="K323" s="25" t="s">
        <v>546</v>
      </c>
      <c r="L323" s="25" t="s">
        <v>547</v>
      </c>
      <c r="M323" s="26" t="n">
        <f aca="false">IF(AND(L323="Oui",K323="Principal"),I323*J323,0)</f>
        <v>100</v>
      </c>
      <c r="N323" s="25" t="s">
        <v>548</v>
      </c>
      <c r="O323" s="25"/>
      <c r="P323" s="25" t="s">
        <v>556</v>
      </c>
      <c r="Q323" s="25" t="s">
        <v>557</v>
      </c>
      <c r="R323" s="26" t="n">
        <v>80</v>
      </c>
      <c r="S323" s="26" t="n">
        <f aca="false">IF(AND(L323="Oui",K323="Principal",R323&lt;&gt;""),I323*R323,0)</f>
        <v>80</v>
      </c>
      <c r="T323" s="26" t="n">
        <f aca="false">IF(R323&lt;&gt;"",M323-S323,0)</f>
        <v>20</v>
      </c>
      <c r="U323" s="26" t="n">
        <f aca="false">IF(R323="",M323,0)</f>
        <v>0</v>
      </c>
    </row>
    <row r="324" customFormat="false" ht="15" hidden="false" customHeight="false" outlineLevel="0" collapsed="false">
      <c r="A324" s="25" t="s">
        <v>53</v>
      </c>
      <c r="B324" s="25" t="s">
        <v>55</v>
      </c>
      <c r="C324" s="25" t="s">
        <v>50</v>
      </c>
      <c r="D324" s="25" t="n">
        <v>9</v>
      </c>
      <c r="E324" s="25" t="s">
        <v>565</v>
      </c>
      <c r="F324" s="25" t="s">
        <v>99</v>
      </c>
      <c r="G324" s="25" t="n">
        <v>1181</v>
      </c>
      <c r="H324" s="25" t="s">
        <v>581</v>
      </c>
      <c r="I324" s="25" t="n">
        <v>2</v>
      </c>
      <c r="J324" s="26" t="n">
        <v>250</v>
      </c>
      <c r="K324" s="25" t="s">
        <v>546</v>
      </c>
      <c r="L324" s="25" t="s">
        <v>547</v>
      </c>
      <c r="M324" s="26" t="n">
        <f aca="false">IF(AND(L324="Oui",K324="Principal"),I324*J324,0)</f>
        <v>500</v>
      </c>
      <c r="N324" s="25" t="s">
        <v>548</v>
      </c>
      <c r="O324" s="25"/>
      <c r="P324" s="25" t="s">
        <v>550</v>
      </c>
      <c r="Q324" s="25" t="s">
        <v>557</v>
      </c>
      <c r="R324" s="26" t="n">
        <v>110</v>
      </c>
      <c r="S324" s="26" t="n">
        <f aca="false">IF(AND(L324="Oui",K324="Principal",R324&lt;&gt;""),I324*R324,0)</f>
        <v>220</v>
      </c>
      <c r="T324" s="26" t="n">
        <f aca="false">IF(R324&lt;&gt;"",M324-S324,0)</f>
        <v>280</v>
      </c>
      <c r="U324" s="26" t="n">
        <f aca="false">IF(R324="",M324,0)</f>
        <v>0</v>
      </c>
    </row>
    <row r="325" customFormat="false" ht="15" hidden="false" customHeight="false" outlineLevel="0" collapsed="false">
      <c r="A325" s="25" t="s">
        <v>53</v>
      </c>
      <c r="B325" s="25" t="s">
        <v>55</v>
      </c>
      <c r="C325" s="25" t="s">
        <v>50</v>
      </c>
      <c r="D325" s="25" t="n">
        <v>10</v>
      </c>
      <c r="E325" s="25" t="s">
        <v>565</v>
      </c>
      <c r="F325" s="25" t="s">
        <v>102</v>
      </c>
      <c r="G325" s="25" t="n">
        <v>1587</v>
      </c>
      <c r="H325" s="25" t="s">
        <v>567</v>
      </c>
      <c r="I325" s="25" t="n">
        <v>1</v>
      </c>
      <c r="J325" s="26" t="n">
        <v>500</v>
      </c>
      <c r="K325" s="25" t="s">
        <v>546</v>
      </c>
      <c r="L325" s="25" t="s">
        <v>547</v>
      </c>
      <c r="M325" s="26" t="n">
        <f aca="false">IF(AND(L325="Oui",K325="Principal"),I325*J325,0)</f>
        <v>500</v>
      </c>
      <c r="N325" s="25" t="s">
        <v>548</v>
      </c>
      <c r="O325" s="25"/>
      <c r="P325" s="25" t="s">
        <v>556</v>
      </c>
      <c r="Q325" s="25" t="s">
        <v>557</v>
      </c>
      <c r="R325" s="26" t="n">
        <v>350</v>
      </c>
      <c r="S325" s="26" t="n">
        <f aca="false">IF(AND(L325="Oui",K325="Principal",R325&lt;&gt;""),I325*R325,0)</f>
        <v>350</v>
      </c>
      <c r="T325" s="26" t="n">
        <f aca="false">IF(R325&lt;&gt;"",M325-S325,0)</f>
        <v>150</v>
      </c>
      <c r="U325" s="26" t="n">
        <f aca="false">IF(R325="",M325,0)</f>
        <v>0</v>
      </c>
    </row>
    <row r="326" customFormat="false" ht="15" hidden="false" customHeight="false" outlineLevel="0" collapsed="false">
      <c r="A326" s="25" t="s">
        <v>53</v>
      </c>
      <c r="B326" s="25" t="s">
        <v>55</v>
      </c>
      <c r="C326" s="25" t="s">
        <v>50</v>
      </c>
      <c r="D326" s="25" t="n">
        <v>11</v>
      </c>
      <c r="E326" s="25" t="s">
        <v>609</v>
      </c>
      <c r="F326" s="25" t="s">
        <v>131</v>
      </c>
      <c r="G326" s="25" t="n">
        <v>1183</v>
      </c>
      <c r="H326" s="25" t="s">
        <v>587</v>
      </c>
      <c r="I326" s="25" t="n">
        <v>1</v>
      </c>
      <c r="J326" s="26" t="n">
        <v>100</v>
      </c>
      <c r="K326" s="25" t="s">
        <v>546</v>
      </c>
      <c r="L326" s="25" t="s">
        <v>547</v>
      </c>
      <c r="M326" s="26" t="n">
        <f aca="false">IF(AND(L326="Oui",K326="Principal"),I326*J326,0)</f>
        <v>100</v>
      </c>
      <c r="N326" s="25" t="s">
        <v>548</v>
      </c>
      <c r="O326" s="25"/>
      <c r="P326" s="25" t="s">
        <v>550</v>
      </c>
      <c r="Q326" s="25" t="s">
        <v>557</v>
      </c>
      <c r="R326" s="26"/>
      <c r="S326" s="26" t="n">
        <f aca="false">IF(AND(L326="Oui",K326="Principal",R326&lt;&gt;""),I326*R326,0)</f>
        <v>0</v>
      </c>
      <c r="T326" s="26" t="n">
        <f aca="false">IF(R326&lt;&gt;"",M326-S326,0)</f>
        <v>0</v>
      </c>
      <c r="U326" s="26" t="n">
        <f aca="false">IF(R326="",M326,0)</f>
        <v>100</v>
      </c>
    </row>
    <row r="327" customFormat="false" ht="15" hidden="false" customHeight="false" outlineLevel="0" collapsed="false">
      <c r="A327" s="25" t="s">
        <v>53</v>
      </c>
      <c r="B327" s="25" t="s">
        <v>55</v>
      </c>
      <c r="C327" s="25" t="s">
        <v>50</v>
      </c>
      <c r="D327" s="25" t="n">
        <v>12</v>
      </c>
      <c r="E327" s="25" t="s">
        <v>609</v>
      </c>
      <c r="F327" s="25" t="s">
        <v>199</v>
      </c>
      <c r="G327" s="25" t="n">
        <v>1290</v>
      </c>
      <c r="H327" s="25" t="s">
        <v>636</v>
      </c>
      <c r="I327" s="25" t="n">
        <v>1</v>
      </c>
      <c r="J327" s="26" t="n">
        <v>1600</v>
      </c>
      <c r="K327" s="25" t="s">
        <v>546</v>
      </c>
      <c r="L327" s="25" t="s">
        <v>547</v>
      </c>
      <c r="M327" s="26" t="n">
        <f aca="false">IF(AND(L327="Oui",K327="Principal"),I327*J327,0)</f>
        <v>1600</v>
      </c>
      <c r="N327" s="25" t="s">
        <v>548</v>
      </c>
      <c r="O327" s="25"/>
      <c r="P327" s="25" t="s">
        <v>550</v>
      </c>
      <c r="Q327" s="25" t="s">
        <v>557</v>
      </c>
      <c r="R327" s="26" t="n">
        <v>1300</v>
      </c>
      <c r="S327" s="26" t="n">
        <f aca="false">IF(AND(L327="Oui",K327="Principal",R327&lt;&gt;""),I327*R327,0)</f>
        <v>1300</v>
      </c>
      <c r="T327" s="26" t="n">
        <f aca="false">IF(R327&lt;&gt;"",M327-S327,0)</f>
        <v>300</v>
      </c>
      <c r="U327" s="26" t="n">
        <f aca="false">IF(R327="",M327,0)</f>
        <v>0</v>
      </c>
    </row>
    <row r="328" customFormat="false" ht="15" hidden="false" customHeight="false" outlineLevel="0" collapsed="false">
      <c r="A328" s="25" t="s">
        <v>53</v>
      </c>
      <c r="B328" s="25" t="s">
        <v>55</v>
      </c>
      <c r="C328" s="25" t="s">
        <v>50</v>
      </c>
      <c r="D328" s="25" t="n">
        <v>13</v>
      </c>
      <c r="E328" s="25" t="s">
        <v>554</v>
      </c>
      <c r="F328" s="25" t="s">
        <v>104</v>
      </c>
      <c r="G328" s="25" t="n">
        <v>1594</v>
      </c>
      <c r="H328" s="25" t="s">
        <v>593</v>
      </c>
      <c r="I328" s="25" t="n">
        <v>1</v>
      </c>
      <c r="J328" s="26" t="n">
        <v>1600</v>
      </c>
      <c r="K328" s="25" t="s">
        <v>546</v>
      </c>
      <c r="L328" s="25" t="s">
        <v>547</v>
      </c>
      <c r="M328" s="26" t="n">
        <f aca="false">IF(AND(L328="Oui",K328="Principal"),I328*J328,0)</f>
        <v>1600</v>
      </c>
      <c r="N328" s="25" t="s">
        <v>548</v>
      </c>
      <c r="O328" s="25"/>
      <c r="P328" s="25" t="s">
        <v>556</v>
      </c>
      <c r="Q328" s="25" t="s">
        <v>557</v>
      </c>
      <c r="R328" s="26" t="n">
        <v>1300</v>
      </c>
      <c r="S328" s="26" t="n">
        <f aca="false">IF(AND(L328="Oui",K328="Principal",R328&lt;&gt;""),I328*R328,0)</f>
        <v>1300</v>
      </c>
      <c r="T328" s="26" t="n">
        <f aca="false">IF(R328&lt;&gt;"",M328-S328,0)</f>
        <v>300</v>
      </c>
      <c r="U328" s="26" t="n">
        <f aca="false">IF(R328="",M328,0)</f>
        <v>0</v>
      </c>
    </row>
    <row r="329" customFormat="false" ht="15" hidden="false" customHeight="false" outlineLevel="0" collapsed="false">
      <c r="A329" s="25" t="s">
        <v>53</v>
      </c>
      <c r="B329" s="25" t="s">
        <v>55</v>
      </c>
      <c r="C329" s="25" t="s">
        <v>50</v>
      </c>
      <c r="D329" s="25" t="n">
        <v>14</v>
      </c>
      <c r="E329" s="25" t="s">
        <v>565</v>
      </c>
      <c r="F329" s="25" t="s">
        <v>166</v>
      </c>
      <c r="G329" s="25" t="n">
        <v>1604</v>
      </c>
      <c r="H329" s="25" t="s">
        <v>582</v>
      </c>
      <c r="I329" s="25" t="n">
        <v>2</v>
      </c>
      <c r="J329" s="26" t="n">
        <v>700</v>
      </c>
      <c r="K329" s="25" t="s">
        <v>546</v>
      </c>
      <c r="L329" s="25" t="s">
        <v>547</v>
      </c>
      <c r="M329" s="26" t="n">
        <f aca="false">IF(AND(L329="Oui",K329="Principal"),I329*J329,0)</f>
        <v>1400</v>
      </c>
      <c r="N329" s="25" t="s">
        <v>548</v>
      </c>
      <c r="O329" s="25"/>
      <c r="P329" s="25" t="s">
        <v>556</v>
      </c>
      <c r="Q329" s="25" t="s">
        <v>557</v>
      </c>
      <c r="R329" s="26" t="n">
        <v>400</v>
      </c>
      <c r="S329" s="26" t="n">
        <f aca="false">IF(AND(L329="Oui",K329="Principal",R329&lt;&gt;""),I329*R329,0)</f>
        <v>800</v>
      </c>
      <c r="T329" s="26" t="n">
        <f aca="false">IF(R329&lt;&gt;"",M329-S329,0)</f>
        <v>600</v>
      </c>
      <c r="U329" s="26" t="n">
        <f aca="false">IF(R329="",M329,0)</f>
        <v>0</v>
      </c>
    </row>
    <row r="330" customFormat="false" ht="15" hidden="false" customHeight="false" outlineLevel="0" collapsed="false">
      <c r="A330" s="25" t="s">
        <v>53</v>
      </c>
      <c r="B330" s="25" t="s">
        <v>55</v>
      </c>
      <c r="C330" s="25" t="s">
        <v>50</v>
      </c>
      <c r="D330" s="25" t="n">
        <v>15</v>
      </c>
      <c r="E330" s="25" t="s">
        <v>565</v>
      </c>
      <c r="F330" s="25" t="s">
        <v>110</v>
      </c>
      <c r="G330" s="25" t="n">
        <v>1586</v>
      </c>
      <c r="H330" s="25" t="s">
        <v>583</v>
      </c>
      <c r="I330" s="25" t="n">
        <v>1</v>
      </c>
      <c r="J330" s="26" t="n">
        <v>900</v>
      </c>
      <c r="K330" s="25" t="s">
        <v>546</v>
      </c>
      <c r="L330" s="25" t="s">
        <v>547</v>
      </c>
      <c r="M330" s="26" t="n">
        <f aca="false">IF(AND(L330="Oui",K330="Principal"),I330*J330,0)</f>
        <v>900</v>
      </c>
      <c r="N330" s="25" t="s">
        <v>548</v>
      </c>
      <c r="O330" s="25"/>
      <c r="P330" s="25" t="s">
        <v>556</v>
      </c>
      <c r="Q330" s="25" t="s">
        <v>557</v>
      </c>
      <c r="R330" s="26" t="n">
        <v>650</v>
      </c>
      <c r="S330" s="26" t="n">
        <f aca="false">IF(AND(L330="Oui",K330="Principal",R330&lt;&gt;""),I330*R330,0)</f>
        <v>650</v>
      </c>
      <c r="T330" s="26" t="n">
        <f aca="false">IF(R330&lt;&gt;"",M330-S330,0)</f>
        <v>250</v>
      </c>
      <c r="U330" s="26" t="n">
        <f aca="false">IF(R330="",M330,0)</f>
        <v>0</v>
      </c>
    </row>
    <row r="331" customFormat="false" ht="15" hidden="false" customHeight="false" outlineLevel="0" collapsed="false">
      <c r="A331" s="25" t="s">
        <v>53</v>
      </c>
      <c r="B331" s="25" t="s">
        <v>55</v>
      </c>
      <c r="C331" s="25" t="s">
        <v>50</v>
      </c>
      <c r="D331" s="25" t="n">
        <v>16</v>
      </c>
      <c r="E331" s="25" t="s">
        <v>167</v>
      </c>
      <c r="F331" s="25" t="s">
        <v>167</v>
      </c>
      <c r="G331" s="25" t="n">
        <v>1714</v>
      </c>
      <c r="H331" s="25" t="s">
        <v>623</v>
      </c>
      <c r="I331" s="25" t="n">
        <v>1</v>
      </c>
      <c r="J331" s="26" t="n">
        <v>1000</v>
      </c>
      <c r="K331" s="25" t="s">
        <v>546</v>
      </c>
      <c r="L331" s="25" t="s">
        <v>547</v>
      </c>
      <c r="M331" s="26" t="n">
        <f aca="false">IF(AND(L331="Oui",K331="Principal"),I331*J331,0)</f>
        <v>1000</v>
      </c>
      <c r="N331" s="25" t="s">
        <v>548</v>
      </c>
      <c r="O331" s="25"/>
      <c r="P331" s="25" t="s">
        <v>561</v>
      </c>
      <c r="Q331" s="25" t="s">
        <v>557</v>
      </c>
      <c r="R331" s="26" t="n">
        <v>718</v>
      </c>
      <c r="S331" s="26" t="n">
        <f aca="false">IF(AND(L331="Oui",K331="Principal",R331&lt;&gt;""),I331*R331,0)</f>
        <v>718</v>
      </c>
      <c r="T331" s="26" t="n">
        <f aca="false">IF(R331&lt;&gt;"",M331-S331,0)</f>
        <v>282</v>
      </c>
      <c r="U331" s="26" t="n">
        <f aca="false">IF(R331="",M331,0)</f>
        <v>0</v>
      </c>
    </row>
    <row r="332" customFormat="false" ht="15" hidden="false" customHeight="false" outlineLevel="0" collapsed="false">
      <c r="A332" s="31" t="s">
        <v>53</v>
      </c>
      <c r="B332" s="31" t="s">
        <v>55</v>
      </c>
      <c r="C332" s="31" t="s">
        <v>50</v>
      </c>
      <c r="D332" s="31" t="n">
        <v>17</v>
      </c>
      <c r="E332" s="31" t="s">
        <v>167</v>
      </c>
      <c r="F332" s="31" t="s">
        <v>170</v>
      </c>
      <c r="G332" s="31" t="s">
        <v>611</v>
      </c>
      <c r="H332" s="31" t="s">
        <v>612</v>
      </c>
      <c r="I332" s="31" t="n">
        <v>20</v>
      </c>
      <c r="J332" s="32" t="n">
        <v>25</v>
      </c>
      <c r="K332" s="31" t="s">
        <v>546</v>
      </c>
      <c r="L332" s="31" t="s">
        <v>547</v>
      </c>
      <c r="M332" s="32" t="n">
        <f aca="false">IF(AND(L332="Oui",K332="Principal"),I332*J332,0)</f>
        <v>500</v>
      </c>
      <c r="N332" s="31" t="s">
        <v>172</v>
      </c>
      <c r="O332" s="31" t="s">
        <v>613</v>
      </c>
      <c r="P332" s="31" t="s">
        <v>550</v>
      </c>
      <c r="Q332" s="31" t="s">
        <v>557</v>
      </c>
      <c r="R332" s="32" t="n">
        <v>25</v>
      </c>
      <c r="S332" s="32" t="n">
        <f aca="false">IF(AND(L332="Oui",K332="Principal",R332&lt;&gt;""),I332*R332,0)</f>
        <v>500</v>
      </c>
      <c r="T332" s="32" t="n">
        <f aca="false">IF(R332&lt;&gt;"",M332-S332,0)</f>
        <v>0</v>
      </c>
      <c r="U332" s="32" t="n">
        <f aca="false">IF(R332="",M332,0)</f>
        <v>0</v>
      </c>
    </row>
    <row r="333" customFormat="false" ht="15" hidden="false" customHeight="false" outlineLevel="0" collapsed="false">
      <c r="A333" s="25" t="s">
        <v>53</v>
      </c>
      <c r="B333" s="25" t="s">
        <v>55</v>
      </c>
      <c r="C333" s="25" t="s">
        <v>50</v>
      </c>
      <c r="D333" s="25" t="n">
        <v>18</v>
      </c>
      <c r="E333" s="25" t="s">
        <v>167</v>
      </c>
      <c r="F333" s="25" t="s">
        <v>173</v>
      </c>
      <c r="G333" s="25" t="n">
        <v>1202</v>
      </c>
      <c r="H333" s="25" t="s">
        <v>599</v>
      </c>
      <c r="I333" s="25" t="n">
        <v>1</v>
      </c>
      <c r="J333" s="26" t="n">
        <v>250</v>
      </c>
      <c r="K333" s="25" t="s">
        <v>546</v>
      </c>
      <c r="L333" s="25" t="s">
        <v>547</v>
      </c>
      <c r="M333" s="26" t="n">
        <f aca="false">IF(AND(L333="Oui",K333="Principal"),I333*J333,0)</f>
        <v>250</v>
      </c>
      <c r="N333" s="25" t="s">
        <v>548</v>
      </c>
      <c r="O333" s="25"/>
      <c r="P333" s="25" t="s">
        <v>550</v>
      </c>
      <c r="Q333" s="25" t="s">
        <v>557</v>
      </c>
      <c r="R333" s="26" t="n">
        <v>100</v>
      </c>
      <c r="S333" s="26" t="n">
        <f aca="false">IF(AND(L333="Oui",K333="Principal",R333&lt;&gt;""),I333*R333,0)</f>
        <v>100</v>
      </c>
      <c r="T333" s="26" t="n">
        <f aca="false">IF(R333&lt;&gt;"",M333-S333,0)</f>
        <v>150</v>
      </c>
      <c r="U333" s="26" t="n">
        <f aca="false">IF(R333="",M333,0)</f>
        <v>0</v>
      </c>
    </row>
    <row r="334" customFormat="false" ht="15" hidden="false" customHeight="false" outlineLevel="0" collapsed="false">
      <c r="A334" s="25" t="s">
        <v>53</v>
      </c>
      <c r="B334" s="25" t="s">
        <v>55</v>
      </c>
      <c r="C334" s="25" t="s">
        <v>50</v>
      </c>
      <c r="D334" s="25" t="n">
        <v>19</v>
      </c>
      <c r="E334" s="25" t="s">
        <v>565</v>
      </c>
      <c r="F334" s="25" t="s">
        <v>174</v>
      </c>
      <c r="G334" s="25" t="n">
        <v>1218</v>
      </c>
      <c r="H334" s="25" t="s">
        <v>614</v>
      </c>
      <c r="I334" s="25" t="n">
        <v>1</v>
      </c>
      <c r="J334" s="26" t="n">
        <v>400</v>
      </c>
      <c r="K334" s="25" t="s">
        <v>546</v>
      </c>
      <c r="L334" s="25" t="s">
        <v>547</v>
      </c>
      <c r="M334" s="26" t="n">
        <f aca="false">IF(AND(L334="Oui",K334="Principal"),I334*J334,0)</f>
        <v>400</v>
      </c>
      <c r="N334" s="25" t="s">
        <v>548</v>
      </c>
      <c r="O334" s="25"/>
      <c r="P334" s="25" t="s">
        <v>550</v>
      </c>
      <c r="Q334" s="25" t="s">
        <v>557</v>
      </c>
      <c r="R334" s="26" t="n">
        <v>250</v>
      </c>
      <c r="S334" s="26" t="n">
        <f aca="false">IF(AND(L334="Oui",K334="Principal",R334&lt;&gt;""),I334*R334,0)</f>
        <v>250</v>
      </c>
      <c r="T334" s="26" t="n">
        <f aca="false">IF(R334&lt;&gt;"",M334-S334,0)</f>
        <v>150</v>
      </c>
      <c r="U334" s="26" t="n">
        <f aca="false">IF(R334="",M334,0)</f>
        <v>0</v>
      </c>
    </row>
    <row r="335" customFormat="false" ht="15" hidden="false" customHeight="false" outlineLevel="0" collapsed="false">
      <c r="A335" s="25" t="s">
        <v>53</v>
      </c>
      <c r="B335" s="25" t="s">
        <v>55</v>
      </c>
      <c r="C335" s="25" t="s">
        <v>50</v>
      </c>
      <c r="D335" s="25" t="n">
        <v>20</v>
      </c>
      <c r="E335" s="25" t="s">
        <v>573</v>
      </c>
      <c r="F335" s="25" t="s">
        <v>176</v>
      </c>
      <c r="G335" s="25" t="n">
        <v>19</v>
      </c>
      <c r="H335" s="25" t="s">
        <v>615</v>
      </c>
      <c r="I335" s="25" t="n">
        <v>1</v>
      </c>
      <c r="J335" s="26" t="n">
        <v>2500</v>
      </c>
      <c r="K335" s="25" t="s">
        <v>546</v>
      </c>
      <c r="L335" s="25" t="s">
        <v>547</v>
      </c>
      <c r="M335" s="26" t="n">
        <f aca="false">IF(AND(L335="Oui",K335="Principal"),I335*J335,0)</f>
        <v>2500</v>
      </c>
      <c r="N335" s="25" t="s">
        <v>548</v>
      </c>
      <c r="O335" s="25"/>
      <c r="P335" s="25" t="s">
        <v>559</v>
      </c>
      <c r="Q335" s="25" t="s">
        <v>551</v>
      </c>
      <c r="R335" s="26"/>
      <c r="S335" s="26" t="n">
        <f aca="false">IF(AND(L335="Oui",K335="Principal",R335&lt;&gt;""),I335*R335,0)</f>
        <v>0</v>
      </c>
      <c r="T335" s="26" t="n">
        <f aca="false">IF(R335&lt;&gt;"",M335-S335,0)</f>
        <v>0</v>
      </c>
      <c r="U335" s="26" t="n">
        <f aca="false">IF(R335="",M335,0)</f>
        <v>2500</v>
      </c>
    </row>
    <row r="336" customFormat="false" ht="15" hidden="false" customHeight="false" outlineLevel="0" collapsed="false">
      <c r="A336" s="25" t="s">
        <v>53</v>
      </c>
      <c r="B336" s="25" t="s">
        <v>55</v>
      </c>
      <c r="C336" s="25" t="s">
        <v>50</v>
      </c>
      <c r="D336" s="25" t="n">
        <v>21</v>
      </c>
      <c r="E336" s="25" t="s">
        <v>573</v>
      </c>
      <c r="F336" s="25" t="s">
        <v>117</v>
      </c>
      <c r="G336" s="25" t="n">
        <v>1288</v>
      </c>
      <c r="H336" s="25" t="s">
        <v>624</v>
      </c>
      <c r="I336" s="25" t="n">
        <v>1</v>
      </c>
      <c r="J336" s="26" t="n">
        <v>2500</v>
      </c>
      <c r="K336" s="25" t="s">
        <v>546</v>
      </c>
      <c r="L336" s="25" t="s">
        <v>547</v>
      </c>
      <c r="M336" s="26" t="n">
        <f aca="false">IF(AND(L336="Oui",K336="Principal"),I336*J336,0)</f>
        <v>2500</v>
      </c>
      <c r="N336" s="25" t="s">
        <v>548</v>
      </c>
      <c r="O336" s="25"/>
      <c r="P336" s="25" t="s">
        <v>550</v>
      </c>
      <c r="Q336" s="25" t="s">
        <v>557</v>
      </c>
      <c r="R336" s="26" t="n">
        <v>2000</v>
      </c>
      <c r="S336" s="26" t="n">
        <f aca="false">IF(AND(L336="Oui",K336="Principal",R336&lt;&gt;""),I336*R336,0)</f>
        <v>2000</v>
      </c>
      <c r="T336" s="26" t="n">
        <f aca="false">IF(R336&lt;&gt;"",M336-S336,0)</f>
        <v>500</v>
      </c>
      <c r="U336" s="26" t="n">
        <f aca="false">IF(R336="",M336,0)</f>
        <v>0</v>
      </c>
    </row>
    <row r="337" customFormat="false" ht="15" hidden="false" customHeight="false" outlineLevel="0" collapsed="false">
      <c r="A337" s="25" t="s">
        <v>53</v>
      </c>
      <c r="B337" s="25" t="s">
        <v>55</v>
      </c>
      <c r="C337" s="25" t="s">
        <v>50</v>
      </c>
      <c r="D337" s="25" t="n">
        <v>22</v>
      </c>
      <c r="E337" s="25" t="s">
        <v>616</v>
      </c>
      <c r="F337" s="25" t="s">
        <v>202</v>
      </c>
      <c r="G337" s="25" t="n">
        <v>1516</v>
      </c>
      <c r="H337" s="25" t="s">
        <v>632</v>
      </c>
      <c r="I337" s="25" t="n">
        <v>1</v>
      </c>
      <c r="J337" s="26" t="n">
        <v>1740</v>
      </c>
      <c r="K337" s="25" t="s">
        <v>546</v>
      </c>
      <c r="L337" s="25" t="s">
        <v>547</v>
      </c>
      <c r="M337" s="26" t="n">
        <f aca="false">IF(AND(L337="Oui",K337="Principal"),I337*J337,0)</f>
        <v>1740</v>
      </c>
      <c r="N337" s="25" t="s">
        <v>548</v>
      </c>
      <c r="O337" s="25"/>
      <c r="P337" s="25" t="s">
        <v>550</v>
      </c>
      <c r="Q337" s="25" t="s">
        <v>557</v>
      </c>
      <c r="R337" s="26" t="n">
        <v>990</v>
      </c>
      <c r="S337" s="26" t="n">
        <f aca="false">IF(AND(L337="Oui",K337="Principal",R337&lt;&gt;""),I337*R337,0)</f>
        <v>990</v>
      </c>
      <c r="T337" s="26" t="n">
        <f aca="false">IF(R337&lt;&gt;"",M337-S337,0)</f>
        <v>750</v>
      </c>
      <c r="U337" s="26" t="n">
        <f aca="false">IF(R337="",M337,0)</f>
        <v>0</v>
      </c>
    </row>
    <row r="338" customFormat="false" ht="15" hidden="false" customHeight="false" outlineLevel="0" collapsed="false">
      <c r="A338" s="25" t="s">
        <v>53</v>
      </c>
      <c r="B338" s="25" t="s">
        <v>55</v>
      </c>
      <c r="C338" s="25" t="s">
        <v>50</v>
      </c>
      <c r="D338" s="25" t="n">
        <v>23</v>
      </c>
      <c r="E338" s="25" t="s">
        <v>616</v>
      </c>
      <c r="F338" s="25" t="s">
        <v>204</v>
      </c>
      <c r="G338" s="25" t="n">
        <v>1510</v>
      </c>
      <c r="H338" s="25" t="s">
        <v>633</v>
      </c>
      <c r="I338" s="25" t="n">
        <v>1</v>
      </c>
      <c r="J338" s="26" t="n">
        <v>5000</v>
      </c>
      <c r="K338" s="25" t="s">
        <v>546</v>
      </c>
      <c r="L338" s="25" t="s">
        <v>547</v>
      </c>
      <c r="M338" s="26" t="n">
        <f aca="false">IF(AND(L338="Oui",K338="Principal"),I338*J338,0)</f>
        <v>5000</v>
      </c>
      <c r="N338" s="25" t="s">
        <v>548</v>
      </c>
      <c r="O338" s="25"/>
      <c r="P338" s="25" t="s">
        <v>550</v>
      </c>
      <c r="Q338" s="25" t="s">
        <v>557</v>
      </c>
      <c r="R338" s="26" t="n">
        <v>2890</v>
      </c>
      <c r="S338" s="26" t="n">
        <f aca="false">IF(AND(L338="Oui",K338="Principal",R338&lt;&gt;""),I338*R338,0)</f>
        <v>2890</v>
      </c>
      <c r="T338" s="26" t="n">
        <f aca="false">IF(R338&lt;&gt;"",M338-S338,0)</f>
        <v>2110</v>
      </c>
      <c r="U338" s="26" t="n">
        <f aca="false">IF(R338="",M338,0)</f>
        <v>0</v>
      </c>
    </row>
    <row r="339" customFormat="false" ht="15" hidden="false" customHeight="false" outlineLevel="0" collapsed="false">
      <c r="A339" s="25" t="s">
        <v>53</v>
      </c>
      <c r="B339" s="25" t="s">
        <v>55</v>
      </c>
      <c r="C339" s="25" t="s">
        <v>50</v>
      </c>
      <c r="D339" s="25" t="n">
        <v>24</v>
      </c>
      <c r="E339" s="25" t="s">
        <v>616</v>
      </c>
      <c r="F339" s="25" t="s">
        <v>206</v>
      </c>
      <c r="G339" s="25" t="n">
        <v>1523</v>
      </c>
      <c r="H339" s="25" t="s">
        <v>634</v>
      </c>
      <c r="I339" s="25" t="n">
        <v>1</v>
      </c>
      <c r="J339" s="26" t="n">
        <v>3890</v>
      </c>
      <c r="K339" s="25" t="s">
        <v>546</v>
      </c>
      <c r="L339" s="25" t="s">
        <v>547</v>
      </c>
      <c r="M339" s="26" t="n">
        <f aca="false">IF(AND(L339="Oui",K339="Principal"),I339*J339,0)</f>
        <v>3890</v>
      </c>
      <c r="N339" s="25" t="s">
        <v>548</v>
      </c>
      <c r="O339" s="25"/>
      <c r="P339" s="25" t="s">
        <v>550</v>
      </c>
      <c r="Q339" s="25" t="s">
        <v>557</v>
      </c>
      <c r="R339" s="26" t="n">
        <v>2890</v>
      </c>
      <c r="S339" s="26" t="n">
        <f aca="false">IF(AND(L339="Oui",K339="Principal",R339&lt;&gt;""),I339*R339,0)</f>
        <v>2890</v>
      </c>
      <c r="T339" s="26" t="n">
        <f aca="false">IF(R339&lt;&gt;"",M339-S339,0)</f>
        <v>1000</v>
      </c>
      <c r="U339" s="26" t="n">
        <f aca="false">IF(R339="",M339,0)</f>
        <v>0</v>
      </c>
    </row>
    <row r="340" customFormat="false" ht="15" hidden="false" customHeight="false" outlineLevel="0" collapsed="false">
      <c r="A340" s="25" t="s">
        <v>53</v>
      </c>
      <c r="B340" s="25" t="s">
        <v>55</v>
      </c>
      <c r="C340" s="25" t="s">
        <v>50</v>
      </c>
      <c r="D340" s="25" t="n">
        <v>25</v>
      </c>
      <c r="E340" s="25" t="s">
        <v>616</v>
      </c>
      <c r="F340" s="25" t="s">
        <v>208</v>
      </c>
      <c r="G340" s="25" t="n">
        <v>1491</v>
      </c>
      <c r="H340" s="25" t="s">
        <v>635</v>
      </c>
      <c r="I340" s="25" t="n">
        <v>1</v>
      </c>
      <c r="J340" s="26" t="n">
        <v>3890</v>
      </c>
      <c r="K340" s="25" t="s">
        <v>546</v>
      </c>
      <c r="L340" s="25" t="s">
        <v>547</v>
      </c>
      <c r="M340" s="26" t="n">
        <f aca="false">IF(AND(L340="Oui",K340="Principal"),I340*J340,0)</f>
        <v>3890</v>
      </c>
      <c r="N340" s="25" t="s">
        <v>548</v>
      </c>
      <c r="O340" s="25"/>
      <c r="P340" s="25" t="s">
        <v>550</v>
      </c>
      <c r="Q340" s="25" t="s">
        <v>557</v>
      </c>
      <c r="R340" s="26" t="n">
        <v>2890</v>
      </c>
      <c r="S340" s="26" t="n">
        <f aca="false">IF(AND(L340="Oui",K340="Principal",R340&lt;&gt;""),I340*R340,0)</f>
        <v>2890</v>
      </c>
      <c r="T340" s="26" t="n">
        <f aca="false">IF(R340&lt;&gt;"",M340-S340,0)</f>
        <v>1000</v>
      </c>
      <c r="U340" s="26" t="n">
        <f aca="false">IF(R340="",M340,0)</f>
        <v>0</v>
      </c>
    </row>
    <row r="341" customFormat="false" ht="15" hidden="false" customHeight="false" outlineLevel="0" collapsed="false">
      <c r="A341" s="25" t="s">
        <v>53</v>
      </c>
      <c r="B341" s="25" t="s">
        <v>55</v>
      </c>
      <c r="C341" s="25" t="s">
        <v>50</v>
      </c>
      <c r="D341" s="25" t="n">
        <v>26</v>
      </c>
      <c r="E341" s="25" t="s">
        <v>625</v>
      </c>
      <c r="F341" s="25" t="s">
        <v>210</v>
      </c>
      <c r="G341" s="25" t="n">
        <v>1497</v>
      </c>
      <c r="H341" s="25" t="s">
        <v>637</v>
      </c>
      <c r="I341" s="25" t="n">
        <v>1</v>
      </c>
      <c r="J341" s="26" t="n">
        <v>3890</v>
      </c>
      <c r="K341" s="25" t="s">
        <v>546</v>
      </c>
      <c r="L341" s="25" t="s">
        <v>547</v>
      </c>
      <c r="M341" s="26" t="n">
        <f aca="false">IF(AND(L341="Oui",K341="Principal"),I341*J341,0)</f>
        <v>3890</v>
      </c>
      <c r="N341" s="25" t="s">
        <v>548</v>
      </c>
      <c r="O341" s="25"/>
      <c r="P341" s="25" t="s">
        <v>550</v>
      </c>
      <c r="Q341" s="25" t="s">
        <v>557</v>
      </c>
      <c r="R341" s="26" t="n">
        <v>2890</v>
      </c>
      <c r="S341" s="26" t="n">
        <f aca="false">IF(AND(L341="Oui",K341="Principal",R341&lt;&gt;""),I341*R341,0)</f>
        <v>2890</v>
      </c>
      <c r="T341" s="26" t="n">
        <f aca="false">IF(R341&lt;&gt;"",M341-S341,0)</f>
        <v>1000</v>
      </c>
      <c r="U341" s="26" t="n">
        <f aca="false">IF(R341="",M341,0)</f>
        <v>0</v>
      </c>
    </row>
    <row r="342" customFormat="false" ht="15" hidden="false" customHeight="false" outlineLevel="0" collapsed="false">
      <c r="A342" s="25" t="s">
        <v>53</v>
      </c>
      <c r="B342" s="25" t="s">
        <v>55</v>
      </c>
      <c r="C342" s="25" t="s">
        <v>50</v>
      </c>
      <c r="D342" s="25" t="n">
        <v>27</v>
      </c>
      <c r="E342" s="25" t="s">
        <v>625</v>
      </c>
      <c r="F342" s="25" t="s">
        <v>212</v>
      </c>
      <c r="G342" s="25" t="n">
        <v>1498</v>
      </c>
      <c r="H342" s="25" t="s">
        <v>638</v>
      </c>
      <c r="I342" s="25" t="n">
        <v>1</v>
      </c>
      <c r="J342" s="26" t="n">
        <v>2560</v>
      </c>
      <c r="K342" s="25" t="s">
        <v>546</v>
      </c>
      <c r="L342" s="25" t="s">
        <v>547</v>
      </c>
      <c r="M342" s="26" t="n">
        <f aca="false">IF(AND(L342="Oui",K342="Principal"),I342*J342,0)</f>
        <v>2560</v>
      </c>
      <c r="N342" s="25" t="s">
        <v>548</v>
      </c>
      <c r="O342" s="25"/>
      <c r="P342" s="25" t="s">
        <v>550</v>
      </c>
      <c r="Q342" s="25" t="s">
        <v>557</v>
      </c>
      <c r="R342" s="26" t="n">
        <v>1560</v>
      </c>
      <c r="S342" s="26" t="n">
        <f aca="false">IF(AND(L342="Oui",K342="Principal",R342&lt;&gt;""),I342*R342,0)</f>
        <v>1560</v>
      </c>
      <c r="T342" s="26" t="n">
        <f aca="false">IF(R342&lt;&gt;"",M342-S342,0)</f>
        <v>1000</v>
      </c>
      <c r="U342" s="26" t="n">
        <f aca="false">IF(R342="",M342,0)</f>
        <v>0</v>
      </c>
    </row>
    <row r="343" customFormat="false" ht="15" hidden="false" customHeight="false" outlineLevel="0" collapsed="false">
      <c r="A343" s="25" t="s">
        <v>53</v>
      </c>
      <c r="B343" s="25" t="s">
        <v>55</v>
      </c>
      <c r="C343" s="25" t="s">
        <v>50</v>
      </c>
      <c r="D343" s="25" t="n">
        <v>28</v>
      </c>
      <c r="E343" s="25" t="s">
        <v>625</v>
      </c>
      <c r="F343" s="25" t="s">
        <v>214</v>
      </c>
      <c r="G343" s="25" t="n">
        <v>1474</v>
      </c>
      <c r="H343" s="25" t="s">
        <v>639</v>
      </c>
      <c r="I343" s="25" t="n">
        <v>1</v>
      </c>
      <c r="J343" s="26" t="n">
        <v>2790</v>
      </c>
      <c r="K343" s="25" t="s">
        <v>546</v>
      </c>
      <c r="L343" s="25" t="s">
        <v>547</v>
      </c>
      <c r="M343" s="26" t="n">
        <f aca="false">IF(AND(L343="Oui",K343="Principal"),I343*J343,0)</f>
        <v>2790</v>
      </c>
      <c r="N343" s="25" t="s">
        <v>548</v>
      </c>
      <c r="O343" s="25"/>
      <c r="P343" s="25" t="s">
        <v>550</v>
      </c>
      <c r="Q343" s="25" t="s">
        <v>557</v>
      </c>
      <c r="R343" s="26" t="n">
        <v>1790</v>
      </c>
      <c r="S343" s="26" t="n">
        <f aca="false">IF(AND(L343="Oui",K343="Principal",R343&lt;&gt;""),I343*R343,0)</f>
        <v>1790</v>
      </c>
      <c r="T343" s="26" t="n">
        <f aca="false">IF(R343&lt;&gt;"",M343-S343,0)</f>
        <v>1000</v>
      </c>
      <c r="U343" s="26" t="n">
        <f aca="false">IF(R343="",M343,0)</f>
        <v>0</v>
      </c>
    </row>
    <row r="344" customFormat="false" ht="15" hidden="false" customHeight="false" outlineLevel="0" collapsed="false">
      <c r="A344" s="25" t="s">
        <v>53</v>
      </c>
      <c r="B344" s="25" t="s">
        <v>55</v>
      </c>
      <c r="C344" s="25" t="s">
        <v>50</v>
      </c>
      <c r="D344" s="25" t="n">
        <v>29</v>
      </c>
      <c r="E344" s="25" t="s">
        <v>625</v>
      </c>
      <c r="F344" s="25" t="s">
        <v>216</v>
      </c>
      <c r="G344" s="25" t="n">
        <v>1468</v>
      </c>
      <c r="H344" s="25" t="s">
        <v>640</v>
      </c>
      <c r="I344" s="25" t="n">
        <v>1</v>
      </c>
      <c r="J344" s="26" t="n">
        <v>2790</v>
      </c>
      <c r="K344" s="25" t="s">
        <v>546</v>
      </c>
      <c r="L344" s="25" t="s">
        <v>547</v>
      </c>
      <c r="M344" s="26" t="n">
        <f aca="false">IF(AND(L344="Oui",K344="Principal"),I344*J344,0)</f>
        <v>2790</v>
      </c>
      <c r="N344" s="25" t="s">
        <v>548</v>
      </c>
      <c r="O344" s="25"/>
      <c r="P344" s="25" t="s">
        <v>550</v>
      </c>
      <c r="Q344" s="25" t="s">
        <v>557</v>
      </c>
      <c r="R344" s="26" t="n">
        <v>1790</v>
      </c>
      <c r="S344" s="26" t="n">
        <f aca="false">IF(AND(L344="Oui",K344="Principal",R344&lt;&gt;""),I344*R344,0)</f>
        <v>1790</v>
      </c>
      <c r="T344" s="26" t="n">
        <f aca="false">IF(R344&lt;&gt;"",M344-S344,0)</f>
        <v>1000</v>
      </c>
      <c r="U344" s="26" t="n">
        <f aca="false">IF(R344="",M344,0)</f>
        <v>0</v>
      </c>
    </row>
    <row r="345" customFormat="false" ht="15" hidden="false" customHeight="false" outlineLevel="0" collapsed="false">
      <c r="A345" s="25" t="s">
        <v>53</v>
      </c>
      <c r="B345" s="25" t="s">
        <v>55</v>
      </c>
      <c r="C345" s="25" t="s">
        <v>50</v>
      </c>
      <c r="D345" s="25" t="n">
        <v>30</v>
      </c>
      <c r="E345" s="25" t="s">
        <v>625</v>
      </c>
      <c r="F345" s="25" t="s">
        <v>218</v>
      </c>
      <c r="G345" s="25" t="n">
        <v>1543</v>
      </c>
      <c r="H345" s="25" t="s">
        <v>641</v>
      </c>
      <c r="I345" s="25" t="n">
        <v>1</v>
      </c>
      <c r="J345" s="26" t="n">
        <v>2790</v>
      </c>
      <c r="K345" s="25" t="s">
        <v>546</v>
      </c>
      <c r="L345" s="25" t="s">
        <v>547</v>
      </c>
      <c r="M345" s="26" t="n">
        <f aca="false">IF(AND(L345="Oui",K345="Principal"),I345*J345,0)</f>
        <v>2790</v>
      </c>
      <c r="N345" s="25" t="s">
        <v>548</v>
      </c>
      <c r="O345" s="25"/>
      <c r="P345" s="25" t="s">
        <v>550</v>
      </c>
      <c r="Q345" s="25" t="s">
        <v>557</v>
      </c>
      <c r="R345" s="26" t="n">
        <v>1790</v>
      </c>
      <c r="S345" s="26" t="n">
        <f aca="false">IF(AND(L345="Oui",K345="Principal",R345&lt;&gt;""),I345*R345,0)</f>
        <v>1790</v>
      </c>
      <c r="T345" s="26" t="n">
        <f aca="false">IF(R345&lt;&gt;"",M345-S345,0)</f>
        <v>1000</v>
      </c>
      <c r="U345" s="26" t="n">
        <f aca="false">IF(R345="",M345,0)</f>
        <v>0</v>
      </c>
    </row>
    <row r="346" customFormat="false" ht="15" hidden="false" customHeight="false" outlineLevel="0" collapsed="false">
      <c r="A346" s="25" t="s">
        <v>53</v>
      </c>
      <c r="B346" s="25" t="s">
        <v>55</v>
      </c>
      <c r="C346" s="25" t="s">
        <v>50</v>
      </c>
      <c r="D346" s="25" t="n">
        <v>31</v>
      </c>
      <c r="E346" s="25" t="s">
        <v>625</v>
      </c>
      <c r="F346" s="25" t="s">
        <v>220</v>
      </c>
      <c r="G346" s="25" t="n">
        <v>1462</v>
      </c>
      <c r="H346" s="25" t="s">
        <v>642</v>
      </c>
      <c r="I346" s="25" t="n">
        <v>1</v>
      </c>
      <c r="J346" s="26" t="n">
        <v>2790</v>
      </c>
      <c r="K346" s="25" t="s">
        <v>546</v>
      </c>
      <c r="L346" s="25" t="s">
        <v>547</v>
      </c>
      <c r="M346" s="26" t="n">
        <f aca="false">IF(AND(L346="Oui",K346="Principal"),I346*J346,0)</f>
        <v>2790</v>
      </c>
      <c r="N346" s="25" t="s">
        <v>548</v>
      </c>
      <c r="O346" s="25"/>
      <c r="P346" s="25" t="s">
        <v>550</v>
      </c>
      <c r="Q346" s="25" t="s">
        <v>557</v>
      </c>
      <c r="R346" s="26" t="n">
        <v>1790</v>
      </c>
      <c r="S346" s="26" t="n">
        <f aca="false">IF(AND(L346="Oui",K346="Principal",R346&lt;&gt;""),I346*R346,0)</f>
        <v>1790</v>
      </c>
      <c r="T346" s="26" t="n">
        <f aca="false">IF(R346&lt;&gt;"",M346-S346,0)</f>
        <v>1000</v>
      </c>
      <c r="U346" s="26" t="n">
        <f aca="false">IF(R346="",M346,0)</f>
        <v>0</v>
      </c>
    </row>
    <row r="347" customFormat="false" ht="15" hidden="false" customHeight="false" outlineLevel="0" collapsed="false">
      <c r="A347" s="25" t="s">
        <v>53</v>
      </c>
      <c r="B347" s="25" t="s">
        <v>55</v>
      </c>
      <c r="C347" s="25" t="s">
        <v>50</v>
      </c>
      <c r="D347" s="25" t="n">
        <v>32</v>
      </c>
      <c r="E347" s="25" t="s">
        <v>577</v>
      </c>
      <c r="F347" s="25" t="s">
        <v>120</v>
      </c>
      <c r="G347" s="25" t="n">
        <v>1199</v>
      </c>
      <c r="H347" s="25" t="s">
        <v>622</v>
      </c>
      <c r="I347" s="25" t="n">
        <v>1</v>
      </c>
      <c r="J347" s="26" t="n">
        <v>7500</v>
      </c>
      <c r="K347" s="25" t="s">
        <v>577</v>
      </c>
      <c r="L347" s="25" t="s">
        <v>579</v>
      </c>
      <c r="M347" s="26" t="n">
        <f aca="false">IF(AND(L347="Oui",K347="Principal"),I347*J347,0)</f>
        <v>0</v>
      </c>
      <c r="N347" s="25" t="s">
        <v>548</v>
      </c>
      <c r="O347" s="25"/>
      <c r="P347" s="25" t="s">
        <v>550</v>
      </c>
      <c r="Q347" s="25" t="s">
        <v>557</v>
      </c>
      <c r="R347" s="26" t="n">
        <v>6000</v>
      </c>
      <c r="S347" s="26" t="n">
        <f aca="false">IF(AND(L347="Oui",K347="Principal",R347&lt;&gt;""),I347*R347,0)</f>
        <v>0</v>
      </c>
      <c r="T347" s="26" t="n">
        <f aca="false">IF(R347&lt;&gt;"",M347-S347,0)</f>
        <v>0</v>
      </c>
      <c r="U347" s="26" t="n">
        <f aca="false">IF(R347="",M347,0)</f>
        <v>0</v>
      </c>
    </row>
    <row r="348" customFormat="false" ht="15" hidden="false" customHeight="false" outlineLevel="0" collapsed="false">
      <c r="A348" s="25" t="s">
        <v>53</v>
      </c>
      <c r="B348" s="25" t="s">
        <v>56</v>
      </c>
      <c r="C348" s="25" t="s">
        <v>48</v>
      </c>
      <c r="D348" s="25" t="n">
        <v>1</v>
      </c>
      <c r="E348" s="25" t="s">
        <v>544</v>
      </c>
      <c r="F348" s="25" t="s">
        <v>151</v>
      </c>
      <c r="G348" s="25" t="n">
        <v>1618</v>
      </c>
      <c r="H348" s="25" t="s">
        <v>600</v>
      </c>
      <c r="I348" s="25" t="n">
        <v>4</v>
      </c>
      <c r="J348" s="26" t="n">
        <v>450</v>
      </c>
      <c r="K348" s="25" t="s">
        <v>546</v>
      </c>
      <c r="L348" s="25" t="s">
        <v>547</v>
      </c>
      <c r="M348" s="26" t="n">
        <f aca="false">IF(AND(L348="Oui",K348="Principal"),I348*J348,0)</f>
        <v>1800</v>
      </c>
      <c r="N348" s="25" t="s">
        <v>548</v>
      </c>
      <c r="O348" s="25"/>
      <c r="P348" s="25" t="s">
        <v>556</v>
      </c>
      <c r="Q348" s="25" t="s">
        <v>557</v>
      </c>
      <c r="R348" s="26" t="n">
        <v>350</v>
      </c>
      <c r="S348" s="26" t="n">
        <f aca="false">IF(AND(L348="Oui",K348="Principal",R348&lt;&gt;""),I348*R348,0)</f>
        <v>1400</v>
      </c>
      <c r="T348" s="26" t="n">
        <f aca="false">IF(R348&lt;&gt;"",M348-S348,0)</f>
        <v>400</v>
      </c>
      <c r="U348" s="26" t="n">
        <f aca="false">IF(R348="",M348,0)</f>
        <v>0</v>
      </c>
    </row>
    <row r="349" customFormat="false" ht="15" hidden="false" customHeight="false" outlineLevel="0" collapsed="false">
      <c r="A349" s="25" t="s">
        <v>53</v>
      </c>
      <c r="B349" s="25" t="s">
        <v>56</v>
      </c>
      <c r="C349" s="25" t="s">
        <v>48</v>
      </c>
      <c r="D349" s="25" t="n">
        <v>2</v>
      </c>
      <c r="E349" s="25" t="s">
        <v>544</v>
      </c>
      <c r="F349" s="25" t="s">
        <v>158</v>
      </c>
      <c r="G349" s="25" t="n">
        <v>1575</v>
      </c>
      <c r="H349" s="25" t="s">
        <v>605</v>
      </c>
      <c r="I349" s="25" t="n">
        <v>4</v>
      </c>
      <c r="J349" s="26" t="n">
        <v>275</v>
      </c>
      <c r="K349" s="25" t="s">
        <v>546</v>
      </c>
      <c r="L349" s="25" t="s">
        <v>547</v>
      </c>
      <c r="M349" s="26" t="n">
        <f aca="false">IF(AND(L349="Oui",K349="Principal"),I349*J349,0)</f>
        <v>1100</v>
      </c>
      <c r="N349" s="25" t="s">
        <v>548</v>
      </c>
      <c r="O349" s="25"/>
      <c r="P349" s="25" t="s">
        <v>556</v>
      </c>
      <c r="Q349" s="25" t="s">
        <v>557</v>
      </c>
      <c r="R349" s="26" t="n">
        <v>175</v>
      </c>
      <c r="S349" s="26" t="n">
        <f aca="false">IF(AND(L349="Oui",K349="Principal",R349&lt;&gt;""),I349*R349,0)</f>
        <v>700</v>
      </c>
      <c r="T349" s="26" t="n">
        <f aca="false">IF(R349&lt;&gt;"",M349-S349,0)</f>
        <v>400</v>
      </c>
      <c r="U349" s="26" t="n">
        <f aca="false">IF(R349="",M349,0)</f>
        <v>0</v>
      </c>
    </row>
    <row r="350" customFormat="false" ht="15" hidden="false" customHeight="false" outlineLevel="0" collapsed="false">
      <c r="A350" s="25" t="s">
        <v>53</v>
      </c>
      <c r="B350" s="25" t="s">
        <v>56</v>
      </c>
      <c r="C350" s="25" t="s">
        <v>48</v>
      </c>
      <c r="D350" s="25" t="n">
        <v>3</v>
      </c>
      <c r="E350" s="25" t="s">
        <v>554</v>
      </c>
      <c r="F350" s="25" t="s">
        <v>88</v>
      </c>
      <c r="G350" s="25" t="n">
        <v>1572</v>
      </c>
      <c r="H350" s="25" t="s">
        <v>555</v>
      </c>
      <c r="I350" s="25" t="n">
        <v>1</v>
      </c>
      <c r="J350" s="26" t="n">
        <v>250</v>
      </c>
      <c r="K350" s="25" t="s">
        <v>546</v>
      </c>
      <c r="L350" s="25" t="s">
        <v>547</v>
      </c>
      <c r="M350" s="26" t="n">
        <f aca="false">IF(AND(L350="Oui",K350="Principal"),I350*J350,0)</f>
        <v>250</v>
      </c>
      <c r="N350" s="25" t="s">
        <v>548</v>
      </c>
      <c r="O350" s="25"/>
      <c r="P350" s="25" t="s">
        <v>556</v>
      </c>
      <c r="Q350" s="25" t="s">
        <v>557</v>
      </c>
      <c r="R350" s="26" t="n">
        <v>150</v>
      </c>
      <c r="S350" s="26" t="n">
        <f aca="false">IF(AND(L350="Oui",K350="Principal",R350&lt;&gt;""),I350*R350,0)</f>
        <v>150</v>
      </c>
      <c r="T350" s="26" t="n">
        <f aca="false">IF(R350&lt;&gt;"",M350-S350,0)</f>
        <v>100</v>
      </c>
      <c r="U350" s="26" t="n">
        <f aca="false">IF(R350="",M350,0)</f>
        <v>0</v>
      </c>
    </row>
    <row r="351" customFormat="false" ht="15" hidden="false" customHeight="false" outlineLevel="0" collapsed="false">
      <c r="A351" s="25" t="s">
        <v>53</v>
      </c>
      <c r="B351" s="25" t="s">
        <v>56</v>
      </c>
      <c r="C351" s="25" t="s">
        <v>48</v>
      </c>
      <c r="D351" s="25" t="n">
        <v>4</v>
      </c>
      <c r="E351" s="25" t="s">
        <v>160</v>
      </c>
      <c r="F351" s="25" t="s">
        <v>160</v>
      </c>
      <c r="G351" s="25" t="n">
        <v>1277</v>
      </c>
      <c r="H351" s="25" t="s">
        <v>606</v>
      </c>
      <c r="I351" s="25" t="n">
        <v>9</v>
      </c>
      <c r="J351" s="26" t="n">
        <v>150</v>
      </c>
      <c r="K351" s="25" t="s">
        <v>546</v>
      </c>
      <c r="L351" s="25" t="s">
        <v>547</v>
      </c>
      <c r="M351" s="26" t="n">
        <f aca="false">IF(AND(L351="Oui",K351="Principal"),I351*J351,0)</f>
        <v>1350</v>
      </c>
      <c r="N351" s="25" t="s">
        <v>548</v>
      </c>
      <c r="O351" s="25"/>
      <c r="P351" s="25" t="s">
        <v>550</v>
      </c>
      <c r="Q351" s="25" t="s">
        <v>557</v>
      </c>
      <c r="R351" s="26"/>
      <c r="S351" s="26" t="n">
        <f aca="false">IF(AND(L351="Oui",K351="Principal",R351&lt;&gt;""),I351*R351,0)</f>
        <v>0</v>
      </c>
      <c r="T351" s="26" t="n">
        <f aca="false">IF(R351&lt;&gt;"",M351-S351,0)</f>
        <v>0</v>
      </c>
      <c r="U351" s="26" t="n">
        <f aca="false">IF(R351="",M351,0)</f>
        <v>1350</v>
      </c>
    </row>
    <row r="352" customFormat="false" ht="15" hidden="false" customHeight="false" outlineLevel="0" collapsed="false">
      <c r="A352" s="25" t="s">
        <v>53</v>
      </c>
      <c r="B352" s="25" t="s">
        <v>56</v>
      </c>
      <c r="C352" s="25" t="s">
        <v>48</v>
      </c>
      <c r="D352" s="25" t="n">
        <v>5</v>
      </c>
      <c r="E352" s="25" t="s">
        <v>563</v>
      </c>
      <c r="F352" s="25" t="s">
        <v>97</v>
      </c>
      <c r="G352" s="25" t="n">
        <v>1571</v>
      </c>
      <c r="H352" s="25" t="s">
        <v>564</v>
      </c>
      <c r="I352" s="25" t="n">
        <v>2</v>
      </c>
      <c r="J352" s="26" t="n">
        <v>75</v>
      </c>
      <c r="K352" s="25" t="s">
        <v>546</v>
      </c>
      <c r="L352" s="25" t="s">
        <v>547</v>
      </c>
      <c r="M352" s="26" t="n">
        <f aca="false">IF(AND(L352="Oui",K352="Principal"),I352*J352,0)</f>
        <v>150</v>
      </c>
      <c r="N352" s="25" t="s">
        <v>548</v>
      </c>
      <c r="O352" s="25"/>
      <c r="P352" s="25" t="s">
        <v>550</v>
      </c>
      <c r="Q352" s="25" t="s">
        <v>557</v>
      </c>
      <c r="R352" s="26"/>
      <c r="S352" s="26" t="n">
        <f aca="false">IF(AND(L352="Oui",K352="Principal",R352&lt;&gt;""),I352*R352,0)</f>
        <v>0</v>
      </c>
      <c r="T352" s="26" t="n">
        <f aca="false">IF(R352&lt;&gt;"",M352-S352,0)</f>
        <v>0</v>
      </c>
      <c r="U352" s="26" t="n">
        <f aca="false">IF(R352="",M352,0)</f>
        <v>150</v>
      </c>
    </row>
    <row r="353" customFormat="false" ht="15" hidden="false" customHeight="false" outlineLevel="0" collapsed="false">
      <c r="A353" s="25" t="s">
        <v>53</v>
      </c>
      <c r="B353" s="25" t="s">
        <v>56</v>
      </c>
      <c r="C353" s="25" t="s">
        <v>48</v>
      </c>
      <c r="D353" s="25" t="n">
        <v>6</v>
      </c>
      <c r="E353" s="25" t="s">
        <v>563</v>
      </c>
      <c r="F353" s="25" t="s">
        <v>162</v>
      </c>
      <c r="G353" s="25" t="n">
        <v>1635</v>
      </c>
      <c r="H353" s="25" t="s">
        <v>607</v>
      </c>
      <c r="I353" s="25" t="n">
        <v>2</v>
      </c>
      <c r="J353" s="26" t="n">
        <v>100</v>
      </c>
      <c r="K353" s="25" t="s">
        <v>546</v>
      </c>
      <c r="L353" s="25" t="s">
        <v>547</v>
      </c>
      <c r="M353" s="26" t="n">
        <f aca="false">IF(AND(L353="Oui",K353="Principal"),I353*J353,0)</f>
        <v>200</v>
      </c>
      <c r="N353" s="25" t="s">
        <v>548</v>
      </c>
      <c r="O353" s="25"/>
      <c r="P353" s="25" t="s">
        <v>556</v>
      </c>
      <c r="Q353" s="25" t="s">
        <v>557</v>
      </c>
      <c r="R353" s="26" t="n">
        <v>80</v>
      </c>
      <c r="S353" s="26" t="n">
        <f aca="false">IF(AND(L353="Oui",K353="Principal",R353&lt;&gt;""),I353*R353,0)</f>
        <v>160</v>
      </c>
      <c r="T353" s="26" t="n">
        <f aca="false">IF(R353&lt;&gt;"",M353-S353,0)</f>
        <v>40</v>
      </c>
      <c r="U353" s="26" t="n">
        <f aca="false">IF(R353="",M353,0)</f>
        <v>0</v>
      </c>
    </row>
    <row r="354" customFormat="false" ht="15" hidden="false" customHeight="false" outlineLevel="0" collapsed="false">
      <c r="A354" s="25" t="s">
        <v>53</v>
      </c>
      <c r="B354" s="25" t="s">
        <v>56</v>
      </c>
      <c r="C354" s="25" t="s">
        <v>48</v>
      </c>
      <c r="D354" s="25" t="n">
        <v>7</v>
      </c>
      <c r="E354" s="25" t="s">
        <v>563</v>
      </c>
      <c r="F354" s="25" t="s">
        <v>197</v>
      </c>
      <c r="G354" s="25" t="n">
        <v>1674</v>
      </c>
      <c r="H354" s="25" t="s">
        <v>630</v>
      </c>
      <c r="I354" s="25" t="n">
        <v>1</v>
      </c>
      <c r="J354" s="26" t="n">
        <v>100</v>
      </c>
      <c r="K354" s="25" t="s">
        <v>546</v>
      </c>
      <c r="L354" s="25" t="s">
        <v>547</v>
      </c>
      <c r="M354" s="26" t="n">
        <f aca="false">IF(AND(L354="Oui",K354="Principal"),I354*J354,0)</f>
        <v>100</v>
      </c>
      <c r="N354" s="25" t="s">
        <v>548</v>
      </c>
      <c r="O354" s="25"/>
      <c r="P354" s="25" t="s">
        <v>556</v>
      </c>
      <c r="Q354" s="25" t="s">
        <v>557</v>
      </c>
      <c r="R354" s="26" t="n">
        <v>80</v>
      </c>
      <c r="S354" s="26" t="n">
        <f aca="false">IF(AND(L354="Oui",K354="Principal",R354&lt;&gt;""),I354*R354,0)</f>
        <v>80</v>
      </c>
      <c r="T354" s="26" t="n">
        <f aca="false">IF(R354&lt;&gt;"",M354-S354,0)</f>
        <v>20</v>
      </c>
      <c r="U354" s="26" t="n">
        <f aca="false">IF(R354="",M354,0)</f>
        <v>0</v>
      </c>
    </row>
    <row r="355" customFormat="false" ht="15" hidden="false" customHeight="false" outlineLevel="0" collapsed="false">
      <c r="A355" s="25" t="s">
        <v>53</v>
      </c>
      <c r="B355" s="25" t="s">
        <v>56</v>
      </c>
      <c r="C355" s="25" t="s">
        <v>48</v>
      </c>
      <c r="D355" s="25" t="n">
        <v>8</v>
      </c>
      <c r="E355" s="25" t="s">
        <v>565</v>
      </c>
      <c r="F355" s="25" t="s">
        <v>99</v>
      </c>
      <c r="G355" s="25" t="n">
        <v>9</v>
      </c>
      <c r="H355" s="25" t="s">
        <v>566</v>
      </c>
      <c r="I355" s="25" t="n">
        <v>2</v>
      </c>
      <c r="J355" s="26" t="n">
        <v>150</v>
      </c>
      <c r="K355" s="25" t="s">
        <v>546</v>
      </c>
      <c r="L355" s="25" t="s">
        <v>547</v>
      </c>
      <c r="M355" s="26" t="n">
        <f aca="false">IF(AND(L355="Oui",K355="Principal"),I355*J355,0)</f>
        <v>300</v>
      </c>
      <c r="N355" s="25" t="s">
        <v>548</v>
      </c>
      <c r="O355" s="25"/>
      <c r="P355" s="25" t="s">
        <v>559</v>
      </c>
      <c r="Q355" s="25" t="s">
        <v>551</v>
      </c>
      <c r="R355" s="26"/>
      <c r="S355" s="26" t="n">
        <f aca="false">IF(AND(L355="Oui",K355="Principal",R355&lt;&gt;""),I355*R355,0)</f>
        <v>0</v>
      </c>
      <c r="T355" s="26" t="n">
        <f aca="false">IF(R355&lt;&gt;"",M355-S355,0)</f>
        <v>0</v>
      </c>
      <c r="U355" s="26" t="n">
        <f aca="false">IF(R355="",M355,0)</f>
        <v>300</v>
      </c>
    </row>
    <row r="356" customFormat="false" ht="15" hidden="false" customHeight="false" outlineLevel="0" collapsed="false">
      <c r="A356" s="25" t="s">
        <v>53</v>
      </c>
      <c r="B356" s="25" t="s">
        <v>56</v>
      </c>
      <c r="C356" s="25" t="s">
        <v>48</v>
      </c>
      <c r="D356" s="25" t="n">
        <v>9</v>
      </c>
      <c r="E356" s="25" t="s">
        <v>565</v>
      </c>
      <c r="F356" s="25" t="s">
        <v>164</v>
      </c>
      <c r="G356" s="25" t="n">
        <v>10</v>
      </c>
      <c r="H356" s="25" t="s">
        <v>608</v>
      </c>
      <c r="I356" s="25" t="n">
        <v>1</v>
      </c>
      <c r="J356" s="26" t="n">
        <v>200</v>
      </c>
      <c r="K356" s="25" t="s">
        <v>546</v>
      </c>
      <c r="L356" s="25" t="s">
        <v>547</v>
      </c>
      <c r="M356" s="26" t="n">
        <f aca="false">IF(AND(L356="Oui",K356="Principal"),I356*J356,0)</f>
        <v>200</v>
      </c>
      <c r="N356" s="25" t="s">
        <v>548</v>
      </c>
      <c r="O356" s="25"/>
      <c r="P356" s="25" t="s">
        <v>559</v>
      </c>
      <c r="Q356" s="25" t="s">
        <v>551</v>
      </c>
      <c r="R356" s="26"/>
      <c r="S356" s="26" t="n">
        <f aca="false">IF(AND(L356="Oui",K356="Principal",R356&lt;&gt;""),I356*R356,0)</f>
        <v>0</v>
      </c>
      <c r="T356" s="26" t="n">
        <f aca="false">IF(R356&lt;&gt;"",M356-S356,0)</f>
        <v>0</v>
      </c>
      <c r="U356" s="26" t="n">
        <f aca="false">IF(R356="",M356,0)</f>
        <v>200</v>
      </c>
    </row>
    <row r="357" customFormat="false" ht="15" hidden="false" customHeight="false" outlineLevel="0" collapsed="false">
      <c r="A357" s="33" t="s">
        <v>53</v>
      </c>
      <c r="B357" s="33" t="s">
        <v>56</v>
      </c>
      <c r="C357" s="33" t="s">
        <v>48</v>
      </c>
      <c r="D357" s="33" t="n">
        <v>10</v>
      </c>
      <c r="E357" s="33" t="s">
        <v>609</v>
      </c>
      <c r="F357" s="33" t="s">
        <v>199</v>
      </c>
      <c r="G357" s="33" t="n">
        <v>1229</v>
      </c>
      <c r="H357" s="33" t="s">
        <v>643</v>
      </c>
      <c r="I357" s="33" t="n">
        <v>1</v>
      </c>
      <c r="J357" s="34" t="n">
        <v>1800</v>
      </c>
      <c r="K357" s="33" t="s">
        <v>546</v>
      </c>
      <c r="L357" s="33" t="s">
        <v>547</v>
      </c>
      <c r="M357" s="34" t="n">
        <f aca="false">IF(AND(L357="Oui",K357="Principal"),I357*J357,0)</f>
        <v>1800</v>
      </c>
      <c r="N357" s="33" t="s">
        <v>182</v>
      </c>
      <c r="O357" s="33" t="s">
        <v>644</v>
      </c>
      <c r="P357" s="33" t="s">
        <v>550</v>
      </c>
      <c r="Q357" s="33" t="s">
        <v>557</v>
      </c>
      <c r="R357" s="34" t="n">
        <v>1500</v>
      </c>
      <c r="S357" s="34" t="n">
        <f aca="false">IF(AND(L357="Oui",K357="Principal",R357&lt;&gt;""),I357*R357,0)</f>
        <v>1500</v>
      </c>
      <c r="T357" s="34" t="n">
        <f aca="false">IF(R357&lt;&gt;"",M357-S357,0)</f>
        <v>300</v>
      </c>
      <c r="U357" s="34" t="n">
        <f aca="false">IF(R357="",M357,0)</f>
        <v>0</v>
      </c>
    </row>
    <row r="358" customFormat="false" ht="15" hidden="false" customHeight="false" outlineLevel="0" collapsed="false">
      <c r="A358" s="25" t="s">
        <v>53</v>
      </c>
      <c r="B358" s="25" t="s">
        <v>56</v>
      </c>
      <c r="C358" s="25" t="s">
        <v>48</v>
      </c>
      <c r="D358" s="25" t="n">
        <v>11</v>
      </c>
      <c r="E358" s="25" t="s">
        <v>554</v>
      </c>
      <c r="F358" s="25" t="s">
        <v>104</v>
      </c>
      <c r="G358" s="25" t="n">
        <v>1589</v>
      </c>
      <c r="H358" s="25" t="s">
        <v>568</v>
      </c>
      <c r="I358" s="25" t="n">
        <v>1</v>
      </c>
      <c r="J358" s="26" t="n">
        <v>900</v>
      </c>
      <c r="K358" s="25" t="s">
        <v>546</v>
      </c>
      <c r="L358" s="25" t="s">
        <v>547</v>
      </c>
      <c r="M358" s="26" t="n">
        <f aca="false">IF(AND(L358="Oui",K358="Principal"),I358*J358,0)</f>
        <v>900</v>
      </c>
      <c r="N358" s="25" t="s">
        <v>548</v>
      </c>
      <c r="O358" s="25"/>
      <c r="P358" s="25" t="s">
        <v>556</v>
      </c>
      <c r="Q358" s="25" t="s">
        <v>557</v>
      </c>
      <c r="R358" s="26" t="n">
        <v>650</v>
      </c>
      <c r="S358" s="26" t="n">
        <f aca="false">IF(AND(L358="Oui",K358="Principal",R358&lt;&gt;""),I358*R358,0)</f>
        <v>650</v>
      </c>
      <c r="T358" s="26" t="n">
        <f aca="false">IF(R358&lt;&gt;"",M358-S358,0)</f>
        <v>250</v>
      </c>
      <c r="U358" s="26" t="n">
        <f aca="false">IF(R358="",M358,0)</f>
        <v>0</v>
      </c>
    </row>
    <row r="359" customFormat="false" ht="15" hidden="false" customHeight="false" outlineLevel="0" collapsed="false">
      <c r="A359" s="25" t="s">
        <v>53</v>
      </c>
      <c r="B359" s="25" t="s">
        <v>56</v>
      </c>
      <c r="C359" s="25" t="s">
        <v>48</v>
      </c>
      <c r="D359" s="25" t="n">
        <v>12</v>
      </c>
      <c r="E359" s="25" t="s">
        <v>565</v>
      </c>
      <c r="F359" s="25" t="s">
        <v>166</v>
      </c>
      <c r="G359" s="25" t="n">
        <v>1173</v>
      </c>
      <c r="H359" s="25" t="s">
        <v>569</v>
      </c>
      <c r="I359" s="25" t="n">
        <v>1</v>
      </c>
      <c r="J359" s="26" t="n">
        <v>570</v>
      </c>
      <c r="K359" s="25" t="s">
        <v>546</v>
      </c>
      <c r="L359" s="25" t="s">
        <v>547</v>
      </c>
      <c r="M359" s="26" t="n">
        <f aca="false">IF(AND(L359="Oui",K359="Principal"),I359*J359,0)</f>
        <v>570</v>
      </c>
      <c r="N359" s="25" t="s">
        <v>548</v>
      </c>
      <c r="O359" s="25"/>
      <c r="P359" s="25" t="s">
        <v>550</v>
      </c>
      <c r="Q359" s="25" t="s">
        <v>557</v>
      </c>
      <c r="R359" s="26" t="n">
        <v>420</v>
      </c>
      <c r="S359" s="26" t="n">
        <f aca="false">IF(AND(L359="Oui",K359="Principal",R359&lt;&gt;""),I359*R359,0)</f>
        <v>420</v>
      </c>
      <c r="T359" s="26" t="n">
        <f aca="false">IF(R359&lt;&gt;"",M359-S359,0)</f>
        <v>150</v>
      </c>
      <c r="U359" s="26" t="n">
        <f aca="false">IF(R359="",M359,0)</f>
        <v>0</v>
      </c>
    </row>
    <row r="360" customFormat="false" ht="15" hidden="false" customHeight="false" outlineLevel="0" collapsed="false">
      <c r="A360" s="25" t="s">
        <v>53</v>
      </c>
      <c r="B360" s="25" t="s">
        <v>56</v>
      </c>
      <c r="C360" s="25" t="s">
        <v>48</v>
      </c>
      <c r="D360" s="25" t="n">
        <v>13</v>
      </c>
      <c r="E360" s="25" t="s">
        <v>565</v>
      </c>
      <c r="F360" s="25" t="s">
        <v>110</v>
      </c>
      <c r="G360" s="25" t="n">
        <v>1250</v>
      </c>
      <c r="H360" s="25" t="s">
        <v>570</v>
      </c>
      <c r="I360" s="25" t="n">
        <v>1</v>
      </c>
      <c r="J360" s="26" t="n">
        <v>250</v>
      </c>
      <c r="K360" s="25" t="s">
        <v>546</v>
      </c>
      <c r="L360" s="25" t="s">
        <v>547</v>
      </c>
      <c r="M360" s="26" t="n">
        <f aca="false">IF(AND(L360="Oui",K360="Principal"),I360*J360,0)</f>
        <v>250</v>
      </c>
      <c r="N360" s="25" t="s">
        <v>548</v>
      </c>
      <c r="O360" s="25"/>
      <c r="P360" s="25" t="s">
        <v>550</v>
      </c>
      <c r="Q360" s="25" t="s">
        <v>557</v>
      </c>
      <c r="R360" s="26" t="n">
        <v>100</v>
      </c>
      <c r="S360" s="26" t="n">
        <f aca="false">IF(AND(L360="Oui",K360="Principal",R360&lt;&gt;""),I360*R360,0)</f>
        <v>100</v>
      </c>
      <c r="T360" s="26" t="n">
        <f aca="false">IF(R360&lt;&gt;"",M360-S360,0)</f>
        <v>150</v>
      </c>
      <c r="U360" s="26" t="n">
        <f aca="false">IF(R360="",M360,0)</f>
        <v>0</v>
      </c>
    </row>
    <row r="361" customFormat="false" ht="15" hidden="false" customHeight="false" outlineLevel="0" collapsed="false">
      <c r="A361" s="25" t="s">
        <v>53</v>
      </c>
      <c r="B361" s="25" t="s">
        <v>56</v>
      </c>
      <c r="C361" s="25" t="s">
        <v>48</v>
      </c>
      <c r="D361" s="25" t="n">
        <v>14</v>
      </c>
      <c r="E361" s="25" t="s">
        <v>167</v>
      </c>
      <c r="F361" s="25" t="s">
        <v>167</v>
      </c>
      <c r="G361" s="25" t="n">
        <v>1255</v>
      </c>
      <c r="H361" s="25" t="s">
        <v>610</v>
      </c>
      <c r="I361" s="25" t="n">
        <v>1</v>
      </c>
      <c r="J361" s="26" t="n">
        <v>900</v>
      </c>
      <c r="K361" s="25" t="s">
        <v>546</v>
      </c>
      <c r="L361" s="25" t="s">
        <v>547</v>
      </c>
      <c r="M361" s="26" t="n">
        <f aca="false">IF(AND(L361="Oui",K361="Principal"),I361*J361,0)</f>
        <v>900</v>
      </c>
      <c r="N361" s="25" t="s">
        <v>548</v>
      </c>
      <c r="O361" s="25"/>
      <c r="P361" s="25" t="s">
        <v>550</v>
      </c>
      <c r="Q361" s="25" t="s">
        <v>557</v>
      </c>
      <c r="R361" s="26" t="n">
        <v>600</v>
      </c>
      <c r="S361" s="26" t="n">
        <f aca="false">IF(AND(L361="Oui",K361="Principal",R361&lt;&gt;""),I361*R361,0)</f>
        <v>600</v>
      </c>
      <c r="T361" s="26" t="n">
        <f aca="false">IF(R361&lt;&gt;"",M361-S361,0)</f>
        <v>300</v>
      </c>
      <c r="U361" s="26" t="n">
        <f aca="false">IF(R361="",M361,0)</f>
        <v>0</v>
      </c>
    </row>
    <row r="362" customFormat="false" ht="15" hidden="false" customHeight="false" outlineLevel="0" collapsed="false">
      <c r="A362" s="31" t="s">
        <v>53</v>
      </c>
      <c r="B362" s="31" t="s">
        <v>56</v>
      </c>
      <c r="C362" s="31" t="s">
        <v>48</v>
      </c>
      <c r="D362" s="31" t="n">
        <v>15</v>
      </c>
      <c r="E362" s="31" t="s">
        <v>167</v>
      </c>
      <c r="F362" s="31" t="s">
        <v>170</v>
      </c>
      <c r="G362" s="31" t="s">
        <v>611</v>
      </c>
      <c r="H362" s="31" t="s">
        <v>612</v>
      </c>
      <c r="I362" s="31" t="n">
        <v>20</v>
      </c>
      <c r="J362" s="32" t="n">
        <v>25</v>
      </c>
      <c r="K362" s="31" t="s">
        <v>546</v>
      </c>
      <c r="L362" s="31" t="s">
        <v>547</v>
      </c>
      <c r="M362" s="32" t="n">
        <f aca="false">IF(AND(L362="Oui",K362="Principal"),I362*J362,0)</f>
        <v>500</v>
      </c>
      <c r="N362" s="31" t="s">
        <v>172</v>
      </c>
      <c r="O362" s="31" t="s">
        <v>613</v>
      </c>
      <c r="P362" s="31" t="s">
        <v>550</v>
      </c>
      <c r="Q362" s="31" t="s">
        <v>557</v>
      </c>
      <c r="R362" s="32" t="n">
        <v>25</v>
      </c>
      <c r="S362" s="32" t="n">
        <f aca="false">IF(AND(L362="Oui",K362="Principal",R362&lt;&gt;""),I362*R362,0)</f>
        <v>500</v>
      </c>
      <c r="T362" s="32" t="n">
        <f aca="false">IF(R362&lt;&gt;"",M362-S362,0)</f>
        <v>0</v>
      </c>
      <c r="U362" s="32" t="n">
        <f aca="false">IF(R362="",M362,0)</f>
        <v>0</v>
      </c>
    </row>
    <row r="363" customFormat="false" ht="15" hidden="false" customHeight="false" outlineLevel="0" collapsed="false">
      <c r="A363" s="25" t="s">
        <v>53</v>
      </c>
      <c r="B363" s="25" t="s">
        <v>56</v>
      </c>
      <c r="C363" s="25" t="s">
        <v>48</v>
      </c>
      <c r="D363" s="25" t="n">
        <v>16</v>
      </c>
      <c r="E363" s="25" t="s">
        <v>167</v>
      </c>
      <c r="F363" s="25" t="s">
        <v>173</v>
      </c>
      <c r="G363" s="25" t="n">
        <v>1202</v>
      </c>
      <c r="H363" s="25" t="s">
        <v>599</v>
      </c>
      <c r="I363" s="25" t="n">
        <v>1</v>
      </c>
      <c r="J363" s="26" t="n">
        <v>250</v>
      </c>
      <c r="K363" s="25" t="s">
        <v>546</v>
      </c>
      <c r="L363" s="25" t="s">
        <v>547</v>
      </c>
      <c r="M363" s="26" t="n">
        <f aca="false">IF(AND(L363="Oui",K363="Principal"),I363*J363,0)</f>
        <v>250</v>
      </c>
      <c r="N363" s="25" t="s">
        <v>548</v>
      </c>
      <c r="O363" s="25"/>
      <c r="P363" s="25" t="s">
        <v>550</v>
      </c>
      <c r="Q363" s="25" t="s">
        <v>557</v>
      </c>
      <c r="R363" s="26" t="n">
        <v>100</v>
      </c>
      <c r="S363" s="26" t="n">
        <f aca="false">IF(AND(L363="Oui",K363="Principal",R363&lt;&gt;""),I363*R363,0)</f>
        <v>100</v>
      </c>
      <c r="T363" s="26" t="n">
        <f aca="false">IF(R363&lt;&gt;"",M363-S363,0)</f>
        <v>150</v>
      </c>
      <c r="U363" s="26" t="n">
        <f aca="false">IF(R363="",M363,0)</f>
        <v>0</v>
      </c>
    </row>
    <row r="364" customFormat="false" ht="15" hidden="false" customHeight="false" outlineLevel="0" collapsed="false">
      <c r="A364" s="25" t="s">
        <v>53</v>
      </c>
      <c r="B364" s="25" t="s">
        <v>56</v>
      </c>
      <c r="C364" s="25" t="s">
        <v>48</v>
      </c>
      <c r="D364" s="25" t="n">
        <v>17</v>
      </c>
      <c r="E364" s="25" t="s">
        <v>573</v>
      </c>
      <c r="F364" s="25" t="s">
        <v>176</v>
      </c>
      <c r="G364" s="25" t="n">
        <v>19</v>
      </c>
      <c r="H364" s="25" t="s">
        <v>615</v>
      </c>
      <c r="I364" s="25" t="n">
        <v>1</v>
      </c>
      <c r="J364" s="26" t="n">
        <v>2500</v>
      </c>
      <c r="K364" s="25" t="s">
        <v>546</v>
      </c>
      <c r="L364" s="25" t="s">
        <v>547</v>
      </c>
      <c r="M364" s="26" t="n">
        <f aca="false">IF(AND(L364="Oui",K364="Principal"),I364*J364,0)</f>
        <v>2500</v>
      </c>
      <c r="N364" s="25" t="s">
        <v>548</v>
      </c>
      <c r="O364" s="25"/>
      <c r="P364" s="25" t="s">
        <v>559</v>
      </c>
      <c r="Q364" s="25" t="s">
        <v>551</v>
      </c>
      <c r="R364" s="26"/>
      <c r="S364" s="26" t="n">
        <f aca="false">IF(AND(L364="Oui",K364="Principal",R364&lt;&gt;""),I364*R364,0)</f>
        <v>0</v>
      </c>
      <c r="T364" s="26" t="n">
        <f aca="false">IF(R364&lt;&gt;"",M364-S364,0)</f>
        <v>0</v>
      </c>
      <c r="U364" s="26" t="n">
        <f aca="false">IF(R364="",M364,0)</f>
        <v>2500</v>
      </c>
    </row>
    <row r="365" customFormat="false" ht="15" hidden="false" customHeight="false" outlineLevel="0" collapsed="false">
      <c r="A365" s="25" t="s">
        <v>53</v>
      </c>
      <c r="B365" s="25" t="s">
        <v>56</v>
      </c>
      <c r="C365" s="25" t="s">
        <v>48</v>
      </c>
      <c r="D365" s="25" t="n">
        <v>18</v>
      </c>
      <c r="E365" s="25" t="s">
        <v>573</v>
      </c>
      <c r="F365" s="25" t="s">
        <v>117</v>
      </c>
      <c r="G365" s="25" t="n">
        <v>1287</v>
      </c>
      <c r="H365" s="25" t="s">
        <v>575</v>
      </c>
      <c r="I365" s="25" t="n">
        <v>1</v>
      </c>
      <c r="J365" s="26" t="n">
        <v>2500</v>
      </c>
      <c r="K365" s="25" t="s">
        <v>546</v>
      </c>
      <c r="L365" s="25" t="s">
        <v>547</v>
      </c>
      <c r="M365" s="26" t="n">
        <f aca="false">IF(AND(L365="Oui",K365="Principal"),I365*J365,0)</f>
        <v>2500</v>
      </c>
      <c r="N365" s="25" t="s">
        <v>548</v>
      </c>
      <c r="O365" s="25" t="s">
        <v>576</v>
      </c>
      <c r="P365" s="25" t="s">
        <v>550</v>
      </c>
      <c r="Q365" s="25" t="s">
        <v>557</v>
      </c>
      <c r="R365" s="26" t="n">
        <v>1800</v>
      </c>
      <c r="S365" s="26" t="n">
        <f aca="false">IF(AND(L365="Oui",K365="Principal",R365&lt;&gt;""),I365*R365,0)</f>
        <v>1800</v>
      </c>
      <c r="T365" s="26" t="n">
        <f aca="false">IF(R365&lt;&gt;"",M365-S365,0)</f>
        <v>700</v>
      </c>
      <c r="U365" s="26" t="n">
        <f aca="false">IF(R365="",M365,0)</f>
        <v>0</v>
      </c>
    </row>
    <row r="366" customFormat="false" ht="15" hidden="false" customHeight="false" outlineLevel="0" collapsed="false">
      <c r="A366" s="25" t="s">
        <v>53</v>
      </c>
      <c r="B366" s="25" t="s">
        <v>56</v>
      </c>
      <c r="C366" s="25" t="s">
        <v>48</v>
      </c>
      <c r="D366" s="25" t="n">
        <v>19</v>
      </c>
      <c r="E366" s="25" t="s">
        <v>616</v>
      </c>
      <c r="F366" s="25" t="s">
        <v>223</v>
      </c>
      <c r="G366" s="25" t="n">
        <v>1511</v>
      </c>
      <c r="H366" s="25" t="s">
        <v>645</v>
      </c>
      <c r="I366" s="25" t="n">
        <v>1</v>
      </c>
      <c r="J366" s="26" t="n">
        <v>3900</v>
      </c>
      <c r="K366" s="25" t="s">
        <v>618</v>
      </c>
      <c r="L366" s="25" t="s">
        <v>579</v>
      </c>
      <c r="M366" s="26" t="n">
        <f aca="false">IF(AND(L366="Oui",K366="Principal"),I366*J366,0)</f>
        <v>0</v>
      </c>
      <c r="N366" s="25" t="s">
        <v>548</v>
      </c>
      <c r="O366" s="25"/>
      <c r="P366" s="25" t="s">
        <v>550</v>
      </c>
      <c r="Q366" s="25" t="s">
        <v>557</v>
      </c>
      <c r="R366" s="26" t="n">
        <v>2900</v>
      </c>
      <c r="S366" s="26" t="n">
        <f aca="false">IF(AND(L366="Oui",K366="Principal",R366&lt;&gt;""),I366*R366,0)</f>
        <v>0</v>
      </c>
      <c r="T366" s="26" t="n">
        <f aca="false">IF(R366&lt;&gt;"",M366-S366,0)</f>
        <v>0</v>
      </c>
      <c r="U366" s="26" t="n">
        <f aca="false">IF(R366="",M366,0)</f>
        <v>0</v>
      </c>
    </row>
    <row r="367" customFormat="false" ht="15" hidden="false" customHeight="false" outlineLevel="0" collapsed="false">
      <c r="A367" s="25" t="s">
        <v>53</v>
      </c>
      <c r="B367" s="25" t="s">
        <v>56</v>
      </c>
      <c r="C367" s="25" t="s">
        <v>48</v>
      </c>
      <c r="D367" s="25" t="n">
        <v>20</v>
      </c>
      <c r="E367" s="25" t="s">
        <v>616</v>
      </c>
      <c r="F367" s="25" t="s">
        <v>225</v>
      </c>
      <c r="G367" s="25" t="n">
        <v>1505</v>
      </c>
      <c r="H367" s="25" t="s">
        <v>646</v>
      </c>
      <c r="I367" s="25" t="n">
        <v>1</v>
      </c>
      <c r="J367" s="26" t="n">
        <v>5000</v>
      </c>
      <c r="K367" s="25" t="s">
        <v>618</v>
      </c>
      <c r="L367" s="25" t="s">
        <v>579</v>
      </c>
      <c r="M367" s="26" t="n">
        <f aca="false">IF(AND(L367="Oui",K367="Principal"),I367*J367,0)</f>
        <v>0</v>
      </c>
      <c r="N367" s="25" t="s">
        <v>548</v>
      </c>
      <c r="O367" s="25"/>
      <c r="P367" s="25" t="s">
        <v>550</v>
      </c>
      <c r="Q367" s="25" t="s">
        <v>557</v>
      </c>
      <c r="R367" s="26" t="n">
        <v>3000</v>
      </c>
      <c r="S367" s="26" t="n">
        <f aca="false">IF(AND(L367="Oui",K367="Principal",R367&lt;&gt;""),I367*R367,0)</f>
        <v>0</v>
      </c>
      <c r="T367" s="26" t="n">
        <f aca="false">IF(R367&lt;&gt;"",M367-S367,0)</f>
        <v>0</v>
      </c>
      <c r="U367" s="26" t="n">
        <f aca="false">IF(R367="",M367,0)</f>
        <v>0</v>
      </c>
    </row>
    <row r="368" customFormat="false" ht="15" hidden="false" customHeight="false" outlineLevel="0" collapsed="false">
      <c r="A368" s="25" t="s">
        <v>53</v>
      </c>
      <c r="B368" s="25" t="s">
        <v>56</v>
      </c>
      <c r="C368" s="25" t="s">
        <v>48</v>
      </c>
      <c r="D368" s="25" t="n">
        <v>21</v>
      </c>
      <c r="E368" s="25" t="s">
        <v>616</v>
      </c>
      <c r="F368" s="25" t="s">
        <v>227</v>
      </c>
      <c r="G368" s="25" t="n">
        <v>1518</v>
      </c>
      <c r="H368" s="25" t="s">
        <v>647</v>
      </c>
      <c r="I368" s="25" t="n">
        <v>1</v>
      </c>
      <c r="J368" s="26" t="n">
        <v>4000</v>
      </c>
      <c r="K368" s="25" t="s">
        <v>618</v>
      </c>
      <c r="L368" s="25" t="s">
        <v>579</v>
      </c>
      <c r="M368" s="26" t="n">
        <f aca="false">IF(AND(L368="Oui",K368="Principal"),I368*J368,0)</f>
        <v>0</v>
      </c>
      <c r="N368" s="25" t="s">
        <v>548</v>
      </c>
      <c r="O368" s="25"/>
      <c r="P368" s="25" t="s">
        <v>550</v>
      </c>
      <c r="Q368" s="25" t="s">
        <v>557</v>
      </c>
      <c r="R368" s="26" t="n">
        <v>3000</v>
      </c>
      <c r="S368" s="26" t="n">
        <f aca="false">IF(AND(L368="Oui",K368="Principal",R368&lt;&gt;""),I368*R368,0)</f>
        <v>0</v>
      </c>
      <c r="T368" s="26" t="n">
        <f aca="false">IF(R368&lt;&gt;"",M368-S368,0)</f>
        <v>0</v>
      </c>
      <c r="U368" s="26" t="n">
        <f aca="false">IF(R368="",M368,0)</f>
        <v>0</v>
      </c>
    </row>
    <row r="369" customFormat="false" ht="15" hidden="false" customHeight="false" outlineLevel="0" collapsed="false">
      <c r="A369" s="25" t="s">
        <v>53</v>
      </c>
      <c r="B369" s="25" t="s">
        <v>56</v>
      </c>
      <c r="C369" s="25" t="s">
        <v>48</v>
      </c>
      <c r="D369" s="25" t="n">
        <v>22</v>
      </c>
      <c r="E369" s="25" t="s">
        <v>616</v>
      </c>
      <c r="F369" s="25" t="s">
        <v>229</v>
      </c>
      <c r="G369" s="25" t="n">
        <v>1486</v>
      </c>
      <c r="H369" s="25" t="s">
        <v>648</v>
      </c>
      <c r="I369" s="25" t="n">
        <v>1</v>
      </c>
      <c r="J369" s="26" t="n">
        <v>4000</v>
      </c>
      <c r="K369" s="25" t="s">
        <v>618</v>
      </c>
      <c r="L369" s="25" t="s">
        <v>579</v>
      </c>
      <c r="M369" s="26" t="n">
        <f aca="false">IF(AND(L369="Oui",K369="Principal"),I369*J369,0)</f>
        <v>0</v>
      </c>
      <c r="N369" s="25" t="s">
        <v>548</v>
      </c>
      <c r="O369" s="25"/>
      <c r="P369" s="25" t="s">
        <v>550</v>
      </c>
      <c r="Q369" s="25" t="s">
        <v>557</v>
      </c>
      <c r="R369" s="26" t="n">
        <v>3000</v>
      </c>
      <c r="S369" s="26" t="n">
        <f aca="false">IF(AND(L369="Oui",K369="Principal",R369&lt;&gt;""),I369*R369,0)</f>
        <v>0</v>
      </c>
      <c r="T369" s="26" t="n">
        <f aca="false">IF(R369&lt;&gt;"",M369-S369,0)</f>
        <v>0</v>
      </c>
      <c r="U369" s="26" t="n">
        <f aca="false">IF(R369="",M369,0)</f>
        <v>0</v>
      </c>
    </row>
    <row r="370" customFormat="false" ht="15" hidden="false" customHeight="false" outlineLevel="0" collapsed="false">
      <c r="A370" s="25" t="s">
        <v>53</v>
      </c>
      <c r="B370" s="25" t="s">
        <v>56</v>
      </c>
      <c r="C370" s="25" t="s">
        <v>48</v>
      </c>
      <c r="D370" s="25" t="n">
        <v>23</v>
      </c>
      <c r="E370" s="25" t="s">
        <v>577</v>
      </c>
      <c r="F370" s="25" t="s">
        <v>120</v>
      </c>
      <c r="G370" s="25" t="n">
        <v>1199</v>
      </c>
      <c r="H370" s="25" t="s">
        <v>622</v>
      </c>
      <c r="I370" s="25" t="n">
        <v>1</v>
      </c>
      <c r="J370" s="26" t="n">
        <v>7500</v>
      </c>
      <c r="K370" s="25" t="s">
        <v>577</v>
      </c>
      <c r="L370" s="25" t="s">
        <v>579</v>
      </c>
      <c r="M370" s="26" t="n">
        <f aca="false">IF(AND(L370="Oui",K370="Principal"),I370*J370,0)</f>
        <v>0</v>
      </c>
      <c r="N370" s="25" t="s">
        <v>548</v>
      </c>
      <c r="O370" s="25"/>
      <c r="P370" s="25" t="s">
        <v>550</v>
      </c>
      <c r="Q370" s="25" t="s">
        <v>557</v>
      </c>
      <c r="R370" s="26" t="n">
        <v>6000</v>
      </c>
      <c r="S370" s="26" t="n">
        <f aca="false">IF(AND(L370="Oui",K370="Principal",R370&lt;&gt;""),I370*R370,0)</f>
        <v>0</v>
      </c>
      <c r="T370" s="26" t="n">
        <f aca="false">IF(R370&lt;&gt;"",M370-S370,0)</f>
        <v>0</v>
      </c>
      <c r="U370" s="26" t="n">
        <f aca="false">IF(R370="",M370,0)</f>
        <v>0</v>
      </c>
    </row>
    <row r="371" customFormat="false" ht="15" hidden="false" customHeight="false" outlineLevel="0" collapsed="false">
      <c r="A371" s="25" t="s">
        <v>53</v>
      </c>
      <c r="B371" s="25" t="s">
        <v>56</v>
      </c>
      <c r="C371" s="25" t="s">
        <v>49</v>
      </c>
      <c r="D371" s="25" t="n">
        <v>1</v>
      </c>
      <c r="E371" s="25" t="s">
        <v>544</v>
      </c>
      <c r="F371" s="25" t="s">
        <v>151</v>
      </c>
      <c r="G371" s="25" t="n">
        <v>1618</v>
      </c>
      <c r="H371" s="25" t="s">
        <v>600</v>
      </c>
      <c r="I371" s="25" t="n">
        <v>4</v>
      </c>
      <c r="J371" s="26" t="n">
        <v>450</v>
      </c>
      <c r="K371" s="25" t="s">
        <v>546</v>
      </c>
      <c r="L371" s="25" t="s">
        <v>547</v>
      </c>
      <c r="M371" s="26" t="n">
        <f aca="false">IF(AND(L371="Oui",K371="Principal"),I371*J371,0)</f>
        <v>1800</v>
      </c>
      <c r="N371" s="25" t="s">
        <v>548</v>
      </c>
      <c r="O371" s="25"/>
      <c r="P371" s="25" t="s">
        <v>556</v>
      </c>
      <c r="Q371" s="25" t="s">
        <v>557</v>
      </c>
      <c r="R371" s="26" t="n">
        <v>350</v>
      </c>
      <c r="S371" s="26" t="n">
        <f aca="false">IF(AND(L371="Oui",K371="Principal",R371&lt;&gt;""),I371*R371,0)</f>
        <v>1400</v>
      </c>
      <c r="T371" s="26" t="n">
        <f aca="false">IF(R371&lt;&gt;"",M371-S371,0)</f>
        <v>400</v>
      </c>
      <c r="U371" s="26" t="n">
        <f aca="false">IF(R371="",M371,0)</f>
        <v>0</v>
      </c>
    </row>
    <row r="372" customFormat="false" ht="15" hidden="false" customHeight="false" outlineLevel="0" collapsed="false">
      <c r="A372" s="25" t="s">
        <v>53</v>
      </c>
      <c r="B372" s="25" t="s">
        <v>56</v>
      </c>
      <c r="C372" s="25" t="s">
        <v>49</v>
      </c>
      <c r="D372" s="25" t="n">
        <v>2</v>
      </c>
      <c r="E372" s="25" t="s">
        <v>544</v>
      </c>
      <c r="F372" s="25" t="s">
        <v>158</v>
      </c>
      <c r="G372" s="25" t="n">
        <v>1575</v>
      </c>
      <c r="H372" s="25" t="s">
        <v>605</v>
      </c>
      <c r="I372" s="25" t="n">
        <v>4</v>
      </c>
      <c r="J372" s="26" t="n">
        <v>275</v>
      </c>
      <c r="K372" s="25" t="s">
        <v>546</v>
      </c>
      <c r="L372" s="25" t="s">
        <v>547</v>
      </c>
      <c r="M372" s="26" t="n">
        <f aca="false">IF(AND(L372="Oui",K372="Principal"),I372*J372,0)</f>
        <v>1100</v>
      </c>
      <c r="N372" s="25" t="s">
        <v>548</v>
      </c>
      <c r="O372" s="25"/>
      <c r="P372" s="25" t="s">
        <v>556</v>
      </c>
      <c r="Q372" s="25" t="s">
        <v>557</v>
      </c>
      <c r="R372" s="26" t="n">
        <v>175</v>
      </c>
      <c r="S372" s="26" t="n">
        <f aca="false">IF(AND(L372="Oui",K372="Principal",R372&lt;&gt;""),I372*R372,0)</f>
        <v>700</v>
      </c>
      <c r="T372" s="26" t="n">
        <f aca="false">IF(R372&lt;&gt;"",M372-S372,0)</f>
        <v>400</v>
      </c>
      <c r="U372" s="26" t="n">
        <f aca="false">IF(R372="",M372,0)</f>
        <v>0</v>
      </c>
    </row>
    <row r="373" customFormat="false" ht="15" hidden="false" customHeight="false" outlineLevel="0" collapsed="false">
      <c r="A373" s="25" t="s">
        <v>53</v>
      </c>
      <c r="B373" s="25" t="s">
        <v>56</v>
      </c>
      <c r="C373" s="25" t="s">
        <v>49</v>
      </c>
      <c r="D373" s="25" t="n">
        <v>3</v>
      </c>
      <c r="E373" s="25" t="s">
        <v>554</v>
      </c>
      <c r="F373" s="25" t="s">
        <v>88</v>
      </c>
      <c r="G373" s="25" t="n">
        <v>1286</v>
      </c>
      <c r="H373" s="25" t="s">
        <v>580</v>
      </c>
      <c r="I373" s="25" t="n">
        <v>1</v>
      </c>
      <c r="J373" s="26" t="n">
        <v>550</v>
      </c>
      <c r="K373" s="25" t="s">
        <v>546</v>
      </c>
      <c r="L373" s="25" t="s">
        <v>547</v>
      </c>
      <c r="M373" s="26" t="n">
        <f aca="false">IF(AND(L373="Oui",K373="Principal"),I373*J373,0)</f>
        <v>550</v>
      </c>
      <c r="N373" s="25" t="s">
        <v>548</v>
      </c>
      <c r="O373" s="25"/>
      <c r="P373" s="25" t="s">
        <v>550</v>
      </c>
      <c r="Q373" s="25" t="s">
        <v>557</v>
      </c>
      <c r="R373" s="26" t="n">
        <v>450</v>
      </c>
      <c r="S373" s="26" t="n">
        <f aca="false">IF(AND(L373="Oui",K373="Principal",R373&lt;&gt;""),I373*R373,0)</f>
        <v>450</v>
      </c>
      <c r="T373" s="26" t="n">
        <f aca="false">IF(R373&lt;&gt;"",M373-S373,0)</f>
        <v>100</v>
      </c>
      <c r="U373" s="26" t="n">
        <f aca="false">IF(R373="",M373,0)</f>
        <v>0</v>
      </c>
    </row>
    <row r="374" customFormat="false" ht="15" hidden="false" customHeight="false" outlineLevel="0" collapsed="false">
      <c r="A374" s="25" t="s">
        <v>53</v>
      </c>
      <c r="B374" s="25" t="s">
        <v>56</v>
      </c>
      <c r="C374" s="25" t="s">
        <v>49</v>
      </c>
      <c r="D374" s="25" t="n">
        <v>4</v>
      </c>
      <c r="E374" s="25" t="s">
        <v>160</v>
      </c>
      <c r="F374" s="25" t="s">
        <v>160</v>
      </c>
      <c r="G374" s="25" t="n">
        <v>1277</v>
      </c>
      <c r="H374" s="25" t="s">
        <v>606</v>
      </c>
      <c r="I374" s="25" t="n">
        <v>9</v>
      </c>
      <c r="J374" s="26" t="n">
        <v>150</v>
      </c>
      <c r="K374" s="25" t="s">
        <v>546</v>
      </c>
      <c r="L374" s="25" t="s">
        <v>547</v>
      </c>
      <c r="M374" s="26" t="n">
        <f aca="false">IF(AND(L374="Oui",K374="Principal"),I374*J374,0)</f>
        <v>1350</v>
      </c>
      <c r="N374" s="25" t="s">
        <v>548</v>
      </c>
      <c r="O374" s="25"/>
      <c r="P374" s="25" t="s">
        <v>550</v>
      </c>
      <c r="Q374" s="25" t="s">
        <v>557</v>
      </c>
      <c r="R374" s="26"/>
      <c r="S374" s="26" t="n">
        <f aca="false">IF(AND(L374="Oui",K374="Principal",R374&lt;&gt;""),I374*R374,0)</f>
        <v>0</v>
      </c>
      <c r="T374" s="26" t="n">
        <f aca="false">IF(R374&lt;&gt;"",M374-S374,0)</f>
        <v>0</v>
      </c>
      <c r="U374" s="26" t="n">
        <f aca="false">IF(R374="",M374,0)</f>
        <v>1350</v>
      </c>
    </row>
    <row r="375" customFormat="false" ht="15" hidden="false" customHeight="false" outlineLevel="0" collapsed="false">
      <c r="A375" s="25" t="s">
        <v>53</v>
      </c>
      <c r="B375" s="25" t="s">
        <v>56</v>
      </c>
      <c r="C375" s="25" t="s">
        <v>49</v>
      </c>
      <c r="D375" s="25" t="n">
        <v>5</v>
      </c>
      <c r="E375" s="25" t="s">
        <v>563</v>
      </c>
      <c r="F375" s="25" t="s">
        <v>188</v>
      </c>
      <c r="G375" s="25" t="n">
        <v>8</v>
      </c>
      <c r="H375" s="25" t="s">
        <v>188</v>
      </c>
      <c r="I375" s="25" t="n">
        <v>1</v>
      </c>
      <c r="J375" s="26" t="n">
        <v>500</v>
      </c>
      <c r="K375" s="25" t="s">
        <v>546</v>
      </c>
      <c r="L375" s="25" t="s">
        <v>547</v>
      </c>
      <c r="M375" s="26" t="n">
        <f aca="false">IF(AND(L375="Oui",K375="Principal"),I375*J375,0)</f>
        <v>500</v>
      </c>
      <c r="N375" s="25" t="s">
        <v>548</v>
      </c>
      <c r="O375" s="25"/>
      <c r="P375" s="25" t="s">
        <v>559</v>
      </c>
      <c r="Q375" s="25" t="s">
        <v>551</v>
      </c>
      <c r="R375" s="26"/>
      <c r="S375" s="26" t="n">
        <f aca="false">IF(AND(L375="Oui",K375="Principal",R375&lt;&gt;""),I375*R375,0)</f>
        <v>0</v>
      </c>
      <c r="T375" s="26" t="n">
        <f aca="false">IF(R375&lt;&gt;"",M375-S375,0)</f>
        <v>0</v>
      </c>
      <c r="U375" s="26" t="n">
        <f aca="false">IF(R375="",M375,0)</f>
        <v>500</v>
      </c>
    </row>
    <row r="376" customFormat="false" ht="15" hidden="false" customHeight="false" outlineLevel="0" collapsed="false">
      <c r="A376" s="25" t="s">
        <v>53</v>
      </c>
      <c r="B376" s="25" t="s">
        <v>56</v>
      </c>
      <c r="C376" s="25" t="s">
        <v>49</v>
      </c>
      <c r="D376" s="25" t="n">
        <v>6</v>
      </c>
      <c r="E376" s="25" t="s">
        <v>563</v>
      </c>
      <c r="F376" s="25" t="s">
        <v>162</v>
      </c>
      <c r="G376" s="25" t="n">
        <v>1635</v>
      </c>
      <c r="H376" s="25" t="s">
        <v>607</v>
      </c>
      <c r="I376" s="25" t="n">
        <v>2</v>
      </c>
      <c r="J376" s="26" t="n">
        <v>100</v>
      </c>
      <c r="K376" s="25" t="s">
        <v>546</v>
      </c>
      <c r="L376" s="25" t="s">
        <v>547</v>
      </c>
      <c r="M376" s="26" t="n">
        <f aca="false">IF(AND(L376="Oui",K376="Principal"),I376*J376,0)</f>
        <v>200</v>
      </c>
      <c r="N376" s="25" t="s">
        <v>548</v>
      </c>
      <c r="O376" s="25"/>
      <c r="P376" s="25" t="s">
        <v>556</v>
      </c>
      <c r="Q376" s="25" t="s">
        <v>557</v>
      </c>
      <c r="R376" s="26" t="n">
        <v>80</v>
      </c>
      <c r="S376" s="26" t="n">
        <f aca="false">IF(AND(L376="Oui",K376="Principal",R376&lt;&gt;""),I376*R376,0)</f>
        <v>160</v>
      </c>
      <c r="T376" s="26" t="n">
        <f aca="false">IF(R376&lt;&gt;"",M376-S376,0)</f>
        <v>40</v>
      </c>
      <c r="U376" s="26" t="n">
        <f aca="false">IF(R376="",M376,0)</f>
        <v>0</v>
      </c>
    </row>
    <row r="377" customFormat="false" ht="15" hidden="false" customHeight="false" outlineLevel="0" collapsed="false">
      <c r="A377" s="25" t="s">
        <v>53</v>
      </c>
      <c r="B377" s="25" t="s">
        <v>56</v>
      </c>
      <c r="C377" s="25" t="s">
        <v>49</v>
      </c>
      <c r="D377" s="25" t="n">
        <v>7</v>
      </c>
      <c r="E377" s="25" t="s">
        <v>563</v>
      </c>
      <c r="F377" s="25" t="s">
        <v>197</v>
      </c>
      <c r="G377" s="25" t="n">
        <v>1674</v>
      </c>
      <c r="H377" s="25" t="s">
        <v>630</v>
      </c>
      <c r="I377" s="25" t="n">
        <v>1</v>
      </c>
      <c r="J377" s="26" t="n">
        <v>100</v>
      </c>
      <c r="K377" s="25" t="s">
        <v>546</v>
      </c>
      <c r="L377" s="25" t="s">
        <v>547</v>
      </c>
      <c r="M377" s="26" t="n">
        <f aca="false">IF(AND(L377="Oui",K377="Principal"),I377*J377,0)</f>
        <v>100</v>
      </c>
      <c r="N377" s="25" t="s">
        <v>548</v>
      </c>
      <c r="O377" s="25"/>
      <c r="P377" s="25" t="s">
        <v>556</v>
      </c>
      <c r="Q377" s="25" t="s">
        <v>557</v>
      </c>
      <c r="R377" s="26" t="n">
        <v>80</v>
      </c>
      <c r="S377" s="26" t="n">
        <f aca="false">IF(AND(L377="Oui",K377="Principal",R377&lt;&gt;""),I377*R377,0)</f>
        <v>80</v>
      </c>
      <c r="T377" s="26" t="n">
        <f aca="false">IF(R377&lt;&gt;"",M377-S377,0)</f>
        <v>20</v>
      </c>
      <c r="U377" s="26" t="n">
        <f aca="false">IF(R377="",M377,0)</f>
        <v>0</v>
      </c>
    </row>
    <row r="378" customFormat="false" ht="15" hidden="false" customHeight="false" outlineLevel="0" collapsed="false">
      <c r="A378" s="25" t="s">
        <v>53</v>
      </c>
      <c r="B378" s="25" t="s">
        <v>56</v>
      </c>
      <c r="C378" s="25" t="s">
        <v>49</v>
      </c>
      <c r="D378" s="25" t="n">
        <v>8</v>
      </c>
      <c r="E378" s="25" t="s">
        <v>565</v>
      </c>
      <c r="F378" s="25" t="s">
        <v>99</v>
      </c>
      <c r="G378" s="25" t="n">
        <v>1181</v>
      </c>
      <c r="H378" s="25" t="s">
        <v>581</v>
      </c>
      <c r="I378" s="25" t="n">
        <v>2</v>
      </c>
      <c r="J378" s="26" t="n">
        <v>250</v>
      </c>
      <c r="K378" s="25" t="s">
        <v>546</v>
      </c>
      <c r="L378" s="25" t="s">
        <v>547</v>
      </c>
      <c r="M378" s="26" t="n">
        <f aca="false">IF(AND(L378="Oui",K378="Principal"),I378*J378,0)</f>
        <v>500</v>
      </c>
      <c r="N378" s="25" t="s">
        <v>548</v>
      </c>
      <c r="O378" s="25"/>
      <c r="P378" s="25" t="s">
        <v>550</v>
      </c>
      <c r="Q378" s="25" t="s">
        <v>557</v>
      </c>
      <c r="R378" s="26" t="n">
        <v>110</v>
      </c>
      <c r="S378" s="26" t="n">
        <f aca="false">IF(AND(L378="Oui",K378="Principal",R378&lt;&gt;""),I378*R378,0)</f>
        <v>220</v>
      </c>
      <c r="T378" s="26" t="n">
        <f aca="false">IF(R378&lt;&gt;"",M378-S378,0)</f>
        <v>280</v>
      </c>
      <c r="U378" s="26" t="n">
        <f aca="false">IF(R378="",M378,0)</f>
        <v>0</v>
      </c>
    </row>
    <row r="379" customFormat="false" ht="15" hidden="false" customHeight="false" outlineLevel="0" collapsed="false">
      <c r="A379" s="25" t="s">
        <v>53</v>
      </c>
      <c r="B379" s="25" t="s">
        <v>56</v>
      </c>
      <c r="C379" s="25" t="s">
        <v>49</v>
      </c>
      <c r="D379" s="25" t="n">
        <v>9</v>
      </c>
      <c r="E379" s="25" t="s">
        <v>565</v>
      </c>
      <c r="F379" s="25" t="s">
        <v>102</v>
      </c>
      <c r="G379" s="25" t="n">
        <v>1587</v>
      </c>
      <c r="H379" s="25" t="s">
        <v>567</v>
      </c>
      <c r="I379" s="25" t="n">
        <v>1</v>
      </c>
      <c r="J379" s="26" t="n">
        <v>500</v>
      </c>
      <c r="K379" s="25" t="s">
        <v>546</v>
      </c>
      <c r="L379" s="25" t="s">
        <v>547</v>
      </c>
      <c r="M379" s="26" t="n">
        <f aca="false">IF(AND(L379="Oui",K379="Principal"),I379*J379,0)</f>
        <v>500</v>
      </c>
      <c r="N379" s="25" t="s">
        <v>548</v>
      </c>
      <c r="O379" s="25"/>
      <c r="P379" s="25" t="s">
        <v>556</v>
      </c>
      <c r="Q379" s="25" t="s">
        <v>557</v>
      </c>
      <c r="R379" s="26" t="n">
        <v>350</v>
      </c>
      <c r="S379" s="26" t="n">
        <f aca="false">IF(AND(L379="Oui",K379="Principal",R379&lt;&gt;""),I379*R379,0)</f>
        <v>350</v>
      </c>
      <c r="T379" s="26" t="n">
        <f aca="false">IF(R379&lt;&gt;"",M379-S379,0)</f>
        <v>150</v>
      </c>
      <c r="U379" s="26" t="n">
        <f aca="false">IF(R379="",M379,0)</f>
        <v>0</v>
      </c>
    </row>
    <row r="380" customFormat="false" ht="15" hidden="false" customHeight="false" outlineLevel="0" collapsed="false">
      <c r="A380" s="33" t="s">
        <v>53</v>
      </c>
      <c r="B380" s="33" t="s">
        <v>56</v>
      </c>
      <c r="C380" s="33" t="s">
        <v>49</v>
      </c>
      <c r="D380" s="33" t="n">
        <v>10</v>
      </c>
      <c r="E380" s="33" t="s">
        <v>609</v>
      </c>
      <c r="F380" s="33" t="s">
        <v>199</v>
      </c>
      <c r="G380" s="33" t="n">
        <v>1229</v>
      </c>
      <c r="H380" s="33" t="s">
        <v>643</v>
      </c>
      <c r="I380" s="33" t="n">
        <v>1</v>
      </c>
      <c r="J380" s="34" t="n">
        <v>1800</v>
      </c>
      <c r="K380" s="33" t="s">
        <v>546</v>
      </c>
      <c r="L380" s="33" t="s">
        <v>547</v>
      </c>
      <c r="M380" s="34" t="n">
        <f aca="false">IF(AND(L380="Oui",K380="Principal"),I380*J380,0)</f>
        <v>1800</v>
      </c>
      <c r="N380" s="33" t="s">
        <v>182</v>
      </c>
      <c r="O380" s="33" t="s">
        <v>644</v>
      </c>
      <c r="P380" s="33" t="s">
        <v>550</v>
      </c>
      <c r="Q380" s="33" t="s">
        <v>557</v>
      </c>
      <c r="R380" s="34" t="n">
        <v>1500</v>
      </c>
      <c r="S380" s="34" t="n">
        <f aca="false">IF(AND(L380="Oui",K380="Principal",R380&lt;&gt;""),I380*R380,0)</f>
        <v>1500</v>
      </c>
      <c r="T380" s="34" t="n">
        <f aca="false">IF(R380&lt;&gt;"",M380-S380,0)</f>
        <v>300</v>
      </c>
      <c r="U380" s="34" t="n">
        <f aca="false">IF(R380="",M380,0)</f>
        <v>0</v>
      </c>
    </row>
    <row r="381" customFormat="false" ht="15" hidden="false" customHeight="false" outlineLevel="0" collapsed="false">
      <c r="A381" s="25" t="s">
        <v>53</v>
      </c>
      <c r="B381" s="25" t="s">
        <v>56</v>
      </c>
      <c r="C381" s="25" t="s">
        <v>49</v>
      </c>
      <c r="D381" s="25" t="n">
        <v>11</v>
      </c>
      <c r="E381" s="25" t="s">
        <v>554</v>
      </c>
      <c r="F381" s="25" t="s">
        <v>104</v>
      </c>
      <c r="G381" s="25" t="n">
        <v>1589</v>
      </c>
      <c r="H381" s="25" t="s">
        <v>568</v>
      </c>
      <c r="I381" s="25" t="n">
        <v>1</v>
      </c>
      <c r="J381" s="26" t="n">
        <v>900</v>
      </c>
      <c r="K381" s="25" t="s">
        <v>546</v>
      </c>
      <c r="L381" s="25" t="s">
        <v>547</v>
      </c>
      <c r="M381" s="26" t="n">
        <f aca="false">IF(AND(L381="Oui",K381="Principal"),I381*J381,0)</f>
        <v>900</v>
      </c>
      <c r="N381" s="25" t="s">
        <v>548</v>
      </c>
      <c r="O381" s="25"/>
      <c r="P381" s="25" t="s">
        <v>556</v>
      </c>
      <c r="Q381" s="25" t="s">
        <v>557</v>
      </c>
      <c r="R381" s="26" t="n">
        <v>650</v>
      </c>
      <c r="S381" s="26" t="n">
        <f aca="false">IF(AND(L381="Oui",K381="Principal",R381&lt;&gt;""),I381*R381,0)</f>
        <v>650</v>
      </c>
      <c r="T381" s="26" t="n">
        <f aca="false">IF(R381&lt;&gt;"",M381-S381,0)</f>
        <v>250</v>
      </c>
      <c r="U381" s="26" t="n">
        <f aca="false">IF(R381="",M381,0)</f>
        <v>0</v>
      </c>
    </row>
    <row r="382" customFormat="false" ht="15" hidden="false" customHeight="false" outlineLevel="0" collapsed="false">
      <c r="A382" s="25" t="s">
        <v>53</v>
      </c>
      <c r="B382" s="25" t="s">
        <v>56</v>
      </c>
      <c r="C382" s="25" t="s">
        <v>49</v>
      </c>
      <c r="D382" s="25" t="n">
        <v>12</v>
      </c>
      <c r="E382" s="25" t="s">
        <v>565</v>
      </c>
      <c r="F382" s="25" t="s">
        <v>166</v>
      </c>
      <c r="G382" s="25" t="n">
        <v>1604</v>
      </c>
      <c r="H382" s="25" t="s">
        <v>582</v>
      </c>
      <c r="I382" s="25" t="n">
        <v>2</v>
      </c>
      <c r="J382" s="26" t="n">
        <v>700</v>
      </c>
      <c r="K382" s="25" t="s">
        <v>546</v>
      </c>
      <c r="L382" s="25" t="s">
        <v>547</v>
      </c>
      <c r="M382" s="26" t="n">
        <f aca="false">IF(AND(L382="Oui",K382="Principal"),I382*J382,0)</f>
        <v>1400</v>
      </c>
      <c r="N382" s="25" t="s">
        <v>548</v>
      </c>
      <c r="O382" s="25"/>
      <c r="P382" s="25" t="s">
        <v>556</v>
      </c>
      <c r="Q382" s="25" t="s">
        <v>557</v>
      </c>
      <c r="R382" s="26" t="n">
        <v>400</v>
      </c>
      <c r="S382" s="26" t="n">
        <f aca="false">IF(AND(L382="Oui",K382="Principal",R382&lt;&gt;""),I382*R382,0)</f>
        <v>800</v>
      </c>
      <c r="T382" s="26" t="n">
        <f aca="false">IF(R382&lt;&gt;"",M382-S382,0)</f>
        <v>600</v>
      </c>
      <c r="U382" s="26" t="n">
        <f aca="false">IF(R382="",M382,0)</f>
        <v>0</v>
      </c>
    </row>
    <row r="383" customFormat="false" ht="15" hidden="false" customHeight="false" outlineLevel="0" collapsed="false">
      <c r="A383" s="25" t="s">
        <v>53</v>
      </c>
      <c r="B383" s="25" t="s">
        <v>56</v>
      </c>
      <c r="C383" s="25" t="s">
        <v>49</v>
      </c>
      <c r="D383" s="25" t="n">
        <v>13</v>
      </c>
      <c r="E383" s="25" t="s">
        <v>565</v>
      </c>
      <c r="F383" s="25" t="s">
        <v>110</v>
      </c>
      <c r="G383" s="25" t="n">
        <v>1586</v>
      </c>
      <c r="H383" s="25" t="s">
        <v>583</v>
      </c>
      <c r="I383" s="25" t="n">
        <v>1</v>
      </c>
      <c r="J383" s="26" t="n">
        <v>900</v>
      </c>
      <c r="K383" s="25" t="s">
        <v>546</v>
      </c>
      <c r="L383" s="25" t="s">
        <v>547</v>
      </c>
      <c r="M383" s="26" t="n">
        <f aca="false">IF(AND(L383="Oui",K383="Principal"),I383*J383,0)</f>
        <v>900</v>
      </c>
      <c r="N383" s="25" t="s">
        <v>548</v>
      </c>
      <c r="O383" s="25"/>
      <c r="P383" s="25" t="s">
        <v>556</v>
      </c>
      <c r="Q383" s="25" t="s">
        <v>557</v>
      </c>
      <c r="R383" s="26" t="n">
        <v>650</v>
      </c>
      <c r="S383" s="26" t="n">
        <f aca="false">IF(AND(L383="Oui",K383="Principal",R383&lt;&gt;""),I383*R383,0)</f>
        <v>650</v>
      </c>
      <c r="T383" s="26" t="n">
        <f aca="false">IF(R383&lt;&gt;"",M383-S383,0)</f>
        <v>250</v>
      </c>
      <c r="U383" s="26" t="n">
        <f aca="false">IF(R383="",M383,0)</f>
        <v>0</v>
      </c>
    </row>
    <row r="384" customFormat="false" ht="15" hidden="false" customHeight="false" outlineLevel="0" collapsed="false">
      <c r="A384" s="25" t="s">
        <v>53</v>
      </c>
      <c r="B384" s="25" t="s">
        <v>56</v>
      </c>
      <c r="C384" s="25" t="s">
        <v>49</v>
      </c>
      <c r="D384" s="25" t="n">
        <v>14</v>
      </c>
      <c r="E384" s="25" t="s">
        <v>167</v>
      </c>
      <c r="F384" s="25" t="s">
        <v>167</v>
      </c>
      <c r="G384" s="25" t="n">
        <v>1714</v>
      </c>
      <c r="H384" s="25" t="s">
        <v>623</v>
      </c>
      <c r="I384" s="25" t="n">
        <v>1</v>
      </c>
      <c r="J384" s="26" t="n">
        <v>1000</v>
      </c>
      <c r="K384" s="25" t="s">
        <v>546</v>
      </c>
      <c r="L384" s="25" t="s">
        <v>547</v>
      </c>
      <c r="M384" s="26" t="n">
        <f aca="false">IF(AND(L384="Oui",K384="Principal"),I384*J384,0)</f>
        <v>1000</v>
      </c>
      <c r="N384" s="25" t="s">
        <v>548</v>
      </c>
      <c r="O384" s="25"/>
      <c r="P384" s="25" t="s">
        <v>561</v>
      </c>
      <c r="Q384" s="25" t="s">
        <v>557</v>
      </c>
      <c r="R384" s="26" t="n">
        <v>718</v>
      </c>
      <c r="S384" s="26" t="n">
        <f aca="false">IF(AND(L384="Oui",K384="Principal",R384&lt;&gt;""),I384*R384,0)</f>
        <v>718</v>
      </c>
      <c r="T384" s="26" t="n">
        <f aca="false">IF(R384&lt;&gt;"",M384-S384,0)</f>
        <v>282</v>
      </c>
      <c r="U384" s="26" t="n">
        <f aca="false">IF(R384="",M384,0)</f>
        <v>0</v>
      </c>
    </row>
    <row r="385" customFormat="false" ht="15" hidden="false" customHeight="false" outlineLevel="0" collapsed="false">
      <c r="A385" s="31" t="s">
        <v>53</v>
      </c>
      <c r="B385" s="31" t="s">
        <v>56</v>
      </c>
      <c r="C385" s="31" t="s">
        <v>49</v>
      </c>
      <c r="D385" s="31" t="n">
        <v>15</v>
      </c>
      <c r="E385" s="31" t="s">
        <v>167</v>
      </c>
      <c r="F385" s="31" t="s">
        <v>170</v>
      </c>
      <c r="G385" s="31" t="s">
        <v>611</v>
      </c>
      <c r="H385" s="31" t="s">
        <v>612</v>
      </c>
      <c r="I385" s="31" t="n">
        <v>20</v>
      </c>
      <c r="J385" s="32" t="n">
        <v>25</v>
      </c>
      <c r="K385" s="31" t="s">
        <v>546</v>
      </c>
      <c r="L385" s="31" t="s">
        <v>547</v>
      </c>
      <c r="M385" s="32" t="n">
        <f aca="false">IF(AND(L385="Oui",K385="Principal"),I385*J385,0)</f>
        <v>500</v>
      </c>
      <c r="N385" s="31" t="s">
        <v>172</v>
      </c>
      <c r="O385" s="31" t="s">
        <v>613</v>
      </c>
      <c r="P385" s="31" t="s">
        <v>550</v>
      </c>
      <c r="Q385" s="31" t="s">
        <v>557</v>
      </c>
      <c r="R385" s="32" t="n">
        <v>25</v>
      </c>
      <c r="S385" s="32" t="n">
        <f aca="false">IF(AND(L385="Oui",K385="Principal",R385&lt;&gt;""),I385*R385,0)</f>
        <v>500</v>
      </c>
      <c r="T385" s="32" t="n">
        <f aca="false">IF(R385&lt;&gt;"",M385-S385,0)</f>
        <v>0</v>
      </c>
      <c r="U385" s="32" t="n">
        <f aca="false">IF(R385="",M385,0)</f>
        <v>0</v>
      </c>
    </row>
    <row r="386" customFormat="false" ht="15" hidden="false" customHeight="false" outlineLevel="0" collapsed="false">
      <c r="A386" s="25" t="s">
        <v>53</v>
      </c>
      <c r="B386" s="25" t="s">
        <v>56</v>
      </c>
      <c r="C386" s="25" t="s">
        <v>49</v>
      </c>
      <c r="D386" s="25" t="n">
        <v>16</v>
      </c>
      <c r="E386" s="25" t="s">
        <v>167</v>
      </c>
      <c r="F386" s="25" t="s">
        <v>173</v>
      </c>
      <c r="G386" s="25" t="n">
        <v>1202</v>
      </c>
      <c r="H386" s="25" t="s">
        <v>599</v>
      </c>
      <c r="I386" s="25" t="n">
        <v>1</v>
      </c>
      <c r="J386" s="26" t="n">
        <v>250</v>
      </c>
      <c r="K386" s="25" t="s">
        <v>546</v>
      </c>
      <c r="L386" s="25" t="s">
        <v>547</v>
      </c>
      <c r="M386" s="26" t="n">
        <f aca="false">IF(AND(L386="Oui",K386="Principal"),I386*J386,0)</f>
        <v>250</v>
      </c>
      <c r="N386" s="25" t="s">
        <v>548</v>
      </c>
      <c r="O386" s="25"/>
      <c r="P386" s="25" t="s">
        <v>550</v>
      </c>
      <c r="Q386" s="25" t="s">
        <v>557</v>
      </c>
      <c r="R386" s="26" t="n">
        <v>100</v>
      </c>
      <c r="S386" s="26" t="n">
        <f aca="false">IF(AND(L386="Oui",K386="Principal",R386&lt;&gt;""),I386*R386,0)</f>
        <v>100</v>
      </c>
      <c r="T386" s="26" t="n">
        <f aca="false">IF(R386&lt;&gt;"",M386-S386,0)</f>
        <v>150</v>
      </c>
      <c r="U386" s="26" t="n">
        <f aca="false">IF(R386="",M386,0)</f>
        <v>0</v>
      </c>
    </row>
    <row r="387" customFormat="false" ht="15" hidden="false" customHeight="false" outlineLevel="0" collapsed="false">
      <c r="A387" s="25" t="s">
        <v>53</v>
      </c>
      <c r="B387" s="25" t="s">
        <v>56</v>
      </c>
      <c r="C387" s="25" t="s">
        <v>49</v>
      </c>
      <c r="D387" s="25" t="n">
        <v>17</v>
      </c>
      <c r="E387" s="25" t="s">
        <v>573</v>
      </c>
      <c r="F387" s="25" t="s">
        <v>176</v>
      </c>
      <c r="G387" s="25" t="n">
        <v>19</v>
      </c>
      <c r="H387" s="25" t="s">
        <v>615</v>
      </c>
      <c r="I387" s="25" t="n">
        <v>1</v>
      </c>
      <c r="J387" s="26" t="n">
        <v>2500</v>
      </c>
      <c r="K387" s="25" t="s">
        <v>546</v>
      </c>
      <c r="L387" s="25" t="s">
        <v>547</v>
      </c>
      <c r="M387" s="26" t="n">
        <f aca="false">IF(AND(L387="Oui",K387="Principal"),I387*J387,0)</f>
        <v>2500</v>
      </c>
      <c r="N387" s="25" t="s">
        <v>548</v>
      </c>
      <c r="O387" s="25"/>
      <c r="P387" s="25" t="s">
        <v>559</v>
      </c>
      <c r="Q387" s="25" t="s">
        <v>551</v>
      </c>
      <c r="R387" s="26"/>
      <c r="S387" s="26" t="n">
        <f aca="false">IF(AND(L387="Oui",K387="Principal",R387&lt;&gt;""),I387*R387,0)</f>
        <v>0</v>
      </c>
      <c r="T387" s="26" t="n">
        <f aca="false">IF(R387&lt;&gt;"",M387-S387,0)</f>
        <v>0</v>
      </c>
      <c r="U387" s="26" t="n">
        <f aca="false">IF(R387="",M387,0)</f>
        <v>2500</v>
      </c>
    </row>
    <row r="388" customFormat="false" ht="15" hidden="false" customHeight="false" outlineLevel="0" collapsed="false">
      <c r="A388" s="25" t="s">
        <v>53</v>
      </c>
      <c r="B388" s="25" t="s">
        <v>56</v>
      </c>
      <c r="C388" s="25" t="s">
        <v>49</v>
      </c>
      <c r="D388" s="25" t="n">
        <v>18</v>
      </c>
      <c r="E388" s="25" t="s">
        <v>573</v>
      </c>
      <c r="F388" s="25" t="s">
        <v>117</v>
      </c>
      <c r="G388" s="25" t="n">
        <v>1288</v>
      </c>
      <c r="H388" s="25" t="s">
        <v>624</v>
      </c>
      <c r="I388" s="25" t="n">
        <v>1</v>
      </c>
      <c r="J388" s="26" t="n">
        <v>2500</v>
      </c>
      <c r="K388" s="25" t="s">
        <v>546</v>
      </c>
      <c r="L388" s="25" t="s">
        <v>547</v>
      </c>
      <c r="M388" s="26" t="n">
        <f aca="false">IF(AND(L388="Oui",K388="Principal"),I388*J388,0)</f>
        <v>2500</v>
      </c>
      <c r="N388" s="25" t="s">
        <v>548</v>
      </c>
      <c r="O388" s="25"/>
      <c r="P388" s="25" t="s">
        <v>550</v>
      </c>
      <c r="Q388" s="25" t="s">
        <v>557</v>
      </c>
      <c r="R388" s="26" t="n">
        <v>2000</v>
      </c>
      <c r="S388" s="26" t="n">
        <f aca="false">IF(AND(L388="Oui",K388="Principal",R388&lt;&gt;""),I388*R388,0)</f>
        <v>2000</v>
      </c>
      <c r="T388" s="26" t="n">
        <f aca="false">IF(R388&lt;&gt;"",M388-S388,0)</f>
        <v>500</v>
      </c>
      <c r="U388" s="26" t="n">
        <f aca="false">IF(R388="",M388,0)</f>
        <v>0</v>
      </c>
    </row>
    <row r="389" customFormat="false" ht="15" hidden="false" customHeight="false" outlineLevel="0" collapsed="false">
      <c r="A389" s="25" t="s">
        <v>53</v>
      </c>
      <c r="B389" s="25" t="s">
        <v>56</v>
      </c>
      <c r="C389" s="25" t="s">
        <v>49</v>
      </c>
      <c r="D389" s="25" t="n">
        <v>19</v>
      </c>
      <c r="E389" s="25" t="s">
        <v>616</v>
      </c>
      <c r="F389" s="25" t="s">
        <v>223</v>
      </c>
      <c r="G389" s="25" t="n">
        <v>1511</v>
      </c>
      <c r="H389" s="25" t="s">
        <v>645</v>
      </c>
      <c r="I389" s="25" t="n">
        <v>1</v>
      </c>
      <c r="J389" s="26" t="n">
        <v>3900</v>
      </c>
      <c r="K389" s="25" t="s">
        <v>546</v>
      </c>
      <c r="L389" s="25" t="s">
        <v>547</v>
      </c>
      <c r="M389" s="26" t="n">
        <f aca="false">IF(AND(L389="Oui",K389="Principal"),I389*J389,0)</f>
        <v>3900</v>
      </c>
      <c r="N389" s="25" t="s">
        <v>548</v>
      </c>
      <c r="O389" s="25"/>
      <c r="P389" s="25" t="s">
        <v>550</v>
      </c>
      <c r="Q389" s="25" t="s">
        <v>557</v>
      </c>
      <c r="R389" s="26" t="n">
        <v>2900</v>
      </c>
      <c r="S389" s="26" t="n">
        <f aca="false">IF(AND(L389="Oui",K389="Principal",R389&lt;&gt;""),I389*R389,0)</f>
        <v>2900</v>
      </c>
      <c r="T389" s="26" t="n">
        <f aca="false">IF(R389&lt;&gt;"",M389-S389,0)</f>
        <v>1000</v>
      </c>
      <c r="U389" s="26" t="n">
        <f aca="false">IF(R389="",M389,0)</f>
        <v>0</v>
      </c>
    </row>
    <row r="390" customFormat="false" ht="15" hidden="false" customHeight="false" outlineLevel="0" collapsed="false">
      <c r="A390" s="25" t="s">
        <v>53</v>
      </c>
      <c r="B390" s="25" t="s">
        <v>56</v>
      </c>
      <c r="C390" s="25" t="s">
        <v>49</v>
      </c>
      <c r="D390" s="25" t="n">
        <v>20</v>
      </c>
      <c r="E390" s="25" t="s">
        <v>616</v>
      </c>
      <c r="F390" s="25" t="s">
        <v>225</v>
      </c>
      <c r="G390" s="25" t="n">
        <v>1505</v>
      </c>
      <c r="H390" s="25" t="s">
        <v>646</v>
      </c>
      <c r="I390" s="25" t="n">
        <v>1</v>
      </c>
      <c r="J390" s="26" t="n">
        <v>5000</v>
      </c>
      <c r="K390" s="25" t="s">
        <v>546</v>
      </c>
      <c r="L390" s="25" t="s">
        <v>547</v>
      </c>
      <c r="M390" s="26" t="n">
        <f aca="false">IF(AND(L390="Oui",K390="Principal"),I390*J390,0)</f>
        <v>5000</v>
      </c>
      <c r="N390" s="25" t="s">
        <v>548</v>
      </c>
      <c r="O390" s="25"/>
      <c r="P390" s="25" t="s">
        <v>550</v>
      </c>
      <c r="Q390" s="25" t="s">
        <v>557</v>
      </c>
      <c r="R390" s="26" t="n">
        <v>3000</v>
      </c>
      <c r="S390" s="26" t="n">
        <f aca="false">IF(AND(L390="Oui",K390="Principal",R390&lt;&gt;""),I390*R390,0)</f>
        <v>3000</v>
      </c>
      <c r="T390" s="26" t="n">
        <f aca="false">IF(R390&lt;&gt;"",M390-S390,0)</f>
        <v>2000</v>
      </c>
      <c r="U390" s="26" t="n">
        <f aca="false">IF(R390="",M390,0)</f>
        <v>0</v>
      </c>
    </row>
    <row r="391" customFormat="false" ht="15" hidden="false" customHeight="false" outlineLevel="0" collapsed="false">
      <c r="A391" s="25" t="s">
        <v>53</v>
      </c>
      <c r="B391" s="25" t="s">
        <v>56</v>
      </c>
      <c r="C391" s="25" t="s">
        <v>49</v>
      </c>
      <c r="D391" s="25" t="n">
        <v>21</v>
      </c>
      <c r="E391" s="25" t="s">
        <v>616</v>
      </c>
      <c r="F391" s="25" t="s">
        <v>227</v>
      </c>
      <c r="G391" s="25" t="n">
        <v>1518</v>
      </c>
      <c r="H391" s="25" t="s">
        <v>647</v>
      </c>
      <c r="I391" s="25" t="n">
        <v>1</v>
      </c>
      <c r="J391" s="26" t="n">
        <v>4000</v>
      </c>
      <c r="K391" s="25" t="s">
        <v>546</v>
      </c>
      <c r="L391" s="25" t="s">
        <v>547</v>
      </c>
      <c r="M391" s="26" t="n">
        <f aca="false">IF(AND(L391="Oui",K391="Principal"),I391*J391,0)</f>
        <v>4000</v>
      </c>
      <c r="N391" s="25" t="s">
        <v>548</v>
      </c>
      <c r="O391" s="25"/>
      <c r="P391" s="25" t="s">
        <v>550</v>
      </c>
      <c r="Q391" s="25" t="s">
        <v>557</v>
      </c>
      <c r="R391" s="26" t="n">
        <v>3000</v>
      </c>
      <c r="S391" s="26" t="n">
        <f aca="false">IF(AND(L391="Oui",K391="Principal",R391&lt;&gt;""),I391*R391,0)</f>
        <v>3000</v>
      </c>
      <c r="T391" s="26" t="n">
        <f aca="false">IF(R391&lt;&gt;"",M391-S391,0)</f>
        <v>1000</v>
      </c>
      <c r="U391" s="26" t="n">
        <f aca="false">IF(R391="",M391,0)</f>
        <v>0</v>
      </c>
    </row>
    <row r="392" customFormat="false" ht="15" hidden="false" customHeight="false" outlineLevel="0" collapsed="false">
      <c r="A392" s="25" t="s">
        <v>53</v>
      </c>
      <c r="B392" s="25" t="s">
        <v>56</v>
      </c>
      <c r="C392" s="25" t="s">
        <v>49</v>
      </c>
      <c r="D392" s="25" t="n">
        <v>22</v>
      </c>
      <c r="E392" s="25" t="s">
        <v>616</v>
      </c>
      <c r="F392" s="25" t="s">
        <v>229</v>
      </c>
      <c r="G392" s="25" t="n">
        <v>1486</v>
      </c>
      <c r="H392" s="25" t="s">
        <v>648</v>
      </c>
      <c r="I392" s="25" t="n">
        <v>1</v>
      </c>
      <c r="J392" s="26" t="n">
        <v>4000</v>
      </c>
      <c r="K392" s="25" t="s">
        <v>546</v>
      </c>
      <c r="L392" s="25" t="s">
        <v>547</v>
      </c>
      <c r="M392" s="26" t="n">
        <f aca="false">IF(AND(L392="Oui",K392="Principal"),I392*J392,0)</f>
        <v>4000</v>
      </c>
      <c r="N392" s="25" t="s">
        <v>548</v>
      </c>
      <c r="O392" s="25"/>
      <c r="P392" s="25" t="s">
        <v>550</v>
      </c>
      <c r="Q392" s="25" t="s">
        <v>557</v>
      </c>
      <c r="R392" s="26" t="n">
        <v>3000</v>
      </c>
      <c r="S392" s="26" t="n">
        <f aca="false">IF(AND(L392="Oui",K392="Principal",R392&lt;&gt;""),I392*R392,0)</f>
        <v>3000</v>
      </c>
      <c r="T392" s="26" t="n">
        <f aca="false">IF(R392&lt;&gt;"",M392-S392,0)</f>
        <v>1000</v>
      </c>
      <c r="U392" s="26" t="n">
        <f aca="false">IF(R392="",M392,0)</f>
        <v>0</v>
      </c>
    </row>
    <row r="393" customFormat="false" ht="15" hidden="false" customHeight="false" outlineLevel="0" collapsed="false">
      <c r="A393" s="25" t="s">
        <v>53</v>
      </c>
      <c r="B393" s="25" t="s">
        <v>56</v>
      </c>
      <c r="C393" s="25" t="s">
        <v>49</v>
      </c>
      <c r="D393" s="25" t="n">
        <v>23</v>
      </c>
      <c r="E393" s="25" t="s">
        <v>577</v>
      </c>
      <c r="F393" s="25" t="s">
        <v>120</v>
      </c>
      <c r="G393" s="25" t="n">
        <v>1199</v>
      </c>
      <c r="H393" s="25" t="s">
        <v>622</v>
      </c>
      <c r="I393" s="25" t="n">
        <v>1</v>
      </c>
      <c r="J393" s="26" t="n">
        <v>7500</v>
      </c>
      <c r="K393" s="25" t="s">
        <v>577</v>
      </c>
      <c r="L393" s="25" t="s">
        <v>579</v>
      </c>
      <c r="M393" s="26" t="n">
        <f aca="false">IF(AND(L393="Oui",K393="Principal"),I393*J393,0)</f>
        <v>0</v>
      </c>
      <c r="N393" s="25" t="s">
        <v>548</v>
      </c>
      <c r="O393" s="25"/>
      <c r="P393" s="25" t="s">
        <v>550</v>
      </c>
      <c r="Q393" s="25" t="s">
        <v>557</v>
      </c>
      <c r="R393" s="26" t="n">
        <v>6000</v>
      </c>
      <c r="S393" s="26" t="n">
        <f aca="false">IF(AND(L393="Oui",K393="Principal",R393&lt;&gt;""),I393*R393,0)</f>
        <v>0</v>
      </c>
      <c r="T393" s="26" t="n">
        <f aca="false">IF(R393&lt;&gt;"",M393-S393,0)</f>
        <v>0</v>
      </c>
      <c r="U393" s="26" t="n">
        <f aca="false">IF(R393="",M393,0)</f>
        <v>0</v>
      </c>
    </row>
    <row r="394" customFormat="false" ht="15" hidden="false" customHeight="false" outlineLevel="0" collapsed="false">
      <c r="A394" s="25" t="s">
        <v>53</v>
      </c>
      <c r="B394" s="25" t="s">
        <v>56</v>
      </c>
      <c r="C394" s="25" t="s">
        <v>50</v>
      </c>
      <c r="D394" s="25" t="n">
        <v>1</v>
      </c>
      <c r="E394" s="25" t="s">
        <v>544</v>
      </c>
      <c r="F394" s="25" t="s">
        <v>151</v>
      </c>
      <c r="G394" s="25" t="n">
        <v>1618</v>
      </c>
      <c r="H394" s="25" t="s">
        <v>600</v>
      </c>
      <c r="I394" s="25" t="n">
        <v>4</v>
      </c>
      <c r="J394" s="26" t="n">
        <v>450</v>
      </c>
      <c r="K394" s="25" t="s">
        <v>546</v>
      </c>
      <c r="L394" s="25" t="s">
        <v>547</v>
      </c>
      <c r="M394" s="26" t="n">
        <f aca="false">IF(AND(L394="Oui",K394="Principal"),I394*J394,0)</f>
        <v>1800</v>
      </c>
      <c r="N394" s="25" t="s">
        <v>548</v>
      </c>
      <c r="O394" s="25"/>
      <c r="P394" s="25" t="s">
        <v>556</v>
      </c>
      <c r="Q394" s="25" t="s">
        <v>557</v>
      </c>
      <c r="R394" s="26" t="n">
        <v>350</v>
      </c>
      <c r="S394" s="26" t="n">
        <f aca="false">IF(AND(L394="Oui",K394="Principal",R394&lt;&gt;""),I394*R394,0)</f>
        <v>1400</v>
      </c>
      <c r="T394" s="26" t="n">
        <f aca="false">IF(R394&lt;&gt;"",M394-S394,0)</f>
        <v>400</v>
      </c>
      <c r="U394" s="26" t="n">
        <f aca="false">IF(R394="",M394,0)</f>
        <v>0</v>
      </c>
    </row>
    <row r="395" customFormat="false" ht="15" hidden="false" customHeight="false" outlineLevel="0" collapsed="false">
      <c r="A395" s="25" t="s">
        <v>53</v>
      </c>
      <c r="B395" s="25" t="s">
        <v>56</v>
      </c>
      <c r="C395" s="25" t="s">
        <v>50</v>
      </c>
      <c r="D395" s="25" t="n">
        <v>2</v>
      </c>
      <c r="E395" s="25" t="s">
        <v>544</v>
      </c>
      <c r="F395" s="25" t="s">
        <v>158</v>
      </c>
      <c r="G395" s="25" t="n">
        <v>1575</v>
      </c>
      <c r="H395" s="25" t="s">
        <v>605</v>
      </c>
      <c r="I395" s="25" t="n">
        <v>4</v>
      </c>
      <c r="J395" s="26" t="n">
        <v>275</v>
      </c>
      <c r="K395" s="25" t="s">
        <v>546</v>
      </c>
      <c r="L395" s="25" t="s">
        <v>547</v>
      </c>
      <c r="M395" s="26" t="n">
        <f aca="false">IF(AND(L395="Oui",K395="Principal"),I395*J395,0)</f>
        <v>1100</v>
      </c>
      <c r="N395" s="25" t="s">
        <v>548</v>
      </c>
      <c r="O395" s="25"/>
      <c r="P395" s="25" t="s">
        <v>556</v>
      </c>
      <c r="Q395" s="25" t="s">
        <v>557</v>
      </c>
      <c r="R395" s="26" t="n">
        <v>175</v>
      </c>
      <c r="S395" s="26" t="n">
        <f aca="false">IF(AND(L395="Oui",K395="Principal",R395&lt;&gt;""),I395*R395,0)</f>
        <v>700</v>
      </c>
      <c r="T395" s="26" t="n">
        <f aca="false">IF(R395&lt;&gt;"",M395-S395,0)</f>
        <v>400</v>
      </c>
      <c r="U395" s="26" t="n">
        <f aca="false">IF(R395="",M395,0)</f>
        <v>0</v>
      </c>
    </row>
    <row r="396" customFormat="false" ht="15" hidden="false" customHeight="false" outlineLevel="0" collapsed="false">
      <c r="A396" s="25" t="s">
        <v>53</v>
      </c>
      <c r="B396" s="25" t="s">
        <v>56</v>
      </c>
      <c r="C396" s="25" t="s">
        <v>50</v>
      </c>
      <c r="D396" s="25" t="n">
        <v>3</v>
      </c>
      <c r="E396" s="25" t="s">
        <v>554</v>
      </c>
      <c r="F396" s="25" t="s">
        <v>88</v>
      </c>
      <c r="G396" s="25" t="n">
        <v>1286</v>
      </c>
      <c r="H396" s="25" t="s">
        <v>580</v>
      </c>
      <c r="I396" s="25" t="n">
        <v>1</v>
      </c>
      <c r="J396" s="26" t="n">
        <v>550</v>
      </c>
      <c r="K396" s="25" t="s">
        <v>546</v>
      </c>
      <c r="L396" s="25" t="s">
        <v>547</v>
      </c>
      <c r="M396" s="26" t="n">
        <f aca="false">IF(AND(L396="Oui",K396="Principal"),I396*J396,0)</f>
        <v>550</v>
      </c>
      <c r="N396" s="25" t="s">
        <v>548</v>
      </c>
      <c r="O396" s="25"/>
      <c r="P396" s="25" t="s">
        <v>550</v>
      </c>
      <c r="Q396" s="25" t="s">
        <v>557</v>
      </c>
      <c r="R396" s="26" t="n">
        <v>450</v>
      </c>
      <c r="S396" s="26" t="n">
        <f aca="false">IF(AND(L396="Oui",K396="Principal",R396&lt;&gt;""),I396*R396,0)</f>
        <v>450</v>
      </c>
      <c r="T396" s="26" t="n">
        <f aca="false">IF(R396&lt;&gt;"",M396-S396,0)</f>
        <v>100</v>
      </c>
      <c r="U396" s="26" t="n">
        <f aca="false">IF(R396="",M396,0)</f>
        <v>0</v>
      </c>
    </row>
    <row r="397" customFormat="false" ht="15" hidden="false" customHeight="false" outlineLevel="0" collapsed="false">
      <c r="A397" s="25" t="s">
        <v>53</v>
      </c>
      <c r="B397" s="25" t="s">
        <v>56</v>
      </c>
      <c r="C397" s="25" t="s">
        <v>50</v>
      </c>
      <c r="D397" s="25" t="n">
        <v>4</v>
      </c>
      <c r="E397" s="25" t="s">
        <v>160</v>
      </c>
      <c r="F397" s="25" t="s">
        <v>160</v>
      </c>
      <c r="G397" s="25" t="n">
        <v>1277</v>
      </c>
      <c r="H397" s="25" t="s">
        <v>606</v>
      </c>
      <c r="I397" s="25" t="n">
        <v>9</v>
      </c>
      <c r="J397" s="26" t="n">
        <v>150</v>
      </c>
      <c r="K397" s="25" t="s">
        <v>546</v>
      </c>
      <c r="L397" s="25" t="s">
        <v>547</v>
      </c>
      <c r="M397" s="26" t="n">
        <f aca="false">IF(AND(L397="Oui",K397="Principal"),I397*J397,0)</f>
        <v>1350</v>
      </c>
      <c r="N397" s="25" t="s">
        <v>548</v>
      </c>
      <c r="O397" s="25"/>
      <c r="P397" s="25" t="s">
        <v>550</v>
      </c>
      <c r="Q397" s="25" t="s">
        <v>557</v>
      </c>
      <c r="R397" s="26"/>
      <c r="S397" s="26" t="n">
        <f aca="false">IF(AND(L397="Oui",K397="Principal",R397&lt;&gt;""),I397*R397,0)</f>
        <v>0</v>
      </c>
      <c r="T397" s="26" t="n">
        <f aca="false">IF(R397&lt;&gt;"",M397-S397,0)</f>
        <v>0</v>
      </c>
      <c r="U397" s="26" t="n">
        <f aca="false">IF(R397="",M397,0)</f>
        <v>1350</v>
      </c>
    </row>
    <row r="398" customFormat="false" ht="15" hidden="false" customHeight="false" outlineLevel="0" collapsed="false">
      <c r="A398" s="25" t="s">
        <v>53</v>
      </c>
      <c r="B398" s="25" t="s">
        <v>56</v>
      </c>
      <c r="C398" s="25" t="s">
        <v>50</v>
      </c>
      <c r="D398" s="25" t="n">
        <v>5</v>
      </c>
      <c r="E398" s="25" t="s">
        <v>563</v>
      </c>
      <c r="F398" s="25" t="s">
        <v>188</v>
      </c>
      <c r="G398" s="25" t="n">
        <v>8</v>
      </c>
      <c r="H398" s="25" t="s">
        <v>188</v>
      </c>
      <c r="I398" s="25" t="n">
        <v>1</v>
      </c>
      <c r="J398" s="26" t="n">
        <v>500</v>
      </c>
      <c r="K398" s="25" t="s">
        <v>546</v>
      </c>
      <c r="L398" s="25" t="s">
        <v>547</v>
      </c>
      <c r="M398" s="26" t="n">
        <f aca="false">IF(AND(L398="Oui",K398="Principal"),I398*J398,0)</f>
        <v>500</v>
      </c>
      <c r="N398" s="25" t="s">
        <v>548</v>
      </c>
      <c r="O398" s="25"/>
      <c r="P398" s="25" t="s">
        <v>559</v>
      </c>
      <c r="Q398" s="25" t="s">
        <v>551</v>
      </c>
      <c r="R398" s="26"/>
      <c r="S398" s="26" t="n">
        <f aca="false">IF(AND(L398="Oui",K398="Principal",R398&lt;&gt;""),I398*R398,0)</f>
        <v>0</v>
      </c>
      <c r="T398" s="26" t="n">
        <f aca="false">IF(R398&lt;&gt;"",M398-S398,0)</f>
        <v>0</v>
      </c>
      <c r="U398" s="26" t="n">
        <f aca="false">IF(R398="",M398,0)</f>
        <v>500</v>
      </c>
    </row>
    <row r="399" customFormat="false" ht="15" hidden="false" customHeight="false" outlineLevel="0" collapsed="false">
      <c r="A399" s="25" t="s">
        <v>53</v>
      </c>
      <c r="B399" s="25" t="s">
        <v>56</v>
      </c>
      <c r="C399" s="25" t="s">
        <v>50</v>
      </c>
      <c r="D399" s="25" t="n">
        <v>6</v>
      </c>
      <c r="E399" s="25" t="s">
        <v>563</v>
      </c>
      <c r="F399" s="25" t="s">
        <v>162</v>
      </c>
      <c r="G399" s="25" t="n">
        <v>1635</v>
      </c>
      <c r="H399" s="25" t="s">
        <v>607</v>
      </c>
      <c r="I399" s="25" t="n">
        <v>2</v>
      </c>
      <c r="J399" s="26" t="n">
        <v>100</v>
      </c>
      <c r="K399" s="25" t="s">
        <v>546</v>
      </c>
      <c r="L399" s="25" t="s">
        <v>547</v>
      </c>
      <c r="M399" s="26" t="n">
        <f aca="false">IF(AND(L399="Oui",K399="Principal"),I399*J399,0)</f>
        <v>200</v>
      </c>
      <c r="N399" s="25" t="s">
        <v>548</v>
      </c>
      <c r="O399" s="25"/>
      <c r="P399" s="25" t="s">
        <v>556</v>
      </c>
      <c r="Q399" s="25" t="s">
        <v>557</v>
      </c>
      <c r="R399" s="26" t="n">
        <v>80</v>
      </c>
      <c r="S399" s="26" t="n">
        <f aca="false">IF(AND(L399="Oui",K399="Principal",R399&lt;&gt;""),I399*R399,0)</f>
        <v>160</v>
      </c>
      <c r="T399" s="26" t="n">
        <f aca="false">IF(R399&lt;&gt;"",M399-S399,0)</f>
        <v>40</v>
      </c>
      <c r="U399" s="26" t="n">
        <f aca="false">IF(R399="",M399,0)</f>
        <v>0</v>
      </c>
    </row>
    <row r="400" customFormat="false" ht="15" hidden="false" customHeight="false" outlineLevel="0" collapsed="false">
      <c r="A400" s="25" t="s">
        <v>53</v>
      </c>
      <c r="B400" s="25" t="s">
        <v>56</v>
      </c>
      <c r="C400" s="25" t="s">
        <v>50</v>
      </c>
      <c r="D400" s="25" t="n">
        <v>7</v>
      </c>
      <c r="E400" s="25" t="s">
        <v>563</v>
      </c>
      <c r="F400" s="25" t="s">
        <v>197</v>
      </c>
      <c r="G400" s="25" t="n">
        <v>1674</v>
      </c>
      <c r="H400" s="25" t="s">
        <v>630</v>
      </c>
      <c r="I400" s="25" t="n">
        <v>1</v>
      </c>
      <c r="J400" s="26" t="n">
        <v>100</v>
      </c>
      <c r="K400" s="25" t="s">
        <v>546</v>
      </c>
      <c r="L400" s="25" t="s">
        <v>547</v>
      </c>
      <c r="M400" s="26" t="n">
        <f aca="false">IF(AND(L400="Oui",K400="Principal"),I400*J400,0)</f>
        <v>100</v>
      </c>
      <c r="N400" s="25" t="s">
        <v>548</v>
      </c>
      <c r="O400" s="25"/>
      <c r="P400" s="25" t="s">
        <v>556</v>
      </c>
      <c r="Q400" s="25" t="s">
        <v>557</v>
      </c>
      <c r="R400" s="26" t="n">
        <v>80</v>
      </c>
      <c r="S400" s="26" t="n">
        <f aca="false">IF(AND(L400="Oui",K400="Principal",R400&lt;&gt;""),I400*R400,0)</f>
        <v>80</v>
      </c>
      <c r="T400" s="26" t="n">
        <f aca="false">IF(R400&lt;&gt;"",M400-S400,0)</f>
        <v>20</v>
      </c>
      <c r="U400" s="26" t="n">
        <f aca="false">IF(R400="",M400,0)</f>
        <v>0</v>
      </c>
    </row>
    <row r="401" customFormat="false" ht="15" hidden="false" customHeight="false" outlineLevel="0" collapsed="false">
      <c r="A401" s="25" t="s">
        <v>53</v>
      </c>
      <c r="B401" s="25" t="s">
        <v>56</v>
      </c>
      <c r="C401" s="25" t="s">
        <v>50</v>
      </c>
      <c r="D401" s="25" t="n">
        <v>8</v>
      </c>
      <c r="E401" s="25" t="s">
        <v>565</v>
      </c>
      <c r="F401" s="25" t="s">
        <v>99</v>
      </c>
      <c r="G401" s="25" t="n">
        <v>1181</v>
      </c>
      <c r="H401" s="25" t="s">
        <v>581</v>
      </c>
      <c r="I401" s="25" t="n">
        <v>2</v>
      </c>
      <c r="J401" s="26" t="n">
        <v>250</v>
      </c>
      <c r="K401" s="25" t="s">
        <v>546</v>
      </c>
      <c r="L401" s="25" t="s">
        <v>547</v>
      </c>
      <c r="M401" s="26" t="n">
        <f aca="false">IF(AND(L401="Oui",K401="Principal"),I401*J401,0)</f>
        <v>500</v>
      </c>
      <c r="N401" s="25" t="s">
        <v>548</v>
      </c>
      <c r="O401" s="25"/>
      <c r="P401" s="25" t="s">
        <v>550</v>
      </c>
      <c r="Q401" s="25" t="s">
        <v>557</v>
      </c>
      <c r="R401" s="26" t="n">
        <v>110</v>
      </c>
      <c r="S401" s="26" t="n">
        <f aca="false">IF(AND(L401="Oui",K401="Principal",R401&lt;&gt;""),I401*R401,0)</f>
        <v>220</v>
      </c>
      <c r="T401" s="26" t="n">
        <f aca="false">IF(R401&lt;&gt;"",M401-S401,0)</f>
        <v>280</v>
      </c>
      <c r="U401" s="26" t="n">
        <f aca="false">IF(R401="",M401,0)</f>
        <v>0</v>
      </c>
    </row>
    <row r="402" customFormat="false" ht="15" hidden="false" customHeight="false" outlineLevel="0" collapsed="false">
      <c r="A402" s="25" t="s">
        <v>53</v>
      </c>
      <c r="B402" s="25" t="s">
        <v>56</v>
      </c>
      <c r="C402" s="25" t="s">
        <v>50</v>
      </c>
      <c r="D402" s="25" t="n">
        <v>9</v>
      </c>
      <c r="E402" s="25" t="s">
        <v>565</v>
      </c>
      <c r="F402" s="25" t="s">
        <v>102</v>
      </c>
      <c r="G402" s="25" t="n">
        <v>1587</v>
      </c>
      <c r="H402" s="25" t="s">
        <v>567</v>
      </c>
      <c r="I402" s="25" t="n">
        <v>1</v>
      </c>
      <c r="J402" s="26" t="n">
        <v>500</v>
      </c>
      <c r="K402" s="25" t="s">
        <v>546</v>
      </c>
      <c r="L402" s="25" t="s">
        <v>547</v>
      </c>
      <c r="M402" s="26" t="n">
        <f aca="false">IF(AND(L402="Oui",K402="Principal"),I402*J402,0)</f>
        <v>500</v>
      </c>
      <c r="N402" s="25" t="s">
        <v>548</v>
      </c>
      <c r="O402" s="25"/>
      <c r="P402" s="25" t="s">
        <v>556</v>
      </c>
      <c r="Q402" s="25" t="s">
        <v>557</v>
      </c>
      <c r="R402" s="26" t="n">
        <v>350</v>
      </c>
      <c r="S402" s="26" t="n">
        <f aca="false">IF(AND(L402="Oui",K402="Principal",R402&lt;&gt;""),I402*R402,0)</f>
        <v>350</v>
      </c>
      <c r="T402" s="26" t="n">
        <f aca="false">IF(R402&lt;&gt;"",M402-S402,0)</f>
        <v>150</v>
      </c>
      <c r="U402" s="26" t="n">
        <f aca="false">IF(R402="",M402,0)</f>
        <v>0</v>
      </c>
    </row>
    <row r="403" customFormat="false" ht="15" hidden="false" customHeight="false" outlineLevel="0" collapsed="false">
      <c r="A403" s="33" t="s">
        <v>53</v>
      </c>
      <c r="B403" s="33" t="s">
        <v>56</v>
      </c>
      <c r="C403" s="33" t="s">
        <v>50</v>
      </c>
      <c r="D403" s="33" t="n">
        <v>10</v>
      </c>
      <c r="E403" s="33" t="s">
        <v>609</v>
      </c>
      <c r="F403" s="33" t="s">
        <v>199</v>
      </c>
      <c r="G403" s="33" t="n">
        <v>1229</v>
      </c>
      <c r="H403" s="33" t="s">
        <v>643</v>
      </c>
      <c r="I403" s="33" t="n">
        <v>1</v>
      </c>
      <c r="J403" s="34" t="n">
        <v>1800</v>
      </c>
      <c r="K403" s="33" t="s">
        <v>546</v>
      </c>
      <c r="L403" s="33" t="s">
        <v>547</v>
      </c>
      <c r="M403" s="34" t="n">
        <f aca="false">IF(AND(L403="Oui",K403="Principal"),I403*J403,0)</f>
        <v>1800</v>
      </c>
      <c r="N403" s="33" t="s">
        <v>182</v>
      </c>
      <c r="O403" s="33" t="s">
        <v>644</v>
      </c>
      <c r="P403" s="33" t="s">
        <v>550</v>
      </c>
      <c r="Q403" s="33" t="s">
        <v>557</v>
      </c>
      <c r="R403" s="34" t="n">
        <v>1500</v>
      </c>
      <c r="S403" s="34" t="n">
        <f aca="false">IF(AND(L403="Oui",K403="Principal",R403&lt;&gt;""),I403*R403,0)</f>
        <v>1500</v>
      </c>
      <c r="T403" s="34" t="n">
        <f aca="false">IF(R403&lt;&gt;"",M403-S403,0)</f>
        <v>300</v>
      </c>
      <c r="U403" s="34" t="n">
        <f aca="false">IF(R403="",M403,0)</f>
        <v>0</v>
      </c>
    </row>
    <row r="404" customFormat="false" ht="15" hidden="false" customHeight="false" outlineLevel="0" collapsed="false">
      <c r="A404" s="25" t="s">
        <v>53</v>
      </c>
      <c r="B404" s="25" t="s">
        <v>56</v>
      </c>
      <c r="C404" s="25" t="s">
        <v>50</v>
      </c>
      <c r="D404" s="25" t="n">
        <v>11</v>
      </c>
      <c r="E404" s="25" t="s">
        <v>554</v>
      </c>
      <c r="F404" s="25" t="s">
        <v>104</v>
      </c>
      <c r="G404" s="25" t="n">
        <v>1594</v>
      </c>
      <c r="H404" s="25" t="s">
        <v>593</v>
      </c>
      <c r="I404" s="25" t="n">
        <v>1</v>
      </c>
      <c r="J404" s="26" t="n">
        <v>1600</v>
      </c>
      <c r="K404" s="25" t="s">
        <v>546</v>
      </c>
      <c r="L404" s="25" t="s">
        <v>547</v>
      </c>
      <c r="M404" s="26" t="n">
        <f aca="false">IF(AND(L404="Oui",K404="Principal"),I404*J404,0)</f>
        <v>1600</v>
      </c>
      <c r="N404" s="25" t="s">
        <v>548</v>
      </c>
      <c r="O404" s="25"/>
      <c r="P404" s="25" t="s">
        <v>556</v>
      </c>
      <c r="Q404" s="25" t="s">
        <v>557</v>
      </c>
      <c r="R404" s="26" t="n">
        <v>1300</v>
      </c>
      <c r="S404" s="26" t="n">
        <f aca="false">IF(AND(L404="Oui",K404="Principal",R404&lt;&gt;""),I404*R404,0)</f>
        <v>1300</v>
      </c>
      <c r="T404" s="26" t="n">
        <f aca="false">IF(R404&lt;&gt;"",M404-S404,0)</f>
        <v>300</v>
      </c>
      <c r="U404" s="26" t="n">
        <f aca="false">IF(R404="",M404,0)</f>
        <v>0</v>
      </c>
    </row>
    <row r="405" customFormat="false" ht="15" hidden="false" customHeight="false" outlineLevel="0" collapsed="false">
      <c r="A405" s="25" t="s">
        <v>53</v>
      </c>
      <c r="B405" s="25" t="s">
        <v>56</v>
      </c>
      <c r="C405" s="25" t="s">
        <v>50</v>
      </c>
      <c r="D405" s="25" t="n">
        <v>12</v>
      </c>
      <c r="E405" s="25" t="s">
        <v>565</v>
      </c>
      <c r="F405" s="25" t="s">
        <v>166</v>
      </c>
      <c r="G405" s="25" t="n">
        <v>1604</v>
      </c>
      <c r="H405" s="25" t="s">
        <v>582</v>
      </c>
      <c r="I405" s="25" t="n">
        <v>2</v>
      </c>
      <c r="J405" s="26" t="n">
        <v>700</v>
      </c>
      <c r="K405" s="25" t="s">
        <v>546</v>
      </c>
      <c r="L405" s="25" t="s">
        <v>547</v>
      </c>
      <c r="M405" s="26" t="n">
        <f aca="false">IF(AND(L405="Oui",K405="Principal"),I405*J405,0)</f>
        <v>1400</v>
      </c>
      <c r="N405" s="25" t="s">
        <v>548</v>
      </c>
      <c r="O405" s="25"/>
      <c r="P405" s="25" t="s">
        <v>556</v>
      </c>
      <c r="Q405" s="25" t="s">
        <v>557</v>
      </c>
      <c r="R405" s="26" t="n">
        <v>400</v>
      </c>
      <c r="S405" s="26" t="n">
        <f aca="false">IF(AND(L405="Oui",K405="Principal",R405&lt;&gt;""),I405*R405,0)</f>
        <v>800</v>
      </c>
      <c r="T405" s="26" t="n">
        <f aca="false">IF(R405&lt;&gt;"",M405-S405,0)</f>
        <v>600</v>
      </c>
      <c r="U405" s="26" t="n">
        <f aca="false">IF(R405="",M405,0)</f>
        <v>0</v>
      </c>
    </row>
    <row r="406" customFormat="false" ht="15" hidden="false" customHeight="false" outlineLevel="0" collapsed="false">
      <c r="A406" s="25" t="s">
        <v>53</v>
      </c>
      <c r="B406" s="25" t="s">
        <v>56</v>
      </c>
      <c r="C406" s="25" t="s">
        <v>50</v>
      </c>
      <c r="D406" s="25" t="n">
        <v>13</v>
      </c>
      <c r="E406" s="25" t="s">
        <v>565</v>
      </c>
      <c r="F406" s="25" t="s">
        <v>110</v>
      </c>
      <c r="G406" s="25" t="n">
        <v>1586</v>
      </c>
      <c r="H406" s="25" t="s">
        <v>583</v>
      </c>
      <c r="I406" s="25" t="n">
        <v>1</v>
      </c>
      <c r="J406" s="26" t="n">
        <v>900</v>
      </c>
      <c r="K406" s="25" t="s">
        <v>546</v>
      </c>
      <c r="L406" s="25" t="s">
        <v>547</v>
      </c>
      <c r="M406" s="26" t="n">
        <f aca="false">IF(AND(L406="Oui",K406="Principal"),I406*J406,0)</f>
        <v>900</v>
      </c>
      <c r="N406" s="25" t="s">
        <v>548</v>
      </c>
      <c r="O406" s="25"/>
      <c r="P406" s="25" t="s">
        <v>556</v>
      </c>
      <c r="Q406" s="25" t="s">
        <v>557</v>
      </c>
      <c r="R406" s="26" t="n">
        <v>650</v>
      </c>
      <c r="S406" s="26" t="n">
        <f aca="false">IF(AND(L406="Oui",K406="Principal",R406&lt;&gt;""),I406*R406,0)</f>
        <v>650</v>
      </c>
      <c r="T406" s="26" t="n">
        <f aca="false">IF(R406&lt;&gt;"",M406-S406,0)</f>
        <v>250</v>
      </c>
      <c r="U406" s="26" t="n">
        <f aca="false">IF(R406="",M406,0)</f>
        <v>0</v>
      </c>
    </row>
    <row r="407" customFormat="false" ht="15" hidden="false" customHeight="false" outlineLevel="0" collapsed="false">
      <c r="A407" s="25" t="s">
        <v>53</v>
      </c>
      <c r="B407" s="25" t="s">
        <v>56</v>
      </c>
      <c r="C407" s="25" t="s">
        <v>50</v>
      </c>
      <c r="D407" s="25" t="n">
        <v>14</v>
      </c>
      <c r="E407" s="25" t="s">
        <v>167</v>
      </c>
      <c r="F407" s="25" t="s">
        <v>167</v>
      </c>
      <c r="G407" s="25" t="n">
        <v>1714</v>
      </c>
      <c r="H407" s="25" t="s">
        <v>623</v>
      </c>
      <c r="I407" s="25" t="n">
        <v>1</v>
      </c>
      <c r="J407" s="26" t="n">
        <v>1000</v>
      </c>
      <c r="K407" s="25" t="s">
        <v>546</v>
      </c>
      <c r="L407" s="25" t="s">
        <v>547</v>
      </c>
      <c r="M407" s="26" t="n">
        <f aca="false">IF(AND(L407="Oui",K407="Principal"),I407*J407,0)</f>
        <v>1000</v>
      </c>
      <c r="N407" s="25" t="s">
        <v>548</v>
      </c>
      <c r="O407" s="25"/>
      <c r="P407" s="25" t="s">
        <v>561</v>
      </c>
      <c r="Q407" s="25" t="s">
        <v>557</v>
      </c>
      <c r="R407" s="26" t="n">
        <v>718</v>
      </c>
      <c r="S407" s="26" t="n">
        <f aca="false">IF(AND(L407="Oui",K407="Principal",R407&lt;&gt;""),I407*R407,0)</f>
        <v>718</v>
      </c>
      <c r="T407" s="26" t="n">
        <f aca="false">IF(R407&lt;&gt;"",M407-S407,0)</f>
        <v>282</v>
      </c>
      <c r="U407" s="26" t="n">
        <f aca="false">IF(R407="",M407,0)</f>
        <v>0</v>
      </c>
    </row>
    <row r="408" customFormat="false" ht="15" hidden="false" customHeight="false" outlineLevel="0" collapsed="false">
      <c r="A408" s="31" t="s">
        <v>53</v>
      </c>
      <c r="B408" s="31" t="s">
        <v>56</v>
      </c>
      <c r="C408" s="31" t="s">
        <v>50</v>
      </c>
      <c r="D408" s="31" t="n">
        <v>15</v>
      </c>
      <c r="E408" s="31" t="s">
        <v>167</v>
      </c>
      <c r="F408" s="31" t="s">
        <v>170</v>
      </c>
      <c r="G408" s="31" t="s">
        <v>611</v>
      </c>
      <c r="H408" s="31" t="s">
        <v>612</v>
      </c>
      <c r="I408" s="31" t="n">
        <v>20</v>
      </c>
      <c r="J408" s="32" t="n">
        <v>25</v>
      </c>
      <c r="K408" s="31" t="s">
        <v>546</v>
      </c>
      <c r="L408" s="31" t="s">
        <v>547</v>
      </c>
      <c r="M408" s="32" t="n">
        <f aca="false">IF(AND(L408="Oui",K408="Principal"),I408*J408,0)</f>
        <v>500</v>
      </c>
      <c r="N408" s="31" t="s">
        <v>172</v>
      </c>
      <c r="O408" s="31" t="s">
        <v>613</v>
      </c>
      <c r="P408" s="31" t="s">
        <v>550</v>
      </c>
      <c r="Q408" s="31" t="s">
        <v>557</v>
      </c>
      <c r="R408" s="32" t="n">
        <v>25</v>
      </c>
      <c r="S408" s="32" t="n">
        <f aca="false">IF(AND(L408="Oui",K408="Principal",R408&lt;&gt;""),I408*R408,0)</f>
        <v>500</v>
      </c>
      <c r="T408" s="32" t="n">
        <f aca="false">IF(R408&lt;&gt;"",M408-S408,0)</f>
        <v>0</v>
      </c>
      <c r="U408" s="32" t="n">
        <f aca="false">IF(R408="",M408,0)</f>
        <v>0</v>
      </c>
    </row>
    <row r="409" customFormat="false" ht="15" hidden="false" customHeight="false" outlineLevel="0" collapsed="false">
      <c r="A409" s="25" t="s">
        <v>53</v>
      </c>
      <c r="B409" s="25" t="s">
        <v>56</v>
      </c>
      <c r="C409" s="25" t="s">
        <v>50</v>
      </c>
      <c r="D409" s="25" t="n">
        <v>16</v>
      </c>
      <c r="E409" s="25" t="s">
        <v>167</v>
      </c>
      <c r="F409" s="25" t="s">
        <v>173</v>
      </c>
      <c r="G409" s="25" t="n">
        <v>1202</v>
      </c>
      <c r="H409" s="25" t="s">
        <v>599</v>
      </c>
      <c r="I409" s="25" t="n">
        <v>1</v>
      </c>
      <c r="J409" s="26" t="n">
        <v>250</v>
      </c>
      <c r="K409" s="25" t="s">
        <v>546</v>
      </c>
      <c r="L409" s="25" t="s">
        <v>547</v>
      </c>
      <c r="M409" s="26" t="n">
        <f aca="false">IF(AND(L409="Oui",K409="Principal"),I409*J409,0)</f>
        <v>250</v>
      </c>
      <c r="N409" s="25" t="s">
        <v>548</v>
      </c>
      <c r="O409" s="25"/>
      <c r="P409" s="25" t="s">
        <v>550</v>
      </c>
      <c r="Q409" s="25" t="s">
        <v>557</v>
      </c>
      <c r="R409" s="26" t="n">
        <v>100</v>
      </c>
      <c r="S409" s="26" t="n">
        <f aca="false">IF(AND(L409="Oui",K409="Principal",R409&lt;&gt;""),I409*R409,0)</f>
        <v>100</v>
      </c>
      <c r="T409" s="26" t="n">
        <f aca="false">IF(R409&lt;&gt;"",M409-S409,0)</f>
        <v>150</v>
      </c>
      <c r="U409" s="26" t="n">
        <f aca="false">IF(R409="",M409,0)</f>
        <v>0</v>
      </c>
    </row>
    <row r="410" customFormat="false" ht="15" hidden="false" customHeight="false" outlineLevel="0" collapsed="false">
      <c r="A410" s="25" t="s">
        <v>53</v>
      </c>
      <c r="B410" s="25" t="s">
        <v>56</v>
      </c>
      <c r="C410" s="25" t="s">
        <v>50</v>
      </c>
      <c r="D410" s="25" t="n">
        <v>17</v>
      </c>
      <c r="E410" s="25" t="s">
        <v>573</v>
      </c>
      <c r="F410" s="25" t="s">
        <v>176</v>
      </c>
      <c r="G410" s="25" t="n">
        <v>19</v>
      </c>
      <c r="H410" s="25" t="s">
        <v>615</v>
      </c>
      <c r="I410" s="25" t="n">
        <v>1</v>
      </c>
      <c r="J410" s="26" t="n">
        <v>2500</v>
      </c>
      <c r="K410" s="25" t="s">
        <v>546</v>
      </c>
      <c r="L410" s="25" t="s">
        <v>547</v>
      </c>
      <c r="M410" s="26" t="n">
        <f aca="false">IF(AND(L410="Oui",K410="Principal"),I410*J410,0)</f>
        <v>2500</v>
      </c>
      <c r="N410" s="25" t="s">
        <v>548</v>
      </c>
      <c r="O410" s="25"/>
      <c r="P410" s="25" t="s">
        <v>559</v>
      </c>
      <c r="Q410" s="25" t="s">
        <v>551</v>
      </c>
      <c r="R410" s="26"/>
      <c r="S410" s="26" t="n">
        <f aca="false">IF(AND(L410="Oui",K410="Principal",R410&lt;&gt;""),I410*R410,0)</f>
        <v>0</v>
      </c>
      <c r="T410" s="26" t="n">
        <f aca="false">IF(R410&lt;&gt;"",M410-S410,0)</f>
        <v>0</v>
      </c>
      <c r="U410" s="26" t="n">
        <f aca="false">IF(R410="",M410,0)</f>
        <v>2500</v>
      </c>
    </row>
    <row r="411" customFormat="false" ht="15" hidden="false" customHeight="false" outlineLevel="0" collapsed="false">
      <c r="A411" s="25" t="s">
        <v>53</v>
      </c>
      <c r="B411" s="25" t="s">
        <v>56</v>
      </c>
      <c r="C411" s="25" t="s">
        <v>50</v>
      </c>
      <c r="D411" s="25" t="n">
        <v>18</v>
      </c>
      <c r="E411" s="25" t="s">
        <v>573</v>
      </c>
      <c r="F411" s="25" t="s">
        <v>117</v>
      </c>
      <c r="G411" s="25" t="n">
        <v>1288</v>
      </c>
      <c r="H411" s="25" t="s">
        <v>624</v>
      </c>
      <c r="I411" s="25" t="n">
        <v>1</v>
      </c>
      <c r="J411" s="26" t="n">
        <v>2500</v>
      </c>
      <c r="K411" s="25" t="s">
        <v>546</v>
      </c>
      <c r="L411" s="25" t="s">
        <v>547</v>
      </c>
      <c r="M411" s="26" t="n">
        <f aca="false">IF(AND(L411="Oui",K411="Principal"),I411*J411,0)</f>
        <v>2500</v>
      </c>
      <c r="N411" s="25" t="s">
        <v>548</v>
      </c>
      <c r="O411" s="25"/>
      <c r="P411" s="25" t="s">
        <v>550</v>
      </c>
      <c r="Q411" s="25" t="s">
        <v>557</v>
      </c>
      <c r="R411" s="26" t="n">
        <v>2000</v>
      </c>
      <c r="S411" s="26" t="n">
        <f aca="false">IF(AND(L411="Oui",K411="Principal",R411&lt;&gt;""),I411*R411,0)</f>
        <v>2000</v>
      </c>
      <c r="T411" s="26" t="n">
        <f aca="false">IF(R411&lt;&gt;"",M411-S411,0)</f>
        <v>500</v>
      </c>
      <c r="U411" s="26" t="n">
        <f aca="false">IF(R411="",M411,0)</f>
        <v>0</v>
      </c>
    </row>
    <row r="412" customFormat="false" ht="15" hidden="false" customHeight="false" outlineLevel="0" collapsed="false">
      <c r="A412" s="25" t="s">
        <v>53</v>
      </c>
      <c r="B412" s="25" t="s">
        <v>56</v>
      </c>
      <c r="C412" s="25" t="s">
        <v>50</v>
      </c>
      <c r="D412" s="25" t="n">
        <v>19</v>
      </c>
      <c r="E412" s="25" t="s">
        <v>616</v>
      </c>
      <c r="F412" s="25" t="s">
        <v>223</v>
      </c>
      <c r="G412" s="25" t="n">
        <v>1511</v>
      </c>
      <c r="H412" s="25" t="s">
        <v>645</v>
      </c>
      <c r="I412" s="25" t="n">
        <v>1</v>
      </c>
      <c r="J412" s="26" t="n">
        <v>3900</v>
      </c>
      <c r="K412" s="25" t="s">
        <v>546</v>
      </c>
      <c r="L412" s="25" t="s">
        <v>547</v>
      </c>
      <c r="M412" s="26" t="n">
        <f aca="false">IF(AND(L412="Oui",K412="Principal"),I412*J412,0)</f>
        <v>3900</v>
      </c>
      <c r="N412" s="25" t="s">
        <v>548</v>
      </c>
      <c r="O412" s="25"/>
      <c r="P412" s="25" t="s">
        <v>550</v>
      </c>
      <c r="Q412" s="25" t="s">
        <v>557</v>
      </c>
      <c r="R412" s="26" t="n">
        <v>2900</v>
      </c>
      <c r="S412" s="26" t="n">
        <f aca="false">IF(AND(L412="Oui",K412="Principal",R412&lt;&gt;""),I412*R412,0)</f>
        <v>2900</v>
      </c>
      <c r="T412" s="26" t="n">
        <f aca="false">IF(R412&lt;&gt;"",M412-S412,0)</f>
        <v>1000</v>
      </c>
      <c r="U412" s="26" t="n">
        <f aca="false">IF(R412="",M412,0)</f>
        <v>0</v>
      </c>
    </row>
    <row r="413" customFormat="false" ht="15" hidden="false" customHeight="false" outlineLevel="0" collapsed="false">
      <c r="A413" s="25" t="s">
        <v>53</v>
      </c>
      <c r="B413" s="25" t="s">
        <v>56</v>
      </c>
      <c r="C413" s="25" t="s">
        <v>50</v>
      </c>
      <c r="D413" s="25" t="n">
        <v>20</v>
      </c>
      <c r="E413" s="25" t="s">
        <v>616</v>
      </c>
      <c r="F413" s="25" t="s">
        <v>225</v>
      </c>
      <c r="G413" s="25" t="n">
        <v>1505</v>
      </c>
      <c r="H413" s="25" t="s">
        <v>646</v>
      </c>
      <c r="I413" s="25" t="n">
        <v>1</v>
      </c>
      <c r="J413" s="26" t="n">
        <v>5000</v>
      </c>
      <c r="K413" s="25" t="s">
        <v>546</v>
      </c>
      <c r="L413" s="25" t="s">
        <v>547</v>
      </c>
      <c r="M413" s="26" t="n">
        <f aca="false">IF(AND(L413="Oui",K413="Principal"),I413*J413,0)</f>
        <v>5000</v>
      </c>
      <c r="N413" s="25" t="s">
        <v>548</v>
      </c>
      <c r="O413" s="25"/>
      <c r="P413" s="25" t="s">
        <v>550</v>
      </c>
      <c r="Q413" s="25" t="s">
        <v>557</v>
      </c>
      <c r="R413" s="26" t="n">
        <v>3000</v>
      </c>
      <c r="S413" s="26" t="n">
        <f aca="false">IF(AND(L413="Oui",K413="Principal",R413&lt;&gt;""),I413*R413,0)</f>
        <v>3000</v>
      </c>
      <c r="T413" s="26" t="n">
        <f aca="false">IF(R413&lt;&gt;"",M413-S413,0)</f>
        <v>2000</v>
      </c>
      <c r="U413" s="26" t="n">
        <f aca="false">IF(R413="",M413,0)</f>
        <v>0</v>
      </c>
    </row>
    <row r="414" customFormat="false" ht="15" hidden="false" customHeight="false" outlineLevel="0" collapsed="false">
      <c r="A414" s="25" t="s">
        <v>53</v>
      </c>
      <c r="B414" s="25" t="s">
        <v>56</v>
      </c>
      <c r="C414" s="25" t="s">
        <v>50</v>
      </c>
      <c r="D414" s="25" t="n">
        <v>21</v>
      </c>
      <c r="E414" s="25" t="s">
        <v>616</v>
      </c>
      <c r="F414" s="25" t="s">
        <v>227</v>
      </c>
      <c r="G414" s="25" t="n">
        <v>1518</v>
      </c>
      <c r="H414" s="25" t="s">
        <v>647</v>
      </c>
      <c r="I414" s="25" t="n">
        <v>1</v>
      </c>
      <c r="J414" s="26" t="n">
        <v>4000</v>
      </c>
      <c r="K414" s="25" t="s">
        <v>546</v>
      </c>
      <c r="L414" s="25" t="s">
        <v>547</v>
      </c>
      <c r="M414" s="26" t="n">
        <f aca="false">IF(AND(L414="Oui",K414="Principal"),I414*J414,0)</f>
        <v>4000</v>
      </c>
      <c r="N414" s="25" t="s">
        <v>548</v>
      </c>
      <c r="O414" s="25"/>
      <c r="P414" s="25" t="s">
        <v>550</v>
      </c>
      <c r="Q414" s="25" t="s">
        <v>557</v>
      </c>
      <c r="R414" s="26" t="n">
        <v>3000</v>
      </c>
      <c r="S414" s="26" t="n">
        <f aca="false">IF(AND(L414="Oui",K414="Principal",R414&lt;&gt;""),I414*R414,0)</f>
        <v>3000</v>
      </c>
      <c r="T414" s="26" t="n">
        <f aca="false">IF(R414&lt;&gt;"",M414-S414,0)</f>
        <v>1000</v>
      </c>
      <c r="U414" s="26" t="n">
        <f aca="false">IF(R414="",M414,0)</f>
        <v>0</v>
      </c>
    </row>
    <row r="415" customFormat="false" ht="15" hidden="false" customHeight="false" outlineLevel="0" collapsed="false">
      <c r="A415" s="25" t="s">
        <v>53</v>
      </c>
      <c r="B415" s="25" t="s">
        <v>56</v>
      </c>
      <c r="C415" s="25" t="s">
        <v>50</v>
      </c>
      <c r="D415" s="25" t="n">
        <v>22</v>
      </c>
      <c r="E415" s="25" t="s">
        <v>616</v>
      </c>
      <c r="F415" s="25" t="s">
        <v>229</v>
      </c>
      <c r="G415" s="25" t="n">
        <v>1486</v>
      </c>
      <c r="H415" s="25" t="s">
        <v>648</v>
      </c>
      <c r="I415" s="25" t="n">
        <v>1</v>
      </c>
      <c r="J415" s="26" t="n">
        <v>4000</v>
      </c>
      <c r="K415" s="25" t="s">
        <v>546</v>
      </c>
      <c r="L415" s="25" t="s">
        <v>547</v>
      </c>
      <c r="M415" s="26" t="n">
        <f aca="false">IF(AND(L415="Oui",K415="Principal"),I415*J415,0)</f>
        <v>4000</v>
      </c>
      <c r="N415" s="25" t="s">
        <v>548</v>
      </c>
      <c r="O415" s="25"/>
      <c r="P415" s="25" t="s">
        <v>550</v>
      </c>
      <c r="Q415" s="25" t="s">
        <v>557</v>
      </c>
      <c r="R415" s="26" t="n">
        <v>3000</v>
      </c>
      <c r="S415" s="26" t="n">
        <f aca="false">IF(AND(L415="Oui",K415="Principal",R415&lt;&gt;""),I415*R415,0)</f>
        <v>3000</v>
      </c>
      <c r="T415" s="26" t="n">
        <f aca="false">IF(R415&lt;&gt;"",M415-S415,0)</f>
        <v>1000</v>
      </c>
      <c r="U415" s="26" t="n">
        <f aca="false">IF(R415="",M415,0)</f>
        <v>0</v>
      </c>
    </row>
    <row r="416" customFormat="false" ht="15" hidden="false" customHeight="false" outlineLevel="0" collapsed="false">
      <c r="A416" s="25" t="s">
        <v>53</v>
      </c>
      <c r="B416" s="25" t="s">
        <v>56</v>
      </c>
      <c r="C416" s="25" t="s">
        <v>50</v>
      </c>
      <c r="D416" s="25" t="n">
        <v>23</v>
      </c>
      <c r="E416" s="25" t="s">
        <v>625</v>
      </c>
      <c r="F416" s="25" t="s">
        <v>231</v>
      </c>
      <c r="G416" s="25" t="n">
        <v>1463</v>
      </c>
      <c r="H416" s="25" t="s">
        <v>649</v>
      </c>
      <c r="I416" s="25" t="n">
        <v>1</v>
      </c>
      <c r="J416" s="26" t="n">
        <v>3010</v>
      </c>
      <c r="K416" s="25" t="s">
        <v>546</v>
      </c>
      <c r="L416" s="25" t="s">
        <v>547</v>
      </c>
      <c r="M416" s="26" t="n">
        <f aca="false">IF(AND(L416="Oui",K416="Principal"),I416*J416,0)</f>
        <v>3010</v>
      </c>
      <c r="N416" s="25" t="s">
        <v>548</v>
      </c>
      <c r="O416" s="25"/>
      <c r="P416" s="25" t="s">
        <v>550</v>
      </c>
      <c r="Q416" s="25" t="s">
        <v>557</v>
      </c>
      <c r="R416" s="26" t="n">
        <v>2010</v>
      </c>
      <c r="S416" s="26" t="n">
        <f aca="false">IF(AND(L416="Oui",K416="Principal",R416&lt;&gt;""),I416*R416,0)</f>
        <v>2010</v>
      </c>
      <c r="T416" s="26" t="n">
        <f aca="false">IF(R416&lt;&gt;"",M416-S416,0)</f>
        <v>1000</v>
      </c>
      <c r="U416" s="26" t="n">
        <f aca="false">IF(R416="",M416,0)</f>
        <v>0</v>
      </c>
    </row>
    <row r="417" customFormat="false" ht="15" hidden="false" customHeight="false" outlineLevel="0" collapsed="false">
      <c r="A417" s="25" t="s">
        <v>53</v>
      </c>
      <c r="B417" s="25" t="s">
        <v>56</v>
      </c>
      <c r="C417" s="25" t="s">
        <v>50</v>
      </c>
      <c r="D417" s="25" t="n">
        <v>24</v>
      </c>
      <c r="E417" s="25" t="s">
        <v>625</v>
      </c>
      <c r="F417" s="25" t="s">
        <v>233</v>
      </c>
      <c r="G417" s="25" t="n">
        <v>1469</v>
      </c>
      <c r="H417" s="25" t="s">
        <v>650</v>
      </c>
      <c r="I417" s="25" t="n">
        <v>1</v>
      </c>
      <c r="J417" s="26" t="n">
        <v>3010</v>
      </c>
      <c r="K417" s="25" t="s">
        <v>546</v>
      </c>
      <c r="L417" s="25" t="s">
        <v>547</v>
      </c>
      <c r="M417" s="26" t="n">
        <f aca="false">IF(AND(L417="Oui",K417="Principal"),I417*J417,0)</f>
        <v>3010</v>
      </c>
      <c r="N417" s="25" t="s">
        <v>548</v>
      </c>
      <c r="O417" s="25"/>
      <c r="P417" s="25" t="s">
        <v>550</v>
      </c>
      <c r="Q417" s="25" t="s">
        <v>557</v>
      </c>
      <c r="R417" s="26" t="n">
        <v>2010</v>
      </c>
      <c r="S417" s="26" t="n">
        <f aca="false">IF(AND(L417="Oui",K417="Principal",R417&lt;&gt;""),I417*R417,0)</f>
        <v>2010</v>
      </c>
      <c r="T417" s="26" t="n">
        <f aca="false">IF(R417&lt;&gt;"",M417-S417,0)</f>
        <v>1000</v>
      </c>
      <c r="U417" s="26" t="n">
        <f aca="false">IF(R417="",M417,0)</f>
        <v>0</v>
      </c>
    </row>
    <row r="418" customFormat="false" ht="15" hidden="false" customHeight="false" outlineLevel="0" collapsed="false">
      <c r="A418" s="25" t="s">
        <v>53</v>
      </c>
      <c r="B418" s="25" t="s">
        <v>56</v>
      </c>
      <c r="C418" s="25" t="s">
        <v>50</v>
      </c>
      <c r="D418" s="25" t="n">
        <v>25</v>
      </c>
      <c r="E418" s="25" t="s">
        <v>625</v>
      </c>
      <c r="F418" s="25" t="s">
        <v>235</v>
      </c>
      <c r="G418" s="25" t="n">
        <v>1484</v>
      </c>
      <c r="H418" s="25" t="s">
        <v>651</v>
      </c>
      <c r="I418" s="25" t="n">
        <v>1</v>
      </c>
      <c r="J418" s="26" t="n">
        <v>3010</v>
      </c>
      <c r="K418" s="25" t="s">
        <v>546</v>
      </c>
      <c r="L418" s="25" t="s">
        <v>547</v>
      </c>
      <c r="M418" s="26" t="n">
        <f aca="false">IF(AND(L418="Oui",K418="Principal"),I418*J418,0)</f>
        <v>3010</v>
      </c>
      <c r="N418" s="25" t="s">
        <v>548</v>
      </c>
      <c r="O418" s="25"/>
      <c r="P418" s="25" t="s">
        <v>550</v>
      </c>
      <c r="Q418" s="25" t="s">
        <v>557</v>
      </c>
      <c r="R418" s="26" t="n">
        <v>2010</v>
      </c>
      <c r="S418" s="26" t="n">
        <f aca="false">IF(AND(L418="Oui",K418="Principal",R418&lt;&gt;""),I418*R418,0)</f>
        <v>2010</v>
      </c>
      <c r="T418" s="26" t="n">
        <f aca="false">IF(R418&lt;&gt;"",M418-S418,0)</f>
        <v>1000</v>
      </c>
      <c r="U418" s="26" t="n">
        <f aca="false">IF(R418="",M418,0)</f>
        <v>0</v>
      </c>
    </row>
    <row r="419" customFormat="false" ht="15" hidden="false" customHeight="false" outlineLevel="0" collapsed="false">
      <c r="A419" s="25" t="s">
        <v>53</v>
      </c>
      <c r="B419" s="25" t="s">
        <v>56</v>
      </c>
      <c r="C419" s="25" t="s">
        <v>50</v>
      </c>
      <c r="D419" s="25" t="n">
        <v>26</v>
      </c>
      <c r="E419" s="25" t="s">
        <v>577</v>
      </c>
      <c r="F419" s="25" t="s">
        <v>120</v>
      </c>
      <c r="G419" s="25" t="n">
        <v>1199</v>
      </c>
      <c r="H419" s="25" t="s">
        <v>622</v>
      </c>
      <c r="I419" s="25" t="n">
        <v>1</v>
      </c>
      <c r="J419" s="26" t="n">
        <v>7500</v>
      </c>
      <c r="K419" s="25" t="s">
        <v>577</v>
      </c>
      <c r="L419" s="25" t="s">
        <v>579</v>
      </c>
      <c r="M419" s="26" t="n">
        <f aca="false">IF(AND(L419="Oui",K419="Principal"),I419*J419,0)</f>
        <v>0</v>
      </c>
      <c r="N419" s="25" t="s">
        <v>548</v>
      </c>
      <c r="O419" s="25"/>
      <c r="P419" s="25" t="s">
        <v>550</v>
      </c>
      <c r="Q419" s="25" t="s">
        <v>557</v>
      </c>
      <c r="R419" s="26" t="n">
        <v>6000</v>
      </c>
      <c r="S419" s="26" t="n">
        <f aca="false">IF(AND(L419="Oui",K419="Principal",R419&lt;&gt;""),I419*R419,0)</f>
        <v>0</v>
      </c>
      <c r="T419" s="26" t="n">
        <f aca="false">IF(R419&lt;&gt;"",M419-S419,0)</f>
        <v>0</v>
      </c>
      <c r="U419" s="26" t="n">
        <f aca="false">IF(R419="",M419,0)</f>
        <v>0</v>
      </c>
    </row>
    <row r="420" customFormat="false" ht="15" hidden="false" customHeight="false" outlineLevel="0" collapsed="false">
      <c r="A420" s="25" t="s">
        <v>53</v>
      </c>
      <c r="B420" s="25" t="s">
        <v>57</v>
      </c>
      <c r="C420" s="25" t="s">
        <v>48</v>
      </c>
      <c r="D420" s="25" t="n">
        <v>1</v>
      </c>
      <c r="E420" s="25" t="s">
        <v>544</v>
      </c>
      <c r="F420" s="25" t="s">
        <v>151</v>
      </c>
      <c r="G420" s="25" t="n">
        <v>1618</v>
      </c>
      <c r="H420" s="25" t="s">
        <v>600</v>
      </c>
      <c r="I420" s="25" t="n">
        <v>4</v>
      </c>
      <c r="J420" s="26" t="n">
        <v>450</v>
      </c>
      <c r="K420" s="25" t="s">
        <v>546</v>
      </c>
      <c r="L420" s="25" t="s">
        <v>547</v>
      </c>
      <c r="M420" s="26" t="n">
        <f aca="false">IF(AND(L420="Oui",K420="Principal"),I420*J420,0)</f>
        <v>1800</v>
      </c>
      <c r="N420" s="25" t="s">
        <v>548</v>
      </c>
      <c r="O420" s="25"/>
      <c r="P420" s="25" t="s">
        <v>556</v>
      </c>
      <c r="Q420" s="25" t="s">
        <v>557</v>
      </c>
      <c r="R420" s="26" t="n">
        <v>350</v>
      </c>
      <c r="S420" s="26" t="n">
        <f aca="false">IF(AND(L420="Oui",K420="Principal",R420&lt;&gt;""),I420*R420,0)</f>
        <v>1400</v>
      </c>
      <c r="T420" s="26" t="n">
        <f aca="false">IF(R420&lt;&gt;"",M420-S420,0)</f>
        <v>400</v>
      </c>
      <c r="U420" s="26" t="n">
        <f aca="false">IF(R420="",M420,0)</f>
        <v>0</v>
      </c>
    </row>
    <row r="421" customFormat="false" ht="15" hidden="false" customHeight="false" outlineLevel="0" collapsed="false">
      <c r="A421" s="25" t="s">
        <v>53</v>
      </c>
      <c r="B421" s="25" t="s">
        <v>57</v>
      </c>
      <c r="C421" s="25" t="s">
        <v>48</v>
      </c>
      <c r="D421" s="25" t="n">
        <v>2</v>
      </c>
      <c r="E421" s="25" t="s">
        <v>544</v>
      </c>
      <c r="F421" s="25" t="s">
        <v>158</v>
      </c>
      <c r="G421" s="25" t="n">
        <v>1575</v>
      </c>
      <c r="H421" s="25" t="s">
        <v>605</v>
      </c>
      <c r="I421" s="25" t="n">
        <v>4</v>
      </c>
      <c r="J421" s="26" t="n">
        <v>275</v>
      </c>
      <c r="K421" s="25" t="s">
        <v>546</v>
      </c>
      <c r="L421" s="25" t="s">
        <v>547</v>
      </c>
      <c r="M421" s="26" t="n">
        <f aca="false">IF(AND(L421="Oui",K421="Principal"),I421*J421,0)</f>
        <v>1100</v>
      </c>
      <c r="N421" s="25" t="s">
        <v>548</v>
      </c>
      <c r="O421" s="25"/>
      <c r="P421" s="25" t="s">
        <v>556</v>
      </c>
      <c r="Q421" s="25" t="s">
        <v>557</v>
      </c>
      <c r="R421" s="26" t="n">
        <v>175</v>
      </c>
      <c r="S421" s="26" t="n">
        <f aca="false">IF(AND(L421="Oui",K421="Principal",R421&lt;&gt;""),I421*R421,0)</f>
        <v>700</v>
      </c>
      <c r="T421" s="26" t="n">
        <f aca="false">IF(R421&lt;&gt;"",M421-S421,0)</f>
        <v>400</v>
      </c>
      <c r="U421" s="26" t="n">
        <f aca="false">IF(R421="",M421,0)</f>
        <v>0</v>
      </c>
    </row>
    <row r="422" customFormat="false" ht="15" hidden="false" customHeight="false" outlineLevel="0" collapsed="false">
      <c r="A422" s="25" t="s">
        <v>53</v>
      </c>
      <c r="B422" s="25" t="s">
        <v>57</v>
      </c>
      <c r="C422" s="25" t="s">
        <v>48</v>
      </c>
      <c r="D422" s="25" t="n">
        <v>3</v>
      </c>
      <c r="E422" s="25" t="s">
        <v>554</v>
      </c>
      <c r="F422" s="25" t="s">
        <v>88</v>
      </c>
      <c r="G422" s="25" t="n">
        <v>1572</v>
      </c>
      <c r="H422" s="25" t="s">
        <v>555</v>
      </c>
      <c r="I422" s="25" t="n">
        <v>1</v>
      </c>
      <c r="J422" s="26" t="n">
        <v>250</v>
      </c>
      <c r="K422" s="25" t="s">
        <v>546</v>
      </c>
      <c r="L422" s="25" t="s">
        <v>547</v>
      </c>
      <c r="M422" s="26" t="n">
        <f aca="false">IF(AND(L422="Oui",K422="Principal"),I422*J422,0)</f>
        <v>250</v>
      </c>
      <c r="N422" s="25" t="s">
        <v>548</v>
      </c>
      <c r="O422" s="25"/>
      <c r="P422" s="25" t="s">
        <v>556</v>
      </c>
      <c r="Q422" s="25" t="s">
        <v>557</v>
      </c>
      <c r="R422" s="26" t="n">
        <v>150</v>
      </c>
      <c r="S422" s="26" t="n">
        <f aca="false">IF(AND(L422="Oui",K422="Principal",R422&lt;&gt;""),I422*R422,0)</f>
        <v>150</v>
      </c>
      <c r="T422" s="26" t="n">
        <f aca="false">IF(R422&lt;&gt;"",M422-S422,0)</f>
        <v>100</v>
      </c>
      <c r="U422" s="26" t="n">
        <f aca="false">IF(R422="",M422,0)</f>
        <v>0</v>
      </c>
    </row>
    <row r="423" customFormat="false" ht="15" hidden="false" customHeight="false" outlineLevel="0" collapsed="false">
      <c r="A423" s="25" t="s">
        <v>53</v>
      </c>
      <c r="B423" s="25" t="s">
        <v>57</v>
      </c>
      <c r="C423" s="25" t="s">
        <v>48</v>
      </c>
      <c r="D423" s="25" t="n">
        <v>4</v>
      </c>
      <c r="E423" s="25" t="s">
        <v>160</v>
      </c>
      <c r="F423" s="25" t="s">
        <v>160</v>
      </c>
      <c r="G423" s="25" t="n">
        <v>1277</v>
      </c>
      <c r="H423" s="25" t="s">
        <v>606</v>
      </c>
      <c r="I423" s="25" t="n">
        <v>9</v>
      </c>
      <c r="J423" s="26" t="n">
        <v>150</v>
      </c>
      <c r="K423" s="25" t="s">
        <v>546</v>
      </c>
      <c r="L423" s="25" t="s">
        <v>547</v>
      </c>
      <c r="M423" s="26" t="n">
        <f aca="false">IF(AND(L423="Oui",K423="Principal"),I423*J423,0)</f>
        <v>1350</v>
      </c>
      <c r="N423" s="25" t="s">
        <v>548</v>
      </c>
      <c r="O423" s="25"/>
      <c r="P423" s="25" t="s">
        <v>550</v>
      </c>
      <c r="Q423" s="25" t="s">
        <v>557</v>
      </c>
      <c r="R423" s="26"/>
      <c r="S423" s="26" t="n">
        <f aca="false">IF(AND(L423="Oui",K423="Principal",R423&lt;&gt;""),I423*R423,0)</f>
        <v>0</v>
      </c>
      <c r="T423" s="26" t="n">
        <f aca="false">IF(R423&lt;&gt;"",M423-S423,0)</f>
        <v>0</v>
      </c>
      <c r="U423" s="26" t="n">
        <f aca="false">IF(R423="",M423,0)</f>
        <v>1350</v>
      </c>
    </row>
    <row r="424" customFormat="false" ht="15" hidden="false" customHeight="false" outlineLevel="0" collapsed="false">
      <c r="A424" s="25" t="s">
        <v>53</v>
      </c>
      <c r="B424" s="25" t="s">
        <v>57</v>
      </c>
      <c r="C424" s="25" t="s">
        <v>48</v>
      </c>
      <c r="D424" s="25" t="n">
        <v>5</v>
      </c>
      <c r="E424" s="25" t="s">
        <v>563</v>
      </c>
      <c r="F424" s="25" t="s">
        <v>97</v>
      </c>
      <c r="G424" s="25" t="n">
        <v>1571</v>
      </c>
      <c r="H424" s="25" t="s">
        <v>564</v>
      </c>
      <c r="I424" s="25" t="n">
        <v>2</v>
      </c>
      <c r="J424" s="26" t="n">
        <v>75</v>
      </c>
      <c r="K424" s="25" t="s">
        <v>546</v>
      </c>
      <c r="L424" s="25" t="s">
        <v>547</v>
      </c>
      <c r="M424" s="26" t="n">
        <f aca="false">IF(AND(L424="Oui",K424="Principal"),I424*J424,0)</f>
        <v>150</v>
      </c>
      <c r="N424" s="25" t="s">
        <v>548</v>
      </c>
      <c r="O424" s="25"/>
      <c r="P424" s="25" t="s">
        <v>550</v>
      </c>
      <c r="Q424" s="25" t="s">
        <v>557</v>
      </c>
      <c r="R424" s="26"/>
      <c r="S424" s="26" t="n">
        <f aca="false">IF(AND(L424="Oui",K424="Principal",R424&lt;&gt;""),I424*R424,0)</f>
        <v>0</v>
      </c>
      <c r="T424" s="26" t="n">
        <f aca="false">IF(R424&lt;&gt;"",M424-S424,0)</f>
        <v>0</v>
      </c>
      <c r="U424" s="26" t="n">
        <f aca="false">IF(R424="",M424,0)</f>
        <v>150</v>
      </c>
    </row>
    <row r="425" customFormat="false" ht="15" hidden="false" customHeight="false" outlineLevel="0" collapsed="false">
      <c r="A425" s="25" t="s">
        <v>53</v>
      </c>
      <c r="B425" s="25" t="s">
        <v>57</v>
      </c>
      <c r="C425" s="25" t="s">
        <v>48</v>
      </c>
      <c r="D425" s="25" t="n">
        <v>6</v>
      </c>
      <c r="E425" s="25" t="s">
        <v>563</v>
      </c>
      <c r="F425" s="25" t="s">
        <v>162</v>
      </c>
      <c r="G425" s="25" t="n">
        <v>1635</v>
      </c>
      <c r="H425" s="25" t="s">
        <v>607</v>
      </c>
      <c r="I425" s="25" t="n">
        <v>2</v>
      </c>
      <c r="J425" s="26" t="n">
        <v>100</v>
      </c>
      <c r="K425" s="25" t="s">
        <v>546</v>
      </c>
      <c r="L425" s="25" t="s">
        <v>547</v>
      </c>
      <c r="M425" s="26" t="n">
        <f aca="false">IF(AND(L425="Oui",K425="Principal"),I425*J425,0)</f>
        <v>200</v>
      </c>
      <c r="N425" s="25" t="s">
        <v>548</v>
      </c>
      <c r="O425" s="25"/>
      <c r="P425" s="25" t="s">
        <v>556</v>
      </c>
      <c r="Q425" s="25" t="s">
        <v>557</v>
      </c>
      <c r="R425" s="26" t="n">
        <v>80</v>
      </c>
      <c r="S425" s="26" t="n">
        <f aca="false">IF(AND(L425="Oui",K425="Principal",R425&lt;&gt;""),I425*R425,0)</f>
        <v>160</v>
      </c>
      <c r="T425" s="26" t="n">
        <f aca="false">IF(R425&lt;&gt;"",M425-S425,0)</f>
        <v>40</v>
      </c>
      <c r="U425" s="26" t="n">
        <f aca="false">IF(R425="",M425,0)</f>
        <v>0</v>
      </c>
    </row>
    <row r="426" customFormat="false" ht="15" hidden="false" customHeight="false" outlineLevel="0" collapsed="false">
      <c r="A426" s="25" t="s">
        <v>53</v>
      </c>
      <c r="B426" s="25" t="s">
        <v>57</v>
      </c>
      <c r="C426" s="25" t="s">
        <v>48</v>
      </c>
      <c r="D426" s="25" t="n">
        <v>7</v>
      </c>
      <c r="E426" s="25" t="s">
        <v>563</v>
      </c>
      <c r="F426" s="25" t="s">
        <v>197</v>
      </c>
      <c r="G426" s="25" t="n">
        <v>1674</v>
      </c>
      <c r="H426" s="25" t="s">
        <v>630</v>
      </c>
      <c r="I426" s="25" t="n">
        <v>1</v>
      </c>
      <c r="J426" s="26" t="n">
        <v>100</v>
      </c>
      <c r="K426" s="25" t="s">
        <v>546</v>
      </c>
      <c r="L426" s="25" t="s">
        <v>547</v>
      </c>
      <c r="M426" s="26" t="n">
        <f aca="false">IF(AND(L426="Oui",K426="Principal"),I426*J426,0)</f>
        <v>100</v>
      </c>
      <c r="N426" s="25" t="s">
        <v>548</v>
      </c>
      <c r="O426" s="25"/>
      <c r="P426" s="25" t="s">
        <v>556</v>
      </c>
      <c r="Q426" s="25" t="s">
        <v>557</v>
      </c>
      <c r="R426" s="26" t="n">
        <v>80</v>
      </c>
      <c r="S426" s="26" t="n">
        <f aca="false">IF(AND(L426="Oui",K426="Principal",R426&lt;&gt;""),I426*R426,0)</f>
        <v>80</v>
      </c>
      <c r="T426" s="26" t="n">
        <f aca="false">IF(R426&lt;&gt;"",M426-S426,0)</f>
        <v>20</v>
      </c>
      <c r="U426" s="26" t="n">
        <f aca="false">IF(R426="",M426,0)</f>
        <v>0</v>
      </c>
    </row>
    <row r="427" customFormat="false" ht="15" hidden="false" customHeight="false" outlineLevel="0" collapsed="false">
      <c r="A427" s="25" t="s">
        <v>53</v>
      </c>
      <c r="B427" s="25" t="s">
        <v>57</v>
      </c>
      <c r="C427" s="25" t="s">
        <v>48</v>
      </c>
      <c r="D427" s="25" t="n">
        <v>8</v>
      </c>
      <c r="E427" s="25" t="s">
        <v>565</v>
      </c>
      <c r="F427" s="25" t="s">
        <v>99</v>
      </c>
      <c r="G427" s="25" t="n">
        <v>9</v>
      </c>
      <c r="H427" s="25" t="s">
        <v>566</v>
      </c>
      <c r="I427" s="25" t="n">
        <v>2</v>
      </c>
      <c r="J427" s="26" t="n">
        <v>150</v>
      </c>
      <c r="K427" s="25" t="s">
        <v>546</v>
      </c>
      <c r="L427" s="25" t="s">
        <v>547</v>
      </c>
      <c r="M427" s="26" t="n">
        <f aca="false">IF(AND(L427="Oui",K427="Principal"),I427*J427,0)</f>
        <v>300</v>
      </c>
      <c r="N427" s="25" t="s">
        <v>548</v>
      </c>
      <c r="O427" s="25"/>
      <c r="P427" s="25" t="s">
        <v>559</v>
      </c>
      <c r="Q427" s="25" t="s">
        <v>551</v>
      </c>
      <c r="R427" s="26"/>
      <c r="S427" s="26" t="n">
        <f aca="false">IF(AND(L427="Oui",K427="Principal",R427&lt;&gt;""),I427*R427,0)</f>
        <v>0</v>
      </c>
      <c r="T427" s="26" t="n">
        <f aca="false">IF(R427&lt;&gt;"",M427-S427,0)</f>
        <v>0</v>
      </c>
      <c r="U427" s="26" t="n">
        <f aca="false">IF(R427="",M427,0)</f>
        <v>300</v>
      </c>
    </row>
    <row r="428" customFormat="false" ht="15" hidden="false" customHeight="false" outlineLevel="0" collapsed="false">
      <c r="A428" s="25" t="s">
        <v>53</v>
      </c>
      <c r="B428" s="25" t="s">
        <v>57</v>
      </c>
      <c r="C428" s="25" t="s">
        <v>48</v>
      </c>
      <c r="D428" s="25" t="n">
        <v>9</v>
      </c>
      <c r="E428" s="25" t="s">
        <v>565</v>
      </c>
      <c r="F428" s="25" t="s">
        <v>164</v>
      </c>
      <c r="G428" s="25" t="n">
        <v>10</v>
      </c>
      <c r="H428" s="25" t="s">
        <v>608</v>
      </c>
      <c r="I428" s="25" t="n">
        <v>1</v>
      </c>
      <c r="J428" s="26" t="n">
        <v>200</v>
      </c>
      <c r="K428" s="25" t="s">
        <v>546</v>
      </c>
      <c r="L428" s="25" t="s">
        <v>547</v>
      </c>
      <c r="M428" s="26" t="n">
        <f aca="false">IF(AND(L428="Oui",K428="Principal"),I428*J428,0)</f>
        <v>200</v>
      </c>
      <c r="N428" s="25" t="s">
        <v>548</v>
      </c>
      <c r="O428" s="25"/>
      <c r="P428" s="25" t="s">
        <v>559</v>
      </c>
      <c r="Q428" s="25" t="s">
        <v>551</v>
      </c>
      <c r="R428" s="26"/>
      <c r="S428" s="26" t="n">
        <f aca="false">IF(AND(L428="Oui",K428="Principal",R428&lt;&gt;""),I428*R428,0)</f>
        <v>0</v>
      </c>
      <c r="T428" s="26" t="n">
        <f aca="false">IF(R428&lt;&gt;"",M428-S428,0)</f>
        <v>0</v>
      </c>
      <c r="U428" s="26" t="n">
        <f aca="false">IF(R428="",M428,0)</f>
        <v>200</v>
      </c>
    </row>
    <row r="429" customFormat="false" ht="15" hidden="false" customHeight="false" outlineLevel="0" collapsed="false">
      <c r="A429" s="33" t="s">
        <v>53</v>
      </c>
      <c r="B429" s="33" t="s">
        <v>57</v>
      </c>
      <c r="C429" s="33" t="s">
        <v>48</v>
      </c>
      <c r="D429" s="33" t="n">
        <v>10</v>
      </c>
      <c r="E429" s="33" t="s">
        <v>609</v>
      </c>
      <c r="F429" s="33" t="s">
        <v>199</v>
      </c>
      <c r="G429" s="33" t="n">
        <v>1229</v>
      </c>
      <c r="H429" s="33" t="s">
        <v>643</v>
      </c>
      <c r="I429" s="33" t="n">
        <v>1</v>
      </c>
      <c r="J429" s="34" t="n">
        <v>1800</v>
      </c>
      <c r="K429" s="33" t="s">
        <v>546</v>
      </c>
      <c r="L429" s="33" t="s">
        <v>547</v>
      </c>
      <c r="M429" s="34" t="n">
        <f aca="false">IF(AND(L429="Oui",K429="Principal"),I429*J429,0)</f>
        <v>1800</v>
      </c>
      <c r="N429" s="33" t="s">
        <v>182</v>
      </c>
      <c r="O429" s="33" t="s">
        <v>644</v>
      </c>
      <c r="P429" s="33" t="s">
        <v>550</v>
      </c>
      <c r="Q429" s="33" t="s">
        <v>557</v>
      </c>
      <c r="R429" s="34" t="n">
        <v>1500</v>
      </c>
      <c r="S429" s="34" t="n">
        <f aca="false">IF(AND(L429="Oui",K429="Principal",R429&lt;&gt;""),I429*R429,0)</f>
        <v>1500</v>
      </c>
      <c r="T429" s="34" t="n">
        <f aca="false">IF(R429&lt;&gt;"",M429-S429,0)</f>
        <v>300</v>
      </c>
      <c r="U429" s="34" t="n">
        <f aca="false">IF(R429="",M429,0)</f>
        <v>0</v>
      </c>
    </row>
    <row r="430" customFormat="false" ht="15" hidden="false" customHeight="false" outlineLevel="0" collapsed="false">
      <c r="A430" s="25" t="s">
        <v>53</v>
      </c>
      <c r="B430" s="25" t="s">
        <v>57</v>
      </c>
      <c r="C430" s="25" t="s">
        <v>48</v>
      </c>
      <c r="D430" s="25" t="n">
        <v>11</v>
      </c>
      <c r="E430" s="25" t="s">
        <v>554</v>
      </c>
      <c r="F430" s="25" t="s">
        <v>104</v>
      </c>
      <c r="G430" s="25" t="n">
        <v>1589</v>
      </c>
      <c r="H430" s="25" t="s">
        <v>568</v>
      </c>
      <c r="I430" s="25" t="n">
        <v>1</v>
      </c>
      <c r="J430" s="26" t="n">
        <v>900</v>
      </c>
      <c r="K430" s="25" t="s">
        <v>546</v>
      </c>
      <c r="L430" s="25" t="s">
        <v>547</v>
      </c>
      <c r="M430" s="26" t="n">
        <f aca="false">IF(AND(L430="Oui",K430="Principal"),I430*J430,0)</f>
        <v>900</v>
      </c>
      <c r="N430" s="25" t="s">
        <v>548</v>
      </c>
      <c r="O430" s="25"/>
      <c r="P430" s="25" t="s">
        <v>556</v>
      </c>
      <c r="Q430" s="25" t="s">
        <v>557</v>
      </c>
      <c r="R430" s="26" t="n">
        <v>650</v>
      </c>
      <c r="S430" s="26" t="n">
        <f aca="false">IF(AND(L430="Oui",K430="Principal",R430&lt;&gt;""),I430*R430,0)</f>
        <v>650</v>
      </c>
      <c r="T430" s="26" t="n">
        <f aca="false">IF(R430&lt;&gt;"",M430-S430,0)</f>
        <v>250</v>
      </c>
      <c r="U430" s="26" t="n">
        <f aca="false">IF(R430="",M430,0)</f>
        <v>0</v>
      </c>
    </row>
    <row r="431" customFormat="false" ht="15" hidden="false" customHeight="false" outlineLevel="0" collapsed="false">
      <c r="A431" s="25" t="s">
        <v>53</v>
      </c>
      <c r="B431" s="25" t="s">
        <v>57</v>
      </c>
      <c r="C431" s="25" t="s">
        <v>48</v>
      </c>
      <c r="D431" s="25" t="n">
        <v>12</v>
      </c>
      <c r="E431" s="25" t="s">
        <v>565</v>
      </c>
      <c r="F431" s="25" t="s">
        <v>166</v>
      </c>
      <c r="G431" s="25" t="n">
        <v>1173</v>
      </c>
      <c r="H431" s="25" t="s">
        <v>569</v>
      </c>
      <c r="I431" s="25" t="n">
        <v>1</v>
      </c>
      <c r="J431" s="26" t="n">
        <v>570</v>
      </c>
      <c r="K431" s="25" t="s">
        <v>546</v>
      </c>
      <c r="L431" s="25" t="s">
        <v>547</v>
      </c>
      <c r="M431" s="26" t="n">
        <f aca="false">IF(AND(L431="Oui",K431="Principal"),I431*J431,0)</f>
        <v>570</v>
      </c>
      <c r="N431" s="25" t="s">
        <v>548</v>
      </c>
      <c r="O431" s="25"/>
      <c r="P431" s="25" t="s">
        <v>550</v>
      </c>
      <c r="Q431" s="25" t="s">
        <v>557</v>
      </c>
      <c r="R431" s="26" t="n">
        <v>420</v>
      </c>
      <c r="S431" s="26" t="n">
        <f aca="false">IF(AND(L431="Oui",K431="Principal",R431&lt;&gt;""),I431*R431,0)</f>
        <v>420</v>
      </c>
      <c r="T431" s="26" t="n">
        <f aca="false">IF(R431&lt;&gt;"",M431-S431,0)</f>
        <v>150</v>
      </c>
      <c r="U431" s="26" t="n">
        <f aca="false">IF(R431="",M431,0)</f>
        <v>0</v>
      </c>
    </row>
    <row r="432" customFormat="false" ht="15" hidden="false" customHeight="false" outlineLevel="0" collapsed="false">
      <c r="A432" s="25" t="s">
        <v>53</v>
      </c>
      <c r="B432" s="25" t="s">
        <v>57</v>
      </c>
      <c r="C432" s="25" t="s">
        <v>48</v>
      </c>
      <c r="D432" s="25" t="n">
        <v>13</v>
      </c>
      <c r="E432" s="25" t="s">
        <v>565</v>
      </c>
      <c r="F432" s="25" t="s">
        <v>110</v>
      </c>
      <c r="G432" s="25" t="n">
        <v>1250</v>
      </c>
      <c r="H432" s="25" t="s">
        <v>570</v>
      </c>
      <c r="I432" s="25" t="n">
        <v>1</v>
      </c>
      <c r="J432" s="26" t="n">
        <v>250</v>
      </c>
      <c r="K432" s="25" t="s">
        <v>546</v>
      </c>
      <c r="L432" s="25" t="s">
        <v>547</v>
      </c>
      <c r="M432" s="26" t="n">
        <f aca="false">IF(AND(L432="Oui",K432="Principal"),I432*J432,0)</f>
        <v>250</v>
      </c>
      <c r="N432" s="25" t="s">
        <v>548</v>
      </c>
      <c r="O432" s="25"/>
      <c r="P432" s="25" t="s">
        <v>550</v>
      </c>
      <c r="Q432" s="25" t="s">
        <v>557</v>
      </c>
      <c r="R432" s="26" t="n">
        <v>100</v>
      </c>
      <c r="S432" s="26" t="n">
        <f aca="false">IF(AND(L432="Oui",K432="Principal",R432&lt;&gt;""),I432*R432,0)</f>
        <v>100</v>
      </c>
      <c r="T432" s="26" t="n">
        <f aca="false">IF(R432&lt;&gt;"",M432-S432,0)</f>
        <v>150</v>
      </c>
      <c r="U432" s="26" t="n">
        <f aca="false">IF(R432="",M432,0)</f>
        <v>0</v>
      </c>
    </row>
    <row r="433" customFormat="false" ht="15" hidden="false" customHeight="false" outlineLevel="0" collapsed="false">
      <c r="A433" s="25" t="s">
        <v>53</v>
      </c>
      <c r="B433" s="25" t="s">
        <v>57</v>
      </c>
      <c r="C433" s="25" t="s">
        <v>48</v>
      </c>
      <c r="D433" s="25" t="n">
        <v>14</v>
      </c>
      <c r="E433" s="25" t="s">
        <v>167</v>
      </c>
      <c r="F433" s="25" t="s">
        <v>167</v>
      </c>
      <c r="G433" s="25" t="n">
        <v>1255</v>
      </c>
      <c r="H433" s="25" t="s">
        <v>610</v>
      </c>
      <c r="I433" s="25" t="n">
        <v>1</v>
      </c>
      <c r="J433" s="26" t="n">
        <v>900</v>
      </c>
      <c r="K433" s="25" t="s">
        <v>546</v>
      </c>
      <c r="L433" s="25" t="s">
        <v>547</v>
      </c>
      <c r="M433" s="26" t="n">
        <f aca="false">IF(AND(L433="Oui",K433="Principal"),I433*J433,0)</f>
        <v>900</v>
      </c>
      <c r="N433" s="25" t="s">
        <v>548</v>
      </c>
      <c r="O433" s="25"/>
      <c r="P433" s="25" t="s">
        <v>550</v>
      </c>
      <c r="Q433" s="25" t="s">
        <v>557</v>
      </c>
      <c r="R433" s="26" t="n">
        <v>600</v>
      </c>
      <c r="S433" s="26" t="n">
        <f aca="false">IF(AND(L433="Oui",K433="Principal",R433&lt;&gt;""),I433*R433,0)</f>
        <v>600</v>
      </c>
      <c r="T433" s="26" t="n">
        <f aca="false">IF(R433&lt;&gt;"",M433-S433,0)</f>
        <v>300</v>
      </c>
      <c r="U433" s="26" t="n">
        <f aca="false">IF(R433="",M433,0)</f>
        <v>0</v>
      </c>
    </row>
    <row r="434" customFormat="false" ht="15" hidden="false" customHeight="false" outlineLevel="0" collapsed="false">
      <c r="A434" s="31" t="s">
        <v>53</v>
      </c>
      <c r="B434" s="31" t="s">
        <v>57</v>
      </c>
      <c r="C434" s="31" t="s">
        <v>48</v>
      </c>
      <c r="D434" s="31" t="n">
        <v>15</v>
      </c>
      <c r="E434" s="31" t="s">
        <v>167</v>
      </c>
      <c r="F434" s="31" t="s">
        <v>170</v>
      </c>
      <c r="G434" s="31" t="s">
        <v>611</v>
      </c>
      <c r="H434" s="31" t="s">
        <v>612</v>
      </c>
      <c r="I434" s="31" t="n">
        <v>20</v>
      </c>
      <c r="J434" s="32" t="n">
        <v>25</v>
      </c>
      <c r="K434" s="31" t="s">
        <v>546</v>
      </c>
      <c r="L434" s="31" t="s">
        <v>547</v>
      </c>
      <c r="M434" s="32" t="n">
        <f aca="false">IF(AND(L434="Oui",K434="Principal"),I434*J434,0)</f>
        <v>500</v>
      </c>
      <c r="N434" s="31" t="s">
        <v>172</v>
      </c>
      <c r="O434" s="31" t="s">
        <v>613</v>
      </c>
      <c r="P434" s="31" t="s">
        <v>550</v>
      </c>
      <c r="Q434" s="31" t="s">
        <v>557</v>
      </c>
      <c r="R434" s="32" t="n">
        <v>25</v>
      </c>
      <c r="S434" s="32" t="n">
        <f aca="false">IF(AND(L434="Oui",K434="Principal",R434&lt;&gt;""),I434*R434,0)</f>
        <v>500</v>
      </c>
      <c r="T434" s="32" t="n">
        <f aca="false">IF(R434&lt;&gt;"",M434-S434,0)</f>
        <v>0</v>
      </c>
      <c r="U434" s="32" t="n">
        <f aca="false">IF(R434="",M434,0)</f>
        <v>0</v>
      </c>
    </row>
    <row r="435" customFormat="false" ht="15" hidden="false" customHeight="false" outlineLevel="0" collapsed="false">
      <c r="A435" s="25" t="s">
        <v>53</v>
      </c>
      <c r="B435" s="25" t="s">
        <v>57</v>
      </c>
      <c r="C435" s="25" t="s">
        <v>48</v>
      </c>
      <c r="D435" s="25" t="n">
        <v>16</v>
      </c>
      <c r="E435" s="25" t="s">
        <v>167</v>
      </c>
      <c r="F435" s="25" t="s">
        <v>173</v>
      </c>
      <c r="G435" s="25" t="n">
        <v>1202</v>
      </c>
      <c r="H435" s="25" t="s">
        <v>599</v>
      </c>
      <c r="I435" s="25" t="n">
        <v>1</v>
      </c>
      <c r="J435" s="26" t="n">
        <v>250</v>
      </c>
      <c r="K435" s="25" t="s">
        <v>546</v>
      </c>
      <c r="L435" s="25" t="s">
        <v>547</v>
      </c>
      <c r="M435" s="26" t="n">
        <f aca="false">IF(AND(L435="Oui",K435="Principal"),I435*J435,0)</f>
        <v>250</v>
      </c>
      <c r="N435" s="25" t="s">
        <v>548</v>
      </c>
      <c r="O435" s="25"/>
      <c r="P435" s="25" t="s">
        <v>550</v>
      </c>
      <c r="Q435" s="25" t="s">
        <v>557</v>
      </c>
      <c r="R435" s="26" t="n">
        <v>100</v>
      </c>
      <c r="S435" s="26" t="n">
        <f aca="false">IF(AND(L435="Oui",K435="Principal",R435&lt;&gt;""),I435*R435,0)</f>
        <v>100</v>
      </c>
      <c r="T435" s="26" t="n">
        <f aca="false">IF(R435&lt;&gt;"",M435-S435,0)</f>
        <v>150</v>
      </c>
      <c r="U435" s="26" t="n">
        <f aca="false">IF(R435="",M435,0)</f>
        <v>0</v>
      </c>
    </row>
    <row r="436" customFormat="false" ht="15" hidden="false" customHeight="false" outlineLevel="0" collapsed="false">
      <c r="A436" s="25" t="s">
        <v>53</v>
      </c>
      <c r="B436" s="25" t="s">
        <v>57</v>
      </c>
      <c r="C436" s="25" t="s">
        <v>48</v>
      </c>
      <c r="D436" s="25" t="n">
        <v>17</v>
      </c>
      <c r="E436" s="25" t="s">
        <v>573</v>
      </c>
      <c r="F436" s="25" t="s">
        <v>176</v>
      </c>
      <c r="G436" s="25" t="n">
        <v>19</v>
      </c>
      <c r="H436" s="25" t="s">
        <v>615</v>
      </c>
      <c r="I436" s="25" t="n">
        <v>1</v>
      </c>
      <c r="J436" s="26" t="n">
        <v>2500</v>
      </c>
      <c r="K436" s="25" t="s">
        <v>546</v>
      </c>
      <c r="L436" s="25" t="s">
        <v>547</v>
      </c>
      <c r="M436" s="26" t="n">
        <f aca="false">IF(AND(L436="Oui",K436="Principal"),I436*J436,0)</f>
        <v>2500</v>
      </c>
      <c r="N436" s="25" t="s">
        <v>548</v>
      </c>
      <c r="O436" s="25"/>
      <c r="P436" s="25" t="s">
        <v>559</v>
      </c>
      <c r="Q436" s="25" t="s">
        <v>551</v>
      </c>
      <c r="R436" s="26"/>
      <c r="S436" s="26" t="n">
        <f aca="false">IF(AND(L436="Oui",K436="Principal",R436&lt;&gt;""),I436*R436,0)</f>
        <v>0</v>
      </c>
      <c r="T436" s="26" t="n">
        <f aca="false">IF(R436&lt;&gt;"",M436-S436,0)</f>
        <v>0</v>
      </c>
      <c r="U436" s="26" t="n">
        <f aca="false">IF(R436="",M436,0)</f>
        <v>2500</v>
      </c>
    </row>
    <row r="437" customFormat="false" ht="15" hidden="false" customHeight="false" outlineLevel="0" collapsed="false">
      <c r="A437" s="25" t="s">
        <v>53</v>
      </c>
      <c r="B437" s="25" t="s">
        <v>57</v>
      </c>
      <c r="C437" s="25" t="s">
        <v>48</v>
      </c>
      <c r="D437" s="25" t="n">
        <v>18</v>
      </c>
      <c r="E437" s="25" t="s">
        <v>573</v>
      </c>
      <c r="F437" s="25" t="s">
        <v>117</v>
      </c>
      <c r="G437" s="25" t="n">
        <v>1287</v>
      </c>
      <c r="H437" s="25" t="s">
        <v>575</v>
      </c>
      <c r="I437" s="25" t="n">
        <v>1</v>
      </c>
      <c r="J437" s="26" t="n">
        <v>2500</v>
      </c>
      <c r="K437" s="25" t="s">
        <v>546</v>
      </c>
      <c r="L437" s="25" t="s">
        <v>547</v>
      </c>
      <c r="M437" s="26" t="n">
        <f aca="false">IF(AND(L437="Oui",K437="Principal"),I437*J437,0)</f>
        <v>2500</v>
      </c>
      <c r="N437" s="25" t="s">
        <v>548</v>
      </c>
      <c r="O437" s="25" t="s">
        <v>576</v>
      </c>
      <c r="P437" s="25" t="s">
        <v>550</v>
      </c>
      <c r="Q437" s="25" t="s">
        <v>557</v>
      </c>
      <c r="R437" s="26" t="n">
        <v>1800</v>
      </c>
      <c r="S437" s="26" t="n">
        <f aca="false">IF(AND(L437="Oui",K437="Principal",R437&lt;&gt;""),I437*R437,0)</f>
        <v>1800</v>
      </c>
      <c r="T437" s="26" t="n">
        <f aca="false">IF(R437&lt;&gt;"",M437-S437,0)</f>
        <v>700</v>
      </c>
      <c r="U437" s="26" t="n">
        <f aca="false">IF(R437="",M437,0)</f>
        <v>0</v>
      </c>
    </row>
    <row r="438" customFormat="false" ht="15" hidden="false" customHeight="false" outlineLevel="0" collapsed="false">
      <c r="A438" s="25" t="s">
        <v>53</v>
      </c>
      <c r="B438" s="25" t="s">
        <v>57</v>
      </c>
      <c r="C438" s="25" t="s">
        <v>48</v>
      </c>
      <c r="D438" s="25" t="n">
        <v>19</v>
      </c>
      <c r="E438" s="25" t="s">
        <v>616</v>
      </c>
      <c r="F438" s="25" t="s">
        <v>237</v>
      </c>
      <c r="G438" s="25" t="n">
        <v>1512</v>
      </c>
      <c r="H438" s="25" t="s">
        <v>652</v>
      </c>
      <c r="I438" s="25" t="n">
        <v>1</v>
      </c>
      <c r="J438" s="26" t="n">
        <v>3900</v>
      </c>
      <c r="K438" s="25" t="s">
        <v>618</v>
      </c>
      <c r="L438" s="25" t="s">
        <v>579</v>
      </c>
      <c r="M438" s="26" t="n">
        <f aca="false">IF(AND(L438="Oui",K438="Principal"),I438*J438,0)</f>
        <v>0</v>
      </c>
      <c r="N438" s="25" t="s">
        <v>548</v>
      </c>
      <c r="O438" s="25"/>
      <c r="P438" s="25" t="s">
        <v>550</v>
      </c>
      <c r="Q438" s="25" t="s">
        <v>557</v>
      </c>
      <c r="R438" s="26" t="n">
        <v>2900</v>
      </c>
      <c r="S438" s="26" t="n">
        <f aca="false">IF(AND(L438="Oui",K438="Principal",R438&lt;&gt;""),I438*R438,0)</f>
        <v>0</v>
      </c>
      <c r="T438" s="26" t="n">
        <f aca="false">IF(R438&lt;&gt;"",M438-S438,0)</f>
        <v>0</v>
      </c>
      <c r="U438" s="26" t="n">
        <f aca="false">IF(R438="",M438,0)</f>
        <v>0</v>
      </c>
    </row>
    <row r="439" customFormat="false" ht="15" hidden="false" customHeight="false" outlineLevel="0" collapsed="false">
      <c r="A439" s="25" t="s">
        <v>53</v>
      </c>
      <c r="B439" s="25" t="s">
        <v>57</v>
      </c>
      <c r="C439" s="25" t="s">
        <v>48</v>
      </c>
      <c r="D439" s="25" t="n">
        <v>20</v>
      </c>
      <c r="E439" s="25" t="s">
        <v>616</v>
      </c>
      <c r="F439" s="25" t="s">
        <v>239</v>
      </c>
      <c r="G439" s="25" t="n">
        <v>1506</v>
      </c>
      <c r="H439" s="25" t="s">
        <v>653</v>
      </c>
      <c r="I439" s="25" t="n">
        <v>1</v>
      </c>
      <c r="J439" s="26" t="n">
        <v>5000</v>
      </c>
      <c r="K439" s="25" t="s">
        <v>618</v>
      </c>
      <c r="L439" s="25" t="s">
        <v>579</v>
      </c>
      <c r="M439" s="26" t="n">
        <f aca="false">IF(AND(L439="Oui",K439="Principal"),I439*J439,0)</f>
        <v>0</v>
      </c>
      <c r="N439" s="25" t="s">
        <v>548</v>
      </c>
      <c r="O439" s="25"/>
      <c r="P439" s="25" t="s">
        <v>550</v>
      </c>
      <c r="Q439" s="25" t="s">
        <v>557</v>
      </c>
      <c r="R439" s="26" t="n">
        <v>3000</v>
      </c>
      <c r="S439" s="26" t="n">
        <f aca="false">IF(AND(L439="Oui",K439="Principal",R439&lt;&gt;""),I439*R439,0)</f>
        <v>0</v>
      </c>
      <c r="T439" s="26" t="n">
        <f aca="false">IF(R439&lt;&gt;"",M439-S439,0)</f>
        <v>0</v>
      </c>
      <c r="U439" s="26" t="n">
        <f aca="false">IF(R439="",M439,0)</f>
        <v>0</v>
      </c>
    </row>
    <row r="440" customFormat="false" ht="15" hidden="false" customHeight="false" outlineLevel="0" collapsed="false">
      <c r="A440" s="25" t="s">
        <v>53</v>
      </c>
      <c r="B440" s="25" t="s">
        <v>57</v>
      </c>
      <c r="C440" s="25" t="s">
        <v>48</v>
      </c>
      <c r="D440" s="25" t="n">
        <v>21</v>
      </c>
      <c r="E440" s="25" t="s">
        <v>616</v>
      </c>
      <c r="F440" s="25" t="s">
        <v>241</v>
      </c>
      <c r="G440" s="25" t="n">
        <v>1519</v>
      </c>
      <c r="H440" s="25" t="s">
        <v>654</v>
      </c>
      <c r="I440" s="25" t="n">
        <v>1</v>
      </c>
      <c r="J440" s="26" t="n">
        <v>4000</v>
      </c>
      <c r="K440" s="25" t="s">
        <v>618</v>
      </c>
      <c r="L440" s="25" t="s">
        <v>579</v>
      </c>
      <c r="M440" s="26" t="n">
        <f aca="false">IF(AND(L440="Oui",K440="Principal"),I440*J440,0)</f>
        <v>0</v>
      </c>
      <c r="N440" s="25" t="s">
        <v>548</v>
      </c>
      <c r="O440" s="25"/>
      <c r="P440" s="25" t="s">
        <v>550</v>
      </c>
      <c r="Q440" s="25" t="s">
        <v>557</v>
      </c>
      <c r="R440" s="26" t="n">
        <v>3000</v>
      </c>
      <c r="S440" s="26" t="n">
        <f aca="false">IF(AND(L440="Oui",K440="Principal",R440&lt;&gt;""),I440*R440,0)</f>
        <v>0</v>
      </c>
      <c r="T440" s="26" t="n">
        <f aca="false">IF(R440&lt;&gt;"",M440-S440,0)</f>
        <v>0</v>
      </c>
      <c r="U440" s="26" t="n">
        <f aca="false">IF(R440="",M440,0)</f>
        <v>0</v>
      </c>
    </row>
    <row r="441" customFormat="false" ht="15" hidden="false" customHeight="false" outlineLevel="0" collapsed="false">
      <c r="A441" s="25" t="s">
        <v>53</v>
      </c>
      <c r="B441" s="25" t="s">
        <v>57</v>
      </c>
      <c r="C441" s="25" t="s">
        <v>48</v>
      </c>
      <c r="D441" s="25" t="n">
        <v>22</v>
      </c>
      <c r="E441" s="25" t="s">
        <v>616</v>
      </c>
      <c r="F441" s="25" t="s">
        <v>243</v>
      </c>
      <c r="G441" s="25" t="n">
        <v>1487</v>
      </c>
      <c r="H441" s="25" t="s">
        <v>655</v>
      </c>
      <c r="I441" s="25" t="n">
        <v>1</v>
      </c>
      <c r="J441" s="26" t="n">
        <v>4000</v>
      </c>
      <c r="K441" s="25" t="s">
        <v>618</v>
      </c>
      <c r="L441" s="25" t="s">
        <v>579</v>
      </c>
      <c r="M441" s="26" t="n">
        <f aca="false">IF(AND(L441="Oui",K441="Principal"),I441*J441,0)</f>
        <v>0</v>
      </c>
      <c r="N441" s="25" t="s">
        <v>548</v>
      </c>
      <c r="O441" s="25"/>
      <c r="P441" s="25" t="s">
        <v>550</v>
      </c>
      <c r="Q441" s="25" t="s">
        <v>557</v>
      </c>
      <c r="R441" s="26" t="n">
        <v>3000</v>
      </c>
      <c r="S441" s="26" t="n">
        <f aca="false">IF(AND(L441="Oui",K441="Principal",R441&lt;&gt;""),I441*R441,0)</f>
        <v>0</v>
      </c>
      <c r="T441" s="26" t="n">
        <f aca="false">IF(R441&lt;&gt;"",M441-S441,0)</f>
        <v>0</v>
      </c>
      <c r="U441" s="26" t="n">
        <f aca="false">IF(R441="",M441,0)</f>
        <v>0</v>
      </c>
    </row>
    <row r="442" customFormat="false" ht="15" hidden="false" customHeight="false" outlineLevel="0" collapsed="false">
      <c r="A442" s="25" t="s">
        <v>53</v>
      </c>
      <c r="B442" s="25" t="s">
        <v>57</v>
      </c>
      <c r="C442" s="25" t="s">
        <v>48</v>
      </c>
      <c r="D442" s="25" t="n">
        <v>23</v>
      </c>
      <c r="E442" s="25" t="s">
        <v>577</v>
      </c>
      <c r="F442" s="25" t="s">
        <v>120</v>
      </c>
      <c r="G442" s="25" t="n">
        <v>1199</v>
      </c>
      <c r="H442" s="25" t="s">
        <v>622</v>
      </c>
      <c r="I442" s="25" t="n">
        <v>1</v>
      </c>
      <c r="J442" s="26" t="n">
        <v>7500</v>
      </c>
      <c r="K442" s="25" t="s">
        <v>577</v>
      </c>
      <c r="L442" s="25" t="s">
        <v>579</v>
      </c>
      <c r="M442" s="26" t="n">
        <f aca="false">IF(AND(L442="Oui",K442="Principal"),I442*J442,0)</f>
        <v>0</v>
      </c>
      <c r="N442" s="25" t="s">
        <v>548</v>
      </c>
      <c r="O442" s="25"/>
      <c r="P442" s="25" t="s">
        <v>550</v>
      </c>
      <c r="Q442" s="25" t="s">
        <v>557</v>
      </c>
      <c r="R442" s="26" t="n">
        <v>6000</v>
      </c>
      <c r="S442" s="26" t="n">
        <f aca="false">IF(AND(L442="Oui",K442="Principal",R442&lt;&gt;""),I442*R442,0)</f>
        <v>0</v>
      </c>
      <c r="T442" s="26" t="n">
        <f aca="false">IF(R442&lt;&gt;"",M442-S442,0)</f>
        <v>0</v>
      </c>
      <c r="U442" s="26" t="n">
        <f aca="false">IF(R442="",M442,0)</f>
        <v>0</v>
      </c>
    </row>
    <row r="443" customFormat="false" ht="15" hidden="false" customHeight="false" outlineLevel="0" collapsed="false">
      <c r="A443" s="25" t="s">
        <v>53</v>
      </c>
      <c r="B443" s="25" t="s">
        <v>57</v>
      </c>
      <c r="C443" s="25" t="s">
        <v>49</v>
      </c>
      <c r="D443" s="25" t="n">
        <v>1</v>
      </c>
      <c r="E443" s="25" t="s">
        <v>544</v>
      </c>
      <c r="F443" s="25" t="s">
        <v>151</v>
      </c>
      <c r="G443" s="25" t="n">
        <v>1618</v>
      </c>
      <c r="H443" s="25" t="s">
        <v>600</v>
      </c>
      <c r="I443" s="25" t="n">
        <v>4</v>
      </c>
      <c r="J443" s="26" t="n">
        <v>450</v>
      </c>
      <c r="K443" s="25" t="s">
        <v>546</v>
      </c>
      <c r="L443" s="25" t="s">
        <v>547</v>
      </c>
      <c r="M443" s="26" t="n">
        <f aca="false">IF(AND(L443="Oui",K443="Principal"),I443*J443,0)</f>
        <v>1800</v>
      </c>
      <c r="N443" s="25" t="s">
        <v>548</v>
      </c>
      <c r="O443" s="25"/>
      <c r="P443" s="25" t="s">
        <v>556</v>
      </c>
      <c r="Q443" s="25" t="s">
        <v>557</v>
      </c>
      <c r="R443" s="26" t="n">
        <v>350</v>
      </c>
      <c r="S443" s="26" t="n">
        <f aca="false">IF(AND(L443="Oui",K443="Principal",R443&lt;&gt;""),I443*R443,0)</f>
        <v>1400</v>
      </c>
      <c r="T443" s="26" t="n">
        <f aca="false">IF(R443&lt;&gt;"",M443-S443,0)</f>
        <v>400</v>
      </c>
      <c r="U443" s="26" t="n">
        <f aca="false">IF(R443="",M443,0)</f>
        <v>0</v>
      </c>
    </row>
    <row r="444" customFormat="false" ht="15" hidden="false" customHeight="false" outlineLevel="0" collapsed="false">
      <c r="A444" s="25" t="s">
        <v>53</v>
      </c>
      <c r="B444" s="25" t="s">
        <v>57</v>
      </c>
      <c r="C444" s="25" t="s">
        <v>49</v>
      </c>
      <c r="D444" s="25" t="n">
        <v>2</v>
      </c>
      <c r="E444" s="25" t="s">
        <v>544</v>
      </c>
      <c r="F444" s="25" t="s">
        <v>158</v>
      </c>
      <c r="G444" s="25" t="n">
        <v>1575</v>
      </c>
      <c r="H444" s="25" t="s">
        <v>605</v>
      </c>
      <c r="I444" s="25" t="n">
        <v>4</v>
      </c>
      <c r="J444" s="26" t="n">
        <v>275</v>
      </c>
      <c r="K444" s="25" t="s">
        <v>546</v>
      </c>
      <c r="L444" s="25" t="s">
        <v>547</v>
      </c>
      <c r="M444" s="26" t="n">
        <f aca="false">IF(AND(L444="Oui",K444="Principal"),I444*J444,0)</f>
        <v>1100</v>
      </c>
      <c r="N444" s="25" t="s">
        <v>548</v>
      </c>
      <c r="O444" s="25"/>
      <c r="P444" s="25" t="s">
        <v>556</v>
      </c>
      <c r="Q444" s="25" t="s">
        <v>557</v>
      </c>
      <c r="R444" s="26" t="n">
        <v>175</v>
      </c>
      <c r="S444" s="26" t="n">
        <f aca="false">IF(AND(L444="Oui",K444="Principal",R444&lt;&gt;""),I444*R444,0)</f>
        <v>700</v>
      </c>
      <c r="T444" s="26" t="n">
        <f aca="false">IF(R444&lt;&gt;"",M444-S444,0)</f>
        <v>400</v>
      </c>
      <c r="U444" s="26" t="n">
        <f aca="false">IF(R444="",M444,0)</f>
        <v>0</v>
      </c>
    </row>
    <row r="445" customFormat="false" ht="15" hidden="false" customHeight="false" outlineLevel="0" collapsed="false">
      <c r="A445" s="25" t="s">
        <v>53</v>
      </c>
      <c r="B445" s="25" t="s">
        <v>57</v>
      </c>
      <c r="C445" s="25" t="s">
        <v>49</v>
      </c>
      <c r="D445" s="25" t="n">
        <v>3</v>
      </c>
      <c r="E445" s="25" t="s">
        <v>554</v>
      </c>
      <c r="F445" s="25" t="s">
        <v>88</v>
      </c>
      <c r="G445" s="25" t="n">
        <v>1286</v>
      </c>
      <c r="H445" s="25" t="s">
        <v>580</v>
      </c>
      <c r="I445" s="25" t="n">
        <v>1</v>
      </c>
      <c r="J445" s="26" t="n">
        <v>550</v>
      </c>
      <c r="K445" s="25" t="s">
        <v>546</v>
      </c>
      <c r="L445" s="25" t="s">
        <v>547</v>
      </c>
      <c r="M445" s="26" t="n">
        <f aca="false">IF(AND(L445="Oui",K445="Principal"),I445*J445,0)</f>
        <v>550</v>
      </c>
      <c r="N445" s="25" t="s">
        <v>548</v>
      </c>
      <c r="O445" s="25"/>
      <c r="P445" s="25" t="s">
        <v>550</v>
      </c>
      <c r="Q445" s="25" t="s">
        <v>557</v>
      </c>
      <c r="R445" s="26" t="n">
        <v>450</v>
      </c>
      <c r="S445" s="26" t="n">
        <f aca="false">IF(AND(L445="Oui",K445="Principal",R445&lt;&gt;""),I445*R445,0)</f>
        <v>450</v>
      </c>
      <c r="T445" s="26" t="n">
        <f aca="false">IF(R445&lt;&gt;"",M445-S445,0)</f>
        <v>100</v>
      </c>
      <c r="U445" s="26" t="n">
        <f aca="false">IF(R445="",M445,0)</f>
        <v>0</v>
      </c>
    </row>
    <row r="446" customFormat="false" ht="15" hidden="false" customHeight="false" outlineLevel="0" collapsed="false">
      <c r="A446" s="25" t="s">
        <v>53</v>
      </c>
      <c r="B446" s="25" t="s">
        <v>57</v>
      </c>
      <c r="C446" s="25" t="s">
        <v>49</v>
      </c>
      <c r="D446" s="25" t="n">
        <v>4</v>
      </c>
      <c r="E446" s="25" t="s">
        <v>160</v>
      </c>
      <c r="F446" s="25" t="s">
        <v>160</v>
      </c>
      <c r="G446" s="25" t="n">
        <v>1277</v>
      </c>
      <c r="H446" s="25" t="s">
        <v>606</v>
      </c>
      <c r="I446" s="25" t="n">
        <v>9</v>
      </c>
      <c r="J446" s="26" t="n">
        <v>150</v>
      </c>
      <c r="K446" s="25" t="s">
        <v>546</v>
      </c>
      <c r="L446" s="25" t="s">
        <v>547</v>
      </c>
      <c r="M446" s="26" t="n">
        <f aca="false">IF(AND(L446="Oui",K446="Principal"),I446*J446,0)</f>
        <v>1350</v>
      </c>
      <c r="N446" s="25" t="s">
        <v>548</v>
      </c>
      <c r="O446" s="25"/>
      <c r="P446" s="25" t="s">
        <v>550</v>
      </c>
      <c r="Q446" s="25" t="s">
        <v>557</v>
      </c>
      <c r="R446" s="26"/>
      <c r="S446" s="26" t="n">
        <f aca="false">IF(AND(L446="Oui",K446="Principal",R446&lt;&gt;""),I446*R446,0)</f>
        <v>0</v>
      </c>
      <c r="T446" s="26" t="n">
        <f aca="false">IF(R446&lt;&gt;"",M446-S446,0)</f>
        <v>0</v>
      </c>
      <c r="U446" s="26" t="n">
        <f aca="false">IF(R446="",M446,0)</f>
        <v>1350</v>
      </c>
    </row>
    <row r="447" customFormat="false" ht="15" hidden="false" customHeight="false" outlineLevel="0" collapsed="false">
      <c r="A447" s="25" t="s">
        <v>53</v>
      </c>
      <c r="B447" s="25" t="s">
        <v>57</v>
      </c>
      <c r="C447" s="25" t="s">
        <v>49</v>
      </c>
      <c r="D447" s="25" t="n">
        <v>5</v>
      </c>
      <c r="E447" s="25" t="s">
        <v>563</v>
      </c>
      <c r="F447" s="25" t="s">
        <v>188</v>
      </c>
      <c r="G447" s="25" t="n">
        <v>8</v>
      </c>
      <c r="H447" s="25" t="s">
        <v>188</v>
      </c>
      <c r="I447" s="25" t="n">
        <v>1</v>
      </c>
      <c r="J447" s="26" t="n">
        <v>500</v>
      </c>
      <c r="K447" s="25" t="s">
        <v>546</v>
      </c>
      <c r="L447" s="25" t="s">
        <v>547</v>
      </c>
      <c r="M447" s="26" t="n">
        <f aca="false">IF(AND(L447="Oui",K447="Principal"),I447*J447,0)</f>
        <v>500</v>
      </c>
      <c r="N447" s="25" t="s">
        <v>548</v>
      </c>
      <c r="O447" s="25"/>
      <c r="P447" s="25" t="s">
        <v>559</v>
      </c>
      <c r="Q447" s="25" t="s">
        <v>551</v>
      </c>
      <c r="R447" s="26"/>
      <c r="S447" s="26" t="n">
        <f aca="false">IF(AND(L447="Oui",K447="Principal",R447&lt;&gt;""),I447*R447,0)</f>
        <v>0</v>
      </c>
      <c r="T447" s="26" t="n">
        <f aca="false">IF(R447&lt;&gt;"",M447-S447,0)</f>
        <v>0</v>
      </c>
      <c r="U447" s="26" t="n">
        <f aca="false">IF(R447="",M447,0)</f>
        <v>500</v>
      </c>
    </row>
    <row r="448" customFormat="false" ht="15" hidden="false" customHeight="false" outlineLevel="0" collapsed="false">
      <c r="A448" s="25" t="s">
        <v>53</v>
      </c>
      <c r="B448" s="25" t="s">
        <v>57</v>
      </c>
      <c r="C448" s="25" t="s">
        <v>49</v>
      </c>
      <c r="D448" s="25" t="n">
        <v>6</v>
      </c>
      <c r="E448" s="25" t="s">
        <v>563</v>
      </c>
      <c r="F448" s="25" t="s">
        <v>162</v>
      </c>
      <c r="G448" s="25" t="n">
        <v>1635</v>
      </c>
      <c r="H448" s="25" t="s">
        <v>607</v>
      </c>
      <c r="I448" s="25" t="n">
        <v>2</v>
      </c>
      <c r="J448" s="26" t="n">
        <v>100</v>
      </c>
      <c r="K448" s="25" t="s">
        <v>546</v>
      </c>
      <c r="L448" s="25" t="s">
        <v>547</v>
      </c>
      <c r="M448" s="26" t="n">
        <f aca="false">IF(AND(L448="Oui",K448="Principal"),I448*J448,0)</f>
        <v>200</v>
      </c>
      <c r="N448" s="25" t="s">
        <v>548</v>
      </c>
      <c r="O448" s="25"/>
      <c r="P448" s="25" t="s">
        <v>556</v>
      </c>
      <c r="Q448" s="25" t="s">
        <v>557</v>
      </c>
      <c r="R448" s="26" t="n">
        <v>80</v>
      </c>
      <c r="S448" s="26" t="n">
        <f aca="false">IF(AND(L448="Oui",K448="Principal",R448&lt;&gt;""),I448*R448,0)</f>
        <v>160</v>
      </c>
      <c r="T448" s="26" t="n">
        <f aca="false">IF(R448&lt;&gt;"",M448-S448,0)</f>
        <v>40</v>
      </c>
      <c r="U448" s="26" t="n">
        <f aca="false">IF(R448="",M448,0)</f>
        <v>0</v>
      </c>
    </row>
    <row r="449" customFormat="false" ht="15" hidden="false" customHeight="false" outlineLevel="0" collapsed="false">
      <c r="A449" s="25" t="s">
        <v>53</v>
      </c>
      <c r="B449" s="25" t="s">
        <v>57</v>
      </c>
      <c r="C449" s="25" t="s">
        <v>49</v>
      </c>
      <c r="D449" s="25" t="n">
        <v>7</v>
      </c>
      <c r="E449" s="25" t="s">
        <v>563</v>
      </c>
      <c r="F449" s="25" t="s">
        <v>197</v>
      </c>
      <c r="G449" s="25" t="n">
        <v>1674</v>
      </c>
      <c r="H449" s="25" t="s">
        <v>630</v>
      </c>
      <c r="I449" s="25" t="n">
        <v>1</v>
      </c>
      <c r="J449" s="26" t="n">
        <v>100</v>
      </c>
      <c r="K449" s="25" t="s">
        <v>546</v>
      </c>
      <c r="L449" s="25" t="s">
        <v>547</v>
      </c>
      <c r="M449" s="26" t="n">
        <f aca="false">IF(AND(L449="Oui",K449="Principal"),I449*J449,0)</f>
        <v>100</v>
      </c>
      <c r="N449" s="25" t="s">
        <v>548</v>
      </c>
      <c r="O449" s="25"/>
      <c r="P449" s="25" t="s">
        <v>556</v>
      </c>
      <c r="Q449" s="25" t="s">
        <v>557</v>
      </c>
      <c r="R449" s="26" t="n">
        <v>80</v>
      </c>
      <c r="S449" s="26" t="n">
        <f aca="false">IF(AND(L449="Oui",K449="Principal",R449&lt;&gt;""),I449*R449,0)</f>
        <v>80</v>
      </c>
      <c r="T449" s="26" t="n">
        <f aca="false">IF(R449&lt;&gt;"",M449-S449,0)</f>
        <v>20</v>
      </c>
      <c r="U449" s="26" t="n">
        <f aca="false">IF(R449="",M449,0)</f>
        <v>0</v>
      </c>
    </row>
    <row r="450" customFormat="false" ht="15" hidden="false" customHeight="false" outlineLevel="0" collapsed="false">
      <c r="A450" s="25" t="s">
        <v>53</v>
      </c>
      <c r="B450" s="25" t="s">
        <v>57</v>
      </c>
      <c r="C450" s="25" t="s">
        <v>49</v>
      </c>
      <c r="D450" s="25" t="n">
        <v>8</v>
      </c>
      <c r="E450" s="25" t="s">
        <v>565</v>
      </c>
      <c r="F450" s="25" t="s">
        <v>99</v>
      </c>
      <c r="G450" s="25" t="n">
        <v>1181</v>
      </c>
      <c r="H450" s="25" t="s">
        <v>581</v>
      </c>
      <c r="I450" s="25" t="n">
        <v>2</v>
      </c>
      <c r="J450" s="26" t="n">
        <v>250</v>
      </c>
      <c r="K450" s="25" t="s">
        <v>546</v>
      </c>
      <c r="L450" s="25" t="s">
        <v>547</v>
      </c>
      <c r="M450" s="26" t="n">
        <f aca="false">IF(AND(L450="Oui",K450="Principal"),I450*J450,0)</f>
        <v>500</v>
      </c>
      <c r="N450" s="25" t="s">
        <v>548</v>
      </c>
      <c r="O450" s="25"/>
      <c r="P450" s="25" t="s">
        <v>550</v>
      </c>
      <c r="Q450" s="25" t="s">
        <v>557</v>
      </c>
      <c r="R450" s="26" t="n">
        <v>110</v>
      </c>
      <c r="S450" s="26" t="n">
        <f aca="false">IF(AND(L450="Oui",K450="Principal",R450&lt;&gt;""),I450*R450,0)</f>
        <v>220</v>
      </c>
      <c r="T450" s="26" t="n">
        <f aca="false">IF(R450&lt;&gt;"",M450-S450,0)</f>
        <v>280</v>
      </c>
      <c r="U450" s="26" t="n">
        <f aca="false">IF(R450="",M450,0)</f>
        <v>0</v>
      </c>
    </row>
    <row r="451" customFormat="false" ht="15" hidden="false" customHeight="false" outlineLevel="0" collapsed="false">
      <c r="A451" s="25" t="s">
        <v>53</v>
      </c>
      <c r="B451" s="25" t="s">
        <v>57</v>
      </c>
      <c r="C451" s="25" t="s">
        <v>49</v>
      </c>
      <c r="D451" s="25" t="n">
        <v>9</v>
      </c>
      <c r="E451" s="25" t="s">
        <v>565</v>
      </c>
      <c r="F451" s="25" t="s">
        <v>102</v>
      </c>
      <c r="G451" s="25" t="n">
        <v>1587</v>
      </c>
      <c r="H451" s="25" t="s">
        <v>567</v>
      </c>
      <c r="I451" s="25" t="n">
        <v>1</v>
      </c>
      <c r="J451" s="26" t="n">
        <v>500</v>
      </c>
      <c r="K451" s="25" t="s">
        <v>546</v>
      </c>
      <c r="L451" s="25" t="s">
        <v>547</v>
      </c>
      <c r="M451" s="26" t="n">
        <f aca="false">IF(AND(L451="Oui",K451="Principal"),I451*J451,0)</f>
        <v>500</v>
      </c>
      <c r="N451" s="25" t="s">
        <v>548</v>
      </c>
      <c r="O451" s="25"/>
      <c r="P451" s="25" t="s">
        <v>556</v>
      </c>
      <c r="Q451" s="25" t="s">
        <v>557</v>
      </c>
      <c r="R451" s="26" t="n">
        <v>350</v>
      </c>
      <c r="S451" s="26" t="n">
        <f aca="false">IF(AND(L451="Oui",K451="Principal",R451&lt;&gt;""),I451*R451,0)</f>
        <v>350</v>
      </c>
      <c r="T451" s="26" t="n">
        <f aca="false">IF(R451&lt;&gt;"",M451-S451,0)</f>
        <v>150</v>
      </c>
      <c r="U451" s="26" t="n">
        <f aca="false">IF(R451="",M451,0)</f>
        <v>0</v>
      </c>
    </row>
    <row r="452" customFormat="false" ht="15" hidden="false" customHeight="false" outlineLevel="0" collapsed="false">
      <c r="A452" s="33" t="s">
        <v>53</v>
      </c>
      <c r="B452" s="33" t="s">
        <v>57</v>
      </c>
      <c r="C452" s="33" t="s">
        <v>49</v>
      </c>
      <c r="D452" s="33" t="n">
        <v>10</v>
      </c>
      <c r="E452" s="33" t="s">
        <v>609</v>
      </c>
      <c r="F452" s="33" t="s">
        <v>199</v>
      </c>
      <c r="G452" s="33" t="n">
        <v>1229</v>
      </c>
      <c r="H452" s="33" t="s">
        <v>643</v>
      </c>
      <c r="I452" s="33" t="n">
        <v>1</v>
      </c>
      <c r="J452" s="34" t="n">
        <v>1800</v>
      </c>
      <c r="K452" s="33" t="s">
        <v>546</v>
      </c>
      <c r="L452" s="33" t="s">
        <v>547</v>
      </c>
      <c r="M452" s="34" t="n">
        <f aca="false">IF(AND(L452="Oui",K452="Principal"),I452*J452,0)</f>
        <v>1800</v>
      </c>
      <c r="N452" s="33" t="s">
        <v>182</v>
      </c>
      <c r="O452" s="33" t="s">
        <v>644</v>
      </c>
      <c r="P452" s="33" t="s">
        <v>550</v>
      </c>
      <c r="Q452" s="33" t="s">
        <v>557</v>
      </c>
      <c r="R452" s="34" t="n">
        <v>1500</v>
      </c>
      <c r="S452" s="34" t="n">
        <f aca="false">IF(AND(L452="Oui",K452="Principal",R452&lt;&gt;""),I452*R452,0)</f>
        <v>1500</v>
      </c>
      <c r="T452" s="34" t="n">
        <f aca="false">IF(R452&lt;&gt;"",M452-S452,0)</f>
        <v>300</v>
      </c>
      <c r="U452" s="34" t="n">
        <f aca="false">IF(R452="",M452,0)</f>
        <v>0</v>
      </c>
    </row>
    <row r="453" customFormat="false" ht="15" hidden="false" customHeight="false" outlineLevel="0" collapsed="false">
      <c r="A453" s="25" t="s">
        <v>53</v>
      </c>
      <c r="B453" s="25" t="s">
        <v>57</v>
      </c>
      <c r="C453" s="25" t="s">
        <v>49</v>
      </c>
      <c r="D453" s="25" t="n">
        <v>11</v>
      </c>
      <c r="E453" s="25" t="s">
        <v>554</v>
      </c>
      <c r="F453" s="25" t="s">
        <v>104</v>
      </c>
      <c r="G453" s="25" t="n">
        <v>1589</v>
      </c>
      <c r="H453" s="25" t="s">
        <v>568</v>
      </c>
      <c r="I453" s="25" t="n">
        <v>1</v>
      </c>
      <c r="J453" s="26" t="n">
        <v>900</v>
      </c>
      <c r="K453" s="25" t="s">
        <v>546</v>
      </c>
      <c r="L453" s="25" t="s">
        <v>547</v>
      </c>
      <c r="M453" s="26" t="n">
        <f aca="false">IF(AND(L453="Oui",K453="Principal"),I453*J453,0)</f>
        <v>900</v>
      </c>
      <c r="N453" s="25" t="s">
        <v>548</v>
      </c>
      <c r="O453" s="25"/>
      <c r="P453" s="25" t="s">
        <v>556</v>
      </c>
      <c r="Q453" s="25" t="s">
        <v>557</v>
      </c>
      <c r="R453" s="26" t="n">
        <v>650</v>
      </c>
      <c r="S453" s="26" t="n">
        <f aca="false">IF(AND(L453="Oui",K453="Principal",R453&lt;&gt;""),I453*R453,0)</f>
        <v>650</v>
      </c>
      <c r="T453" s="26" t="n">
        <f aca="false">IF(R453&lt;&gt;"",M453-S453,0)</f>
        <v>250</v>
      </c>
      <c r="U453" s="26" t="n">
        <f aca="false">IF(R453="",M453,0)</f>
        <v>0</v>
      </c>
    </row>
    <row r="454" customFormat="false" ht="15" hidden="false" customHeight="false" outlineLevel="0" collapsed="false">
      <c r="A454" s="25" t="s">
        <v>53</v>
      </c>
      <c r="B454" s="25" t="s">
        <v>57</v>
      </c>
      <c r="C454" s="25" t="s">
        <v>49</v>
      </c>
      <c r="D454" s="25" t="n">
        <v>12</v>
      </c>
      <c r="E454" s="25" t="s">
        <v>565</v>
      </c>
      <c r="F454" s="25" t="s">
        <v>166</v>
      </c>
      <c r="G454" s="25" t="n">
        <v>1604</v>
      </c>
      <c r="H454" s="25" t="s">
        <v>582</v>
      </c>
      <c r="I454" s="25" t="n">
        <v>2</v>
      </c>
      <c r="J454" s="26" t="n">
        <v>700</v>
      </c>
      <c r="K454" s="25" t="s">
        <v>546</v>
      </c>
      <c r="L454" s="25" t="s">
        <v>547</v>
      </c>
      <c r="M454" s="26" t="n">
        <f aca="false">IF(AND(L454="Oui",K454="Principal"),I454*J454,0)</f>
        <v>1400</v>
      </c>
      <c r="N454" s="25" t="s">
        <v>548</v>
      </c>
      <c r="O454" s="25"/>
      <c r="P454" s="25" t="s">
        <v>556</v>
      </c>
      <c r="Q454" s="25" t="s">
        <v>557</v>
      </c>
      <c r="R454" s="26" t="n">
        <v>400</v>
      </c>
      <c r="S454" s="26" t="n">
        <f aca="false">IF(AND(L454="Oui",K454="Principal",R454&lt;&gt;""),I454*R454,0)</f>
        <v>800</v>
      </c>
      <c r="T454" s="26" t="n">
        <f aca="false">IF(R454&lt;&gt;"",M454-S454,0)</f>
        <v>600</v>
      </c>
      <c r="U454" s="26" t="n">
        <f aca="false">IF(R454="",M454,0)</f>
        <v>0</v>
      </c>
    </row>
    <row r="455" customFormat="false" ht="15" hidden="false" customHeight="false" outlineLevel="0" collapsed="false">
      <c r="A455" s="25" t="s">
        <v>53</v>
      </c>
      <c r="B455" s="25" t="s">
        <v>57</v>
      </c>
      <c r="C455" s="25" t="s">
        <v>49</v>
      </c>
      <c r="D455" s="25" t="n">
        <v>13</v>
      </c>
      <c r="E455" s="25" t="s">
        <v>565</v>
      </c>
      <c r="F455" s="25" t="s">
        <v>110</v>
      </c>
      <c r="G455" s="25" t="n">
        <v>1586</v>
      </c>
      <c r="H455" s="25" t="s">
        <v>583</v>
      </c>
      <c r="I455" s="25" t="n">
        <v>1</v>
      </c>
      <c r="J455" s="26" t="n">
        <v>900</v>
      </c>
      <c r="K455" s="25" t="s">
        <v>546</v>
      </c>
      <c r="L455" s="25" t="s">
        <v>547</v>
      </c>
      <c r="M455" s="26" t="n">
        <f aca="false">IF(AND(L455="Oui",K455="Principal"),I455*J455,0)</f>
        <v>900</v>
      </c>
      <c r="N455" s="25" t="s">
        <v>548</v>
      </c>
      <c r="O455" s="25"/>
      <c r="P455" s="25" t="s">
        <v>556</v>
      </c>
      <c r="Q455" s="25" t="s">
        <v>557</v>
      </c>
      <c r="R455" s="26" t="n">
        <v>650</v>
      </c>
      <c r="S455" s="26" t="n">
        <f aca="false">IF(AND(L455="Oui",K455="Principal",R455&lt;&gt;""),I455*R455,0)</f>
        <v>650</v>
      </c>
      <c r="T455" s="26" t="n">
        <f aca="false">IF(R455&lt;&gt;"",M455-S455,0)</f>
        <v>250</v>
      </c>
      <c r="U455" s="26" t="n">
        <f aca="false">IF(R455="",M455,0)</f>
        <v>0</v>
      </c>
    </row>
    <row r="456" customFormat="false" ht="15" hidden="false" customHeight="false" outlineLevel="0" collapsed="false">
      <c r="A456" s="25" t="s">
        <v>53</v>
      </c>
      <c r="B456" s="25" t="s">
        <v>57</v>
      </c>
      <c r="C456" s="25" t="s">
        <v>49</v>
      </c>
      <c r="D456" s="25" t="n">
        <v>14</v>
      </c>
      <c r="E456" s="25" t="s">
        <v>167</v>
      </c>
      <c r="F456" s="25" t="s">
        <v>167</v>
      </c>
      <c r="G456" s="25" t="n">
        <v>1714</v>
      </c>
      <c r="H456" s="25" t="s">
        <v>623</v>
      </c>
      <c r="I456" s="25" t="n">
        <v>1</v>
      </c>
      <c r="J456" s="26" t="n">
        <v>1000</v>
      </c>
      <c r="K456" s="25" t="s">
        <v>546</v>
      </c>
      <c r="L456" s="25" t="s">
        <v>547</v>
      </c>
      <c r="M456" s="26" t="n">
        <f aca="false">IF(AND(L456="Oui",K456="Principal"),I456*J456,0)</f>
        <v>1000</v>
      </c>
      <c r="N456" s="25" t="s">
        <v>548</v>
      </c>
      <c r="O456" s="25"/>
      <c r="P456" s="25" t="s">
        <v>561</v>
      </c>
      <c r="Q456" s="25" t="s">
        <v>557</v>
      </c>
      <c r="R456" s="26" t="n">
        <v>718</v>
      </c>
      <c r="S456" s="26" t="n">
        <f aca="false">IF(AND(L456="Oui",K456="Principal",R456&lt;&gt;""),I456*R456,0)</f>
        <v>718</v>
      </c>
      <c r="T456" s="26" t="n">
        <f aca="false">IF(R456&lt;&gt;"",M456-S456,0)</f>
        <v>282</v>
      </c>
      <c r="U456" s="26" t="n">
        <f aca="false">IF(R456="",M456,0)</f>
        <v>0</v>
      </c>
    </row>
    <row r="457" customFormat="false" ht="15" hidden="false" customHeight="false" outlineLevel="0" collapsed="false">
      <c r="A457" s="31" t="s">
        <v>53</v>
      </c>
      <c r="B457" s="31" t="s">
        <v>57</v>
      </c>
      <c r="C457" s="31" t="s">
        <v>49</v>
      </c>
      <c r="D457" s="31" t="n">
        <v>15</v>
      </c>
      <c r="E457" s="31" t="s">
        <v>167</v>
      </c>
      <c r="F457" s="31" t="s">
        <v>170</v>
      </c>
      <c r="G457" s="31" t="s">
        <v>611</v>
      </c>
      <c r="H457" s="31" t="s">
        <v>612</v>
      </c>
      <c r="I457" s="31" t="n">
        <v>20</v>
      </c>
      <c r="J457" s="32" t="n">
        <v>25</v>
      </c>
      <c r="K457" s="31" t="s">
        <v>546</v>
      </c>
      <c r="L457" s="31" t="s">
        <v>547</v>
      </c>
      <c r="M457" s="32" t="n">
        <f aca="false">IF(AND(L457="Oui",K457="Principal"),I457*J457,0)</f>
        <v>500</v>
      </c>
      <c r="N457" s="31" t="s">
        <v>172</v>
      </c>
      <c r="O457" s="31" t="s">
        <v>613</v>
      </c>
      <c r="P457" s="31" t="s">
        <v>550</v>
      </c>
      <c r="Q457" s="31" t="s">
        <v>557</v>
      </c>
      <c r="R457" s="32" t="n">
        <v>25</v>
      </c>
      <c r="S457" s="32" t="n">
        <f aca="false">IF(AND(L457="Oui",K457="Principal",R457&lt;&gt;""),I457*R457,0)</f>
        <v>500</v>
      </c>
      <c r="T457" s="32" t="n">
        <f aca="false">IF(R457&lt;&gt;"",M457-S457,0)</f>
        <v>0</v>
      </c>
      <c r="U457" s="32" t="n">
        <f aca="false">IF(R457="",M457,0)</f>
        <v>0</v>
      </c>
    </row>
    <row r="458" customFormat="false" ht="15" hidden="false" customHeight="false" outlineLevel="0" collapsed="false">
      <c r="A458" s="25" t="s">
        <v>53</v>
      </c>
      <c r="B458" s="25" t="s">
        <v>57</v>
      </c>
      <c r="C458" s="25" t="s">
        <v>49</v>
      </c>
      <c r="D458" s="25" t="n">
        <v>16</v>
      </c>
      <c r="E458" s="25" t="s">
        <v>167</v>
      </c>
      <c r="F458" s="25" t="s">
        <v>173</v>
      </c>
      <c r="G458" s="25" t="n">
        <v>1202</v>
      </c>
      <c r="H458" s="25" t="s">
        <v>599</v>
      </c>
      <c r="I458" s="25" t="n">
        <v>1</v>
      </c>
      <c r="J458" s="26" t="n">
        <v>250</v>
      </c>
      <c r="K458" s="25" t="s">
        <v>546</v>
      </c>
      <c r="L458" s="25" t="s">
        <v>547</v>
      </c>
      <c r="M458" s="26" t="n">
        <f aca="false">IF(AND(L458="Oui",K458="Principal"),I458*J458,0)</f>
        <v>250</v>
      </c>
      <c r="N458" s="25" t="s">
        <v>548</v>
      </c>
      <c r="O458" s="25"/>
      <c r="P458" s="25" t="s">
        <v>550</v>
      </c>
      <c r="Q458" s="25" t="s">
        <v>557</v>
      </c>
      <c r="R458" s="26" t="n">
        <v>100</v>
      </c>
      <c r="S458" s="26" t="n">
        <f aca="false">IF(AND(L458="Oui",K458="Principal",R458&lt;&gt;""),I458*R458,0)</f>
        <v>100</v>
      </c>
      <c r="T458" s="26" t="n">
        <f aca="false">IF(R458&lt;&gt;"",M458-S458,0)</f>
        <v>150</v>
      </c>
      <c r="U458" s="26" t="n">
        <f aca="false">IF(R458="",M458,0)</f>
        <v>0</v>
      </c>
    </row>
    <row r="459" customFormat="false" ht="15" hidden="false" customHeight="false" outlineLevel="0" collapsed="false">
      <c r="A459" s="25" t="s">
        <v>53</v>
      </c>
      <c r="B459" s="25" t="s">
        <v>57</v>
      </c>
      <c r="C459" s="25" t="s">
        <v>49</v>
      </c>
      <c r="D459" s="25" t="n">
        <v>17</v>
      </c>
      <c r="E459" s="25" t="s">
        <v>573</v>
      </c>
      <c r="F459" s="25" t="s">
        <v>176</v>
      </c>
      <c r="G459" s="25" t="n">
        <v>19</v>
      </c>
      <c r="H459" s="25" t="s">
        <v>615</v>
      </c>
      <c r="I459" s="25" t="n">
        <v>1</v>
      </c>
      <c r="J459" s="26" t="n">
        <v>2500</v>
      </c>
      <c r="K459" s="25" t="s">
        <v>546</v>
      </c>
      <c r="L459" s="25" t="s">
        <v>547</v>
      </c>
      <c r="M459" s="26" t="n">
        <f aca="false">IF(AND(L459="Oui",K459="Principal"),I459*J459,0)</f>
        <v>2500</v>
      </c>
      <c r="N459" s="25" t="s">
        <v>548</v>
      </c>
      <c r="O459" s="25"/>
      <c r="P459" s="25" t="s">
        <v>559</v>
      </c>
      <c r="Q459" s="25" t="s">
        <v>551</v>
      </c>
      <c r="R459" s="26"/>
      <c r="S459" s="26" t="n">
        <f aca="false">IF(AND(L459="Oui",K459="Principal",R459&lt;&gt;""),I459*R459,0)</f>
        <v>0</v>
      </c>
      <c r="T459" s="26" t="n">
        <f aca="false">IF(R459&lt;&gt;"",M459-S459,0)</f>
        <v>0</v>
      </c>
      <c r="U459" s="26" t="n">
        <f aca="false">IF(R459="",M459,0)</f>
        <v>2500</v>
      </c>
    </row>
    <row r="460" customFormat="false" ht="15" hidden="false" customHeight="false" outlineLevel="0" collapsed="false">
      <c r="A460" s="25" t="s">
        <v>53</v>
      </c>
      <c r="B460" s="25" t="s">
        <v>57</v>
      </c>
      <c r="C460" s="25" t="s">
        <v>49</v>
      </c>
      <c r="D460" s="25" t="n">
        <v>18</v>
      </c>
      <c r="E460" s="25" t="s">
        <v>573</v>
      </c>
      <c r="F460" s="25" t="s">
        <v>117</v>
      </c>
      <c r="G460" s="25" t="n">
        <v>1288</v>
      </c>
      <c r="H460" s="25" t="s">
        <v>624</v>
      </c>
      <c r="I460" s="25" t="n">
        <v>1</v>
      </c>
      <c r="J460" s="26" t="n">
        <v>2500</v>
      </c>
      <c r="K460" s="25" t="s">
        <v>546</v>
      </c>
      <c r="L460" s="25" t="s">
        <v>547</v>
      </c>
      <c r="M460" s="26" t="n">
        <f aca="false">IF(AND(L460="Oui",K460="Principal"),I460*J460,0)</f>
        <v>2500</v>
      </c>
      <c r="N460" s="25" t="s">
        <v>548</v>
      </c>
      <c r="O460" s="25"/>
      <c r="P460" s="25" t="s">
        <v>550</v>
      </c>
      <c r="Q460" s="25" t="s">
        <v>557</v>
      </c>
      <c r="R460" s="26" t="n">
        <v>2000</v>
      </c>
      <c r="S460" s="26" t="n">
        <f aca="false">IF(AND(L460="Oui",K460="Principal",R460&lt;&gt;""),I460*R460,0)</f>
        <v>2000</v>
      </c>
      <c r="T460" s="26" t="n">
        <f aca="false">IF(R460&lt;&gt;"",M460-S460,0)</f>
        <v>500</v>
      </c>
      <c r="U460" s="26" t="n">
        <f aca="false">IF(R460="",M460,0)</f>
        <v>0</v>
      </c>
    </row>
    <row r="461" customFormat="false" ht="15" hidden="false" customHeight="false" outlineLevel="0" collapsed="false">
      <c r="A461" s="25" t="s">
        <v>53</v>
      </c>
      <c r="B461" s="25" t="s">
        <v>57</v>
      </c>
      <c r="C461" s="25" t="s">
        <v>49</v>
      </c>
      <c r="D461" s="25" t="n">
        <v>19</v>
      </c>
      <c r="E461" s="25" t="s">
        <v>616</v>
      </c>
      <c r="F461" s="25" t="s">
        <v>237</v>
      </c>
      <c r="G461" s="25" t="n">
        <v>1512</v>
      </c>
      <c r="H461" s="25" t="s">
        <v>652</v>
      </c>
      <c r="I461" s="25" t="n">
        <v>1</v>
      </c>
      <c r="J461" s="26" t="n">
        <v>3900</v>
      </c>
      <c r="K461" s="25" t="s">
        <v>546</v>
      </c>
      <c r="L461" s="25" t="s">
        <v>547</v>
      </c>
      <c r="M461" s="26" t="n">
        <f aca="false">IF(AND(L461="Oui",K461="Principal"),I461*J461,0)</f>
        <v>3900</v>
      </c>
      <c r="N461" s="25" t="s">
        <v>548</v>
      </c>
      <c r="O461" s="25"/>
      <c r="P461" s="25" t="s">
        <v>550</v>
      </c>
      <c r="Q461" s="25" t="s">
        <v>557</v>
      </c>
      <c r="R461" s="26" t="n">
        <v>2900</v>
      </c>
      <c r="S461" s="26" t="n">
        <f aca="false">IF(AND(L461="Oui",K461="Principal",R461&lt;&gt;""),I461*R461,0)</f>
        <v>2900</v>
      </c>
      <c r="T461" s="26" t="n">
        <f aca="false">IF(R461&lt;&gt;"",M461-S461,0)</f>
        <v>1000</v>
      </c>
      <c r="U461" s="26" t="n">
        <f aca="false">IF(R461="",M461,0)</f>
        <v>0</v>
      </c>
    </row>
    <row r="462" customFormat="false" ht="15" hidden="false" customHeight="false" outlineLevel="0" collapsed="false">
      <c r="A462" s="25" t="s">
        <v>53</v>
      </c>
      <c r="B462" s="25" t="s">
        <v>57</v>
      </c>
      <c r="C462" s="25" t="s">
        <v>49</v>
      </c>
      <c r="D462" s="25" t="n">
        <v>20</v>
      </c>
      <c r="E462" s="25" t="s">
        <v>616</v>
      </c>
      <c r="F462" s="25" t="s">
        <v>239</v>
      </c>
      <c r="G462" s="25" t="n">
        <v>1506</v>
      </c>
      <c r="H462" s="25" t="s">
        <v>653</v>
      </c>
      <c r="I462" s="25" t="n">
        <v>1</v>
      </c>
      <c r="J462" s="26" t="n">
        <v>5000</v>
      </c>
      <c r="K462" s="25" t="s">
        <v>546</v>
      </c>
      <c r="L462" s="25" t="s">
        <v>547</v>
      </c>
      <c r="M462" s="26" t="n">
        <f aca="false">IF(AND(L462="Oui",K462="Principal"),I462*J462,0)</f>
        <v>5000</v>
      </c>
      <c r="N462" s="25" t="s">
        <v>548</v>
      </c>
      <c r="O462" s="25"/>
      <c r="P462" s="25" t="s">
        <v>550</v>
      </c>
      <c r="Q462" s="25" t="s">
        <v>557</v>
      </c>
      <c r="R462" s="26" t="n">
        <v>3000</v>
      </c>
      <c r="S462" s="26" t="n">
        <f aca="false">IF(AND(L462="Oui",K462="Principal",R462&lt;&gt;""),I462*R462,0)</f>
        <v>3000</v>
      </c>
      <c r="T462" s="26" t="n">
        <f aca="false">IF(R462&lt;&gt;"",M462-S462,0)</f>
        <v>2000</v>
      </c>
      <c r="U462" s="26" t="n">
        <f aca="false">IF(R462="",M462,0)</f>
        <v>0</v>
      </c>
    </row>
    <row r="463" customFormat="false" ht="15" hidden="false" customHeight="false" outlineLevel="0" collapsed="false">
      <c r="A463" s="25" t="s">
        <v>53</v>
      </c>
      <c r="B463" s="25" t="s">
        <v>57</v>
      </c>
      <c r="C463" s="25" t="s">
        <v>49</v>
      </c>
      <c r="D463" s="25" t="n">
        <v>21</v>
      </c>
      <c r="E463" s="25" t="s">
        <v>616</v>
      </c>
      <c r="F463" s="25" t="s">
        <v>241</v>
      </c>
      <c r="G463" s="25" t="n">
        <v>1519</v>
      </c>
      <c r="H463" s="25" t="s">
        <v>654</v>
      </c>
      <c r="I463" s="25" t="n">
        <v>1</v>
      </c>
      <c r="J463" s="26" t="n">
        <v>4000</v>
      </c>
      <c r="K463" s="25" t="s">
        <v>546</v>
      </c>
      <c r="L463" s="25" t="s">
        <v>547</v>
      </c>
      <c r="M463" s="26" t="n">
        <f aca="false">IF(AND(L463="Oui",K463="Principal"),I463*J463,0)</f>
        <v>4000</v>
      </c>
      <c r="N463" s="25" t="s">
        <v>548</v>
      </c>
      <c r="O463" s="25"/>
      <c r="P463" s="25" t="s">
        <v>550</v>
      </c>
      <c r="Q463" s="25" t="s">
        <v>557</v>
      </c>
      <c r="R463" s="26" t="n">
        <v>3000</v>
      </c>
      <c r="S463" s="26" t="n">
        <f aca="false">IF(AND(L463="Oui",K463="Principal",R463&lt;&gt;""),I463*R463,0)</f>
        <v>3000</v>
      </c>
      <c r="T463" s="26" t="n">
        <f aca="false">IF(R463&lt;&gt;"",M463-S463,0)</f>
        <v>1000</v>
      </c>
      <c r="U463" s="26" t="n">
        <f aca="false">IF(R463="",M463,0)</f>
        <v>0</v>
      </c>
    </row>
    <row r="464" customFormat="false" ht="15" hidden="false" customHeight="false" outlineLevel="0" collapsed="false">
      <c r="A464" s="25" t="s">
        <v>53</v>
      </c>
      <c r="B464" s="25" t="s">
        <v>57</v>
      </c>
      <c r="C464" s="25" t="s">
        <v>49</v>
      </c>
      <c r="D464" s="25" t="n">
        <v>22</v>
      </c>
      <c r="E464" s="25" t="s">
        <v>616</v>
      </c>
      <c r="F464" s="25" t="s">
        <v>243</v>
      </c>
      <c r="G464" s="25" t="n">
        <v>1487</v>
      </c>
      <c r="H464" s="25" t="s">
        <v>655</v>
      </c>
      <c r="I464" s="25" t="n">
        <v>1</v>
      </c>
      <c r="J464" s="26" t="n">
        <v>4000</v>
      </c>
      <c r="K464" s="25" t="s">
        <v>546</v>
      </c>
      <c r="L464" s="25" t="s">
        <v>547</v>
      </c>
      <c r="M464" s="26" t="n">
        <f aca="false">IF(AND(L464="Oui",K464="Principal"),I464*J464,0)</f>
        <v>4000</v>
      </c>
      <c r="N464" s="25" t="s">
        <v>548</v>
      </c>
      <c r="O464" s="25"/>
      <c r="P464" s="25" t="s">
        <v>550</v>
      </c>
      <c r="Q464" s="25" t="s">
        <v>557</v>
      </c>
      <c r="R464" s="26" t="n">
        <v>3000</v>
      </c>
      <c r="S464" s="26" t="n">
        <f aca="false">IF(AND(L464="Oui",K464="Principal",R464&lt;&gt;""),I464*R464,0)</f>
        <v>3000</v>
      </c>
      <c r="T464" s="26" t="n">
        <f aca="false">IF(R464&lt;&gt;"",M464-S464,0)</f>
        <v>1000</v>
      </c>
      <c r="U464" s="26" t="n">
        <f aca="false">IF(R464="",M464,0)</f>
        <v>0</v>
      </c>
    </row>
    <row r="465" customFormat="false" ht="15" hidden="false" customHeight="false" outlineLevel="0" collapsed="false">
      <c r="A465" s="25" t="s">
        <v>53</v>
      </c>
      <c r="B465" s="25" t="s">
        <v>57</v>
      </c>
      <c r="C465" s="25" t="s">
        <v>49</v>
      </c>
      <c r="D465" s="25" t="n">
        <v>23</v>
      </c>
      <c r="E465" s="25" t="s">
        <v>577</v>
      </c>
      <c r="F465" s="25" t="s">
        <v>120</v>
      </c>
      <c r="G465" s="25" t="n">
        <v>1199</v>
      </c>
      <c r="H465" s="25" t="s">
        <v>622</v>
      </c>
      <c r="I465" s="25" t="n">
        <v>1</v>
      </c>
      <c r="J465" s="26" t="n">
        <v>7500</v>
      </c>
      <c r="K465" s="25" t="s">
        <v>577</v>
      </c>
      <c r="L465" s="25" t="s">
        <v>579</v>
      </c>
      <c r="M465" s="26" t="n">
        <f aca="false">IF(AND(L465="Oui",K465="Principal"),I465*J465,0)</f>
        <v>0</v>
      </c>
      <c r="N465" s="25" t="s">
        <v>548</v>
      </c>
      <c r="O465" s="25"/>
      <c r="P465" s="25" t="s">
        <v>550</v>
      </c>
      <c r="Q465" s="25" t="s">
        <v>557</v>
      </c>
      <c r="R465" s="26" t="n">
        <v>6000</v>
      </c>
      <c r="S465" s="26" t="n">
        <f aca="false">IF(AND(L465="Oui",K465="Principal",R465&lt;&gt;""),I465*R465,0)</f>
        <v>0</v>
      </c>
      <c r="T465" s="26" t="n">
        <f aca="false">IF(R465&lt;&gt;"",M465-S465,0)</f>
        <v>0</v>
      </c>
      <c r="U465" s="26" t="n">
        <f aca="false">IF(R465="",M465,0)</f>
        <v>0</v>
      </c>
    </row>
    <row r="466" customFormat="false" ht="15" hidden="false" customHeight="false" outlineLevel="0" collapsed="false">
      <c r="A466" s="25" t="s">
        <v>53</v>
      </c>
      <c r="B466" s="25" t="s">
        <v>57</v>
      </c>
      <c r="C466" s="25" t="s">
        <v>50</v>
      </c>
      <c r="D466" s="25" t="n">
        <v>1</v>
      </c>
      <c r="E466" s="25" t="s">
        <v>544</v>
      </c>
      <c r="F466" s="25" t="s">
        <v>151</v>
      </c>
      <c r="G466" s="25" t="n">
        <v>1618</v>
      </c>
      <c r="H466" s="25" t="s">
        <v>600</v>
      </c>
      <c r="I466" s="25" t="n">
        <v>4</v>
      </c>
      <c r="J466" s="26" t="n">
        <v>450</v>
      </c>
      <c r="K466" s="25" t="s">
        <v>546</v>
      </c>
      <c r="L466" s="25" t="s">
        <v>547</v>
      </c>
      <c r="M466" s="26" t="n">
        <f aca="false">IF(AND(L466="Oui",K466="Principal"),I466*J466,0)</f>
        <v>1800</v>
      </c>
      <c r="N466" s="25" t="s">
        <v>548</v>
      </c>
      <c r="O466" s="25"/>
      <c r="P466" s="25" t="s">
        <v>556</v>
      </c>
      <c r="Q466" s="25" t="s">
        <v>557</v>
      </c>
      <c r="R466" s="26" t="n">
        <v>350</v>
      </c>
      <c r="S466" s="26" t="n">
        <f aca="false">IF(AND(L466="Oui",K466="Principal",R466&lt;&gt;""),I466*R466,0)</f>
        <v>1400</v>
      </c>
      <c r="T466" s="26" t="n">
        <f aca="false">IF(R466&lt;&gt;"",M466-S466,0)</f>
        <v>400</v>
      </c>
      <c r="U466" s="26" t="n">
        <f aca="false">IF(R466="",M466,0)</f>
        <v>0</v>
      </c>
    </row>
    <row r="467" customFormat="false" ht="15" hidden="false" customHeight="false" outlineLevel="0" collapsed="false">
      <c r="A467" s="25" t="s">
        <v>53</v>
      </c>
      <c r="B467" s="25" t="s">
        <v>57</v>
      </c>
      <c r="C467" s="25" t="s">
        <v>50</v>
      </c>
      <c r="D467" s="25" t="n">
        <v>2</v>
      </c>
      <c r="E467" s="25" t="s">
        <v>544</v>
      </c>
      <c r="F467" s="25" t="s">
        <v>158</v>
      </c>
      <c r="G467" s="25" t="n">
        <v>1575</v>
      </c>
      <c r="H467" s="25" t="s">
        <v>605</v>
      </c>
      <c r="I467" s="25" t="n">
        <v>4</v>
      </c>
      <c r="J467" s="26" t="n">
        <v>275</v>
      </c>
      <c r="K467" s="25" t="s">
        <v>546</v>
      </c>
      <c r="L467" s="25" t="s">
        <v>547</v>
      </c>
      <c r="M467" s="26" t="n">
        <f aca="false">IF(AND(L467="Oui",K467="Principal"),I467*J467,0)</f>
        <v>1100</v>
      </c>
      <c r="N467" s="25" t="s">
        <v>548</v>
      </c>
      <c r="O467" s="25"/>
      <c r="P467" s="25" t="s">
        <v>556</v>
      </c>
      <c r="Q467" s="25" t="s">
        <v>557</v>
      </c>
      <c r="R467" s="26" t="n">
        <v>175</v>
      </c>
      <c r="S467" s="26" t="n">
        <f aca="false">IF(AND(L467="Oui",K467="Principal",R467&lt;&gt;""),I467*R467,0)</f>
        <v>700</v>
      </c>
      <c r="T467" s="26" t="n">
        <f aca="false">IF(R467&lt;&gt;"",M467-S467,0)</f>
        <v>400</v>
      </c>
      <c r="U467" s="26" t="n">
        <f aca="false">IF(R467="",M467,0)</f>
        <v>0</v>
      </c>
    </row>
    <row r="468" customFormat="false" ht="15" hidden="false" customHeight="false" outlineLevel="0" collapsed="false">
      <c r="A468" s="25" t="s">
        <v>53</v>
      </c>
      <c r="B468" s="25" t="s">
        <v>57</v>
      </c>
      <c r="C468" s="25" t="s">
        <v>50</v>
      </c>
      <c r="D468" s="25" t="n">
        <v>3</v>
      </c>
      <c r="E468" s="25" t="s">
        <v>554</v>
      </c>
      <c r="F468" s="25" t="s">
        <v>88</v>
      </c>
      <c r="G468" s="25" t="n">
        <v>1286</v>
      </c>
      <c r="H468" s="25" t="s">
        <v>580</v>
      </c>
      <c r="I468" s="25" t="n">
        <v>1</v>
      </c>
      <c r="J468" s="26" t="n">
        <v>550</v>
      </c>
      <c r="K468" s="25" t="s">
        <v>546</v>
      </c>
      <c r="L468" s="25" t="s">
        <v>547</v>
      </c>
      <c r="M468" s="26" t="n">
        <f aca="false">IF(AND(L468="Oui",K468="Principal"),I468*J468,0)</f>
        <v>550</v>
      </c>
      <c r="N468" s="25" t="s">
        <v>548</v>
      </c>
      <c r="O468" s="25"/>
      <c r="P468" s="25" t="s">
        <v>550</v>
      </c>
      <c r="Q468" s="25" t="s">
        <v>557</v>
      </c>
      <c r="R468" s="26" t="n">
        <v>450</v>
      </c>
      <c r="S468" s="26" t="n">
        <f aca="false">IF(AND(L468="Oui",K468="Principal",R468&lt;&gt;""),I468*R468,0)</f>
        <v>450</v>
      </c>
      <c r="T468" s="26" t="n">
        <f aca="false">IF(R468&lt;&gt;"",M468-S468,0)</f>
        <v>100</v>
      </c>
      <c r="U468" s="26" t="n">
        <f aca="false">IF(R468="",M468,0)</f>
        <v>0</v>
      </c>
    </row>
    <row r="469" customFormat="false" ht="15" hidden="false" customHeight="false" outlineLevel="0" collapsed="false">
      <c r="A469" s="25" t="s">
        <v>53</v>
      </c>
      <c r="B469" s="25" t="s">
        <v>57</v>
      </c>
      <c r="C469" s="25" t="s">
        <v>50</v>
      </c>
      <c r="D469" s="25" t="n">
        <v>4</v>
      </c>
      <c r="E469" s="25" t="s">
        <v>160</v>
      </c>
      <c r="F469" s="25" t="s">
        <v>160</v>
      </c>
      <c r="G469" s="25" t="n">
        <v>1277</v>
      </c>
      <c r="H469" s="25" t="s">
        <v>606</v>
      </c>
      <c r="I469" s="25" t="n">
        <v>9</v>
      </c>
      <c r="J469" s="26" t="n">
        <v>150</v>
      </c>
      <c r="K469" s="25" t="s">
        <v>546</v>
      </c>
      <c r="L469" s="25" t="s">
        <v>547</v>
      </c>
      <c r="M469" s="26" t="n">
        <f aca="false">IF(AND(L469="Oui",K469="Principal"),I469*J469,0)</f>
        <v>1350</v>
      </c>
      <c r="N469" s="25" t="s">
        <v>548</v>
      </c>
      <c r="O469" s="25"/>
      <c r="P469" s="25" t="s">
        <v>550</v>
      </c>
      <c r="Q469" s="25" t="s">
        <v>557</v>
      </c>
      <c r="R469" s="26"/>
      <c r="S469" s="26" t="n">
        <f aca="false">IF(AND(L469="Oui",K469="Principal",R469&lt;&gt;""),I469*R469,0)</f>
        <v>0</v>
      </c>
      <c r="T469" s="26" t="n">
        <f aca="false">IF(R469&lt;&gt;"",M469-S469,0)</f>
        <v>0</v>
      </c>
      <c r="U469" s="26" t="n">
        <f aca="false">IF(R469="",M469,0)</f>
        <v>1350</v>
      </c>
    </row>
    <row r="470" customFormat="false" ht="15" hidden="false" customHeight="false" outlineLevel="0" collapsed="false">
      <c r="A470" s="25" t="s">
        <v>53</v>
      </c>
      <c r="B470" s="25" t="s">
        <v>57</v>
      </c>
      <c r="C470" s="25" t="s">
        <v>50</v>
      </c>
      <c r="D470" s="25" t="n">
        <v>5</v>
      </c>
      <c r="E470" s="25" t="s">
        <v>563</v>
      </c>
      <c r="F470" s="25" t="s">
        <v>188</v>
      </c>
      <c r="G470" s="25" t="n">
        <v>8</v>
      </c>
      <c r="H470" s="25" t="s">
        <v>188</v>
      </c>
      <c r="I470" s="25" t="n">
        <v>1</v>
      </c>
      <c r="J470" s="26" t="n">
        <v>500</v>
      </c>
      <c r="K470" s="25" t="s">
        <v>546</v>
      </c>
      <c r="L470" s="25" t="s">
        <v>547</v>
      </c>
      <c r="M470" s="26" t="n">
        <f aca="false">IF(AND(L470="Oui",K470="Principal"),I470*J470,0)</f>
        <v>500</v>
      </c>
      <c r="N470" s="25" t="s">
        <v>548</v>
      </c>
      <c r="O470" s="25"/>
      <c r="P470" s="25" t="s">
        <v>559</v>
      </c>
      <c r="Q470" s="25" t="s">
        <v>551</v>
      </c>
      <c r="R470" s="26"/>
      <c r="S470" s="26" t="n">
        <f aca="false">IF(AND(L470="Oui",K470="Principal",R470&lt;&gt;""),I470*R470,0)</f>
        <v>0</v>
      </c>
      <c r="T470" s="26" t="n">
        <f aca="false">IF(R470&lt;&gt;"",M470-S470,0)</f>
        <v>0</v>
      </c>
      <c r="U470" s="26" t="n">
        <f aca="false">IF(R470="",M470,0)</f>
        <v>500</v>
      </c>
    </row>
    <row r="471" customFormat="false" ht="15" hidden="false" customHeight="false" outlineLevel="0" collapsed="false">
      <c r="A471" s="25" t="s">
        <v>53</v>
      </c>
      <c r="B471" s="25" t="s">
        <v>57</v>
      </c>
      <c r="C471" s="25" t="s">
        <v>50</v>
      </c>
      <c r="D471" s="25" t="n">
        <v>6</v>
      </c>
      <c r="E471" s="25" t="s">
        <v>563</v>
      </c>
      <c r="F471" s="25" t="s">
        <v>162</v>
      </c>
      <c r="G471" s="25" t="n">
        <v>1635</v>
      </c>
      <c r="H471" s="25" t="s">
        <v>607</v>
      </c>
      <c r="I471" s="25" t="n">
        <v>2</v>
      </c>
      <c r="J471" s="26" t="n">
        <v>100</v>
      </c>
      <c r="K471" s="25" t="s">
        <v>546</v>
      </c>
      <c r="L471" s="25" t="s">
        <v>547</v>
      </c>
      <c r="M471" s="26" t="n">
        <f aca="false">IF(AND(L471="Oui",K471="Principal"),I471*J471,0)</f>
        <v>200</v>
      </c>
      <c r="N471" s="25" t="s">
        <v>548</v>
      </c>
      <c r="O471" s="25"/>
      <c r="P471" s="25" t="s">
        <v>556</v>
      </c>
      <c r="Q471" s="25" t="s">
        <v>557</v>
      </c>
      <c r="R471" s="26" t="n">
        <v>80</v>
      </c>
      <c r="S471" s="26" t="n">
        <f aca="false">IF(AND(L471="Oui",K471="Principal",R471&lt;&gt;""),I471*R471,0)</f>
        <v>160</v>
      </c>
      <c r="T471" s="26" t="n">
        <f aca="false">IF(R471&lt;&gt;"",M471-S471,0)</f>
        <v>40</v>
      </c>
      <c r="U471" s="26" t="n">
        <f aca="false">IF(R471="",M471,0)</f>
        <v>0</v>
      </c>
    </row>
    <row r="472" customFormat="false" ht="15" hidden="false" customHeight="false" outlineLevel="0" collapsed="false">
      <c r="A472" s="25" t="s">
        <v>53</v>
      </c>
      <c r="B472" s="25" t="s">
        <v>57</v>
      </c>
      <c r="C472" s="25" t="s">
        <v>50</v>
      </c>
      <c r="D472" s="25" t="n">
        <v>7</v>
      </c>
      <c r="E472" s="25" t="s">
        <v>563</v>
      </c>
      <c r="F472" s="25" t="s">
        <v>197</v>
      </c>
      <c r="G472" s="25" t="n">
        <v>1674</v>
      </c>
      <c r="H472" s="25" t="s">
        <v>630</v>
      </c>
      <c r="I472" s="25" t="n">
        <v>1</v>
      </c>
      <c r="J472" s="26" t="n">
        <v>100</v>
      </c>
      <c r="K472" s="25" t="s">
        <v>546</v>
      </c>
      <c r="L472" s="25" t="s">
        <v>547</v>
      </c>
      <c r="M472" s="26" t="n">
        <f aca="false">IF(AND(L472="Oui",K472="Principal"),I472*J472,0)</f>
        <v>100</v>
      </c>
      <c r="N472" s="25" t="s">
        <v>548</v>
      </c>
      <c r="O472" s="25"/>
      <c r="P472" s="25" t="s">
        <v>556</v>
      </c>
      <c r="Q472" s="25" t="s">
        <v>557</v>
      </c>
      <c r="R472" s="26" t="n">
        <v>80</v>
      </c>
      <c r="S472" s="26" t="n">
        <f aca="false">IF(AND(L472="Oui",K472="Principal",R472&lt;&gt;""),I472*R472,0)</f>
        <v>80</v>
      </c>
      <c r="T472" s="26" t="n">
        <f aca="false">IF(R472&lt;&gt;"",M472-S472,0)</f>
        <v>20</v>
      </c>
      <c r="U472" s="26" t="n">
        <f aca="false">IF(R472="",M472,0)</f>
        <v>0</v>
      </c>
    </row>
    <row r="473" customFormat="false" ht="15" hidden="false" customHeight="false" outlineLevel="0" collapsed="false">
      <c r="A473" s="25" t="s">
        <v>53</v>
      </c>
      <c r="B473" s="25" t="s">
        <v>57</v>
      </c>
      <c r="C473" s="25" t="s">
        <v>50</v>
      </c>
      <c r="D473" s="25" t="n">
        <v>8</v>
      </c>
      <c r="E473" s="25" t="s">
        <v>565</v>
      </c>
      <c r="F473" s="25" t="s">
        <v>99</v>
      </c>
      <c r="G473" s="25" t="n">
        <v>1181</v>
      </c>
      <c r="H473" s="25" t="s">
        <v>581</v>
      </c>
      <c r="I473" s="25" t="n">
        <v>2</v>
      </c>
      <c r="J473" s="26" t="n">
        <v>250</v>
      </c>
      <c r="K473" s="25" t="s">
        <v>546</v>
      </c>
      <c r="L473" s="25" t="s">
        <v>547</v>
      </c>
      <c r="M473" s="26" t="n">
        <f aca="false">IF(AND(L473="Oui",K473="Principal"),I473*J473,0)</f>
        <v>500</v>
      </c>
      <c r="N473" s="25" t="s">
        <v>548</v>
      </c>
      <c r="O473" s="25"/>
      <c r="P473" s="25" t="s">
        <v>550</v>
      </c>
      <c r="Q473" s="25" t="s">
        <v>557</v>
      </c>
      <c r="R473" s="26" t="n">
        <v>110</v>
      </c>
      <c r="S473" s="26" t="n">
        <f aca="false">IF(AND(L473="Oui",K473="Principal",R473&lt;&gt;""),I473*R473,0)</f>
        <v>220</v>
      </c>
      <c r="T473" s="26" t="n">
        <f aca="false">IF(R473&lt;&gt;"",M473-S473,0)</f>
        <v>280</v>
      </c>
      <c r="U473" s="26" t="n">
        <f aca="false">IF(R473="",M473,0)</f>
        <v>0</v>
      </c>
    </row>
    <row r="474" customFormat="false" ht="15" hidden="false" customHeight="false" outlineLevel="0" collapsed="false">
      <c r="A474" s="25" t="s">
        <v>53</v>
      </c>
      <c r="B474" s="25" t="s">
        <v>57</v>
      </c>
      <c r="C474" s="25" t="s">
        <v>50</v>
      </c>
      <c r="D474" s="25" t="n">
        <v>9</v>
      </c>
      <c r="E474" s="25" t="s">
        <v>565</v>
      </c>
      <c r="F474" s="25" t="s">
        <v>102</v>
      </c>
      <c r="G474" s="25" t="n">
        <v>1587</v>
      </c>
      <c r="H474" s="25" t="s">
        <v>567</v>
      </c>
      <c r="I474" s="25" t="n">
        <v>1</v>
      </c>
      <c r="J474" s="26" t="n">
        <v>500</v>
      </c>
      <c r="K474" s="25" t="s">
        <v>546</v>
      </c>
      <c r="L474" s="25" t="s">
        <v>547</v>
      </c>
      <c r="M474" s="26" t="n">
        <f aca="false">IF(AND(L474="Oui",K474="Principal"),I474*J474,0)</f>
        <v>500</v>
      </c>
      <c r="N474" s="25" t="s">
        <v>548</v>
      </c>
      <c r="O474" s="25"/>
      <c r="P474" s="25" t="s">
        <v>556</v>
      </c>
      <c r="Q474" s="25" t="s">
        <v>557</v>
      </c>
      <c r="R474" s="26" t="n">
        <v>350</v>
      </c>
      <c r="S474" s="26" t="n">
        <f aca="false">IF(AND(L474="Oui",K474="Principal",R474&lt;&gt;""),I474*R474,0)</f>
        <v>350</v>
      </c>
      <c r="T474" s="26" t="n">
        <f aca="false">IF(R474&lt;&gt;"",M474-S474,0)</f>
        <v>150</v>
      </c>
      <c r="U474" s="26" t="n">
        <f aca="false">IF(R474="",M474,0)</f>
        <v>0</v>
      </c>
    </row>
    <row r="475" customFormat="false" ht="15" hidden="false" customHeight="false" outlineLevel="0" collapsed="false">
      <c r="A475" s="33" t="s">
        <v>53</v>
      </c>
      <c r="B475" s="33" t="s">
        <v>57</v>
      </c>
      <c r="C475" s="33" t="s">
        <v>50</v>
      </c>
      <c r="D475" s="33" t="n">
        <v>10</v>
      </c>
      <c r="E475" s="33" t="s">
        <v>609</v>
      </c>
      <c r="F475" s="33" t="s">
        <v>199</v>
      </c>
      <c r="G475" s="33" t="n">
        <v>1229</v>
      </c>
      <c r="H475" s="33" t="s">
        <v>643</v>
      </c>
      <c r="I475" s="33" t="n">
        <v>1</v>
      </c>
      <c r="J475" s="34" t="n">
        <v>1800</v>
      </c>
      <c r="K475" s="33" t="s">
        <v>546</v>
      </c>
      <c r="L475" s="33" t="s">
        <v>547</v>
      </c>
      <c r="M475" s="34" t="n">
        <f aca="false">IF(AND(L475="Oui",K475="Principal"),I475*J475,0)</f>
        <v>1800</v>
      </c>
      <c r="N475" s="33" t="s">
        <v>182</v>
      </c>
      <c r="O475" s="33" t="s">
        <v>644</v>
      </c>
      <c r="P475" s="33" t="s">
        <v>550</v>
      </c>
      <c r="Q475" s="33" t="s">
        <v>557</v>
      </c>
      <c r="R475" s="34" t="n">
        <v>1500</v>
      </c>
      <c r="S475" s="34" t="n">
        <f aca="false">IF(AND(L475="Oui",K475="Principal",R475&lt;&gt;""),I475*R475,0)</f>
        <v>1500</v>
      </c>
      <c r="T475" s="34" t="n">
        <f aca="false">IF(R475&lt;&gt;"",M475-S475,0)</f>
        <v>300</v>
      </c>
      <c r="U475" s="34" t="n">
        <f aca="false">IF(R475="",M475,0)</f>
        <v>0</v>
      </c>
    </row>
    <row r="476" customFormat="false" ht="15" hidden="false" customHeight="false" outlineLevel="0" collapsed="false">
      <c r="A476" s="25" t="s">
        <v>53</v>
      </c>
      <c r="B476" s="25" t="s">
        <v>57</v>
      </c>
      <c r="C476" s="25" t="s">
        <v>50</v>
      </c>
      <c r="D476" s="25" t="n">
        <v>11</v>
      </c>
      <c r="E476" s="25" t="s">
        <v>554</v>
      </c>
      <c r="F476" s="25" t="s">
        <v>104</v>
      </c>
      <c r="G476" s="25" t="n">
        <v>1594</v>
      </c>
      <c r="H476" s="25" t="s">
        <v>593</v>
      </c>
      <c r="I476" s="25" t="n">
        <v>1</v>
      </c>
      <c r="J476" s="26" t="n">
        <v>1600</v>
      </c>
      <c r="K476" s="25" t="s">
        <v>546</v>
      </c>
      <c r="L476" s="25" t="s">
        <v>547</v>
      </c>
      <c r="M476" s="26" t="n">
        <f aca="false">IF(AND(L476="Oui",K476="Principal"),I476*J476,0)</f>
        <v>1600</v>
      </c>
      <c r="N476" s="25" t="s">
        <v>548</v>
      </c>
      <c r="O476" s="25"/>
      <c r="P476" s="25" t="s">
        <v>556</v>
      </c>
      <c r="Q476" s="25" t="s">
        <v>557</v>
      </c>
      <c r="R476" s="26" t="n">
        <v>1300</v>
      </c>
      <c r="S476" s="26" t="n">
        <f aca="false">IF(AND(L476="Oui",K476="Principal",R476&lt;&gt;""),I476*R476,0)</f>
        <v>1300</v>
      </c>
      <c r="T476" s="26" t="n">
        <f aca="false">IF(R476&lt;&gt;"",M476-S476,0)</f>
        <v>300</v>
      </c>
      <c r="U476" s="26" t="n">
        <f aca="false">IF(R476="",M476,0)</f>
        <v>0</v>
      </c>
    </row>
    <row r="477" customFormat="false" ht="15" hidden="false" customHeight="false" outlineLevel="0" collapsed="false">
      <c r="A477" s="25" t="s">
        <v>53</v>
      </c>
      <c r="B477" s="25" t="s">
        <v>57</v>
      </c>
      <c r="C477" s="25" t="s">
        <v>50</v>
      </c>
      <c r="D477" s="25" t="n">
        <v>12</v>
      </c>
      <c r="E477" s="25" t="s">
        <v>565</v>
      </c>
      <c r="F477" s="25" t="s">
        <v>166</v>
      </c>
      <c r="G477" s="25" t="n">
        <v>1604</v>
      </c>
      <c r="H477" s="25" t="s">
        <v>582</v>
      </c>
      <c r="I477" s="25" t="n">
        <v>2</v>
      </c>
      <c r="J477" s="26" t="n">
        <v>700</v>
      </c>
      <c r="K477" s="25" t="s">
        <v>546</v>
      </c>
      <c r="L477" s="25" t="s">
        <v>547</v>
      </c>
      <c r="M477" s="26" t="n">
        <f aca="false">IF(AND(L477="Oui",K477="Principal"),I477*J477,0)</f>
        <v>1400</v>
      </c>
      <c r="N477" s="25" t="s">
        <v>548</v>
      </c>
      <c r="O477" s="25"/>
      <c r="P477" s="25" t="s">
        <v>556</v>
      </c>
      <c r="Q477" s="25" t="s">
        <v>557</v>
      </c>
      <c r="R477" s="26" t="n">
        <v>400</v>
      </c>
      <c r="S477" s="26" t="n">
        <f aca="false">IF(AND(L477="Oui",K477="Principal",R477&lt;&gt;""),I477*R477,0)</f>
        <v>800</v>
      </c>
      <c r="T477" s="26" t="n">
        <f aca="false">IF(R477&lt;&gt;"",M477-S477,0)</f>
        <v>600</v>
      </c>
      <c r="U477" s="26" t="n">
        <f aca="false">IF(R477="",M477,0)</f>
        <v>0</v>
      </c>
    </row>
    <row r="478" customFormat="false" ht="15" hidden="false" customHeight="false" outlineLevel="0" collapsed="false">
      <c r="A478" s="25" t="s">
        <v>53</v>
      </c>
      <c r="B478" s="25" t="s">
        <v>57</v>
      </c>
      <c r="C478" s="25" t="s">
        <v>50</v>
      </c>
      <c r="D478" s="25" t="n">
        <v>13</v>
      </c>
      <c r="E478" s="25" t="s">
        <v>565</v>
      </c>
      <c r="F478" s="25" t="s">
        <v>110</v>
      </c>
      <c r="G478" s="25" t="n">
        <v>1586</v>
      </c>
      <c r="H478" s="25" t="s">
        <v>583</v>
      </c>
      <c r="I478" s="25" t="n">
        <v>1</v>
      </c>
      <c r="J478" s="26" t="n">
        <v>900</v>
      </c>
      <c r="K478" s="25" t="s">
        <v>546</v>
      </c>
      <c r="L478" s="25" t="s">
        <v>547</v>
      </c>
      <c r="M478" s="26" t="n">
        <f aca="false">IF(AND(L478="Oui",K478="Principal"),I478*J478,0)</f>
        <v>900</v>
      </c>
      <c r="N478" s="25" t="s">
        <v>548</v>
      </c>
      <c r="O478" s="25"/>
      <c r="P478" s="25" t="s">
        <v>556</v>
      </c>
      <c r="Q478" s="25" t="s">
        <v>557</v>
      </c>
      <c r="R478" s="26" t="n">
        <v>650</v>
      </c>
      <c r="S478" s="26" t="n">
        <f aca="false">IF(AND(L478="Oui",K478="Principal",R478&lt;&gt;""),I478*R478,0)</f>
        <v>650</v>
      </c>
      <c r="T478" s="26" t="n">
        <f aca="false">IF(R478&lt;&gt;"",M478-S478,0)</f>
        <v>250</v>
      </c>
      <c r="U478" s="26" t="n">
        <f aca="false">IF(R478="",M478,0)</f>
        <v>0</v>
      </c>
    </row>
    <row r="479" customFormat="false" ht="15" hidden="false" customHeight="false" outlineLevel="0" collapsed="false">
      <c r="A479" s="25" t="s">
        <v>53</v>
      </c>
      <c r="B479" s="25" t="s">
        <v>57</v>
      </c>
      <c r="C479" s="25" t="s">
        <v>50</v>
      </c>
      <c r="D479" s="25" t="n">
        <v>14</v>
      </c>
      <c r="E479" s="25" t="s">
        <v>167</v>
      </c>
      <c r="F479" s="25" t="s">
        <v>167</v>
      </c>
      <c r="G479" s="25" t="n">
        <v>1714</v>
      </c>
      <c r="H479" s="25" t="s">
        <v>623</v>
      </c>
      <c r="I479" s="25" t="n">
        <v>1</v>
      </c>
      <c r="J479" s="26" t="n">
        <v>1000</v>
      </c>
      <c r="K479" s="25" t="s">
        <v>546</v>
      </c>
      <c r="L479" s="25" t="s">
        <v>547</v>
      </c>
      <c r="M479" s="26" t="n">
        <f aca="false">IF(AND(L479="Oui",K479="Principal"),I479*J479,0)</f>
        <v>1000</v>
      </c>
      <c r="N479" s="25" t="s">
        <v>548</v>
      </c>
      <c r="O479" s="25"/>
      <c r="P479" s="25" t="s">
        <v>561</v>
      </c>
      <c r="Q479" s="25" t="s">
        <v>557</v>
      </c>
      <c r="R479" s="26" t="n">
        <v>718</v>
      </c>
      <c r="S479" s="26" t="n">
        <f aca="false">IF(AND(L479="Oui",K479="Principal",R479&lt;&gt;""),I479*R479,0)</f>
        <v>718</v>
      </c>
      <c r="T479" s="26" t="n">
        <f aca="false">IF(R479&lt;&gt;"",M479-S479,0)</f>
        <v>282</v>
      </c>
      <c r="U479" s="26" t="n">
        <f aca="false">IF(R479="",M479,0)</f>
        <v>0</v>
      </c>
    </row>
    <row r="480" customFormat="false" ht="15" hidden="false" customHeight="false" outlineLevel="0" collapsed="false">
      <c r="A480" s="31" t="s">
        <v>53</v>
      </c>
      <c r="B480" s="31" t="s">
        <v>57</v>
      </c>
      <c r="C480" s="31" t="s">
        <v>50</v>
      </c>
      <c r="D480" s="31" t="n">
        <v>15</v>
      </c>
      <c r="E480" s="31" t="s">
        <v>167</v>
      </c>
      <c r="F480" s="31" t="s">
        <v>170</v>
      </c>
      <c r="G480" s="31" t="s">
        <v>611</v>
      </c>
      <c r="H480" s="31" t="s">
        <v>612</v>
      </c>
      <c r="I480" s="31" t="n">
        <v>20</v>
      </c>
      <c r="J480" s="32" t="n">
        <v>25</v>
      </c>
      <c r="K480" s="31" t="s">
        <v>546</v>
      </c>
      <c r="L480" s="31" t="s">
        <v>547</v>
      </c>
      <c r="M480" s="32" t="n">
        <f aca="false">IF(AND(L480="Oui",K480="Principal"),I480*J480,0)</f>
        <v>500</v>
      </c>
      <c r="N480" s="31" t="s">
        <v>172</v>
      </c>
      <c r="O480" s="31" t="s">
        <v>613</v>
      </c>
      <c r="P480" s="31" t="s">
        <v>550</v>
      </c>
      <c r="Q480" s="31" t="s">
        <v>557</v>
      </c>
      <c r="R480" s="32" t="n">
        <v>25</v>
      </c>
      <c r="S480" s="32" t="n">
        <f aca="false">IF(AND(L480="Oui",K480="Principal",R480&lt;&gt;""),I480*R480,0)</f>
        <v>500</v>
      </c>
      <c r="T480" s="32" t="n">
        <f aca="false">IF(R480&lt;&gt;"",M480-S480,0)</f>
        <v>0</v>
      </c>
      <c r="U480" s="32" t="n">
        <f aca="false">IF(R480="",M480,0)</f>
        <v>0</v>
      </c>
    </row>
    <row r="481" customFormat="false" ht="15" hidden="false" customHeight="false" outlineLevel="0" collapsed="false">
      <c r="A481" s="25" t="s">
        <v>53</v>
      </c>
      <c r="B481" s="25" t="s">
        <v>57</v>
      </c>
      <c r="C481" s="25" t="s">
        <v>50</v>
      </c>
      <c r="D481" s="25" t="n">
        <v>16</v>
      </c>
      <c r="E481" s="25" t="s">
        <v>167</v>
      </c>
      <c r="F481" s="25" t="s">
        <v>173</v>
      </c>
      <c r="G481" s="25" t="n">
        <v>1202</v>
      </c>
      <c r="H481" s="25" t="s">
        <v>599</v>
      </c>
      <c r="I481" s="25" t="n">
        <v>1</v>
      </c>
      <c r="J481" s="26" t="n">
        <v>250</v>
      </c>
      <c r="K481" s="25" t="s">
        <v>546</v>
      </c>
      <c r="L481" s="25" t="s">
        <v>547</v>
      </c>
      <c r="M481" s="26" t="n">
        <f aca="false">IF(AND(L481="Oui",K481="Principal"),I481*J481,0)</f>
        <v>250</v>
      </c>
      <c r="N481" s="25" t="s">
        <v>548</v>
      </c>
      <c r="O481" s="25"/>
      <c r="P481" s="25" t="s">
        <v>550</v>
      </c>
      <c r="Q481" s="25" t="s">
        <v>557</v>
      </c>
      <c r="R481" s="26" t="n">
        <v>100</v>
      </c>
      <c r="S481" s="26" t="n">
        <f aca="false">IF(AND(L481="Oui",K481="Principal",R481&lt;&gt;""),I481*R481,0)</f>
        <v>100</v>
      </c>
      <c r="T481" s="26" t="n">
        <f aca="false">IF(R481&lt;&gt;"",M481-S481,0)</f>
        <v>150</v>
      </c>
      <c r="U481" s="26" t="n">
        <f aca="false">IF(R481="",M481,0)</f>
        <v>0</v>
      </c>
    </row>
    <row r="482" customFormat="false" ht="15" hidden="false" customHeight="false" outlineLevel="0" collapsed="false">
      <c r="A482" s="25" t="s">
        <v>53</v>
      </c>
      <c r="B482" s="25" t="s">
        <v>57</v>
      </c>
      <c r="C482" s="25" t="s">
        <v>50</v>
      </c>
      <c r="D482" s="25" t="n">
        <v>17</v>
      </c>
      <c r="E482" s="25" t="s">
        <v>573</v>
      </c>
      <c r="F482" s="25" t="s">
        <v>176</v>
      </c>
      <c r="G482" s="25" t="n">
        <v>19</v>
      </c>
      <c r="H482" s="25" t="s">
        <v>615</v>
      </c>
      <c r="I482" s="25" t="n">
        <v>1</v>
      </c>
      <c r="J482" s="26" t="n">
        <v>2500</v>
      </c>
      <c r="K482" s="25" t="s">
        <v>546</v>
      </c>
      <c r="L482" s="25" t="s">
        <v>547</v>
      </c>
      <c r="M482" s="26" t="n">
        <f aca="false">IF(AND(L482="Oui",K482="Principal"),I482*J482,0)</f>
        <v>2500</v>
      </c>
      <c r="N482" s="25" t="s">
        <v>548</v>
      </c>
      <c r="O482" s="25"/>
      <c r="P482" s="25" t="s">
        <v>559</v>
      </c>
      <c r="Q482" s="25" t="s">
        <v>551</v>
      </c>
      <c r="R482" s="26"/>
      <c r="S482" s="26" t="n">
        <f aca="false">IF(AND(L482="Oui",K482="Principal",R482&lt;&gt;""),I482*R482,0)</f>
        <v>0</v>
      </c>
      <c r="T482" s="26" t="n">
        <f aca="false">IF(R482&lt;&gt;"",M482-S482,0)</f>
        <v>0</v>
      </c>
      <c r="U482" s="26" t="n">
        <f aca="false">IF(R482="",M482,0)</f>
        <v>2500</v>
      </c>
    </row>
    <row r="483" customFormat="false" ht="15" hidden="false" customHeight="false" outlineLevel="0" collapsed="false">
      <c r="A483" s="25" t="s">
        <v>53</v>
      </c>
      <c r="B483" s="25" t="s">
        <v>57</v>
      </c>
      <c r="C483" s="25" t="s">
        <v>50</v>
      </c>
      <c r="D483" s="25" t="n">
        <v>18</v>
      </c>
      <c r="E483" s="25" t="s">
        <v>573</v>
      </c>
      <c r="F483" s="25" t="s">
        <v>117</v>
      </c>
      <c r="G483" s="25" t="n">
        <v>1288</v>
      </c>
      <c r="H483" s="25" t="s">
        <v>624</v>
      </c>
      <c r="I483" s="25" t="n">
        <v>1</v>
      </c>
      <c r="J483" s="26" t="n">
        <v>2500</v>
      </c>
      <c r="K483" s="25" t="s">
        <v>546</v>
      </c>
      <c r="L483" s="25" t="s">
        <v>547</v>
      </c>
      <c r="M483" s="26" t="n">
        <f aca="false">IF(AND(L483="Oui",K483="Principal"),I483*J483,0)</f>
        <v>2500</v>
      </c>
      <c r="N483" s="25" t="s">
        <v>548</v>
      </c>
      <c r="O483" s="25"/>
      <c r="P483" s="25" t="s">
        <v>550</v>
      </c>
      <c r="Q483" s="25" t="s">
        <v>557</v>
      </c>
      <c r="R483" s="26" t="n">
        <v>2000</v>
      </c>
      <c r="S483" s="26" t="n">
        <f aca="false">IF(AND(L483="Oui",K483="Principal",R483&lt;&gt;""),I483*R483,0)</f>
        <v>2000</v>
      </c>
      <c r="T483" s="26" t="n">
        <f aca="false">IF(R483&lt;&gt;"",M483-S483,0)</f>
        <v>500</v>
      </c>
      <c r="U483" s="26" t="n">
        <f aca="false">IF(R483="",M483,0)</f>
        <v>0</v>
      </c>
    </row>
    <row r="484" customFormat="false" ht="15" hidden="false" customHeight="false" outlineLevel="0" collapsed="false">
      <c r="A484" s="25" t="s">
        <v>53</v>
      </c>
      <c r="B484" s="25" t="s">
        <v>57</v>
      </c>
      <c r="C484" s="25" t="s">
        <v>50</v>
      </c>
      <c r="D484" s="25" t="n">
        <v>19</v>
      </c>
      <c r="E484" s="25" t="s">
        <v>616</v>
      </c>
      <c r="F484" s="25" t="s">
        <v>237</v>
      </c>
      <c r="G484" s="25" t="n">
        <v>1512</v>
      </c>
      <c r="H484" s="25" t="s">
        <v>652</v>
      </c>
      <c r="I484" s="25" t="n">
        <v>1</v>
      </c>
      <c r="J484" s="26" t="n">
        <v>3900</v>
      </c>
      <c r="K484" s="25" t="s">
        <v>546</v>
      </c>
      <c r="L484" s="25" t="s">
        <v>547</v>
      </c>
      <c r="M484" s="26" t="n">
        <f aca="false">IF(AND(L484="Oui",K484="Principal"),I484*J484,0)</f>
        <v>3900</v>
      </c>
      <c r="N484" s="25" t="s">
        <v>548</v>
      </c>
      <c r="O484" s="25"/>
      <c r="P484" s="25" t="s">
        <v>550</v>
      </c>
      <c r="Q484" s="25" t="s">
        <v>557</v>
      </c>
      <c r="R484" s="26" t="n">
        <v>2900</v>
      </c>
      <c r="S484" s="26" t="n">
        <f aca="false">IF(AND(L484="Oui",K484="Principal",R484&lt;&gt;""),I484*R484,0)</f>
        <v>2900</v>
      </c>
      <c r="T484" s="26" t="n">
        <f aca="false">IF(R484&lt;&gt;"",M484-S484,0)</f>
        <v>1000</v>
      </c>
      <c r="U484" s="26" t="n">
        <f aca="false">IF(R484="",M484,0)</f>
        <v>0</v>
      </c>
    </row>
    <row r="485" customFormat="false" ht="15" hidden="false" customHeight="false" outlineLevel="0" collapsed="false">
      <c r="A485" s="25" t="s">
        <v>53</v>
      </c>
      <c r="B485" s="25" t="s">
        <v>57</v>
      </c>
      <c r="C485" s="25" t="s">
        <v>50</v>
      </c>
      <c r="D485" s="25" t="n">
        <v>20</v>
      </c>
      <c r="E485" s="25" t="s">
        <v>616</v>
      </c>
      <c r="F485" s="25" t="s">
        <v>239</v>
      </c>
      <c r="G485" s="25" t="n">
        <v>1506</v>
      </c>
      <c r="H485" s="25" t="s">
        <v>653</v>
      </c>
      <c r="I485" s="25" t="n">
        <v>1</v>
      </c>
      <c r="J485" s="26" t="n">
        <v>5000</v>
      </c>
      <c r="K485" s="25" t="s">
        <v>546</v>
      </c>
      <c r="L485" s="25" t="s">
        <v>547</v>
      </c>
      <c r="M485" s="26" t="n">
        <f aca="false">IF(AND(L485="Oui",K485="Principal"),I485*J485,0)</f>
        <v>5000</v>
      </c>
      <c r="N485" s="25" t="s">
        <v>548</v>
      </c>
      <c r="O485" s="25"/>
      <c r="P485" s="25" t="s">
        <v>550</v>
      </c>
      <c r="Q485" s="25" t="s">
        <v>557</v>
      </c>
      <c r="R485" s="26" t="n">
        <v>3000</v>
      </c>
      <c r="S485" s="26" t="n">
        <f aca="false">IF(AND(L485="Oui",K485="Principal",R485&lt;&gt;""),I485*R485,0)</f>
        <v>3000</v>
      </c>
      <c r="T485" s="26" t="n">
        <f aca="false">IF(R485&lt;&gt;"",M485-S485,0)</f>
        <v>2000</v>
      </c>
      <c r="U485" s="26" t="n">
        <f aca="false">IF(R485="",M485,0)</f>
        <v>0</v>
      </c>
    </row>
    <row r="486" customFormat="false" ht="15" hidden="false" customHeight="false" outlineLevel="0" collapsed="false">
      <c r="A486" s="25" t="s">
        <v>53</v>
      </c>
      <c r="B486" s="25" t="s">
        <v>57</v>
      </c>
      <c r="C486" s="25" t="s">
        <v>50</v>
      </c>
      <c r="D486" s="25" t="n">
        <v>21</v>
      </c>
      <c r="E486" s="25" t="s">
        <v>616</v>
      </c>
      <c r="F486" s="25" t="s">
        <v>241</v>
      </c>
      <c r="G486" s="25" t="n">
        <v>1519</v>
      </c>
      <c r="H486" s="25" t="s">
        <v>654</v>
      </c>
      <c r="I486" s="25" t="n">
        <v>1</v>
      </c>
      <c r="J486" s="26" t="n">
        <v>4000</v>
      </c>
      <c r="K486" s="25" t="s">
        <v>546</v>
      </c>
      <c r="L486" s="25" t="s">
        <v>547</v>
      </c>
      <c r="M486" s="26" t="n">
        <f aca="false">IF(AND(L486="Oui",K486="Principal"),I486*J486,0)</f>
        <v>4000</v>
      </c>
      <c r="N486" s="25" t="s">
        <v>548</v>
      </c>
      <c r="O486" s="25"/>
      <c r="P486" s="25" t="s">
        <v>550</v>
      </c>
      <c r="Q486" s="25" t="s">
        <v>557</v>
      </c>
      <c r="R486" s="26" t="n">
        <v>3000</v>
      </c>
      <c r="S486" s="26" t="n">
        <f aca="false">IF(AND(L486="Oui",K486="Principal",R486&lt;&gt;""),I486*R486,0)</f>
        <v>3000</v>
      </c>
      <c r="T486" s="26" t="n">
        <f aca="false">IF(R486&lt;&gt;"",M486-S486,0)</f>
        <v>1000</v>
      </c>
      <c r="U486" s="26" t="n">
        <f aca="false">IF(R486="",M486,0)</f>
        <v>0</v>
      </c>
    </row>
    <row r="487" customFormat="false" ht="15" hidden="false" customHeight="false" outlineLevel="0" collapsed="false">
      <c r="A487" s="25" t="s">
        <v>53</v>
      </c>
      <c r="B487" s="25" t="s">
        <v>57</v>
      </c>
      <c r="C487" s="25" t="s">
        <v>50</v>
      </c>
      <c r="D487" s="25" t="n">
        <v>22</v>
      </c>
      <c r="E487" s="25" t="s">
        <v>616</v>
      </c>
      <c r="F487" s="25" t="s">
        <v>243</v>
      </c>
      <c r="G487" s="25" t="n">
        <v>1487</v>
      </c>
      <c r="H487" s="25" t="s">
        <v>655</v>
      </c>
      <c r="I487" s="25" t="n">
        <v>1</v>
      </c>
      <c r="J487" s="26" t="n">
        <v>4000</v>
      </c>
      <c r="K487" s="25" t="s">
        <v>546</v>
      </c>
      <c r="L487" s="25" t="s">
        <v>547</v>
      </c>
      <c r="M487" s="26" t="n">
        <f aca="false">IF(AND(L487="Oui",K487="Principal"),I487*J487,0)</f>
        <v>4000</v>
      </c>
      <c r="N487" s="25" t="s">
        <v>548</v>
      </c>
      <c r="O487" s="25"/>
      <c r="P487" s="25" t="s">
        <v>550</v>
      </c>
      <c r="Q487" s="25" t="s">
        <v>557</v>
      </c>
      <c r="R487" s="26" t="n">
        <v>3000</v>
      </c>
      <c r="S487" s="26" t="n">
        <f aca="false">IF(AND(L487="Oui",K487="Principal",R487&lt;&gt;""),I487*R487,0)</f>
        <v>3000</v>
      </c>
      <c r="T487" s="26" t="n">
        <f aca="false">IF(R487&lt;&gt;"",M487-S487,0)</f>
        <v>1000</v>
      </c>
      <c r="U487" s="26" t="n">
        <f aca="false">IF(R487="",M487,0)</f>
        <v>0</v>
      </c>
    </row>
    <row r="488" customFormat="false" ht="15" hidden="false" customHeight="false" outlineLevel="0" collapsed="false">
      <c r="A488" s="25" t="s">
        <v>53</v>
      </c>
      <c r="B488" s="25" t="s">
        <v>57</v>
      </c>
      <c r="C488" s="25" t="s">
        <v>50</v>
      </c>
      <c r="D488" s="25" t="n">
        <v>23</v>
      </c>
      <c r="E488" s="25" t="s">
        <v>625</v>
      </c>
      <c r="F488" s="25" t="s">
        <v>245</v>
      </c>
      <c r="G488" s="25" t="n">
        <v>1535</v>
      </c>
      <c r="H488" s="25" t="s">
        <v>656</v>
      </c>
      <c r="I488" s="25" t="n">
        <v>1</v>
      </c>
      <c r="J488" s="26" t="n">
        <v>3010</v>
      </c>
      <c r="K488" s="25" t="s">
        <v>546</v>
      </c>
      <c r="L488" s="25" t="s">
        <v>547</v>
      </c>
      <c r="M488" s="26" t="n">
        <f aca="false">IF(AND(L488="Oui",K488="Principal"),I488*J488,0)</f>
        <v>3010</v>
      </c>
      <c r="N488" s="25" t="s">
        <v>548</v>
      </c>
      <c r="O488" s="25"/>
      <c r="P488" s="25" t="s">
        <v>550</v>
      </c>
      <c r="Q488" s="25" t="s">
        <v>557</v>
      </c>
      <c r="R488" s="26" t="n">
        <v>2010</v>
      </c>
      <c r="S488" s="26" t="n">
        <f aca="false">IF(AND(L488="Oui",K488="Principal",R488&lt;&gt;""),I488*R488,0)</f>
        <v>2010</v>
      </c>
      <c r="T488" s="26" t="n">
        <f aca="false">IF(R488&lt;&gt;"",M488-S488,0)</f>
        <v>1000</v>
      </c>
      <c r="U488" s="26" t="n">
        <f aca="false">IF(R488="",M488,0)</f>
        <v>0</v>
      </c>
    </row>
    <row r="489" customFormat="false" ht="15" hidden="false" customHeight="false" outlineLevel="0" collapsed="false">
      <c r="A489" s="25" t="s">
        <v>53</v>
      </c>
      <c r="B489" s="25" t="s">
        <v>57</v>
      </c>
      <c r="C489" s="25" t="s">
        <v>50</v>
      </c>
      <c r="D489" s="25" t="n">
        <v>24</v>
      </c>
      <c r="E489" s="25" t="s">
        <v>625</v>
      </c>
      <c r="F489" s="25" t="s">
        <v>247</v>
      </c>
      <c r="G489" s="25" t="n">
        <v>1526</v>
      </c>
      <c r="H489" s="25" t="s">
        <v>657</v>
      </c>
      <c r="I489" s="25" t="n">
        <v>1</v>
      </c>
      <c r="J489" s="26" t="n">
        <v>3010</v>
      </c>
      <c r="K489" s="25" t="s">
        <v>546</v>
      </c>
      <c r="L489" s="25" t="s">
        <v>547</v>
      </c>
      <c r="M489" s="26" t="n">
        <f aca="false">IF(AND(L489="Oui",K489="Principal"),I489*J489,0)</f>
        <v>3010</v>
      </c>
      <c r="N489" s="25" t="s">
        <v>548</v>
      </c>
      <c r="O489" s="25"/>
      <c r="P489" s="25" t="s">
        <v>550</v>
      </c>
      <c r="Q489" s="25" t="s">
        <v>557</v>
      </c>
      <c r="R489" s="26" t="n">
        <v>2010</v>
      </c>
      <c r="S489" s="26" t="n">
        <f aca="false">IF(AND(L489="Oui",K489="Principal",R489&lt;&gt;""),I489*R489,0)</f>
        <v>2010</v>
      </c>
      <c r="T489" s="26" t="n">
        <f aca="false">IF(R489&lt;&gt;"",M489-S489,0)</f>
        <v>1000</v>
      </c>
      <c r="U489" s="26" t="n">
        <f aca="false">IF(R489="",M489,0)</f>
        <v>0</v>
      </c>
    </row>
    <row r="490" customFormat="false" ht="15" hidden="false" customHeight="false" outlineLevel="0" collapsed="false">
      <c r="A490" s="25" t="s">
        <v>53</v>
      </c>
      <c r="B490" s="25" t="s">
        <v>57</v>
      </c>
      <c r="C490" s="25" t="s">
        <v>50</v>
      </c>
      <c r="D490" s="25" t="n">
        <v>25</v>
      </c>
      <c r="E490" s="25" t="s">
        <v>625</v>
      </c>
      <c r="F490" s="25" t="s">
        <v>249</v>
      </c>
      <c r="G490" s="25" t="n">
        <v>1470</v>
      </c>
      <c r="H490" s="25" t="s">
        <v>658</v>
      </c>
      <c r="I490" s="25" t="n">
        <v>1</v>
      </c>
      <c r="J490" s="26" t="n">
        <v>3010</v>
      </c>
      <c r="K490" s="25" t="s">
        <v>546</v>
      </c>
      <c r="L490" s="25" t="s">
        <v>547</v>
      </c>
      <c r="M490" s="26" t="n">
        <f aca="false">IF(AND(L490="Oui",K490="Principal"),I490*J490,0)</f>
        <v>3010</v>
      </c>
      <c r="N490" s="25" t="s">
        <v>548</v>
      </c>
      <c r="O490" s="25"/>
      <c r="P490" s="25" t="s">
        <v>550</v>
      </c>
      <c r="Q490" s="25" t="s">
        <v>557</v>
      </c>
      <c r="R490" s="26" t="n">
        <v>2010</v>
      </c>
      <c r="S490" s="26" t="n">
        <f aca="false">IF(AND(L490="Oui",K490="Principal",R490&lt;&gt;""),I490*R490,0)</f>
        <v>2010</v>
      </c>
      <c r="T490" s="26" t="n">
        <f aca="false">IF(R490&lt;&gt;"",M490-S490,0)</f>
        <v>1000</v>
      </c>
      <c r="U490" s="26" t="n">
        <f aca="false">IF(R490="",M490,0)</f>
        <v>0</v>
      </c>
    </row>
    <row r="491" customFormat="false" ht="15" hidden="false" customHeight="false" outlineLevel="0" collapsed="false">
      <c r="A491" s="25" t="s">
        <v>53</v>
      </c>
      <c r="B491" s="25" t="s">
        <v>57</v>
      </c>
      <c r="C491" s="25" t="s">
        <v>50</v>
      </c>
      <c r="D491" s="25" t="n">
        <v>26</v>
      </c>
      <c r="E491" s="25" t="s">
        <v>625</v>
      </c>
      <c r="F491" s="25" t="s">
        <v>251</v>
      </c>
      <c r="G491" s="25" t="n">
        <v>1481</v>
      </c>
      <c r="H491" s="25" t="s">
        <v>659</v>
      </c>
      <c r="I491" s="25" t="n">
        <v>1</v>
      </c>
      <c r="J491" s="26" t="n">
        <v>3010</v>
      </c>
      <c r="K491" s="25" t="s">
        <v>546</v>
      </c>
      <c r="L491" s="25" t="s">
        <v>547</v>
      </c>
      <c r="M491" s="26" t="n">
        <f aca="false">IF(AND(L491="Oui",K491="Principal"),I491*J491,0)</f>
        <v>3010</v>
      </c>
      <c r="N491" s="25" t="s">
        <v>548</v>
      </c>
      <c r="O491" s="25"/>
      <c r="P491" s="25" t="s">
        <v>550</v>
      </c>
      <c r="Q491" s="25" t="s">
        <v>557</v>
      </c>
      <c r="R491" s="26" t="n">
        <v>2010</v>
      </c>
      <c r="S491" s="26" t="n">
        <f aca="false">IF(AND(L491="Oui",K491="Principal",R491&lt;&gt;""),I491*R491,0)</f>
        <v>2010</v>
      </c>
      <c r="T491" s="26" t="n">
        <f aca="false">IF(R491&lt;&gt;"",M491-S491,0)</f>
        <v>1000</v>
      </c>
      <c r="U491" s="26" t="n">
        <f aca="false">IF(R491="",M491,0)</f>
        <v>0</v>
      </c>
    </row>
    <row r="492" customFormat="false" ht="15" hidden="false" customHeight="false" outlineLevel="0" collapsed="false">
      <c r="A492" s="25" t="s">
        <v>53</v>
      </c>
      <c r="B492" s="25" t="s">
        <v>57</v>
      </c>
      <c r="C492" s="25" t="s">
        <v>50</v>
      </c>
      <c r="D492" s="25" t="n">
        <v>27</v>
      </c>
      <c r="E492" s="25" t="s">
        <v>625</v>
      </c>
      <c r="F492" s="25" t="s">
        <v>253</v>
      </c>
      <c r="G492" s="25" t="n">
        <v>1493</v>
      </c>
      <c r="H492" s="25" t="s">
        <v>660</v>
      </c>
      <c r="I492" s="25" t="n">
        <v>1</v>
      </c>
      <c r="J492" s="26" t="n">
        <v>4000</v>
      </c>
      <c r="K492" s="25" t="s">
        <v>546</v>
      </c>
      <c r="L492" s="25" t="s">
        <v>547</v>
      </c>
      <c r="M492" s="26" t="n">
        <f aca="false">IF(AND(L492="Oui",K492="Principal"),I492*J492,0)</f>
        <v>4000</v>
      </c>
      <c r="N492" s="25" t="s">
        <v>548</v>
      </c>
      <c r="O492" s="25"/>
      <c r="P492" s="25" t="s">
        <v>550</v>
      </c>
      <c r="Q492" s="25" t="s">
        <v>557</v>
      </c>
      <c r="R492" s="26" t="n">
        <v>3000</v>
      </c>
      <c r="S492" s="26" t="n">
        <f aca="false">IF(AND(L492="Oui",K492="Principal",R492&lt;&gt;""),I492*R492,0)</f>
        <v>3000</v>
      </c>
      <c r="T492" s="26" t="n">
        <f aca="false">IF(R492&lt;&gt;"",M492-S492,0)</f>
        <v>1000</v>
      </c>
      <c r="U492" s="26" t="n">
        <f aca="false">IF(R492="",M492,0)</f>
        <v>0</v>
      </c>
    </row>
    <row r="493" customFormat="false" ht="15" hidden="false" customHeight="false" outlineLevel="0" collapsed="false">
      <c r="A493" s="25" t="s">
        <v>53</v>
      </c>
      <c r="B493" s="25" t="s">
        <v>57</v>
      </c>
      <c r="C493" s="25" t="s">
        <v>50</v>
      </c>
      <c r="D493" s="25" t="n">
        <v>28</v>
      </c>
      <c r="E493" s="25" t="s">
        <v>577</v>
      </c>
      <c r="F493" s="25" t="s">
        <v>120</v>
      </c>
      <c r="G493" s="25" t="n">
        <v>1199</v>
      </c>
      <c r="H493" s="25" t="s">
        <v>622</v>
      </c>
      <c r="I493" s="25" t="n">
        <v>1</v>
      </c>
      <c r="J493" s="26" t="n">
        <v>7500</v>
      </c>
      <c r="K493" s="25" t="s">
        <v>577</v>
      </c>
      <c r="L493" s="25" t="s">
        <v>579</v>
      </c>
      <c r="M493" s="26" t="n">
        <f aca="false">IF(AND(L493="Oui",K493="Principal"),I493*J493,0)</f>
        <v>0</v>
      </c>
      <c r="N493" s="25" t="s">
        <v>548</v>
      </c>
      <c r="O493" s="25"/>
      <c r="P493" s="25" t="s">
        <v>550</v>
      </c>
      <c r="Q493" s="25" t="s">
        <v>557</v>
      </c>
      <c r="R493" s="26" t="n">
        <v>6000</v>
      </c>
      <c r="S493" s="26" t="n">
        <f aca="false">IF(AND(L493="Oui",K493="Principal",R493&lt;&gt;""),I493*R493,0)</f>
        <v>0</v>
      </c>
      <c r="T493" s="26" t="n">
        <f aca="false">IF(R493&lt;&gt;"",M493-S493,0)</f>
        <v>0</v>
      </c>
      <c r="U493" s="26" t="n">
        <f aca="false">IF(R493="",M493,0)</f>
        <v>0</v>
      </c>
    </row>
    <row r="494" customFormat="false" ht="15" hidden="false" customHeight="false" outlineLevel="0" collapsed="false">
      <c r="A494" s="25" t="s">
        <v>53</v>
      </c>
      <c r="B494" s="25" t="s">
        <v>58</v>
      </c>
      <c r="C494" s="25" t="s">
        <v>48</v>
      </c>
      <c r="D494" s="25" t="n">
        <v>1</v>
      </c>
      <c r="E494" s="25" t="s">
        <v>544</v>
      </c>
      <c r="F494" s="25" t="s">
        <v>151</v>
      </c>
      <c r="G494" s="25" t="n">
        <v>1618</v>
      </c>
      <c r="H494" s="25" t="s">
        <v>600</v>
      </c>
      <c r="I494" s="25" t="n">
        <v>5</v>
      </c>
      <c r="J494" s="26" t="n">
        <v>450</v>
      </c>
      <c r="K494" s="25" t="s">
        <v>546</v>
      </c>
      <c r="L494" s="25" t="s">
        <v>547</v>
      </c>
      <c r="M494" s="26" t="n">
        <f aca="false">IF(AND(L494="Oui",K494="Principal"),I494*J494,0)</f>
        <v>2250</v>
      </c>
      <c r="N494" s="25" t="s">
        <v>548</v>
      </c>
      <c r="O494" s="25"/>
      <c r="P494" s="25" t="s">
        <v>556</v>
      </c>
      <c r="Q494" s="25" t="s">
        <v>557</v>
      </c>
      <c r="R494" s="26" t="n">
        <v>350</v>
      </c>
      <c r="S494" s="26" t="n">
        <f aca="false">IF(AND(L494="Oui",K494="Principal",R494&lt;&gt;""),I494*R494,0)</f>
        <v>1750</v>
      </c>
      <c r="T494" s="26" t="n">
        <f aca="false">IF(R494&lt;&gt;"",M494-S494,0)</f>
        <v>500</v>
      </c>
      <c r="U494" s="26" t="n">
        <f aca="false">IF(R494="",M494,0)</f>
        <v>0</v>
      </c>
    </row>
    <row r="495" customFormat="false" ht="15" hidden="false" customHeight="false" outlineLevel="0" collapsed="false">
      <c r="A495" s="25" t="s">
        <v>53</v>
      </c>
      <c r="B495" s="25" t="s">
        <v>58</v>
      </c>
      <c r="C495" s="25" t="s">
        <v>48</v>
      </c>
      <c r="D495" s="25" t="n">
        <v>2</v>
      </c>
      <c r="E495" s="25" t="s">
        <v>544</v>
      </c>
      <c r="F495" s="25" t="s">
        <v>158</v>
      </c>
      <c r="G495" s="25" t="n">
        <v>1575</v>
      </c>
      <c r="H495" s="25" t="s">
        <v>605</v>
      </c>
      <c r="I495" s="25" t="n">
        <v>4</v>
      </c>
      <c r="J495" s="26" t="n">
        <v>275</v>
      </c>
      <c r="K495" s="25" t="s">
        <v>546</v>
      </c>
      <c r="L495" s="25" t="s">
        <v>547</v>
      </c>
      <c r="M495" s="26" t="n">
        <f aca="false">IF(AND(L495="Oui",K495="Principal"),I495*J495,0)</f>
        <v>1100</v>
      </c>
      <c r="N495" s="25" t="s">
        <v>548</v>
      </c>
      <c r="O495" s="25"/>
      <c r="P495" s="25" t="s">
        <v>556</v>
      </c>
      <c r="Q495" s="25" t="s">
        <v>557</v>
      </c>
      <c r="R495" s="26" t="n">
        <v>175</v>
      </c>
      <c r="S495" s="26" t="n">
        <f aca="false">IF(AND(L495="Oui",K495="Principal",R495&lt;&gt;""),I495*R495,0)</f>
        <v>700</v>
      </c>
      <c r="T495" s="26" t="n">
        <f aca="false">IF(R495&lt;&gt;"",M495-S495,0)</f>
        <v>400</v>
      </c>
      <c r="U495" s="26" t="n">
        <f aca="false">IF(R495="",M495,0)</f>
        <v>0</v>
      </c>
    </row>
    <row r="496" customFormat="false" ht="15" hidden="false" customHeight="false" outlineLevel="0" collapsed="false">
      <c r="A496" s="25" t="s">
        <v>53</v>
      </c>
      <c r="B496" s="25" t="s">
        <v>58</v>
      </c>
      <c r="C496" s="25" t="s">
        <v>48</v>
      </c>
      <c r="D496" s="25" t="n">
        <v>3</v>
      </c>
      <c r="E496" s="25" t="s">
        <v>554</v>
      </c>
      <c r="F496" s="25" t="s">
        <v>88</v>
      </c>
      <c r="G496" s="25" t="n">
        <v>1572</v>
      </c>
      <c r="H496" s="25" t="s">
        <v>555</v>
      </c>
      <c r="I496" s="25" t="n">
        <v>1</v>
      </c>
      <c r="J496" s="26" t="n">
        <v>250</v>
      </c>
      <c r="K496" s="25" t="s">
        <v>546</v>
      </c>
      <c r="L496" s="25" t="s">
        <v>547</v>
      </c>
      <c r="M496" s="26" t="n">
        <f aca="false">IF(AND(L496="Oui",K496="Principal"),I496*J496,0)</f>
        <v>250</v>
      </c>
      <c r="N496" s="25" t="s">
        <v>548</v>
      </c>
      <c r="O496" s="25"/>
      <c r="P496" s="25" t="s">
        <v>556</v>
      </c>
      <c r="Q496" s="25" t="s">
        <v>557</v>
      </c>
      <c r="R496" s="26" t="n">
        <v>150</v>
      </c>
      <c r="S496" s="26" t="n">
        <f aca="false">IF(AND(L496="Oui",K496="Principal",R496&lt;&gt;""),I496*R496,0)</f>
        <v>150</v>
      </c>
      <c r="T496" s="26" t="n">
        <f aca="false">IF(R496&lt;&gt;"",M496-S496,0)</f>
        <v>100</v>
      </c>
      <c r="U496" s="26" t="n">
        <f aca="false">IF(R496="",M496,0)</f>
        <v>0</v>
      </c>
    </row>
    <row r="497" customFormat="false" ht="15" hidden="false" customHeight="false" outlineLevel="0" collapsed="false">
      <c r="A497" s="25" t="s">
        <v>53</v>
      </c>
      <c r="B497" s="25" t="s">
        <v>58</v>
      </c>
      <c r="C497" s="25" t="s">
        <v>48</v>
      </c>
      <c r="D497" s="25" t="n">
        <v>4</v>
      </c>
      <c r="E497" s="25" t="s">
        <v>160</v>
      </c>
      <c r="F497" s="25" t="s">
        <v>160</v>
      </c>
      <c r="G497" s="25" t="n">
        <v>1277</v>
      </c>
      <c r="H497" s="25" t="s">
        <v>606</v>
      </c>
      <c r="I497" s="25" t="n">
        <v>10</v>
      </c>
      <c r="J497" s="26" t="n">
        <v>150</v>
      </c>
      <c r="K497" s="25" t="s">
        <v>546</v>
      </c>
      <c r="L497" s="25" t="s">
        <v>547</v>
      </c>
      <c r="M497" s="26" t="n">
        <f aca="false">IF(AND(L497="Oui",K497="Principal"),I497*J497,0)</f>
        <v>1500</v>
      </c>
      <c r="N497" s="25" t="s">
        <v>548</v>
      </c>
      <c r="O497" s="25"/>
      <c r="P497" s="25" t="s">
        <v>550</v>
      </c>
      <c r="Q497" s="25" t="s">
        <v>557</v>
      </c>
      <c r="R497" s="26"/>
      <c r="S497" s="26" t="n">
        <f aca="false">IF(AND(L497="Oui",K497="Principal",R497&lt;&gt;""),I497*R497,0)</f>
        <v>0</v>
      </c>
      <c r="T497" s="26" t="n">
        <f aca="false">IF(R497&lt;&gt;"",M497-S497,0)</f>
        <v>0</v>
      </c>
      <c r="U497" s="26" t="n">
        <f aca="false">IF(R497="",M497,0)</f>
        <v>1500</v>
      </c>
    </row>
    <row r="498" customFormat="false" ht="15" hidden="false" customHeight="false" outlineLevel="0" collapsed="false">
      <c r="A498" s="25" t="s">
        <v>53</v>
      </c>
      <c r="B498" s="25" t="s">
        <v>58</v>
      </c>
      <c r="C498" s="25" t="s">
        <v>48</v>
      </c>
      <c r="D498" s="25" t="n">
        <v>5</v>
      </c>
      <c r="E498" s="25" t="s">
        <v>563</v>
      </c>
      <c r="F498" s="25" t="s">
        <v>97</v>
      </c>
      <c r="G498" s="25" t="n">
        <v>1571</v>
      </c>
      <c r="H498" s="25" t="s">
        <v>564</v>
      </c>
      <c r="I498" s="25" t="n">
        <v>2</v>
      </c>
      <c r="J498" s="26" t="n">
        <v>75</v>
      </c>
      <c r="K498" s="25" t="s">
        <v>546</v>
      </c>
      <c r="L498" s="25" t="s">
        <v>547</v>
      </c>
      <c r="M498" s="26" t="n">
        <f aca="false">IF(AND(L498="Oui",K498="Principal"),I498*J498,0)</f>
        <v>150</v>
      </c>
      <c r="N498" s="25" t="s">
        <v>548</v>
      </c>
      <c r="O498" s="25"/>
      <c r="P498" s="25" t="s">
        <v>550</v>
      </c>
      <c r="Q498" s="25" t="s">
        <v>557</v>
      </c>
      <c r="R498" s="26"/>
      <c r="S498" s="26" t="n">
        <f aca="false">IF(AND(L498="Oui",K498="Principal",R498&lt;&gt;""),I498*R498,0)</f>
        <v>0</v>
      </c>
      <c r="T498" s="26" t="n">
        <f aca="false">IF(R498&lt;&gt;"",M498-S498,0)</f>
        <v>0</v>
      </c>
      <c r="U498" s="26" t="n">
        <f aca="false">IF(R498="",M498,0)</f>
        <v>150</v>
      </c>
    </row>
    <row r="499" customFormat="false" ht="15" hidden="false" customHeight="false" outlineLevel="0" collapsed="false">
      <c r="A499" s="25" t="s">
        <v>53</v>
      </c>
      <c r="B499" s="25" t="s">
        <v>58</v>
      </c>
      <c r="C499" s="25" t="s">
        <v>48</v>
      </c>
      <c r="D499" s="25" t="n">
        <v>6</v>
      </c>
      <c r="E499" s="25" t="s">
        <v>563</v>
      </c>
      <c r="F499" s="25" t="s">
        <v>255</v>
      </c>
      <c r="G499" s="25" t="n">
        <v>1636</v>
      </c>
      <c r="H499" s="25" t="s">
        <v>661</v>
      </c>
      <c r="I499" s="25" t="n">
        <v>1</v>
      </c>
      <c r="J499" s="26" t="n">
        <v>400</v>
      </c>
      <c r="K499" s="25" t="s">
        <v>546</v>
      </c>
      <c r="L499" s="25" t="s">
        <v>547</v>
      </c>
      <c r="M499" s="26" t="n">
        <f aca="false">IF(AND(L499="Oui",K499="Principal"),I499*J499,0)</f>
        <v>400</v>
      </c>
      <c r="N499" s="25" t="s">
        <v>548</v>
      </c>
      <c r="O499" s="25"/>
      <c r="P499" s="25" t="s">
        <v>556</v>
      </c>
      <c r="Q499" s="25" t="s">
        <v>557</v>
      </c>
      <c r="R499" s="26" t="n">
        <v>320</v>
      </c>
      <c r="S499" s="26" t="n">
        <f aca="false">IF(AND(L499="Oui",K499="Principal",R499&lt;&gt;""),I499*R499,0)</f>
        <v>320</v>
      </c>
      <c r="T499" s="26" t="n">
        <f aca="false">IF(R499&lt;&gt;"",M499-S499,0)</f>
        <v>80</v>
      </c>
      <c r="U499" s="26" t="n">
        <f aca="false">IF(R499="",M499,0)</f>
        <v>0</v>
      </c>
    </row>
    <row r="500" customFormat="false" ht="15" hidden="false" customHeight="false" outlineLevel="0" collapsed="false">
      <c r="A500" s="25" t="s">
        <v>53</v>
      </c>
      <c r="B500" s="25" t="s">
        <v>58</v>
      </c>
      <c r="C500" s="25" t="s">
        <v>48</v>
      </c>
      <c r="D500" s="25" t="n">
        <v>7</v>
      </c>
      <c r="E500" s="25" t="s">
        <v>563</v>
      </c>
      <c r="F500" s="25" t="s">
        <v>257</v>
      </c>
      <c r="G500" s="25" t="n">
        <v>1635</v>
      </c>
      <c r="H500" s="25" t="s">
        <v>607</v>
      </c>
      <c r="I500" s="25" t="n">
        <v>1</v>
      </c>
      <c r="J500" s="26" t="n">
        <v>100</v>
      </c>
      <c r="K500" s="25" t="s">
        <v>546</v>
      </c>
      <c r="L500" s="25" t="s">
        <v>547</v>
      </c>
      <c r="M500" s="26" t="n">
        <f aca="false">IF(AND(L500="Oui",K500="Principal"),I500*J500,0)</f>
        <v>100</v>
      </c>
      <c r="N500" s="25" t="s">
        <v>548</v>
      </c>
      <c r="O500" s="25"/>
      <c r="P500" s="25" t="s">
        <v>556</v>
      </c>
      <c r="Q500" s="25" t="s">
        <v>557</v>
      </c>
      <c r="R500" s="26" t="n">
        <v>80</v>
      </c>
      <c r="S500" s="26" t="n">
        <f aca="false">IF(AND(L500="Oui",K500="Principal",R500&lt;&gt;""),I500*R500,0)</f>
        <v>80</v>
      </c>
      <c r="T500" s="26" t="n">
        <f aca="false">IF(R500&lt;&gt;"",M500-S500,0)</f>
        <v>20</v>
      </c>
      <c r="U500" s="26" t="n">
        <f aca="false">IF(R500="",M500,0)</f>
        <v>0</v>
      </c>
    </row>
    <row r="501" customFormat="false" ht="15" hidden="false" customHeight="false" outlineLevel="0" collapsed="false">
      <c r="A501" s="25" t="s">
        <v>53</v>
      </c>
      <c r="B501" s="25" t="s">
        <v>58</v>
      </c>
      <c r="C501" s="25" t="s">
        <v>48</v>
      </c>
      <c r="D501" s="25" t="n">
        <v>8</v>
      </c>
      <c r="E501" s="25" t="s">
        <v>565</v>
      </c>
      <c r="F501" s="25" t="s">
        <v>99</v>
      </c>
      <c r="G501" s="25" t="n">
        <v>9</v>
      </c>
      <c r="H501" s="25" t="s">
        <v>566</v>
      </c>
      <c r="I501" s="25" t="n">
        <v>2</v>
      </c>
      <c r="J501" s="26" t="n">
        <v>150</v>
      </c>
      <c r="K501" s="25" t="s">
        <v>546</v>
      </c>
      <c r="L501" s="25" t="s">
        <v>547</v>
      </c>
      <c r="M501" s="26" t="n">
        <f aca="false">IF(AND(L501="Oui",K501="Principal"),I501*J501,0)</f>
        <v>300</v>
      </c>
      <c r="N501" s="25" t="s">
        <v>548</v>
      </c>
      <c r="O501" s="25"/>
      <c r="P501" s="25" t="s">
        <v>559</v>
      </c>
      <c r="Q501" s="25" t="s">
        <v>551</v>
      </c>
      <c r="R501" s="26"/>
      <c r="S501" s="26" t="n">
        <f aca="false">IF(AND(L501="Oui",K501="Principal",R501&lt;&gt;""),I501*R501,0)</f>
        <v>0</v>
      </c>
      <c r="T501" s="26" t="n">
        <f aca="false">IF(R501&lt;&gt;"",M501-S501,0)</f>
        <v>0</v>
      </c>
      <c r="U501" s="26" t="n">
        <f aca="false">IF(R501="",M501,0)</f>
        <v>300</v>
      </c>
    </row>
    <row r="502" customFormat="false" ht="15" hidden="false" customHeight="false" outlineLevel="0" collapsed="false">
      <c r="A502" s="25" t="s">
        <v>53</v>
      </c>
      <c r="B502" s="25" t="s">
        <v>58</v>
      </c>
      <c r="C502" s="25" t="s">
        <v>48</v>
      </c>
      <c r="D502" s="25" t="n">
        <v>9</v>
      </c>
      <c r="E502" s="25" t="s">
        <v>565</v>
      </c>
      <c r="F502" s="25" t="s">
        <v>102</v>
      </c>
      <c r="G502" s="25" t="n">
        <v>1587</v>
      </c>
      <c r="H502" s="25" t="s">
        <v>567</v>
      </c>
      <c r="I502" s="25" t="n">
        <v>1</v>
      </c>
      <c r="J502" s="26" t="n">
        <v>500</v>
      </c>
      <c r="K502" s="25" t="s">
        <v>546</v>
      </c>
      <c r="L502" s="25" t="s">
        <v>547</v>
      </c>
      <c r="M502" s="26" t="n">
        <f aca="false">IF(AND(L502="Oui",K502="Principal"),I502*J502,0)</f>
        <v>500</v>
      </c>
      <c r="N502" s="25" t="s">
        <v>548</v>
      </c>
      <c r="O502" s="25"/>
      <c r="P502" s="25" t="s">
        <v>556</v>
      </c>
      <c r="Q502" s="25" t="s">
        <v>557</v>
      </c>
      <c r="R502" s="26" t="n">
        <v>350</v>
      </c>
      <c r="S502" s="26" t="n">
        <f aca="false">IF(AND(L502="Oui",K502="Principal",R502&lt;&gt;""),I502*R502,0)</f>
        <v>350</v>
      </c>
      <c r="T502" s="26" t="n">
        <f aca="false">IF(R502&lt;&gt;"",M502-S502,0)</f>
        <v>150</v>
      </c>
      <c r="U502" s="26" t="n">
        <f aca="false">IF(R502="",M502,0)</f>
        <v>0</v>
      </c>
    </row>
    <row r="503" customFormat="false" ht="15" hidden="false" customHeight="false" outlineLevel="0" collapsed="false">
      <c r="A503" s="33" t="s">
        <v>53</v>
      </c>
      <c r="B503" s="33" t="s">
        <v>58</v>
      </c>
      <c r="C503" s="33" t="s">
        <v>48</v>
      </c>
      <c r="D503" s="33" t="n">
        <v>10</v>
      </c>
      <c r="E503" s="33" t="s">
        <v>609</v>
      </c>
      <c r="F503" s="33" t="s">
        <v>199</v>
      </c>
      <c r="G503" s="33" t="n">
        <v>1229</v>
      </c>
      <c r="H503" s="33" t="s">
        <v>643</v>
      </c>
      <c r="I503" s="33" t="n">
        <v>1</v>
      </c>
      <c r="J503" s="34" t="n">
        <v>1800</v>
      </c>
      <c r="K503" s="33" t="s">
        <v>546</v>
      </c>
      <c r="L503" s="33" t="s">
        <v>547</v>
      </c>
      <c r="M503" s="34" t="n">
        <f aca="false">IF(AND(L503="Oui",K503="Principal"),I503*J503,0)</f>
        <v>1800</v>
      </c>
      <c r="N503" s="33" t="s">
        <v>182</v>
      </c>
      <c r="O503" s="33" t="s">
        <v>644</v>
      </c>
      <c r="P503" s="33" t="s">
        <v>550</v>
      </c>
      <c r="Q503" s="33" t="s">
        <v>557</v>
      </c>
      <c r="R503" s="34" t="n">
        <v>1500</v>
      </c>
      <c r="S503" s="34" t="n">
        <f aca="false">IF(AND(L503="Oui",K503="Principal",R503&lt;&gt;""),I503*R503,0)</f>
        <v>1500</v>
      </c>
      <c r="T503" s="34" t="n">
        <f aca="false">IF(R503&lt;&gt;"",M503-S503,0)</f>
        <v>300</v>
      </c>
      <c r="U503" s="34" t="n">
        <f aca="false">IF(R503="",M503,0)</f>
        <v>0</v>
      </c>
    </row>
    <row r="504" customFormat="false" ht="15" hidden="false" customHeight="false" outlineLevel="0" collapsed="false">
      <c r="A504" s="25" t="s">
        <v>53</v>
      </c>
      <c r="B504" s="25" t="s">
        <v>58</v>
      </c>
      <c r="C504" s="25" t="s">
        <v>48</v>
      </c>
      <c r="D504" s="25" t="n">
        <v>11</v>
      </c>
      <c r="E504" s="25" t="s">
        <v>554</v>
      </c>
      <c r="F504" s="25" t="s">
        <v>104</v>
      </c>
      <c r="G504" s="25" t="n">
        <v>1589</v>
      </c>
      <c r="H504" s="25" t="s">
        <v>568</v>
      </c>
      <c r="I504" s="25" t="n">
        <v>1</v>
      </c>
      <c r="J504" s="26" t="n">
        <v>900</v>
      </c>
      <c r="K504" s="25" t="s">
        <v>546</v>
      </c>
      <c r="L504" s="25" t="s">
        <v>547</v>
      </c>
      <c r="M504" s="26" t="n">
        <f aca="false">IF(AND(L504="Oui",K504="Principal"),I504*J504,0)</f>
        <v>900</v>
      </c>
      <c r="N504" s="25" t="s">
        <v>548</v>
      </c>
      <c r="O504" s="25"/>
      <c r="P504" s="25" t="s">
        <v>556</v>
      </c>
      <c r="Q504" s="25" t="s">
        <v>557</v>
      </c>
      <c r="R504" s="26" t="n">
        <v>650</v>
      </c>
      <c r="S504" s="26" t="n">
        <f aca="false">IF(AND(L504="Oui",K504="Principal",R504&lt;&gt;""),I504*R504,0)</f>
        <v>650</v>
      </c>
      <c r="T504" s="26" t="n">
        <f aca="false">IF(R504&lt;&gt;"",M504-S504,0)</f>
        <v>250</v>
      </c>
      <c r="U504" s="26" t="n">
        <f aca="false">IF(R504="",M504,0)</f>
        <v>0</v>
      </c>
    </row>
    <row r="505" customFormat="false" ht="15" hidden="false" customHeight="false" outlineLevel="0" collapsed="false">
      <c r="A505" s="25" t="s">
        <v>53</v>
      </c>
      <c r="B505" s="25" t="s">
        <v>58</v>
      </c>
      <c r="C505" s="25" t="s">
        <v>48</v>
      </c>
      <c r="D505" s="25" t="n">
        <v>12</v>
      </c>
      <c r="E505" s="25" t="s">
        <v>565</v>
      </c>
      <c r="F505" s="25" t="s">
        <v>166</v>
      </c>
      <c r="G505" s="25" t="n">
        <v>1173</v>
      </c>
      <c r="H505" s="25" t="s">
        <v>569</v>
      </c>
      <c r="I505" s="25" t="n">
        <v>2</v>
      </c>
      <c r="J505" s="26" t="n">
        <v>570</v>
      </c>
      <c r="K505" s="25" t="s">
        <v>546</v>
      </c>
      <c r="L505" s="25" t="s">
        <v>547</v>
      </c>
      <c r="M505" s="26" t="n">
        <f aca="false">IF(AND(L505="Oui",K505="Principal"),I505*J505,0)</f>
        <v>1140</v>
      </c>
      <c r="N505" s="25" t="s">
        <v>548</v>
      </c>
      <c r="O505" s="25"/>
      <c r="P505" s="25" t="s">
        <v>550</v>
      </c>
      <c r="Q505" s="25" t="s">
        <v>557</v>
      </c>
      <c r="R505" s="26" t="n">
        <v>420</v>
      </c>
      <c r="S505" s="26" t="n">
        <f aca="false">IF(AND(L505="Oui",K505="Principal",R505&lt;&gt;""),I505*R505,0)</f>
        <v>840</v>
      </c>
      <c r="T505" s="26" t="n">
        <f aca="false">IF(R505&lt;&gt;"",M505-S505,0)</f>
        <v>300</v>
      </c>
      <c r="U505" s="26" t="n">
        <f aca="false">IF(R505="",M505,0)</f>
        <v>0</v>
      </c>
    </row>
    <row r="506" customFormat="false" ht="15" hidden="false" customHeight="false" outlineLevel="0" collapsed="false">
      <c r="A506" s="25" t="s">
        <v>53</v>
      </c>
      <c r="B506" s="25" t="s">
        <v>58</v>
      </c>
      <c r="C506" s="25" t="s">
        <v>48</v>
      </c>
      <c r="D506" s="25" t="n">
        <v>13</v>
      </c>
      <c r="E506" s="25" t="s">
        <v>565</v>
      </c>
      <c r="F506" s="25" t="s">
        <v>110</v>
      </c>
      <c r="G506" s="25" t="n">
        <v>1250</v>
      </c>
      <c r="H506" s="25" t="s">
        <v>570</v>
      </c>
      <c r="I506" s="25" t="n">
        <v>1</v>
      </c>
      <c r="J506" s="26" t="n">
        <v>250</v>
      </c>
      <c r="K506" s="25" t="s">
        <v>546</v>
      </c>
      <c r="L506" s="25" t="s">
        <v>547</v>
      </c>
      <c r="M506" s="26" t="n">
        <f aca="false">IF(AND(L506="Oui",K506="Principal"),I506*J506,0)</f>
        <v>250</v>
      </c>
      <c r="N506" s="25" t="s">
        <v>548</v>
      </c>
      <c r="O506" s="25"/>
      <c r="P506" s="25" t="s">
        <v>550</v>
      </c>
      <c r="Q506" s="25" t="s">
        <v>557</v>
      </c>
      <c r="R506" s="26" t="n">
        <v>100</v>
      </c>
      <c r="S506" s="26" t="n">
        <f aca="false">IF(AND(L506="Oui",K506="Principal",R506&lt;&gt;""),I506*R506,0)</f>
        <v>100</v>
      </c>
      <c r="T506" s="26" t="n">
        <f aca="false">IF(R506&lt;&gt;"",M506-S506,0)</f>
        <v>150</v>
      </c>
      <c r="U506" s="26" t="n">
        <f aca="false">IF(R506="",M506,0)</f>
        <v>0</v>
      </c>
    </row>
    <row r="507" customFormat="false" ht="15" hidden="false" customHeight="false" outlineLevel="0" collapsed="false">
      <c r="A507" s="25" t="s">
        <v>53</v>
      </c>
      <c r="B507" s="25" t="s">
        <v>58</v>
      </c>
      <c r="C507" s="25" t="s">
        <v>48</v>
      </c>
      <c r="D507" s="25" t="n">
        <v>14</v>
      </c>
      <c r="E507" s="25" t="s">
        <v>167</v>
      </c>
      <c r="F507" s="25" t="s">
        <v>167</v>
      </c>
      <c r="G507" s="25" t="n">
        <v>1255</v>
      </c>
      <c r="H507" s="25" t="s">
        <v>610</v>
      </c>
      <c r="I507" s="25" t="n">
        <v>1</v>
      </c>
      <c r="J507" s="26" t="n">
        <v>900</v>
      </c>
      <c r="K507" s="25" t="s">
        <v>546</v>
      </c>
      <c r="L507" s="25" t="s">
        <v>547</v>
      </c>
      <c r="M507" s="26" t="n">
        <f aca="false">IF(AND(L507="Oui",K507="Principal"),I507*J507,0)</f>
        <v>900</v>
      </c>
      <c r="N507" s="25" t="s">
        <v>548</v>
      </c>
      <c r="O507" s="25"/>
      <c r="P507" s="25" t="s">
        <v>550</v>
      </c>
      <c r="Q507" s="25" t="s">
        <v>557</v>
      </c>
      <c r="R507" s="26" t="n">
        <v>600</v>
      </c>
      <c r="S507" s="26" t="n">
        <f aca="false">IF(AND(L507="Oui",K507="Principal",R507&lt;&gt;""),I507*R507,0)</f>
        <v>600</v>
      </c>
      <c r="T507" s="26" t="n">
        <f aca="false">IF(R507&lt;&gt;"",M507-S507,0)</f>
        <v>300</v>
      </c>
      <c r="U507" s="26" t="n">
        <f aca="false">IF(R507="",M507,0)</f>
        <v>0</v>
      </c>
    </row>
    <row r="508" customFormat="false" ht="15" hidden="false" customHeight="false" outlineLevel="0" collapsed="false">
      <c r="A508" s="31" t="s">
        <v>53</v>
      </c>
      <c r="B508" s="31" t="s">
        <v>58</v>
      </c>
      <c r="C508" s="31" t="s">
        <v>48</v>
      </c>
      <c r="D508" s="31" t="n">
        <v>15</v>
      </c>
      <c r="E508" s="31" t="s">
        <v>167</v>
      </c>
      <c r="F508" s="31" t="s">
        <v>170</v>
      </c>
      <c r="G508" s="31" t="s">
        <v>611</v>
      </c>
      <c r="H508" s="31" t="s">
        <v>612</v>
      </c>
      <c r="I508" s="31" t="n">
        <v>20</v>
      </c>
      <c r="J508" s="32" t="n">
        <v>25</v>
      </c>
      <c r="K508" s="31" t="s">
        <v>546</v>
      </c>
      <c r="L508" s="31" t="s">
        <v>547</v>
      </c>
      <c r="M508" s="32" t="n">
        <f aca="false">IF(AND(L508="Oui",K508="Principal"),I508*J508,0)</f>
        <v>500</v>
      </c>
      <c r="N508" s="31" t="s">
        <v>172</v>
      </c>
      <c r="O508" s="31" t="s">
        <v>613</v>
      </c>
      <c r="P508" s="31" t="s">
        <v>550</v>
      </c>
      <c r="Q508" s="31" t="s">
        <v>557</v>
      </c>
      <c r="R508" s="32" t="n">
        <v>25</v>
      </c>
      <c r="S508" s="32" t="n">
        <f aca="false">IF(AND(L508="Oui",K508="Principal",R508&lt;&gt;""),I508*R508,0)</f>
        <v>500</v>
      </c>
      <c r="T508" s="32" t="n">
        <f aca="false">IF(R508&lt;&gt;"",M508-S508,0)</f>
        <v>0</v>
      </c>
      <c r="U508" s="32" t="n">
        <f aca="false">IF(R508="",M508,0)</f>
        <v>0</v>
      </c>
    </row>
    <row r="509" customFormat="false" ht="15" hidden="false" customHeight="false" outlineLevel="0" collapsed="false">
      <c r="A509" s="25" t="s">
        <v>53</v>
      </c>
      <c r="B509" s="25" t="s">
        <v>58</v>
      </c>
      <c r="C509" s="25" t="s">
        <v>48</v>
      </c>
      <c r="D509" s="25" t="n">
        <v>16</v>
      </c>
      <c r="E509" s="25" t="s">
        <v>167</v>
      </c>
      <c r="F509" s="25" t="s">
        <v>173</v>
      </c>
      <c r="G509" s="25" t="n">
        <v>1202</v>
      </c>
      <c r="H509" s="25" t="s">
        <v>599</v>
      </c>
      <c r="I509" s="25" t="n">
        <v>1</v>
      </c>
      <c r="J509" s="26" t="n">
        <v>250</v>
      </c>
      <c r="K509" s="25" t="s">
        <v>546</v>
      </c>
      <c r="L509" s="25" t="s">
        <v>547</v>
      </c>
      <c r="M509" s="26" t="n">
        <f aca="false">IF(AND(L509="Oui",K509="Principal"),I509*J509,0)</f>
        <v>250</v>
      </c>
      <c r="N509" s="25" t="s">
        <v>548</v>
      </c>
      <c r="O509" s="25"/>
      <c r="P509" s="25" t="s">
        <v>550</v>
      </c>
      <c r="Q509" s="25" t="s">
        <v>557</v>
      </c>
      <c r="R509" s="26" t="n">
        <v>100</v>
      </c>
      <c r="S509" s="26" t="n">
        <f aca="false">IF(AND(L509="Oui",K509="Principal",R509&lt;&gt;""),I509*R509,0)</f>
        <v>100</v>
      </c>
      <c r="T509" s="26" t="n">
        <f aca="false">IF(R509&lt;&gt;"",M509-S509,0)</f>
        <v>150</v>
      </c>
      <c r="U509" s="26" t="n">
        <f aca="false">IF(R509="",M509,0)</f>
        <v>0</v>
      </c>
    </row>
    <row r="510" customFormat="false" ht="15" hidden="false" customHeight="false" outlineLevel="0" collapsed="false">
      <c r="A510" s="25" t="s">
        <v>53</v>
      </c>
      <c r="B510" s="25" t="s">
        <v>58</v>
      </c>
      <c r="C510" s="25" t="s">
        <v>48</v>
      </c>
      <c r="D510" s="25" t="n">
        <v>17</v>
      </c>
      <c r="E510" s="25" t="s">
        <v>573</v>
      </c>
      <c r="F510" s="25" t="s">
        <v>176</v>
      </c>
      <c r="G510" s="25" t="n">
        <v>19</v>
      </c>
      <c r="H510" s="25" t="s">
        <v>615</v>
      </c>
      <c r="I510" s="25" t="n">
        <v>1</v>
      </c>
      <c r="J510" s="26" t="n">
        <v>2500</v>
      </c>
      <c r="K510" s="25" t="s">
        <v>546</v>
      </c>
      <c r="L510" s="25" t="s">
        <v>547</v>
      </c>
      <c r="M510" s="26" t="n">
        <f aca="false">IF(AND(L510="Oui",K510="Principal"),I510*J510,0)</f>
        <v>2500</v>
      </c>
      <c r="N510" s="25" t="s">
        <v>548</v>
      </c>
      <c r="O510" s="25"/>
      <c r="P510" s="25" t="s">
        <v>559</v>
      </c>
      <c r="Q510" s="25" t="s">
        <v>551</v>
      </c>
      <c r="R510" s="26"/>
      <c r="S510" s="26" t="n">
        <f aca="false">IF(AND(L510="Oui",K510="Principal",R510&lt;&gt;""),I510*R510,0)</f>
        <v>0</v>
      </c>
      <c r="T510" s="26" t="n">
        <f aca="false">IF(R510&lt;&gt;"",M510-S510,0)</f>
        <v>0</v>
      </c>
      <c r="U510" s="26" t="n">
        <f aca="false">IF(R510="",M510,0)</f>
        <v>2500</v>
      </c>
    </row>
    <row r="511" customFormat="false" ht="15" hidden="false" customHeight="false" outlineLevel="0" collapsed="false">
      <c r="A511" s="25" t="s">
        <v>53</v>
      </c>
      <c r="B511" s="25" t="s">
        <v>58</v>
      </c>
      <c r="C511" s="25" t="s">
        <v>48</v>
      </c>
      <c r="D511" s="25" t="n">
        <v>18</v>
      </c>
      <c r="E511" s="25" t="s">
        <v>573</v>
      </c>
      <c r="F511" s="25" t="s">
        <v>117</v>
      </c>
      <c r="G511" s="25" t="n">
        <v>1287</v>
      </c>
      <c r="H511" s="25" t="s">
        <v>575</v>
      </c>
      <c r="I511" s="25" t="n">
        <v>1</v>
      </c>
      <c r="J511" s="26" t="n">
        <v>2500</v>
      </c>
      <c r="K511" s="25" t="s">
        <v>546</v>
      </c>
      <c r="L511" s="25" t="s">
        <v>547</v>
      </c>
      <c r="M511" s="26" t="n">
        <f aca="false">IF(AND(L511="Oui",K511="Principal"),I511*J511,0)</f>
        <v>2500</v>
      </c>
      <c r="N511" s="25" t="s">
        <v>548</v>
      </c>
      <c r="O511" s="25" t="s">
        <v>576</v>
      </c>
      <c r="P511" s="25" t="s">
        <v>550</v>
      </c>
      <c r="Q511" s="25" t="s">
        <v>557</v>
      </c>
      <c r="R511" s="26" t="n">
        <v>1800</v>
      </c>
      <c r="S511" s="26" t="n">
        <f aca="false">IF(AND(L511="Oui",K511="Principal",R511&lt;&gt;""),I511*R511,0)</f>
        <v>1800</v>
      </c>
      <c r="T511" s="26" t="n">
        <f aca="false">IF(R511&lt;&gt;"",M511-S511,0)</f>
        <v>700</v>
      </c>
      <c r="U511" s="26" t="n">
        <f aca="false">IF(R511="",M511,0)</f>
        <v>0</v>
      </c>
    </row>
    <row r="512" customFormat="false" ht="15" hidden="false" customHeight="false" outlineLevel="0" collapsed="false">
      <c r="A512" s="25" t="s">
        <v>53</v>
      </c>
      <c r="B512" s="25" t="s">
        <v>58</v>
      </c>
      <c r="C512" s="25" t="s">
        <v>48</v>
      </c>
      <c r="D512" s="25" t="n">
        <v>19</v>
      </c>
      <c r="E512" s="25" t="s">
        <v>616</v>
      </c>
      <c r="F512" s="25" t="s">
        <v>258</v>
      </c>
      <c r="G512" s="25" t="n">
        <v>1514</v>
      </c>
      <c r="H512" s="25" t="s">
        <v>662</v>
      </c>
      <c r="I512" s="25" t="n">
        <v>1</v>
      </c>
      <c r="J512" s="26" t="n">
        <v>3900</v>
      </c>
      <c r="K512" s="25" t="s">
        <v>618</v>
      </c>
      <c r="L512" s="25" t="s">
        <v>579</v>
      </c>
      <c r="M512" s="26" t="n">
        <f aca="false">IF(AND(L512="Oui",K512="Principal"),I512*J512,0)</f>
        <v>0</v>
      </c>
      <c r="N512" s="25" t="s">
        <v>548</v>
      </c>
      <c r="O512" s="25"/>
      <c r="P512" s="25" t="s">
        <v>550</v>
      </c>
      <c r="Q512" s="25" t="s">
        <v>557</v>
      </c>
      <c r="R512" s="26" t="n">
        <v>2900</v>
      </c>
      <c r="S512" s="26" t="n">
        <f aca="false">IF(AND(L512="Oui",K512="Principal",R512&lt;&gt;""),I512*R512,0)</f>
        <v>0</v>
      </c>
      <c r="T512" s="26" t="n">
        <f aca="false">IF(R512&lt;&gt;"",M512-S512,0)</f>
        <v>0</v>
      </c>
      <c r="U512" s="26" t="n">
        <f aca="false">IF(R512="",M512,0)</f>
        <v>0</v>
      </c>
    </row>
    <row r="513" customFormat="false" ht="15" hidden="false" customHeight="false" outlineLevel="0" collapsed="false">
      <c r="A513" s="25" t="s">
        <v>53</v>
      </c>
      <c r="B513" s="25" t="s">
        <v>58</v>
      </c>
      <c r="C513" s="25" t="s">
        <v>48</v>
      </c>
      <c r="D513" s="25" t="n">
        <v>20</v>
      </c>
      <c r="E513" s="25" t="s">
        <v>616</v>
      </c>
      <c r="F513" s="25" t="s">
        <v>260</v>
      </c>
      <c r="G513" s="25" t="n">
        <v>1508</v>
      </c>
      <c r="H513" s="25" t="s">
        <v>663</v>
      </c>
      <c r="I513" s="25" t="n">
        <v>1</v>
      </c>
      <c r="J513" s="26" t="n">
        <v>5000</v>
      </c>
      <c r="K513" s="25" t="s">
        <v>618</v>
      </c>
      <c r="L513" s="25" t="s">
        <v>579</v>
      </c>
      <c r="M513" s="26" t="n">
        <f aca="false">IF(AND(L513="Oui",K513="Principal"),I513*J513,0)</f>
        <v>0</v>
      </c>
      <c r="N513" s="25" t="s">
        <v>548</v>
      </c>
      <c r="O513" s="25"/>
      <c r="P513" s="25" t="s">
        <v>550</v>
      </c>
      <c r="Q513" s="25" t="s">
        <v>557</v>
      </c>
      <c r="R513" s="26" t="n">
        <v>3000</v>
      </c>
      <c r="S513" s="26" t="n">
        <f aca="false">IF(AND(L513="Oui",K513="Principal",R513&lt;&gt;""),I513*R513,0)</f>
        <v>0</v>
      </c>
      <c r="T513" s="26" t="n">
        <f aca="false">IF(R513&lt;&gt;"",M513-S513,0)</f>
        <v>0</v>
      </c>
      <c r="U513" s="26" t="n">
        <f aca="false">IF(R513="",M513,0)</f>
        <v>0</v>
      </c>
    </row>
    <row r="514" customFormat="false" ht="15" hidden="false" customHeight="false" outlineLevel="0" collapsed="false">
      <c r="A514" s="25" t="s">
        <v>53</v>
      </c>
      <c r="B514" s="25" t="s">
        <v>58</v>
      </c>
      <c r="C514" s="25" t="s">
        <v>48</v>
      </c>
      <c r="D514" s="25" t="n">
        <v>21</v>
      </c>
      <c r="E514" s="25" t="s">
        <v>616</v>
      </c>
      <c r="F514" s="25" t="s">
        <v>262</v>
      </c>
      <c r="G514" s="25" t="n">
        <v>1521</v>
      </c>
      <c r="H514" s="25" t="s">
        <v>664</v>
      </c>
      <c r="I514" s="25" t="n">
        <v>1</v>
      </c>
      <c r="J514" s="26" t="n">
        <v>4000</v>
      </c>
      <c r="K514" s="25" t="s">
        <v>618</v>
      </c>
      <c r="L514" s="25" t="s">
        <v>579</v>
      </c>
      <c r="M514" s="26" t="n">
        <f aca="false">IF(AND(L514="Oui",K514="Principal"),I514*J514,0)</f>
        <v>0</v>
      </c>
      <c r="N514" s="25" t="s">
        <v>548</v>
      </c>
      <c r="O514" s="25"/>
      <c r="P514" s="25" t="s">
        <v>550</v>
      </c>
      <c r="Q514" s="25" t="s">
        <v>557</v>
      </c>
      <c r="R514" s="26" t="n">
        <v>3000</v>
      </c>
      <c r="S514" s="26" t="n">
        <f aca="false">IF(AND(L514="Oui",K514="Principal",R514&lt;&gt;""),I514*R514,0)</f>
        <v>0</v>
      </c>
      <c r="T514" s="26" t="n">
        <f aca="false">IF(R514&lt;&gt;"",M514-S514,0)</f>
        <v>0</v>
      </c>
      <c r="U514" s="26" t="n">
        <f aca="false">IF(R514="",M514,0)</f>
        <v>0</v>
      </c>
    </row>
    <row r="515" customFormat="false" ht="15" hidden="false" customHeight="false" outlineLevel="0" collapsed="false">
      <c r="A515" s="25" t="s">
        <v>53</v>
      </c>
      <c r="B515" s="25" t="s">
        <v>58</v>
      </c>
      <c r="C515" s="25" t="s">
        <v>48</v>
      </c>
      <c r="D515" s="25" t="n">
        <v>22</v>
      </c>
      <c r="E515" s="25" t="s">
        <v>616</v>
      </c>
      <c r="F515" s="25" t="s">
        <v>264</v>
      </c>
      <c r="G515" s="25" t="n">
        <v>1489</v>
      </c>
      <c r="H515" s="25" t="s">
        <v>665</v>
      </c>
      <c r="I515" s="25" t="n">
        <v>1</v>
      </c>
      <c r="J515" s="26" t="n">
        <v>4000</v>
      </c>
      <c r="K515" s="25" t="s">
        <v>618</v>
      </c>
      <c r="L515" s="25" t="s">
        <v>579</v>
      </c>
      <c r="M515" s="26" t="n">
        <f aca="false">IF(AND(L515="Oui",K515="Principal"),I515*J515,0)</f>
        <v>0</v>
      </c>
      <c r="N515" s="25" t="s">
        <v>548</v>
      </c>
      <c r="O515" s="25"/>
      <c r="P515" s="25" t="s">
        <v>550</v>
      </c>
      <c r="Q515" s="25" t="s">
        <v>557</v>
      </c>
      <c r="R515" s="26" t="n">
        <v>3000</v>
      </c>
      <c r="S515" s="26" t="n">
        <f aca="false">IF(AND(L515="Oui",K515="Principal",R515&lt;&gt;""),I515*R515,0)</f>
        <v>0</v>
      </c>
      <c r="T515" s="26" t="n">
        <f aca="false">IF(R515&lt;&gt;"",M515-S515,0)</f>
        <v>0</v>
      </c>
      <c r="U515" s="26" t="n">
        <f aca="false">IF(R515="",M515,0)</f>
        <v>0</v>
      </c>
    </row>
    <row r="516" customFormat="false" ht="15" hidden="false" customHeight="false" outlineLevel="0" collapsed="false">
      <c r="A516" s="25" t="s">
        <v>53</v>
      </c>
      <c r="B516" s="25" t="s">
        <v>58</v>
      </c>
      <c r="C516" s="25" t="s">
        <v>48</v>
      </c>
      <c r="D516" s="25" t="n">
        <v>23</v>
      </c>
      <c r="E516" s="25" t="s">
        <v>577</v>
      </c>
      <c r="F516" s="25" t="s">
        <v>120</v>
      </c>
      <c r="G516" s="25" t="n">
        <v>1199</v>
      </c>
      <c r="H516" s="25" t="s">
        <v>622</v>
      </c>
      <c r="I516" s="25" t="n">
        <v>1</v>
      </c>
      <c r="J516" s="26" t="n">
        <v>7500</v>
      </c>
      <c r="K516" s="25" t="s">
        <v>577</v>
      </c>
      <c r="L516" s="25" t="s">
        <v>579</v>
      </c>
      <c r="M516" s="26" t="n">
        <f aca="false">IF(AND(L516="Oui",K516="Principal"),I516*J516,0)</f>
        <v>0</v>
      </c>
      <c r="N516" s="25" t="s">
        <v>548</v>
      </c>
      <c r="O516" s="25"/>
      <c r="P516" s="25" t="s">
        <v>550</v>
      </c>
      <c r="Q516" s="25" t="s">
        <v>557</v>
      </c>
      <c r="R516" s="26" t="n">
        <v>6000</v>
      </c>
      <c r="S516" s="26" t="n">
        <f aca="false">IF(AND(L516="Oui",K516="Principal",R516&lt;&gt;""),I516*R516,0)</f>
        <v>0</v>
      </c>
      <c r="T516" s="26" t="n">
        <f aca="false">IF(R516&lt;&gt;"",M516-S516,0)</f>
        <v>0</v>
      </c>
      <c r="U516" s="26" t="n">
        <f aca="false">IF(R516="",M516,0)</f>
        <v>0</v>
      </c>
    </row>
    <row r="517" customFormat="false" ht="15" hidden="false" customHeight="false" outlineLevel="0" collapsed="false">
      <c r="A517" s="25" t="s">
        <v>53</v>
      </c>
      <c r="B517" s="25" t="s">
        <v>58</v>
      </c>
      <c r="C517" s="25" t="s">
        <v>49</v>
      </c>
      <c r="D517" s="25" t="n">
        <v>1</v>
      </c>
      <c r="E517" s="25" t="s">
        <v>544</v>
      </c>
      <c r="F517" s="25" t="s">
        <v>151</v>
      </c>
      <c r="G517" s="25" t="n">
        <v>1618</v>
      </c>
      <c r="H517" s="25" t="s">
        <v>600</v>
      </c>
      <c r="I517" s="25" t="n">
        <v>5</v>
      </c>
      <c r="J517" s="26" t="n">
        <v>450</v>
      </c>
      <c r="K517" s="25" t="s">
        <v>546</v>
      </c>
      <c r="L517" s="25" t="s">
        <v>547</v>
      </c>
      <c r="M517" s="26" t="n">
        <f aca="false">IF(AND(L517="Oui",K517="Principal"),I517*J517,0)</f>
        <v>2250</v>
      </c>
      <c r="N517" s="25" t="s">
        <v>548</v>
      </c>
      <c r="O517" s="25"/>
      <c r="P517" s="25" t="s">
        <v>556</v>
      </c>
      <c r="Q517" s="25" t="s">
        <v>557</v>
      </c>
      <c r="R517" s="26" t="n">
        <v>350</v>
      </c>
      <c r="S517" s="26" t="n">
        <f aca="false">IF(AND(L517="Oui",K517="Principal",R517&lt;&gt;""),I517*R517,0)</f>
        <v>1750</v>
      </c>
      <c r="T517" s="26" t="n">
        <f aca="false">IF(R517&lt;&gt;"",M517-S517,0)</f>
        <v>500</v>
      </c>
      <c r="U517" s="26" t="n">
        <f aca="false">IF(R517="",M517,0)</f>
        <v>0</v>
      </c>
    </row>
    <row r="518" customFormat="false" ht="15" hidden="false" customHeight="false" outlineLevel="0" collapsed="false">
      <c r="A518" s="25" t="s">
        <v>53</v>
      </c>
      <c r="B518" s="25" t="s">
        <v>58</v>
      </c>
      <c r="C518" s="25" t="s">
        <v>49</v>
      </c>
      <c r="D518" s="25" t="n">
        <v>2</v>
      </c>
      <c r="E518" s="25" t="s">
        <v>544</v>
      </c>
      <c r="F518" s="25" t="s">
        <v>158</v>
      </c>
      <c r="G518" s="25" t="n">
        <v>1575</v>
      </c>
      <c r="H518" s="25" t="s">
        <v>605</v>
      </c>
      <c r="I518" s="25" t="n">
        <v>4</v>
      </c>
      <c r="J518" s="26" t="n">
        <v>275</v>
      </c>
      <c r="K518" s="25" t="s">
        <v>546</v>
      </c>
      <c r="L518" s="25" t="s">
        <v>547</v>
      </c>
      <c r="M518" s="26" t="n">
        <f aca="false">IF(AND(L518="Oui",K518="Principal"),I518*J518,0)</f>
        <v>1100</v>
      </c>
      <c r="N518" s="25" t="s">
        <v>548</v>
      </c>
      <c r="O518" s="25"/>
      <c r="P518" s="25" t="s">
        <v>556</v>
      </c>
      <c r="Q518" s="25" t="s">
        <v>557</v>
      </c>
      <c r="R518" s="26" t="n">
        <v>175</v>
      </c>
      <c r="S518" s="26" t="n">
        <f aca="false">IF(AND(L518="Oui",K518="Principal",R518&lt;&gt;""),I518*R518,0)</f>
        <v>700</v>
      </c>
      <c r="T518" s="26" t="n">
        <f aca="false">IF(R518&lt;&gt;"",M518-S518,0)</f>
        <v>400</v>
      </c>
      <c r="U518" s="26" t="n">
        <f aca="false">IF(R518="",M518,0)</f>
        <v>0</v>
      </c>
    </row>
    <row r="519" customFormat="false" ht="15" hidden="false" customHeight="false" outlineLevel="0" collapsed="false">
      <c r="A519" s="25" t="s">
        <v>53</v>
      </c>
      <c r="B519" s="25" t="s">
        <v>58</v>
      </c>
      <c r="C519" s="25" t="s">
        <v>49</v>
      </c>
      <c r="D519" s="25" t="n">
        <v>3</v>
      </c>
      <c r="E519" s="25" t="s">
        <v>554</v>
      </c>
      <c r="F519" s="25" t="s">
        <v>88</v>
      </c>
      <c r="G519" s="25" t="n">
        <v>1286</v>
      </c>
      <c r="H519" s="25" t="s">
        <v>580</v>
      </c>
      <c r="I519" s="25" t="n">
        <v>1</v>
      </c>
      <c r="J519" s="26" t="n">
        <v>550</v>
      </c>
      <c r="K519" s="25" t="s">
        <v>546</v>
      </c>
      <c r="L519" s="25" t="s">
        <v>547</v>
      </c>
      <c r="M519" s="26" t="n">
        <f aca="false">IF(AND(L519="Oui",K519="Principal"),I519*J519,0)</f>
        <v>550</v>
      </c>
      <c r="N519" s="25" t="s">
        <v>548</v>
      </c>
      <c r="O519" s="25"/>
      <c r="P519" s="25" t="s">
        <v>550</v>
      </c>
      <c r="Q519" s="25" t="s">
        <v>557</v>
      </c>
      <c r="R519" s="26" t="n">
        <v>450</v>
      </c>
      <c r="S519" s="26" t="n">
        <f aca="false">IF(AND(L519="Oui",K519="Principal",R519&lt;&gt;""),I519*R519,0)</f>
        <v>450</v>
      </c>
      <c r="T519" s="26" t="n">
        <f aca="false">IF(R519&lt;&gt;"",M519-S519,0)</f>
        <v>100</v>
      </c>
      <c r="U519" s="26" t="n">
        <f aca="false">IF(R519="",M519,0)</f>
        <v>0</v>
      </c>
    </row>
    <row r="520" customFormat="false" ht="15" hidden="false" customHeight="false" outlineLevel="0" collapsed="false">
      <c r="A520" s="25" t="s">
        <v>53</v>
      </c>
      <c r="B520" s="25" t="s">
        <v>58</v>
      </c>
      <c r="C520" s="25" t="s">
        <v>49</v>
      </c>
      <c r="D520" s="25" t="n">
        <v>4</v>
      </c>
      <c r="E520" s="25" t="s">
        <v>160</v>
      </c>
      <c r="F520" s="25" t="s">
        <v>160</v>
      </c>
      <c r="G520" s="25" t="n">
        <v>1277</v>
      </c>
      <c r="H520" s="25" t="s">
        <v>606</v>
      </c>
      <c r="I520" s="25" t="n">
        <v>10</v>
      </c>
      <c r="J520" s="26" t="n">
        <v>150</v>
      </c>
      <c r="K520" s="25" t="s">
        <v>546</v>
      </c>
      <c r="L520" s="25" t="s">
        <v>547</v>
      </c>
      <c r="M520" s="26" t="n">
        <f aca="false">IF(AND(L520="Oui",K520="Principal"),I520*J520,0)</f>
        <v>1500</v>
      </c>
      <c r="N520" s="25" t="s">
        <v>548</v>
      </c>
      <c r="O520" s="25"/>
      <c r="P520" s="25" t="s">
        <v>550</v>
      </c>
      <c r="Q520" s="25" t="s">
        <v>557</v>
      </c>
      <c r="R520" s="26"/>
      <c r="S520" s="26" t="n">
        <f aca="false">IF(AND(L520="Oui",K520="Principal",R520&lt;&gt;""),I520*R520,0)</f>
        <v>0</v>
      </c>
      <c r="T520" s="26" t="n">
        <f aca="false">IF(R520&lt;&gt;"",M520-S520,0)</f>
        <v>0</v>
      </c>
      <c r="U520" s="26" t="n">
        <f aca="false">IF(R520="",M520,0)</f>
        <v>1500</v>
      </c>
    </row>
    <row r="521" customFormat="false" ht="15" hidden="false" customHeight="false" outlineLevel="0" collapsed="false">
      <c r="A521" s="25" t="s">
        <v>53</v>
      </c>
      <c r="B521" s="25" t="s">
        <v>58</v>
      </c>
      <c r="C521" s="25" t="s">
        <v>49</v>
      </c>
      <c r="D521" s="25" t="n">
        <v>5</v>
      </c>
      <c r="E521" s="25" t="s">
        <v>563</v>
      </c>
      <c r="F521" s="25" t="s">
        <v>188</v>
      </c>
      <c r="G521" s="25" t="n">
        <v>8</v>
      </c>
      <c r="H521" s="25" t="s">
        <v>188</v>
      </c>
      <c r="I521" s="25" t="n">
        <v>1</v>
      </c>
      <c r="J521" s="26" t="n">
        <v>500</v>
      </c>
      <c r="K521" s="25" t="s">
        <v>546</v>
      </c>
      <c r="L521" s="25" t="s">
        <v>547</v>
      </c>
      <c r="M521" s="26" t="n">
        <f aca="false">IF(AND(L521="Oui",K521="Principal"),I521*J521,0)</f>
        <v>500</v>
      </c>
      <c r="N521" s="25" t="s">
        <v>548</v>
      </c>
      <c r="O521" s="25"/>
      <c r="P521" s="25" t="s">
        <v>559</v>
      </c>
      <c r="Q521" s="25" t="s">
        <v>551</v>
      </c>
      <c r="R521" s="26"/>
      <c r="S521" s="26" t="n">
        <f aca="false">IF(AND(L521="Oui",K521="Principal",R521&lt;&gt;""),I521*R521,0)</f>
        <v>0</v>
      </c>
      <c r="T521" s="26" t="n">
        <f aca="false">IF(R521&lt;&gt;"",M521-S521,0)</f>
        <v>0</v>
      </c>
      <c r="U521" s="26" t="n">
        <f aca="false">IF(R521="",M521,0)</f>
        <v>500</v>
      </c>
    </row>
    <row r="522" customFormat="false" ht="15" hidden="false" customHeight="false" outlineLevel="0" collapsed="false">
      <c r="A522" s="25" t="s">
        <v>53</v>
      </c>
      <c r="B522" s="25" t="s">
        <v>58</v>
      </c>
      <c r="C522" s="25" t="s">
        <v>49</v>
      </c>
      <c r="D522" s="25" t="n">
        <v>6</v>
      </c>
      <c r="E522" s="25" t="s">
        <v>563</v>
      </c>
      <c r="F522" s="25" t="s">
        <v>255</v>
      </c>
      <c r="G522" s="25" t="n">
        <v>1636</v>
      </c>
      <c r="H522" s="25" t="s">
        <v>661</v>
      </c>
      <c r="I522" s="25" t="n">
        <v>1</v>
      </c>
      <c r="J522" s="26" t="n">
        <v>400</v>
      </c>
      <c r="K522" s="25" t="s">
        <v>546</v>
      </c>
      <c r="L522" s="25" t="s">
        <v>547</v>
      </c>
      <c r="M522" s="26" t="n">
        <f aca="false">IF(AND(L522="Oui",K522="Principal"),I522*J522,0)</f>
        <v>400</v>
      </c>
      <c r="N522" s="25" t="s">
        <v>548</v>
      </c>
      <c r="O522" s="25"/>
      <c r="P522" s="25" t="s">
        <v>556</v>
      </c>
      <c r="Q522" s="25" t="s">
        <v>557</v>
      </c>
      <c r="R522" s="26" t="n">
        <v>320</v>
      </c>
      <c r="S522" s="26" t="n">
        <f aca="false">IF(AND(L522="Oui",K522="Principal",R522&lt;&gt;""),I522*R522,0)</f>
        <v>320</v>
      </c>
      <c r="T522" s="26" t="n">
        <f aca="false">IF(R522&lt;&gt;"",M522-S522,0)</f>
        <v>80</v>
      </c>
      <c r="U522" s="26" t="n">
        <f aca="false">IF(R522="",M522,0)</f>
        <v>0</v>
      </c>
    </row>
    <row r="523" customFormat="false" ht="15" hidden="false" customHeight="false" outlineLevel="0" collapsed="false">
      <c r="A523" s="25" t="s">
        <v>53</v>
      </c>
      <c r="B523" s="25" t="s">
        <v>58</v>
      </c>
      <c r="C523" s="25" t="s">
        <v>49</v>
      </c>
      <c r="D523" s="25" t="n">
        <v>7</v>
      </c>
      <c r="E523" s="25" t="s">
        <v>563</v>
      </c>
      <c r="F523" s="25" t="s">
        <v>257</v>
      </c>
      <c r="G523" s="25" t="n">
        <v>1635</v>
      </c>
      <c r="H523" s="25" t="s">
        <v>607</v>
      </c>
      <c r="I523" s="25" t="n">
        <v>2</v>
      </c>
      <c r="J523" s="26" t="n">
        <v>100</v>
      </c>
      <c r="K523" s="25" t="s">
        <v>546</v>
      </c>
      <c r="L523" s="25" t="s">
        <v>547</v>
      </c>
      <c r="M523" s="26" t="n">
        <f aca="false">IF(AND(L523="Oui",K523="Principal"),I523*J523,0)</f>
        <v>200</v>
      </c>
      <c r="N523" s="25" t="s">
        <v>548</v>
      </c>
      <c r="O523" s="25"/>
      <c r="P523" s="25" t="s">
        <v>556</v>
      </c>
      <c r="Q523" s="25" t="s">
        <v>557</v>
      </c>
      <c r="R523" s="26" t="n">
        <v>80</v>
      </c>
      <c r="S523" s="26" t="n">
        <f aca="false">IF(AND(L523="Oui",K523="Principal",R523&lt;&gt;""),I523*R523,0)</f>
        <v>160</v>
      </c>
      <c r="T523" s="26" t="n">
        <f aca="false">IF(R523&lt;&gt;"",M523-S523,0)</f>
        <v>40</v>
      </c>
      <c r="U523" s="26" t="n">
        <f aca="false">IF(R523="",M523,0)</f>
        <v>0</v>
      </c>
    </row>
    <row r="524" customFormat="false" ht="15" hidden="false" customHeight="false" outlineLevel="0" collapsed="false">
      <c r="A524" s="25" t="s">
        <v>53</v>
      </c>
      <c r="B524" s="25" t="s">
        <v>58</v>
      </c>
      <c r="C524" s="25" t="s">
        <v>49</v>
      </c>
      <c r="D524" s="25" t="n">
        <v>8</v>
      </c>
      <c r="E524" s="25" t="s">
        <v>565</v>
      </c>
      <c r="F524" s="25" t="s">
        <v>99</v>
      </c>
      <c r="G524" s="25" t="n">
        <v>1181</v>
      </c>
      <c r="H524" s="25" t="s">
        <v>581</v>
      </c>
      <c r="I524" s="25" t="n">
        <v>2</v>
      </c>
      <c r="J524" s="26" t="n">
        <v>250</v>
      </c>
      <c r="K524" s="25" t="s">
        <v>546</v>
      </c>
      <c r="L524" s="25" t="s">
        <v>547</v>
      </c>
      <c r="M524" s="26" t="n">
        <f aca="false">IF(AND(L524="Oui",K524="Principal"),I524*J524,0)</f>
        <v>500</v>
      </c>
      <c r="N524" s="25" t="s">
        <v>548</v>
      </c>
      <c r="O524" s="25"/>
      <c r="P524" s="25" t="s">
        <v>550</v>
      </c>
      <c r="Q524" s="25" t="s">
        <v>557</v>
      </c>
      <c r="R524" s="26" t="n">
        <v>110</v>
      </c>
      <c r="S524" s="26" t="n">
        <f aca="false">IF(AND(L524="Oui",K524="Principal",R524&lt;&gt;""),I524*R524,0)</f>
        <v>220</v>
      </c>
      <c r="T524" s="26" t="n">
        <f aca="false">IF(R524&lt;&gt;"",M524-S524,0)</f>
        <v>280</v>
      </c>
      <c r="U524" s="26" t="n">
        <f aca="false">IF(R524="",M524,0)</f>
        <v>0</v>
      </c>
    </row>
    <row r="525" customFormat="false" ht="15" hidden="false" customHeight="false" outlineLevel="0" collapsed="false">
      <c r="A525" s="25" t="s">
        <v>53</v>
      </c>
      <c r="B525" s="25" t="s">
        <v>58</v>
      </c>
      <c r="C525" s="25" t="s">
        <v>49</v>
      </c>
      <c r="D525" s="25" t="n">
        <v>9</v>
      </c>
      <c r="E525" s="25" t="s">
        <v>565</v>
      </c>
      <c r="F525" s="25" t="s">
        <v>102</v>
      </c>
      <c r="G525" s="25" t="n">
        <v>1587</v>
      </c>
      <c r="H525" s="25" t="s">
        <v>567</v>
      </c>
      <c r="I525" s="25" t="n">
        <v>1</v>
      </c>
      <c r="J525" s="26" t="n">
        <v>500</v>
      </c>
      <c r="K525" s="25" t="s">
        <v>546</v>
      </c>
      <c r="L525" s="25" t="s">
        <v>547</v>
      </c>
      <c r="M525" s="26" t="n">
        <f aca="false">IF(AND(L525="Oui",K525="Principal"),I525*J525,0)</f>
        <v>500</v>
      </c>
      <c r="N525" s="25" t="s">
        <v>548</v>
      </c>
      <c r="O525" s="25"/>
      <c r="P525" s="25" t="s">
        <v>556</v>
      </c>
      <c r="Q525" s="25" t="s">
        <v>557</v>
      </c>
      <c r="R525" s="26" t="n">
        <v>350</v>
      </c>
      <c r="S525" s="26" t="n">
        <f aca="false">IF(AND(L525="Oui",K525="Principal",R525&lt;&gt;""),I525*R525,0)</f>
        <v>350</v>
      </c>
      <c r="T525" s="26" t="n">
        <f aca="false">IF(R525&lt;&gt;"",M525-S525,0)</f>
        <v>150</v>
      </c>
      <c r="U525" s="26" t="n">
        <f aca="false">IF(R525="",M525,0)</f>
        <v>0</v>
      </c>
    </row>
    <row r="526" customFormat="false" ht="15" hidden="false" customHeight="false" outlineLevel="0" collapsed="false">
      <c r="A526" s="33" t="s">
        <v>53</v>
      </c>
      <c r="B526" s="33" t="s">
        <v>58</v>
      </c>
      <c r="C526" s="33" t="s">
        <v>49</v>
      </c>
      <c r="D526" s="33" t="n">
        <v>10</v>
      </c>
      <c r="E526" s="33" t="s">
        <v>609</v>
      </c>
      <c r="F526" s="33" t="s">
        <v>199</v>
      </c>
      <c r="G526" s="33" t="n">
        <v>1229</v>
      </c>
      <c r="H526" s="33" t="s">
        <v>643</v>
      </c>
      <c r="I526" s="33" t="n">
        <v>1</v>
      </c>
      <c r="J526" s="34" t="n">
        <v>1800</v>
      </c>
      <c r="K526" s="33" t="s">
        <v>546</v>
      </c>
      <c r="L526" s="33" t="s">
        <v>547</v>
      </c>
      <c r="M526" s="34" t="n">
        <f aca="false">IF(AND(L526="Oui",K526="Principal"),I526*J526,0)</f>
        <v>1800</v>
      </c>
      <c r="N526" s="33" t="s">
        <v>182</v>
      </c>
      <c r="O526" s="33" t="s">
        <v>644</v>
      </c>
      <c r="P526" s="33" t="s">
        <v>550</v>
      </c>
      <c r="Q526" s="33" t="s">
        <v>557</v>
      </c>
      <c r="R526" s="34" t="n">
        <v>1500</v>
      </c>
      <c r="S526" s="34" t="n">
        <f aca="false">IF(AND(L526="Oui",K526="Principal",R526&lt;&gt;""),I526*R526,0)</f>
        <v>1500</v>
      </c>
      <c r="T526" s="34" t="n">
        <f aca="false">IF(R526&lt;&gt;"",M526-S526,0)</f>
        <v>300</v>
      </c>
      <c r="U526" s="34" t="n">
        <f aca="false">IF(R526="",M526,0)</f>
        <v>0</v>
      </c>
    </row>
    <row r="527" customFormat="false" ht="15" hidden="false" customHeight="false" outlineLevel="0" collapsed="false">
      <c r="A527" s="25" t="s">
        <v>53</v>
      </c>
      <c r="B527" s="25" t="s">
        <v>58</v>
      </c>
      <c r="C527" s="25" t="s">
        <v>49</v>
      </c>
      <c r="D527" s="25" t="n">
        <v>11</v>
      </c>
      <c r="E527" s="25" t="s">
        <v>554</v>
      </c>
      <c r="F527" s="25" t="s">
        <v>104</v>
      </c>
      <c r="G527" s="25" t="n">
        <v>1589</v>
      </c>
      <c r="H527" s="25" t="s">
        <v>568</v>
      </c>
      <c r="I527" s="25" t="n">
        <v>1</v>
      </c>
      <c r="J527" s="26" t="n">
        <v>900</v>
      </c>
      <c r="K527" s="25" t="s">
        <v>546</v>
      </c>
      <c r="L527" s="25" t="s">
        <v>547</v>
      </c>
      <c r="M527" s="26" t="n">
        <f aca="false">IF(AND(L527="Oui",K527="Principal"),I527*J527,0)</f>
        <v>900</v>
      </c>
      <c r="N527" s="25" t="s">
        <v>548</v>
      </c>
      <c r="O527" s="25"/>
      <c r="P527" s="25" t="s">
        <v>556</v>
      </c>
      <c r="Q527" s="25" t="s">
        <v>557</v>
      </c>
      <c r="R527" s="26" t="n">
        <v>650</v>
      </c>
      <c r="S527" s="26" t="n">
        <f aca="false">IF(AND(L527="Oui",K527="Principal",R527&lt;&gt;""),I527*R527,0)</f>
        <v>650</v>
      </c>
      <c r="T527" s="26" t="n">
        <f aca="false">IF(R527&lt;&gt;"",M527-S527,0)</f>
        <v>250</v>
      </c>
      <c r="U527" s="26" t="n">
        <f aca="false">IF(R527="",M527,0)</f>
        <v>0</v>
      </c>
    </row>
    <row r="528" customFormat="false" ht="15" hidden="false" customHeight="false" outlineLevel="0" collapsed="false">
      <c r="A528" s="25" t="s">
        <v>53</v>
      </c>
      <c r="B528" s="25" t="s">
        <v>58</v>
      </c>
      <c r="C528" s="25" t="s">
        <v>49</v>
      </c>
      <c r="D528" s="25" t="n">
        <v>12</v>
      </c>
      <c r="E528" s="25" t="s">
        <v>565</v>
      </c>
      <c r="F528" s="25" t="s">
        <v>166</v>
      </c>
      <c r="G528" s="25" t="n">
        <v>1604</v>
      </c>
      <c r="H528" s="25" t="s">
        <v>582</v>
      </c>
      <c r="I528" s="25" t="n">
        <v>3</v>
      </c>
      <c r="J528" s="26" t="n">
        <v>700</v>
      </c>
      <c r="K528" s="25" t="s">
        <v>546</v>
      </c>
      <c r="L528" s="25" t="s">
        <v>547</v>
      </c>
      <c r="M528" s="26" t="n">
        <f aca="false">IF(AND(L528="Oui",K528="Principal"),I528*J528,0)</f>
        <v>2100</v>
      </c>
      <c r="N528" s="25" t="s">
        <v>548</v>
      </c>
      <c r="O528" s="25"/>
      <c r="P528" s="25" t="s">
        <v>556</v>
      </c>
      <c r="Q528" s="25" t="s">
        <v>557</v>
      </c>
      <c r="R528" s="26" t="n">
        <v>400</v>
      </c>
      <c r="S528" s="26" t="n">
        <f aca="false">IF(AND(L528="Oui",K528="Principal",R528&lt;&gt;""),I528*R528,0)</f>
        <v>1200</v>
      </c>
      <c r="T528" s="26" t="n">
        <f aca="false">IF(R528&lt;&gt;"",M528-S528,0)</f>
        <v>900</v>
      </c>
      <c r="U528" s="26" t="n">
        <f aca="false">IF(R528="",M528,0)</f>
        <v>0</v>
      </c>
    </row>
    <row r="529" customFormat="false" ht="15" hidden="false" customHeight="false" outlineLevel="0" collapsed="false">
      <c r="A529" s="25" t="s">
        <v>53</v>
      </c>
      <c r="B529" s="25" t="s">
        <v>58</v>
      </c>
      <c r="C529" s="25" t="s">
        <v>49</v>
      </c>
      <c r="D529" s="25" t="n">
        <v>13</v>
      </c>
      <c r="E529" s="25" t="s">
        <v>565</v>
      </c>
      <c r="F529" s="25" t="s">
        <v>110</v>
      </c>
      <c r="G529" s="25" t="n">
        <v>1586</v>
      </c>
      <c r="H529" s="25" t="s">
        <v>583</v>
      </c>
      <c r="I529" s="25" t="n">
        <v>1</v>
      </c>
      <c r="J529" s="26" t="n">
        <v>900</v>
      </c>
      <c r="K529" s="25" t="s">
        <v>546</v>
      </c>
      <c r="L529" s="25" t="s">
        <v>547</v>
      </c>
      <c r="M529" s="26" t="n">
        <f aca="false">IF(AND(L529="Oui",K529="Principal"),I529*J529,0)</f>
        <v>900</v>
      </c>
      <c r="N529" s="25" t="s">
        <v>548</v>
      </c>
      <c r="O529" s="25"/>
      <c r="P529" s="25" t="s">
        <v>556</v>
      </c>
      <c r="Q529" s="25" t="s">
        <v>557</v>
      </c>
      <c r="R529" s="26" t="n">
        <v>650</v>
      </c>
      <c r="S529" s="26" t="n">
        <f aca="false">IF(AND(L529="Oui",K529="Principal",R529&lt;&gt;""),I529*R529,0)</f>
        <v>650</v>
      </c>
      <c r="T529" s="26" t="n">
        <f aca="false">IF(R529&lt;&gt;"",M529-S529,0)</f>
        <v>250</v>
      </c>
      <c r="U529" s="26" t="n">
        <f aca="false">IF(R529="",M529,0)</f>
        <v>0</v>
      </c>
    </row>
    <row r="530" customFormat="false" ht="15" hidden="false" customHeight="false" outlineLevel="0" collapsed="false">
      <c r="A530" s="25" t="s">
        <v>53</v>
      </c>
      <c r="B530" s="25" t="s">
        <v>58</v>
      </c>
      <c r="C530" s="25" t="s">
        <v>49</v>
      </c>
      <c r="D530" s="25" t="n">
        <v>14</v>
      </c>
      <c r="E530" s="25" t="s">
        <v>167</v>
      </c>
      <c r="F530" s="25" t="s">
        <v>167</v>
      </c>
      <c r="G530" s="25" t="n">
        <v>1714</v>
      </c>
      <c r="H530" s="25" t="s">
        <v>623</v>
      </c>
      <c r="I530" s="25" t="n">
        <v>1</v>
      </c>
      <c r="J530" s="26" t="n">
        <v>1000</v>
      </c>
      <c r="K530" s="25" t="s">
        <v>546</v>
      </c>
      <c r="L530" s="25" t="s">
        <v>547</v>
      </c>
      <c r="M530" s="26" t="n">
        <f aca="false">IF(AND(L530="Oui",K530="Principal"),I530*J530,0)</f>
        <v>1000</v>
      </c>
      <c r="N530" s="25" t="s">
        <v>548</v>
      </c>
      <c r="O530" s="25"/>
      <c r="P530" s="25" t="s">
        <v>561</v>
      </c>
      <c r="Q530" s="25" t="s">
        <v>557</v>
      </c>
      <c r="R530" s="26" t="n">
        <v>718</v>
      </c>
      <c r="S530" s="26" t="n">
        <f aca="false">IF(AND(L530="Oui",K530="Principal",R530&lt;&gt;""),I530*R530,0)</f>
        <v>718</v>
      </c>
      <c r="T530" s="26" t="n">
        <f aca="false">IF(R530&lt;&gt;"",M530-S530,0)</f>
        <v>282</v>
      </c>
      <c r="U530" s="26" t="n">
        <f aca="false">IF(R530="",M530,0)</f>
        <v>0</v>
      </c>
    </row>
    <row r="531" customFormat="false" ht="15" hidden="false" customHeight="false" outlineLevel="0" collapsed="false">
      <c r="A531" s="31" t="s">
        <v>53</v>
      </c>
      <c r="B531" s="31" t="s">
        <v>58</v>
      </c>
      <c r="C531" s="31" t="s">
        <v>49</v>
      </c>
      <c r="D531" s="31" t="n">
        <v>15</v>
      </c>
      <c r="E531" s="31" t="s">
        <v>167</v>
      </c>
      <c r="F531" s="31" t="s">
        <v>170</v>
      </c>
      <c r="G531" s="31" t="s">
        <v>611</v>
      </c>
      <c r="H531" s="31" t="s">
        <v>612</v>
      </c>
      <c r="I531" s="31" t="n">
        <v>20</v>
      </c>
      <c r="J531" s="32" t="n">
        <v>25</v>
      </c>
      <c r="K531" s="31" t="s">
        <v>546</v>
      </c>
      <c r="L531" s="31" t="s">
        <v>547</v>
      </c>
      <c r="M531" s="32" t="n">
        <f aca="false">IF(AND(L531="Oui",K531="Principal"),I531*J531,0)</f>
        <v>500</v>
      </c>
      <c r="N531" s="31" t="s">
        <v>172</v>
      </c>
      <c r="O531" s="31" t="s">
        <v>613</v>
      </c>
      <c r="P531" s="31" t="s">
        <v>550</v>
      </c>
      <c r="Q531" s="31" t="s">
        <v>557</v>
      </c>
      <c r="R531" s="32" t="n">
        <v>25</v>
      </c>
      <c r="S531" s="32" t="n">
        <f aca="false">IF(AND(L531="Oui",K531="Principal",R531&lt;&gt;""),I531*R531,0)</f>
        <v>500</v>
      </c>
      <c r="T531" s="32" t="n">
        <f aca="false">IF(R531&lt;&gt;"",M531-S531,0)</f>
        <v>0</v>
      </c>
      <c r="U531" s="32" t="n">
        <f aca="false">IF(R531="",M531,0)</f>
        <v>0</v>
      </c>
    </row>
    <row r="532" customFormat="false" ht="15" hidden="false" customHeight="false" outlineLevel="0" collapsed="false">
      <c r="A532" s="25" t="s">
        <v>53</v>
      </c>
      <c r="B532" s="25" t="s">
        <v>58</v>
      </c>
      <c r="C532" s="25" t="s">
        <v>49</v>
      </c>
      <c r="D532" s="25" t="n">
        <v>16</v>
      </c>
      <c r="E532" s="25" t="s">
        <v>167</v>
      </c>
      <c r="F532" s="25" t="s">
        <v>173</v>
      </c>
      <c r="G532" s="25" t="n">
        <v>1202</v>
      </c>
      <c r="H532" s="25" t="s">
        <v>599</v>
      </c>
      <c r="I532" s="25" t="n">
        <v>1</v>
      </c>
      <c r="J532" s="26" t="n">
        <v>250</v>
      </c>
      <c r="K532" s="25" t="s">
        <v>546</v>
      </c>
      <c r="L532" s="25" t="s">
        <v>547</v>
      </c>
      <c r="M532" s="26" t="n">
        <f aca="false">IF(AND(L532="Oui",K532="Principal"),I532*J532,0)</f>
        <v>250</v>
      </c>
      <c r="N532" s="25" t="s">
        <v>548</v>
      </c>
      <c r="O532" s="25"/>
      <c r="P532" s="25" t="s">
        <v>550</v>
      </c>
      <c r="Q532" s="25" t="s">
        <v>557</v>
      </c>
      <c r="R532" s="26" t="n">
        <v>100</v>
      </c>
      <c r="S532" s="26" t="n">
        <f aca="false">IF(AND(L532="Oui",K532="Principal",R532&lt;&gt;""),I532*R532,0)</f>
        <v>100</v>
      </c>
      <c r="T532" s="26" t="n">
        <f aca="false">IF(R532&lt;&gt;"",M532-S532,0)</f>
        <v>150</v>
      </c>
      <c r="U532" s="26" t="n">
        <f aca="false">IF(R532="",M532,0)</f>
        <v>0</v>
      </c>
    </row>
    <row r="533" customFormat="false" ht="15" hidden="false" customHeight="false" outlineLevel="0" collapsed="false">
      <c r="A533" s="25" t="s">
        <v>53</v>
      </c>
      <c r="B533" s="25" t="s">
        <v>58</v>
      </c>
      <c r="C533" s="25" t="s">
        <v>49</v>
      </c>
      <c r="D533" s="25" t="n">
        <v>17</v>
      </c>
      <c r="E533" s="25" t="s">
        <v>573</v>
      </c>
      <c r="F533" s="25" t="s">
        <v>176</v>
      </c>
      <c r="G533" s="25" t="n">
        <v>19</v>
      </c>
      <c r="H533" s="25" t="s">
        <v>615</v>
      </c>
      <c r="I533" s="25" t="n">
        <v>1</v>
      </c>
      <c r="J533" s="26" t="n">
        <v>2500</v>
      </c>
      <c r="K533" s="25" t="s">
        <v>546</v>
      </c>
      <c r="L533" s="25" t="s">
        <v>547</v>
      </c>
      <c r="M533" s="26" t="n">
        <f aca="false">IF(AND(L533="Oui",K533="Principal"),I533*J533,0)</f>
        <v>2500</v>
      </c>
      <c r="N533" s="25" t="s">
        <v>548</v>
      </c>
      <c r="O533" s="25"/>
      <c r="P533" s="25" t="s">
        <v>559</v>
      </c>
      <c r="Q533" s="25" t="s">
        <v>551</v>
      </c>
      <c r="R533" s="26"/>
      <c r="S533" s="26" t="n">
        <f aca="false">IF(AND(L533="Oui",K533="Principal",R533&lt;&gt;""),I533*R533,0)</f>
        <v>0</v>
      </c>
      <c r="T533" s="26" t="n">
        <f aca="false">IF(R533&lt;&gt;"",M533-S533,0)</f>
        <v>0</v>
      </c>
      <c r="U533" s="26" t="n">
        <f aca="false">IF(R533="",M533,0)</f>
        <v>2500</v>
      </c>
    </row>
    <row r="534" customFormat="false" ht="15" hidden="false" customHeight="false" outlineLevel="0" collapsed="false">
      <c r="A534" s="25" t="s">
        <v>53</v>
      </c>
      <c r="B534" s="25" t="s">
        <v>58</v>
      </c>
      <c r="C534" s="25" t="s">
        <v>49</v>
      </c>
      <c r="D534" s="25" t="n">
        <v>18</v>
      </c>
      <c r="E534" s="25" t="s">
        <v>573</v>
      </c>
      <c r="F534" s="25" t="s">
        <v>117</v>
      </c>
      <c r="G534" s="25" t="n">
        <v>1288</v>
      </c>
      <c r="H534" s="25" t="s">
        <v>624</v>
      </c>
      <c r="I534" s="25" t="n">
        <v>1</v>
      </c>
      <c r="J534" s="26" t="n">
        <v>2500</v>
      </c>
      <c r="K534" s="25" t="s">
        <v>546</v>
      </c>
      <c r="L534" s="25" t="s">
        <v>547</v>
      </c>
      <c r="M534" s="26" t="n">
        <f aca="false">IF(AND(L534="Oui",K534="Principal"),I534*J534,0)</f>
        <v>2500</v>
      </c>
      <c r="N534" s="25" t="s">
        <v>548</v>
      </c>
      <c r="O534" s="25"/>
      <c r="P534" s="25" t="s">
        <v>550</v>
      </c>
      <c r="Q534" s="25" t="s">
        <v>557</v>
      </c>
      <c r="R534" s="26" t="n">
        <v>2000</v>
      </c>
      <c r="S534" s="26" t="n">
        <f aca="false">IF(AND(L534="Oui",K534="Principal",R534&lt;&gt;""),I534*R534,0)</f>
        <v>2000</v>
      </c>
      <c r="T534" s="26" t="n">
        <f aca="false">IF(R534&lt;&gt;"",M534-S534,0)</f>
        <v>500</v>
      </c>
      <c r="U534" s="26" t="n">
        <f aca="false">IF(R534="",M534,0)</f>
        <v>0</v>
      </c>
    </row>
    <row r="535" customFormat="false" ht="15" hidden="false" customHeight="false" outlineLevel="0" collapsed="false">
      <c r="A535" s="25" t="s">
        <v>53</v>
      </c>
      <c r="B535" s="25" t="s">
        <v>58</v>
      </c>
      <c r="C535" s="25" t="s">
        <v>49</v>
      </c>
      <c r="D535" s="25" t="n">
        <v>19</v>
      </c>
      <c r="E535" s="25" t="s">
        <v>616</v>
      </c>
      <c r="F535" s="25" t="s">
        <v>258</v>
      </c>
      <c r="G535" s="25" t="n">
        <v>1514</v>
      </c>
      <c r="H535" s="25" t="s">
        <v>662</v>
      </c>
      <c r="I535" s="25" t="n">
        <v>1</v>
      </c>
      <c r="J535" s="26" t="n">
        <v>3900</v>
      </c>
      <c r="K535" s="25" t="s">
        <v>546</v>
      </c>
      <c r="L535" s="25" t="s">
        <v>547</v>
      </c>
      <c r="M535" s="26" t="n">
        <f aca="false">IF(AND(L535="Oui",K535="Principal"),I535*J535,0)</f>
        <v>3900</v>
      </c>
      <c r="N535" s="25" t="s">
        <v>548</v>
      </c>
      <c r="O535" s="25"/>
      <c r="P535" s="25" t="s">
        <v>550</v>
      </c>
      <c r="Q535" s="25" t="s">
        <v>557</v>
      </c>
      <c r="R535" s="26" t="n">
        <v>2900</v>
      </c>
      <c r="S535" s="26" t="n">
        <f aca="false">IF(AND(L535="Oui",K535="Principal",R535&lt;&gt;""),I535*R535,0)</f>
        <v>2900</v>
      </c>
      <c r="T535" s="26" t="n">
        <f aca="false">IF(R535&lt;&gt;"",M535-S535,0)</f>
        <v>1000</v>
      </c>
      <c r="U535" s="26" t="n">
        <f aca="false">IF(R535="",M535,0)</f>
        <v>0</v>
      </c>
    </row>
    <row r="536" customFormat="false" ht="15" hidden="false" customHeight="false" outlineLevel="0" collapsed="false">
      <c r="A536" s="25" t="s">
        <v>53</v>
      </c>
      <c r="B536" s="25" t="s">
        <v>58</v>
      </c>
      <c r="C536" s="25" t="s">
        <v>49</v>
      </c>
      <c r="D536" s="25" t="n">
        <v>20</v>
      </c>
      <c r="E536" s="25" t="s">
        <v>616</v>
      </c>
      <c r="F536" s="25" t="s">
        <v>260</v>
      </c>
      <c r="G536" s="25" t="n">
        <v>1508</v>
      </c>
      <c r="H536" s="25" t="s">
        <v>663</v>
      </c>
      <c r="I536" s="25" t="n">
        <v>1</v>
      </c>
      <c r="J536" s="26" t="n">
        <v>5000</v>
      </c>
      <c r="K536" s="25" t="s">
        <v>546</v>
      </c>
      <c r="L536" s="25" t="s">
        <v>547</v>
      </c>
      <c r="M536" s="26" t="n">
        <f aca="false">IF(AND(L536="Oui",K536="Principal"),I536*J536,0)</f>
        <v>5000</v>
      </c>
      <c r="N536" s="25" t="s">
        <v>548</v>
      </c>
      <c r="O536" s="25"/>
      <c r="P536" s="25" t="s">
        <v>550</v>
      </c>
      <c r="Q536" s="25" t="s">
        <v>557</v>
      </c>
      <c r="R536" s="26" t="n">
        <v>3000</v>
      </c>
      <c r="S536" s="26" t="n">
        <f aca="false">IF(AND(L536="Oui",K536="Principal",R536&lt;&gt;""),I536*R536,0)</f>
        <v>3000</v>
      </c>
      <c r="T536" s="26" t="n">
        <f aca="false">IF(R536&lt;&gt;"",M536-S536,0)</f>
        <v>2000</v>
      </c>
      <c r="U536" s="26" t="n">
        <f aca="false">IF(R536="",M536,0)</f>
        <v>0</v>
      </c>
    </row>
    <row r="537" customFormat="false" ht="15" hidden="false" customHeight="false" outlineLevel="0" collapsed="false">
      <c r="A537" s="25" t="s">
        <v>53</v>
      </c>
      <c r="B537" s="25" t="s">
        <v>58</v>
      </c>
      <c r="C537" s="25" t="s">
        <v>49</v>
      </c>
      <c r="D537" s="25" t="n">
        <v>21</v>
      </c>
      <c r="E537" s="25" t="s">
        <v>616</v>
      </c>
      <c r="F537" s="25" t="s">
        <v>262</v>
      </c>
      <c r="G537" s="25" t="n">
        <v>1521</v>
      </c>
      <c r="H537" s="25" t="s">
        <v>664</v>
      </c>
      <c r="I537" s="25" t="n">
        <v>1</v>
      </c>
      <c r="J537" s="26" t="n">
        <v>4000</v>
      </c>
      <c r="K537" s="25" t="s">
        <v>546</v>
      </c>
      <c r="L537" s="25" t="s">
        <v>547</v>
      </c>
      <c r="M537" s="26" t="n">
        <f aca="false">IF(AND(L537="Oui",K537="Principal"),I537*J537,0)</f>
        <v>4000</v>
      </c>
      <c r="N537" s="25" t="s">
        <v>548</v>
      </c>
      <c r="O537" s="25"/>
      <c r="P537" s="25" t="s">
        <v>550</v>
      </c>
      <c r="Q537" s="25" t="s">
        <v>557</v>
      </c>
      <c r="R537" s="26" t="n">
        <v>3000</v>
      </c>
      <c r="S537" s="26" t="n">
        <f aca="false">IF(AND(L537="Oui",K537="Principal",R537&lt;&gt;""),I537*R537,0)</f>
        <v>3000</v>
      </c>
      <c r="T537" s="26" t="n">
        <f aca="false">IF(R537&lt;&gt;"",M537-S537,0)</f>
        <v>1000</v>
      </c>
      <c r="U537" s="26" t="n">
        <f aca="false">IF(R537="",M537,0)</f>
        <v>0</v>
      </c>
    </row>
    <row r="538" customFormat="false" ht="15" hidden="false" customHeight="false" outlineLevel="0" collapsed="false">
      <c r="A538" s="25" t="s">
        <v>53</v>
      </c>
      <c r="B538" s="25" t="s">
        <v>58</v>
      </c>
      <c r="C538" s="25" t="s">
        <v>49</v>
      </c>
      <c r="D538" s="25" t="n">
        <v>22</v>
      </c>
      <c r="E538" s="25" t="s">
        <v>616</v>
      </c>
      <c r="F538" s="25" t="s">
        <v>264</v>
      </c>
      <c r="G538" s="25" t="n">
        <v>1489</v>
      </c>
      <c r="H538" s="25" t="s">
        <v>665</v>
      </c>
      <c r="I538" s="25" t="n">
        <v>1</v>
      </c>
      <c r="J538" s="26" t="n">
        <v>4000</v>
      </c>
      <c r="K538" s="25" t="s">
        <v>546</v>
      </c>
      <c r="L538" s="25" t="s">
        <v>547</v>
      </c>
      <c r="M538" s="26" t="n">
        <f aca="false">IF(AND(L538="Oui",K538="Principal"),I538*J538,0)</f>
        <v>4000</v>
      </c>
      <c r="N538" s="25" t="s">
        <v>548</v>
      </c>
      <c r="O538" s="25"/>
      <c r="P538" s="25" t="s">
        <v>550</v>
      </c>
      <c r="Q538" s="25" t="s">
        <v>557</v>
      </c>
      <c r="R538" s="26" t="n">
        <v>3000</v>
      </c>
      <c r="S538" s="26" t="n">
        <f aca="false">IF(AND(L538="Oui",K538="Principal",R538&lt;&gt;""),I538*R538,0)</f>
        <v>3000</v>
      </c>
      <c r="T538" s="26" t="n">
        <f aca="false">IF(R538&lt;&gt;"",M538-S538,0)</f>
        <v>1000</v>
      </c>
      <c r="U538" s="26" t="n">
        <f aca="false">IF(R538="",M538,0)</f>
        <v>0</v>
      </c>
    </row>
    <row r="539" customFormat="false" ht="15" hidden="false" customHeight="false" outlineLevel="0" collapsed="false">
      <c r="A539" s="25" t="s">
        <v>53</v>
      </c>
      <c r="B539" s="25" t="s">
        <v>58</v>
      </c>
      <c r="C539" s="25" t="s">
        <v>49</v>
      </c>
      <c r="D539" s="25" t="n">
        <v>23</v>
      </c>
      <c r="E539" s="25" t="s">
        <v>577</v>
      </c>
      <c r="F539" s="25" t="s">
        <v>120</v>
      </c>
      <c r="G539" s="25" t="n">
        <v>1199</v>
      </c>
      <c r="H539" s="25" t="s">
        <v>622</v>
      </c>
      <c r="I539" s="25" t="n">
        <v>1</v>
      </c>
      <c r="J539" s="26" t="n">
        <v>7500</v>
      </c>
      <c r="K539" s="25" t="s">
        <v>577</v>
      </c>
      <c r="L539" s="25" t="s">
        <v>579</v>
      </c>
      <c r="M539" s="26" t="n">
        <f aca="false">IF(AND(L539="Oui",K539="Principal"),I539*J539,0)</f>
        <v>0</v>
      </c>
      <c r="N539" s="25" t="s">
        <v>548</v>
      </c>
      <c r="O539" s="25"/>
      <c r="P539" s="25" t="s">
        <v>550</v>
      </c>
      <c r="Q539" s="25" t="s">
        <v>557</v>
      </c>
      <c r="R539" s="26" t="n">
        <v>6000</v>
      </c>
      <c r="S539" s="26" t="n">
        <f aca="false">IF(AND(L539="Oui",K539="Principal",R539&lt;&gt;""),I539*R539,0)</f>
        <v>0</v>
      </c>
      <c r="T539" s="26" t="n">
        <f aca="false">IF(R539&lt;&gt;"",M539-S539,0)</f>
        <v>0</v>
      </c>
      <c r="U539" s="26" t="n">
        <f aca="false">IF(R539="",M539,0)</f>
        <v>0</v>
      </c>
    </row>
    <row r="540" customFormat="false" ht="15" hidden="false" customHeight="false" outlineLevel="0" collapsed="false">
      <c r="A540" s="25" t="s">
        <v>53</v>
      </c>
      <c r="B540" s="25" t="s">
        <v>58</v>
      </c>
      <c r="C540" s="25" t="s">
        <v>50</v>
      </c>
      <c r="D540" s="25" t="n">
        <v>1</v>
      </c>
      <c r="E540" s="25" t="s">
        <v>544</v>
      </c>
      <c r="F540" s="25" t="s">
        <v>151</v>
      </c>
      <c r="G540" s="25" t="n">
        <v>1618</v>
      </c>
      <c r="H540" s="25" t="s">
        <v>600</v>
      </c>
      <c r="I540" s="25" t="n">
        <v>5</v>
      </c>
      <c r="J540" s="26" t="n">
        <v>450</v>
      </c>
      <c r="K540" s="25" t="s">
        <v>546</v>
      </c>
      <c r="L540" s="25" t="s">
        <v>547</v>
      </c>
      <c r="M540" s="26" t="n">
        <f aca="false">IF(AND(L540="Oui",K540="Principal"),I540*J540,0)</f>
        <v>2250</v>
      </c>
      <c r="N540" s="25" t="s">
        <v>548</v>
      </c>
      <c r="O540" s="25"/>
      <c r="P540" s="25" t="s">
        <v>556</v>
      </c>
      <c r="Q540" s="25" t="s">
        <v>557</v>
      </c>
      <c r="R540" s="26" t="n">
        <v>350</v>
      </c>
      <c r="S540" s="26" t="n">
        <f aca="false">IF(AND(L540="Oui",K540="Principal",R540&lt;&gt;""),I540*R540,0)</f>
        <v>1750</v>
      </c>
      <c r="T540" s="26" t="n">
        <f aca="false">IF(R540&lt;&gt;"",M540-S540,0)</f>
        <v>500</v>
      </c>
      <c r="U540" s="26" t="n">
        <f aca="false">IF(R540="",M540,0)</f>
        <v>0</v>
      </c>
    </row>
    <row r="541" customFormat="false" ht="15" hidden="false" customHeight="false" outlineLevel="0" collapsed="false">
      <c r="A541" s="25" t="s">
        <v>53</v>
      </c>
      <c r="B541" s="25" t="s">
        <v>58</v>
      </c>
      <c r="C541" s="25" t="s">
        <v>50</v>
      </c>
      <c r="D541" s="25" t="n">
        <v>2</v>
      </c>
      <c r="E541" s="25" t="s">
        <v>544</v>
      </c>
      <c r="F541" s="25" t="s">
        <v>158</v>
      </c>
      <c r="G541" s="25" t="n">
        <v>1575</v>
      </c>
      <c r="H541" s="25" t="s">
        <v>605</v>
      </c>
      <c r="I541" s="25" t="n">
        <v>4</v>
      </c>
      <c r="J541" s="26" t="n">
        <v>275</v>
      </c>
      <c r="K541" s="25" t="s">
        <v>546</v>
      </c>
      <c r="L541" s="25" t="s">
        <v>547</v>
      </c>
      <c r="M541" s="26" t="n">
        <f aca="false">IF(AND(L541="Oui",K541="Principal"),I541*J541,0)</f>
        <v>1100</v>
      </c>
      <c r="N541" s="25" t="s">
        <v>548</v>
      </c>
      <c r="O541" s="25"/>
      <c r="P541" s="25" t="s">
        <v>556</v>
      </c>
      <c r="Q541" s="25" t="s">
        <v>557</v>
      </c>
      <c r="R541" s="26" t="n">
        <v>175</v>
      </c>
      <c r="S541" s="26" t="n">
        <f aca="false">IF(AND(L541="Oui",K541="Principal",R541&lt;&gt;""),I541*R541,0)</f>
        <v>700</v>
      </c>
      <c r="T541" s="26" t="n">
        <f aca="false">IF(R541&lt;&gt;"",M541-S541,0)</f>
        <v>400</v>
      </c>
      <c r="U541" s="26" t="n">
        <f aca="false">IF(R541="",M541,0)</f>
        <v>0</v>
      </c>
    </row>
    <row r="542" customFormat="false" ht="15" hidden="false" customHeight="false" outlineLevel="0" collapsed="false">
      <c r="A542" s="25" t="s">
        <v>53</v>
      </c>
      <c r="B542" s="25" t="s">
        <v>58</v>
      </c>
      <c r="C542" s="25" t="s">
        <v>50</v>
      </c>
      <c r="D542" s="25" t="n">
        <v>3</v>
      </c>
      <c r="E542" s="25" t="s">
        <v>554</v>
      </c>
      <c r="F542" s="25" t="s">
        <v>88</v>
      </c>
      <c r="G542" s="25" t="n">
        <v>1286</v>
      </c>
      <c r="H542" s="25" t="s">
        <v>580</v>
      </c>
      <c r="I542" s="25" t="n">
        <v>1</v>
      </c>
      <c r="J542" s="26" t="n">
        <v>550</v>
      </c>
      <c r="K542" s="25" t="s">
        <v>546</v>
      </c>
      <c r="L542" s="25" t="s">
        <v>547</v>
      </c>
      <c r="M542" s="26" t="n">
        <f aca="false">IF(AND(L542="Oui",K542="Principal"),I542*J542,0)</f>
        <v>550</v>
      </c>
      <c r="N542" s="25" t="s">
        <v>548</v>
      </c>
      <c r="O542" s="25"/>
      <c r="P542" s="25" t="s">
        <v>550</v>
      </c>
      <c r="Q542" s="25" t="s">
        <v>557</v>
      </c>
      <c r="R542" s="26" t="n">
        <v>450</v>
      </c>
      <c r="S542" s="26" t="n">
        <f aca="false">IF(AND(L542="Oui",K542="Principal",R542&lt;&gt;""),I542*R542,0)</f>
        <v>450</v>
      </c>
      <c r="T542" s="26" t="n">
        <f aca="false">IF(R542&lt;&gt;"",M542-S542,0)</f>
        <v>100</v>
      </c>
      <c r="U542" s="26" t="n">
        <f aca="false">IF(R542="",M542,0)</f>
        <v>0</v>
      </c>
    </row>
    <row r="543" customFormat="false" ht="15" hidden="false" customHeight="false" outlineLevel="0" collapsed="false">
      <c r="A543" s="25" t="s">
        <v>53</v>
      </c>
      <c r="B543" s="25" t="s">
        <v>58</v>
      </c>
      <c r="C543" s="25" t="s">
        <v>50</v>
      </c>
      <c r="D543" s="25" t="n">
        <v>4</v>
      </c>
      <c r="E543" s="25" t="s">
        <v>160</v>
      </c>
      <c r="F543" s="25" t="s">
        <v>160</v>
      </c>
      <c r="G543" s="25" t="n">
        <v>1277</v>
      </c>
      <c r="H543" s="25" t="s">
        <v>606</v>
      </c>
      <c r="I543" s="25" t="n">
        <v>10</v>
      </c>
      <c r="J543" s="26" t="n">
        <v>150</v>
      </c>
      <c r="K543" s="25" t="s">
        <v>546</v>
      </c>
      <c r="L543" s="25" t="s">
        <v>547</v>
      </c>
      <c r="M543" s="26" t="n">
        <f aca="false">IF(AND(L543="Oui",K543="Principal"),I543*J543,0)</f>
        <v>1500</v>
      </c>
      <c r="N543" s="25" t="s">
        <v>548</v>
      </c>
      <c r="O543" s="25"/>
      <c r="P543" s="25" t="s">
        <v>550</v>
      </c>
      <c r="Q543" s="25" t="s">
        <v>557</v>
      </c>
      <c r="R543" s="26"/>
      <c r="S543" s="26" t="n">
        <f aca="false">IF(AND(L543="Oui",K543="Principal",R543&lt;&gt;""),I543*R543,0)</f>
        <v>0</v>
      </c>
      <c r="T543" s="26" t="n">
        <f aca="false">IF(R543&lt;&gt;"",M543-S543,0)</f>
        <v>0</v>
      </c>
      <c r="U543" s="26" t="n">
        <f aca="false">IF(R543="",M543,0)</f>
        <v>1500</v>
      </c>
    </row>
    <row r="544" customFormat="false" ht="15" hidden="false" customHeight="false" outlineLevel="0" collapsed="false">
      <c r="A544" s="25" t="s">
        <v>53</v>
      </c>
      <c r="B544" s="25" t="s">
        <v>58</v>
      </c>
      <c r="C544" s="25" t="s">
        <v>50</v>
      </c>
      <c r="D544" s="25" t="n">
        <v>5</v>
      </c>
      <c r="E544" s="25" t="s">
        <v>563</v>
      </c>
      <c r="F544" s="25" t="s">
        <v>188</v>
      </c>
      <c r="G544" s="25" t="n">
        <v>8</v>
      </c>
      <c r="H544" s="25" t="s">
        <v>188</v>
      </c>
      <c r="I544" s="25" t="n">
        <v>1</v>
      </c>
      <c r="J544" s="26" t="n">
        <v>500</v>
      </c>
      <c r="K544" s="25" t="s">
        <v>546</v>
      </c>
      <c r="L544" s="25" t="s">
        <v>547</v>
      </c>
      <c r="M544" s="26" t="n">
        <f aca="false">IF(AND(L544="Oui",K544="Principal"),I544*J544,0)</f>
        <v>500</v>
      </c>
      <c r="N544" s="25" t="s">
        <v>548</v>
      </c>
      <c r="O544" s="25"/>
      <c r="P544" s="25" t="s">
        <v>559</v>
      </c>
      <c r="Q544" s="25" t="s">
        <v>551</v>
      </c>
      <c r="R544" s="26"/>
      <c r="S544" s="26" t="n">
        <f aca="false">IF(AND(L544="Oui",K544="Principal",R544&lt;&gt;""),I544*R544,0)</f>
        <v>0</v>
      </c>
      <c r="T544" s="26" t="n">
        <f aca="false">IF(R544&lt;&gt;"",M544-S544,0)</f>
        <v>0</v>
      </c>
      <c r="U544" s="26" t="n">
        <f aca="false">IF(R544="",M544,0)</f>
        <v>500</v>
      </c>
    </row>
    <row r="545" customFormat="false" ht="15" hidden="false" customHeight="false" outlineLevel="0" collapsed="false">
      <c r="A545" s="25" t="s">
        <v>53</v>
      </c>
      <c r="B545" s="25" t="s">
        <v>58</v>
      </c>
      <c r="C545" s="25" t="s">
        <v>50</v>
      </c>
      <c r="D545" s="25" t="n">
        <v>6</v>
      </c>
      <c r="E545" s="25" t="s">
        <v>563</v>
      </c>
      <c r="F545" s="25" t="s">
        <v>255</v>
      </c>
      <c r="G545" s="25" t="n">
        <v>1636</v>
      </c>
      <c r="H545" s="25" t="s">
        <v>661</v>
      </c>
      <c r="I545" s="25" t="n">
        <v>1</v>
      </c>
      <c r="J545" s="26" t="n">
        <v>400</v>
      </c>
      <c r="K545" s="25" t="s">
        <v>546</v>
      </c>
      <c r="L545" s="25" t="s">
        <v>547</v>
      </c>
      <c r="M545" s="26" t="n">
        <f aca="false">IF(AND(L545="Oui",K545="Principal"),I545*J545,0)</f>
        <v>400</v>
      </c>
      <c r="N545" s="25" t="s">
        <v>548</v>
      </c>
      <c r="O545" s="25"/>
      <c r="P545" s="25" t="s">
        <v>556</v>
      </c>
      <c r="Q545" s="25" t="s">
        <v>557</v>
      </c>
      <c r="R545" s="26" t="n">
        <v>320</v>
      </c>
      <c r="S545" s="26" t="n">
        <f aca="false">IF(AND(L545="Oui",K545="Principal",R545&lt;&gt;""),I545*R545,0)</f>
        <v>320</v>
      </c>
      <c r="T545" s="26" t="n">
        <f aca="false">IF(R545&lt;&gt;"",M545-S545,0)</f>
        <v>80</v>
      </c>
      <c r="U545" s="26" t="n">
        <f aca="false">IF(R545="",M545,0)</f>
        <v>0</v>
      </c>
    </row>
    <row r="546" customFormat="false" ht="15" hidden="false" customHeight="false" outlineLevel="0" collapsed="false">
      <c r="A546" s="25" t="s">
        <v>53</v>
      </c>
      <c r="B546" s="25" t="s">
        <v>58</v>
      </c>
      <c r="C546" s="25" t="s">
        <v>50</v>
      </c>
      <c r="D546" s="25" t="n">
        <v>7</v>
      </c>
      <c r="E546" s="25" t="s">
        <v>563</v>
      </c>
      <c r="F546" s="25" t="s">
        <v>257</v>
      </c>
      <c r="G546" s="25" t="n">
        <v>1635</v>
      </c>
      <c r="H546" s="25" t="s">
        <v>607</v>
      </c>
      <c r="I546" s="25" t="n">
        <v>2</v>
      </c>
      <c r="J546" s="26" t="n">
        <v>100</v>
      </c>
      <c r="K546" s="25" t="s">
        <v>546</v>
      </c>
      <c r="L546" s="25" t="s">
        <v>547</v>
      </c>
      <c r="M546" s="26" t="n">
        <f aca="false">IF(AND(L546="Oui",K546="Principal"),I546*J546,0)</f>
        <v>200</v>
      </c>
      <c r="N546" s="25" t="s">
        <v>548</v>
      </c>
      <c r="O546" s="25"/>
      <c r="P546" s="25" t="s">
        <v>556</v>
      </c>
      <c r="Q546" s="25" t="s">
        <v>557</v>
      </c>
      <c r="R546" s="26" t="n">
        <v>80</v>
      </c>
      <c r="S546" s="26" t="n">
        <f aca="false">IF(AND(L546="Oui",K546="Principal",R546&lt;&gt;""),I546*R546,0)</f>
        <v>160</v>
      </c>
      <c r="T546" s="26" t="n">
        <f aca="false">IF(R546&lt;&gt;"",M546-S546,0)</f>
        <v>40</v>
      </c>
      <c r="U546" s="26" t="n">
        <f aca="false">IF(R546="",M546,0)</f>
        <v>0</v>
      </c>
    </row>
    <row r="547" customFormat="false" ht="15" hidden="false" customHeight="false" outlineLevel="0" collapsed="false">
      <c r="A547" s="25" t="s">
        <v>53</v>
      </c>
      <c r="B547" s="25" t="s">
        <v>58</v>
      </c>
      <c r="C547" s="25" t="s">
        <v>50</v>
      </c>
      <c r="D547" s="25" t="n">
        <v>8</v>
      </c>
      <c r="E547" s="25" t="s">
        <v>565</v>
      </c>
      <c r="F547" s="25" t="s">
        <v>99</v>
      </c>
      <c r="G547" s="25" t="n">
        <v>1181</v>
      </c>
      <c r="H547" s="25" t="s">
        <v>581</v>
      </c>
      <c r="I547" s="25" t="n">
        <v>2</v>
      </c>
      <c r="J547" s="26" t="n">
        <v>250</v>
      </c>
      <c r="K547" s="25" t="s">
        <v>546</v>
      </c>
      <c r="L547" s="25" t="s">
        <v>547</v>
      </c>
      <c r="M547" s="26" t="n">
        <f aca="false">IF(AND(L547="Oui",K547="Principal"),I547*J547,0)</f>
        <v>500</v>
      </c>
      <c r="N547" s="25" t="s">
        <v>548</v>
      </c>
      <c r="O547" s="25"/>
      <c r="P547" s="25" t="s">
        <v>550</v>
      </c>
      <c r="Q547" s="25" t="s">
        <v>557</v>
      </c>
      <c r="R547" s="26" t="n">
        <v>110</v>
      </c>
      <c r="S547" s="26" t="n">
        <f aca="false">IF(AND(L547="Oui",K547="Principal",R547&lt;&gt;""),I547*R547,0)</f>
        <v>220</v>
      </c>
      <c r="T547" s="26" t="n">
        <f aca="false">IF(R547&lt;&gt;"",M547-S547,0)</f>
        <v>280</v>
      </c>
      <c r="U547" s="26" t="n">
        <f aca="false">IF(R547="",M547,0)</f>
        <v>0</v>
      </c>
    </row>
    <row r="548" customFormat="false" ht="15" hidden="false" customHeight="false" outlineLevel="0" collapsed="false">
      <c r="A548" s="25" t="s">
        <v>53</v>
      </c>
      <c r="B548" s="25" t="s">
        <v>58</v>
      </c>
      <c r="C548" s="25" t="s">
        <v>50</v>
      </c>
      <c r="D548" s="25" t="n">
        <v>9</v>
      </c>
      <c r="E548" s="25" t="s">
        <v>565</v>
      </c>
      <c r="F548" s="25" t="s">
        <v>102</v>
      </c>
      <c r="G548" s="25" t="n">
        <v>1587</v>
      </c>
      <c r="H548" s="25" t="s">
        <v>567</v>
      </c>
      <c r="I548" s="25" t="n">
        <v>1</v>
      </c>
      <c r="J548" s="26" t="n">
        <v>500</v>
      </c>
      <c r="K548" s="25" t="s">
        <v>546</v>
      </c>
      <c r="L548" s="25" t="s">
        <v>547</v>
      </c>
      <c r="M548" s="26" t="n">
        <f aca="false">IF(AND(L548="Oui",K548="Principal"),I548*J548,0)</f>
        <v>500</v>
      </c>
      <c r="N548" s="25" t="s">
        <v>548</v>
      </c>
      <c r="O548" s="25"/>
      <c r="P548" s="25" t="s">
        <v>556</v>
      </c>
      <c r="Q548" s="25" t="s">
        <v>557</v>
      </c>
      <c r="R548" s="26" t="n">
        <v>350</v>
      </c>
      <c r="S548" s="26" t="n">
        <f aca="false">IF(AND(L548="Oui",K548="Principal",R548&lt;&gt;""),I548*R548,0)</f>
        <v>350</v>
      </c>
      <c r="T548" s="26" t="n">
        <f aca="false">IF(R548&lt;&gt;"",M548-S548,0)</f>
        <v>150</v>
      </c>
      <c r="U548" s="26" t="n">
        <f aca="false">IF(R548="",M548,0)</f>
        <v>0</v>
      </c>
    </row>
    <row r="549" customFormat="false" ht="15" hidden="false" customHeight="false" outlineLevel="0" collapsed="false">
      <c r="A549" s="33" t="s">
        <v>53</v>
      </c>
      <c r="B549" s="33" t="s">
        <v>58</v>
      </c>
      <c r="C549" s="33" t="s">
        <v>50</v>
      </c>
      <c r="D549" s="33" t="n">
        <v>10</v>
      </c>
      <c r="E549" s="33" t="s">
        <v>609</v>
      </c>
      <c r="F549" s="33" t="s">
        <v>199</v>
      </c>
      <c r="G549" s="33" t="n">
        <v>1229</v>
      </c>
      <c r="H549" s="33" t="s">
        <v>643</v>
      </c>
      <c r="I549" s="33" t="n">
        <v>1</v>
      </c>
      <c r="J549" s="34" t="n">
        <v>1800</v>
      </c>
      <c r="K549" s="33" t="s">
        <v>546</v>
      </c>
      <c r="L549" s="33" t="s">
        <v>547</v>
      </c>
      <c r="M549" s="34" t="n">
        <f aca="false">IF(AND(L549="Oui",K549="Principal"),I549*J549,0)</f>
        <v>1800</v>
      </c>
      <c r="N549" s="33" t="s">
        <v>182</v>
      </c>
      <c r="O549" s="33" t="s">
        <v>644</v>
      </c>
      <c r="P549" s="33" t="s">
        <v>550</v>
      </c>
      <c r="Q549" s="33" t="s">
        <v>557</v>
      </c>
      <c r="R549" s="34" t="n">
        <v>1500</v>
      </c>
      <c r="S549" s="34" t="n">
        <f aca="false">IF(AND(L549="Oui",K549="Principal",R549&lt;&gt;""),I549*R549,0)</f>
        <v>1500</v>
      </c>
      <c r="T549" s="34" t="n">
        <f aca="false">IF(R549&lt;&gt;"",M549-S549,0)</f>
        <v>300</v>
      </c>
      <c r="U549" s="34" t="n">
        <f aca="false">IF(R549="",M549,0)</f>
        <v>0</v>
      </c>
    </row>
    <row r="550" customFormat="false" ht="15" hidden="false" customHeight="false" outlineLevel="0" collapsed="false">
      <c r="A550" s="25" t="s">
        <v>53</v>
      </c>
      <c r="B550" s="25" t="s">
        <v>58</v>
      </c>
      <c r="C550" s="25" t="s">
        <v>50</v>
      </c>
      <c r="D550" s="25" t="n">
        <v>11</v>
      </c>
      <c r="E550" s="25" t="s">
        <v>554</v>
      </c>
      <c r="F550" s="25" t="s">
        <v>104</v>
      </c>
      <c r="G550" s="25" t="n">
        <v>1594</v>
      </c>
      <c r="H550" s="25" t="s">
        <v>593</v>
      </c>
      <c r="I550" s="25" t="n">
        <v>1</v>
      </c>
      <c r="J550" s="26" t="n">
        <v>1600</v>
      </c>
      <c r="K550" s="25" t="s">
        <v>546</v>
      </c>
      <c r="L550" s="25" t="s">
        <v>547</v>
      </c>
      <c r="M550" s="26" t="n">
        <f aca="false">IF(AND(L550="Oui",K550="Principal"),I550*J550,0)</f>
        <v>1600</v>
      </c>
      <c r="N550" s="25" t="s">
        <v>548</v>
      </c>
      <c r="O550" s="25"/>
      <c r="P550" s="25" t="s">
        <v>556</v>
      </c>
      <c r="Q550" s="25" t="s">
        <v>557</v>
      </c>
      <c r="R550" s="26" t="n">
        <v>1300</v>
      </c>
      <c r="S550" s="26" t="n">
        <f aca="false">IF(AND(L550="Oui",K550="Principal",R550&lt;&gt;""),I550*R550,0)</f>
        <v>1300</v>
      </c>
      <c r="T550" s="26" t="n">
        <f aca="false">IF(R550&lt;&gt;"",M550-S550,0)</f>
        <v>300</v>
      </c>
      <c r="U550" s="26" t="n">
        <f aca="false">IF(R550="",M550,0)</f>
        <v>0</v>
      </c>
    </row>
    <row r="551" customFormat="false" ht="15" hidden="false" customHeight="false" outlineLevel="0" collapsed="false">
      <c r="A551" s="25" t="s">
        <v>53</v>
      </c>
      <c r="B551" s="25" t="s">
        <v>58</v>
      </c>
      <c r="C551" s="25" t="s">
        <v>50</v>
      </c>
      <c r="D551" s="25" t="n">
        <v>12</v>
      </c>
      <c r="E551" s="25" t="s">
        <v>565</v>
      </c>
      <c r="F551" s="25" t="s">
        <v>166</v>
      </c>
      <c r="G551" s="25" t="n">
        <v>1604</v>
      </c>
      <c r="H551" s="25" t="s">
        <v>582</v>
      </c>
      <c r="I551" s="25" t="n">
        <v>3</v>
      </c>
      <c r="J551" s="26" t="n">
        <v>700</v>
      </c>
      <c r="K551" s="25" t="s">
        <v>546</v>
      </c>
      <c r="L551" s="25" t="s">
        <v>547</v>
      </c>
      <c r="M551" s="26" t="n">
        <f aca="false">IF(AND(L551="Oui",K551="Principal"),I551*J551,0)</f>
        <v>2100</v>
      </c>
      <c r="N551" s="25" t="s">
        <v>548</v>
      </c>
      <c r="O551" s="25"/>
      <c r="P551" s="25" t="s">
        <v>556</v>
      </c>
      <c r="Q551" s="25" t="s">
        <v>557</v>
      </c>
      <c r="R551" s="26" t="n">
        <v>400</v>
      </c>
      <c r="S551" s="26" t="n">
        <f aca="false">IF(AND(L551="Oui",K551="Principal",R551&lt;&gt;""),I551*R551,0)</f>
        <v>1200</v>
      </c>
      <c r="T551" s="26" t="n">
        <f aca="false">IF(R551&lt;&gt;"",M551-S551,0)</f>
        <v>900</v>
      </c>
      <c r="U551" s="26" t="n">
        <f aca="false">IF(R551="",M551,0)</f>
        <v>0</v>
      </c>
    </row>
    <row r="552" customFormat="false" ht="15" hidden="false" customHeight="false" outlineLevel="0" collapsed="false">
      <c r="A552" s="25" t="s">
        <v>53</v>
      </c>
      <c r="B552" s="25" t="s">
        <v>58</v>
      </c>
      <c r="C552" s="25" t="s">
        <v>50</v>
      </c>
      <c r="D552" s="25" t="n">
        <v>13</v>
      </c>
      <c r="E552" s="25" t="s">
        <v>565</v>
      </c>
      <c r="F552" s="25" t="s">
        <v>110</v>
      </c>
      <c r="G552" s="25" t="n">
        <v>1586</v>
      </c>
      <c r="H552" s="25" t="s">
        <v>583</v>
      </c>
      <c r="I552" s="25" t="n">
        <v>1</v>
      </c>
      <c r="J552" s="26" t="n">
        <v>900</v>
      </c>
      <c r="K552" s="25" t="s">
        <v>546</v>
      </c>
      <c r="L552" s="25" t="s">
        <v>547</v>
      </c>
      <c r="M552" s="26" t="n">
        <f aca="false">IF(AND(L552="Oui",K552="Principal"),I552*J552,0)</f>
        <v>900</v>
      </c>
      <c r="N552" s="25" t="s">
        <v>548</v>
      </c>
      <c r="O552" s="25"/>
      <c r="P552" s="25" t="s">
        <v>556</v>
      </c>
      <c r="Q552" s="25" t="s">
        <v>557</v>
      </c>
      <c r="R552" s="26" t="n">
        <v>650</v>
      </c>
      <c r="S552" s="26" t="n">
        <f aca="false">IF(AND(L552="Oui",K552="Principal",R552&lt;&gt;""),I552*R552,0)</f>
        <v>650</v>
      </c>
      <c r="T552" s="26" t="n">
        <f aca="false">IF(R552&lt;&gt;"",M552-S552,0)</f>
        <v>250</v>
      </c>
      <c r="U552" s="26" t="n">
        <f aca="false">IF(R552="",M552,0)</f>
        <v>0</v>
      </c>
    </row>
    <row r="553" customFormat="false" ht="15" hidden="false" customHeight="false" outlineLevel="0" collapsed="false">
      <c r="A553" s="25" t="s">
        <v>53</v>
      </c>
      <c r="B553" s="25" t="s">
        <v>58</v>
      </c>
      <c r="C553" s="25" t="s">
        <v>50</v>
      </c>
      <c r="D553" s="25" t="n">
        <v>14</v>
      </c>
      <c r="E553" s="25" t="s">
        <v>167</v>
      </c>
      <c r="F553" s="25" t="s">
        <v>167</v>
      </c>
      <c r="G553" s="25" t="n">
        <v>1714</v>
      </c>
      <c r="H553" s="25" t="s">
        <v>623</v>
      </c>
      <c r="I553" s="25" t="n">
        <v>1</v>
      </c>
      <c r="J553" s="26" t="n">
        <v>1000</v>
      </c>
      <c r="K553" s="25" t="s">
        <v>546</v>
      </c>
      <c r="L553" s="25" t="s">
        <v>547</v>
      </c>
      <c r="M553" s="26" t="n">
        <f aca="false">IF(AND(L553="Oui",K553="Principal"),I553*J553,0)</f>
        <v>1000</v>
      </c>
      <c r="N553" s="25" t="s">
        <v>548</v>
      </c>
      <c r="O553" s="25"/>
      <c r="P553" s="25" t="s">
        <v>561</v>
      </c>
      <c r="Q553" s="25" t="s">
        <v>557</v>
      </c>
      <c r="R553" s="26" t="n">
        <v>718</v>
      </c>
      <c r="S553" s="26" t="n">
        <f aca="false">IF(AND(L553="Oui",K553="Principal",R553&lt;&gt;""),I553*R553,0)</f>
        <v>718</v>
      </c>
      <c r="T553" s="26" t="n">
        <f aca="false">IF(R553&lt;&gt;"",M553-S553,0)</f>
        <v>282</v>
      </c>
      <c r="U553" s="26" t="n">
        <f aca="false">IF(R553="",M553,0)</f>
        <v>0</v>
      </c>
    </row>
    <row r="554" customFormat="false" ht="15" hidden="false" customHeight="false" outlineLevel="0" collapsed="false">
      <c r="A554" s="31" t="s">
        <v>53</v>
      </c>
      <c r="B554" s="31" t="s">
        <v>58</v>
      </c>
      <c r="C554" s="31" t="s">
        <v>50</v>
      </c>
      <c r="D554" s="31" t="n">
        <v>15</v>
      </c>
      <c r="E554" s="31" t="s">
        <v>167</v>
      </c>
      <c r="F554" s="31" t="s">
        <v>170</v>
      </c>
      <c r="G554" s="31" t="s">
        <v>611</v>
      </c>
      <c r="H554" s="31" t="s">
        <v>612</v>
      </c>
      <c r="I554" s="31" t="n">
        <v>20</v>
      </c>
      <c r="J554" s="32" t="n">
        <v>25</v>
      </c>
      <c r="K554" s="31" t="s">
        <v>546</v>
      </c>
      <c r="L554" s="31" t="s">
        <v>547</v>
      </c>
      <c r="M554" s="32" t="n">
        <f aca="false">IF(AND(L554="Oui",K554="Principal"),I554*J554,0)</f>
        <v>500</v>
      </c>
      <c r="N554" s="31" t="s">
        <v>172</v>
      </c>
      <c r="O554" s="31" t="s">
        <v>613</v>
      </c>
      <c r="P554" s="31" t="s">
        <v>550</v>
      </c>
      <c r="Q554" s="31" t="s">
        <v>557</v>
      </c>
      <c r="R554" s="32" t="n">
        <v>25</v>
      </c>
      <c r="S554" s="32" t="n">
        <f aca="false">IF(AND(L554="Oui",K554="Principal",R554&lt;&gt;""),I554*R554,0)</f>
        <v>500</v>
      </c>
      <c r="T554" s="32" t="n">
        <f aca="false">IF(R554&lt;&gt;"",M554-S554,0)</f>
        <v>0</v>
      </c>
      <c r="U554" s="32" t="n">
        <f aca="false">IF(R554="",M554,0)</f>
        <v>0</v>
      </c>
    </row>
    <row r="555" customFormat="false" ht="15" hidden="false" customHeight="false" outlineLevel="0" collapsed="false">
      <c r="A555" s="25" t="s">
        <v>53</v>
      </c>
      <c r="B555" s="25" t="s">
        <v>58</v>
      </c>
      <c r="C555" s="25" t="s">
        <v>50</v>
      </c>
      <c r="D555" s="25" t="n">
        <v>16</v>
      </c>
      <c r="E555" s="25" t="s">
        <v>167</v>
      </c>
      <c r="F555" s="25" t="s">
        <v>173</v>
      </c>
      <c r="G555" s="25" t="n">
        <v>1202</v>
      </c>
      <c r="H555" s="25" t="s">
        <v>599</v>
      </c>
      <c r="I555" s="25" t="n">
        <v>1</v>
      </c>
      <c r="J555" s="26" t="n">
        <v>250</v>
      </c>
      <c r="K555" s="25" t="s">
        <v>546</v>
      </c>
      <c r="L555" s="25" t="s">
        <v>547</v>
      </c>
      <c r="M555" s="26" t="n">
        <f aca="false">IF(AND(L555="Oui",K555="Principal"),I555*J555,0)</f>
        <v>250</v>
      </c>
      <c r="N555" s="25" t="s">
        <v>548</v>
      </c>
      <c r="O555" s="25"/>
      <c r="P555" s="25" t="s">
        <v>550</v>
      </c>
      <c r="Q555" s="25" t="s">
        <v>557</v>
      </c>
      <c r="R555" s="26" t="n">
        <v>100</v>
      </c>
      <c r="S555" s="26" t="n">
        <f aca="false">IF(AND(L555="Oui",K555="Principal",R555&lt;&gt;""),I555*R555,0)</f>
        <v>100</v>
      </c>
      <c r="T555" s="26" t="n">
        <f aca="false">IF(R555&lt;&gt;"",M555-S555,0)</f>
        <v>150</v>
      </c>
      <c r="U555" s="26" t="n">
        <f aca="false">IF(R555="",M555,0)</f>
        <v>0</v>
      </c>
    </row>
    <row r="556" customFormat="false" ht="15" hidden="false" customHeight="false" outlineLevel="0" collapsed="false">
      <c r="A556" s="25" t="s">
        <v>53</v>
      </c>
      <c r="B556" s="25" t="s">
        <v>58</v>
      </c>
      <c r="C556" s="25" t="s">
        <v>50</v>
      </c>
      <c r="D556" s="25" t="n">
        <v>17</v>
      </c>
      <c r="E556" s="25" t="s">
        <v>573</v>
      </c>
      <c r="F556" s="25" t="s">
        <v>176</v>
      </c>
      <c r="G556" s="25" t="n">
        <v>19</v>
      </c>
      <c r="H556" s="25" t="s">
        <v>615</v>
      </c>
      <c r="I556" s="25" t="n">
        <v>1</v>
      </c>
      <c r="J556" s="26" t="n">
        <v>2500</v>
      </c>
      <c r="K556" s="25" t="s">
        <v>546</v>
      </c>
      <c r="L556" s="25" t="s">
        <v>547</v>
      </c>
      <c r="M556" s="26" t="n">
        <f aca="false">IF(AND(L556="Oui",K556="Principal"),I556*J556,0)</f>
        <v>2500</v>
      </c>
      <c r="N556" s="25" t="s">
        <v>548</v>
      </c>
      <c r="O556" s="25"/>
      <c r="P556" s="25" t="s">
        <v>559</v>
      </c>
      <c r="Q556" s="25" t="s">
        <v>551</v>
      </c>
      <c r="R556" s="26"/>
      <c r="S556" s="26" t="n">
        <f aca="false">IF(AND(L556="Oui",K556="Principal",R556&lt;&gt;""),I556*R556,0)</f>
        <v>0</v>
      </c>
      <c r="T556" s="26" t="n">
        <f aca="false">IF(R556&lt;&gt;"",M556-S556,0)</f>
        <v>0</v>
      </c>
      <c r="U556" s="26" t="n">
        <f aca="false">IF(R556="",M556,0)</f>
        <v>2500</v>
      </c>
    </row>
    <row r="557" customFormat="false" ht="15" hidden="false" customHeight="false" outlineLevel="0" collapsed="false">
      <c r="A557" s="25" t="s">
        <v>53</v>
      </c>
      <c r="B557" s="25" t="s">
        <v>58</v>
      </c>
      <c r="C557" s="25" t="s">
        <v>50</v>
      </c>
      <c r="D557" s="25" t="n">
        <v>18</v>
      </c>
      <c r="E557" s="25" t="s">
        <v>573</v>
      </c>
      <c r="F557" s="25" t="s">
        <v>117</v>
      </c>
      <c r="G557" s="25" t="n">
        <v>1288</v>
      </c>
      <c r="H557" s="25" t="s">
        <v>624</v>
      </c>
      <c r="I557" s="25" t="n">
        <v>1</v>
      </c>
      <c r="J557" s="26" t="n">
        <v>2500</v>
      </c>
      <c r="K557" s="25" t="s">
        <v>546</v>
      </c>
      <c r="L557" s="25" t="s">
        <v>547</v>
      </c>
      <c r="M557" s="26" t="n">
        <f aca="false">IF(AND(L557="Oui",K557="Principal"),I557*J557,0)</f>
        <v>2500</v>
      </c>
      <c r="N557" s="25" t="s">
        <v>548</v>
      </c>
      <c r="O557" s="25"/>
      <c r="P557" s="25" t="s">
        <v>550</v>
      </c>
      <c r="Q557" s="25" t="s">
        <v>557</v>
      </c>
      <c r="R557" s="26" t="n">
        <v>2000</v>
      </c>
      <c r="S557" s="26" t="n">
        <f aca="false">IF(AND(L557="Oui",K557="Principal",R557&lt;&gt;""),I557*R557,0)</f>
        <v>2000</v>
      </c>
      <c r="T557" s="26" t="n">
        <f aca="false">IF(R557&lt;&gt;"",M557-S557,0)</f>
        <v>500</v>
      </c>
      <c r="U557" s="26" t="n">
        <f aca="false">IF(R557="",M557,0)</f>
        <v>0</v>
      </c>
    </row>
    <row r="558" customFormat="false" ht="15" hidden="false" customHeight="false" outlineLevel="0" collapsed="false">
      <c r="A558" s="25" t="s">
        <v>53</v>
      </c>
      <c r="B558" s="25" t="s">
        <v>58</v>
      </c>
      <c r="C558" s="25" t="s">
        <v>50</v>
      </c>
      <c r="D558" s="25" t="n">
        <v>19</v>
      </c>
      <c r="E558" s="25" t="s">
        <v>616</v>
      </c>
      <c r="F558" s="25" t="s">
        <v>258</v>
      </c>
      <c r="G558" s="25" t="n">
        <v>1514</v>
      </c>
      <c r="H558" s="25" t="s">
        <v>662</v>
      </c>
      <c r="I558" s="25" t="n">
        <v>1</v>
      </c>
      <c r="J558" s="26" t="n">
        <v>3900</v>
      </c>
      <c r="K558" s="25" t="s">
        <v>546</v>
      </c>
      <c r="L558" s="25" t="s">
        <v>547</v>
      </c>
      <c r="M558" s="26" t="n">
        <f aca="false">IF(AND(L558="Oui",K558="Principal"),I558*J558,0)</f>
        <v>3900</v>
      </c>
      <c r="N558" s="25" t="s">
        <v>548</v>
      </c>
      <c r="O558" s="25"/>
      <c r="P558" s="25" t="s">
        <v>550</v>
      </c>
      <c r="Q558" s="25" t="s">
        <v>557</v>
      </c>
      <c r="R558" s="26" t="n">
        <v>2900</v>
      </c>
      <c r="S558" s="26" t="n">
        <f aca="false">IF(AND(L558="Oui",K558="Principal",R558&lt;&gt;""),I558*R558,0)</f>
        <v>2900</v>
      </c>
      <c r="T558" s="26" t="n">
        <f aca="false">IF(R558&lt;&gt;"",M558-S558,0)</f>
        <v>1000</v>
      </c>
      <c r="U558" s="26" t="n">
        <f aca="false">IF(R558="",M558,0)</f>
        <v>0</v>
      </c>
    </row>
    <row r="559" customFormat="false" ht="15" hidden="false" customHeight="false" outlineLevel="0" collapsed="false">
      <c r="A559" s="25" t="s">
        <v>53</v>
      </c>
      <c r="B559" s="25" t="s">
        <v>58</v>
      </c>
      <c r="C559" s="25" t="s">
        <v>50</v>
      </c>
      <c r="D559" s="25" t="n">
        <v>20</v>
      </c>
      <c r="E559" s="25" t="s">
        <v>616</v>
      </c>
      <c r="F559" s="25" t="s">
        <v>260</v>
      </c>
      <c r="G559" s="25" t="n">
        <v>1508</v>
      </c>
      <c r="H559" s="25" t="s">
        <v>663</v>
      </c>
      <c r="I559" s="25" t="n">
        <v>1</v>
      </c>
      <c r="J559" s="26" t="n">
        <v>5000</v>
      </c>
      <c r="K559" s="25" t="s">
        <v>546</v>
      </c>
      <c r="L559" s="25" t="s">
        <v>547</v>
      </c>
      <c r="M559" s="26" t="n">
        <f aca="false">IF(AND(L559="Oui",K559="Principal"),I559*J559,0)</f>
        <v>5000</v>
      </c>
      <c r="N559" s="25" t="s">
        <v>548</v>
      </c>
      <c r="O559" s="25"/>
      <c r="P559" s="25" t="s">
        <v>550</v>
      </c>
      <c r="Q559" s="25" t="s">
        <v>557</v>
      </c>
      <c r="R559" s="26" t="n">
        <v>3000</v>
      </c>
      <c r="S559" s="26" t="n">
        <f aca="false">IF(AND(L559="Oui",K559="Principal",R559&lt;&gt;""),I559*R559,0)</f>
        <v>3000</v>
      </c>
      <c r="T559" s="26" t="n">
        <f aca="false">IF(R559&lt;&gt;"",M559-S559,0)</f>
        <v>2000</v>
      </c>
      <c r="U559" s="26" t="n">
        <f aca="false">IF(R559="",M559,0)</f>
        <v>0</v>
      </c>
    </row>
    <row r="560" customFormat="false" ht="15" hidden="false" customHeight="false" outlineLevel="0" collapsed="false">
      <c r="A560" s="25" t="s">
        <v>53</v>
      </c>
      <c r="B560" s="25" t="s">
        <v>58</v>
      </c>
      <c r="C560" s="25" t="s">
        <v>50</v>
      </c>
      <c r="D560" s="25" t="n">
        <v>21</v>
      </c>
      <c r="E560" s="25" t="s">
        <v>616</v>
      </c>
      <c r="F560" s="25" t="s">
        <v>262</v>
      </c>
      <c r="G560" s="25" t="n">
        <v>1521</v>
      </c>
      <c r="H560" s="25" t="s">
        <v>664</v>
      </c>
      <c r="I560" s="25" t="n">
        <v>1</v>
      </c>
      <c r="J560" s="26" t="n">
        <v>4000</v>
      </c>
      <c r="K560" s="25" t="s">
        <v>546</v>
      </c>
      <c r="L560" s="25" t="s">
        <v>547</v>
      </c>
      <c r="M560" s="26" t="n">
        <f aca="false">IF(AND(L560="Oui",K560="Principal"),I560*J560,0)</f>
        <v>4000</v>
      </c>
      <c r="N560" s="25" t="s">
        <v>548</v>
      </c>
      <c r="O560" s="25"/>
      <c r="P560" s="25" t="s">
        <v>550</v>
      </c>
      <c r="Q560" s="25" t="s">
        <v>557</v>
      </c>
      <c r="R560" s="26" t="n">
        <v>3000</v>
      </c>
      <c r="S560" s="26" t="n">
        <f aca="false">IF(AND(L560="Oui",K560="Principal",R560&lt;&gt;""),I560*R560,0)</f>
        <v>3000</v>
      </c>
      <c r="T560" s="26" t="n">
        <f aca="false">IF(R560&lt;&gt;"",M560-S560,0)</f>
        <v>1000</v>
      </c>
      <c r="U560" s="26" t="n">
        <f aca="false">IF(R560="",M560,0)</f>
        <v>0</v>
      </c>
    </row>
    <row r="561" customFormat="false" ht="15" hidden="false" customHeight="false" outlineLevel="0" collapsed="false">
      <c r="A561" s="25" t="s">
        <v>53</v>
      </c>
      <c r="B561" s="25" t="s">
        <v>58</v>
      </c>
      <c r="C561" s="25" t="s">
        <v>50</v>
      </c>
      <c r="D561" s="25" t="n">
        <v>22</v>
      </c>
      <c r="E561" s="25" t="s">
        <v>616</v>
      </c>
      <c r="F561" s="25" t="s">
        <v>264</v>
      </c>
      <c r="G561" s="25" t="n">
        <v>1489</v>
      </c>
      <c r="H561" s="25" t="s">
        <v>665</v>
      </c>
      <c r="I561" s="25" t="n">
        <v>1</v>
      </c>
      <c r="J561" s="26" t="n">
        <v>4000</v>
      </c>
      <c r="K561" s="25" t="s">
        <v>546</v>
      </c>
      <c r="L561" s="25" t="s">
        <v>547</v>
      </c>
      <c r="M561" s="26" t="n">
        <f aca="false">IF(AND(L561="Oui",K561="Principal"),I561*J561,0)</f>
        <v>4000</v>
      </c>
      <c r="N561" s="25" t="s">
        <v>548</v>
      </c>
      <c r="O561" s="25"/>
      <c r="P561" s="25" t="s">
        <v>550</v>
      </c>
      <c r="Q561" s="25" t="s">
        <v>557</v>
      </c>
      <c r="R561" s="26" t="n">
        <v>3000</v>
      </c>
      <c r="S561" s="26" t="n">
        <f aca="false">IF(AND(L561="Oui",K561="Principal",R561&lt;&gt;""),I561*R561,0)</f>
        <v>3000</v>
      </c>
      <c r="T561" s="26" t="n">
        <f aca="false">IF(R561&lt;&gt;"",M561-S561,0)</f>
        <v>1000</v>
      </c>
      <c r="U561" s="26" t="n">
        <f aca="false">IF(R561="",M561,0)</f>
        <v>0</v>
      </c>
    </row>
    <row r="562" customFormat="false" ht="15" hidden="false" customHeight="false" outlineLevel="0" collapsed="false">
      <c r="A562" s="25" t="s">
        <v>53</v>
      </c>
      <c r="B562" s="25" t="s">
        <v>58</v>
      </c>
      <c r="C562" s="25" t="s">
        <v>50</v>
      </c>
      <c r="D562" s="25" t="n">
        <v>23</v>
      </c>
      <c r="E562" s="25" t="s">
        <v>625</v>
      </c>
      <c r="F562" s="25" t="s">
        <v>266</v>
      </c>
      <c r="G562" s="25" t="n">
        <v>1495</v>
      </c>
      <c r="H562" s="25" t="s">
        <v>666</v>
      </c>
      <c r="I562" s="25" t="n">
        <v>1</v>
      </c>
      <c r="J562" s="26" t="n">
        <v>4000</v>
      </c>
      <c r="K562" s="25" t="s">
        <v>546</v>
      </c>
      <c r="L562" s="25" t="s">
        <v>547</v>
      </c>
      <c r="M562" s="26" t="n">
        <f aca="false">IF(AND(L562="Oui",K562="Principal"),I562*J562,0)</f>
        <v>4000</v>
      </c>
      <c r="N562" s="25" t="s">
        <v>548</v>
      </c>
      <c r="O562" s="25"/>
      <c r="P562" s="25" t="s">
        <v>550</v>
      </c>
      <c r="Q562" s="25" t="s">
        <v>557</v>
      </c>
      <c r="R562" s="26" t="n">
        <v>3000</v>
      </c>
      <c r="S562" s="26" t="n">
        <f aca="false">IF(AND(L562="Oui",K562="Principal",R562&lt;&gt;""),I562*R562,0)</f>
        <v>3000</v>
      </c>
      <c r="T562" s="26" t="n">
        <f aca="false">IF(R562&lt;&gt;"",M562-S562,0)</f>
        <v>1000</v>
      </c>
      <c r="U562" s="26" t="n">
        <f aca="false">IF(R562="",M562,0)</f>
        <v>0</v>
      </c>
    </row>
    <row r="563" customFormat="false" ht="15" hidden="false" customHeight="false" outlineLevel="0" collapsed="false">
      <c r="A563" s="25" t="s">
        <v>53</v>
      </c>
      <c r="B563" s="25" t="s">
        <v>58</v>
      </c>
      <c r="C563" s="25" t="s">
        <v>50</v>
      </c>
      <c r="D563" s="25" t="n">
        <v>24</v>
      </c>
      <c r="E563" s="25" t="s">
        <v>625</v>
      </c>
      <c r="F563" s="25" t="s">
        <v>268</v>
      </c>
      <c r="G563" s="25" t="n">
        <v>1466</v>
      </c>
      <c r="H563" s="25" t="s">
        <v>667</v>
      </c>
      <c r="I563" s="25" t="n">
        <v>1</v>
      </c>
      <c r="J563" s="26" t="n">
        <v>3240</v>
      </c>
      <c r="K563" s="25" t="s">
        <v>546</v>
      </c>
      <c r="L563" s="25" t="s">
        <v>547</v>
      </c>
      <c r="M563" s="26" t="n">
        <f aca="false">IF(AND(L563="Oui",K563="Principal"),I563*J563,0)</f>
        <v>3240</v>
      </c>
      <c r="N563" s="25" t="s">
        <v>548</v>
      </c>
      <c r="O563" s="25"/>
      <c r="P563" s="25" t="s">
        <v>550</v>
      </c>
      <c r="Q563" s="25" t="s">
        <v>557</v>
      </c>
      <c r="R563" s="26" t="n">
        <v>2240</v>
      </c>
      <c r="S563" s="26" t="n">
        <f aca="false">IF(AND(L563="Oui",K563="Principal",R563&lt;&gt;""),I563*R563,0)</f>
        <v>2240</v>
      </c>
      <c r="T563" s="26" t="n">
        <f aca="false">IF(R563&lt;&gt;"",M563-S563,0)</f>
        <v>1000</v>
      </c>
      <c r="U563" s="26" t="n">
        <f aca="false">IF(R563="",M563,0)</f>
        <v>0</v>
      </c>
    </row>
    <row r="564" customFormat="false" ht="15" hidden="false" customHeight="false" outlineLevel="0" collapsed="false">
      <c r="A564" s="25" t="s">
        <v>53</v>
      </c>
      <c r="B564" s="25" t="s">
        <v>58</v>
      </c>
      <c r="C564" s="25" t="s">
        <v>50</v>
      </c>
      <c r="D564" s="25" t="n">
        <v>25</v>
      </c>
      <c r="E564" s="25" t="s">
        <v>625</v>
      </c>
      <c r="F564" s="25" t="s">
        <v>270</v>
      </c>
      <c r="G564" s="25" t="n">
        <v>1472</v>
      </c>
      <c r="H564" s="25" t="s">
        <v>668</v>
      </c>
      <c r="I564" s="25" t="n">
        <v>1</v>
      </c>
      <c r="J564" s="26" t="n">
        <v>3240</v>
      </c>
      <c r="K564" s="25" t="s">
        <v>546</v>
      </c>
      <c r="L564" s="25" t="s">
        <v>547</v>
      </c>
      <c r="M564" s="26" t="n">
        <f aca="false">IF(AND(L564="Oui",K564="Principal"),I564*J564,0)</f>
        <v>3240</v>
      </c>
      <c r="N564" s="25" t="s">
        <v>548</v>
      </c>
      <c r="O564" s="25"/>
      <c r="P564" s="25" t="s">
        <v>550</v>
      </c>
      <c r="Q564" s="25" t="s">
        <v>557</v>
      </c>
      <c r="R564" s="26" t="n">
        <v>2240</v>
      </c>
      <c r="S564" s="26" t="n">
        <f aca="false">IF(AND(L564="Oui",K564="Principal",R564&lt;&gt;""),I564*R564,0)</f>
        <v>2240</v>
      </c>
      <c r="T564" s="26" t="n">
        <f aca="false">IF(R564&lt;&gt;"",M564-S564,0)</f>
        <v>1000</v>
      </c>
      <c r="U564" s="26" t="n">
        <f aca="false">IF(R564="",M564,0)</f>
        <v>0</v>
      </c>
    </row>
    <row r="565" customFormat="false" ht="15" hidden="false" customHeight="false" outlineLevel="0" collapsed="false">
      <c r="A565" s="25" t="s">
        <v>53</v>
      </c>
      <c r="B565" s="25" t="s">
        <v>58</v>
      </c>
      <c r="C565" s="25" t="s">
        <v>50</v>
      </c>
      <c r="D565" s="25" t="n">
        <v>26</v>
      </c>
      <c r="E565" s="25" t="s">
        <v>625</v>
      </c>
      <c r="F565" s="25" t="s">
        <v>272</v>
      </c>
      <c r="G565" s="25" t="n">
        <v>1482</v>
      </c>
      <c r="H565" s="25" t="s">
        <v>669</v>
      </c>
      <c r="I565" s="25" t="n">
        <v>1</v>
      </c>
      <c r="J565" s="26" t="n">
        <v>3240</v>
      </c>
      <c r="K565" s="25" t="s">
        <v>546</v>
      </c>
      <c r="L565" s="25" t="s">
        <v>547</v>
      </c>
      <c r="M565" s="26" t="n">
        <f aca="false">IF(AND(L565="Oui",K565="Principal"),I565*J565,0)</f>
        <v>3240</v>
      </c>
      <c r="N565" s="25" t="s">
        <v>548</v>
      </c>
      <c r="O565" s="25"/>
      <c r="P565" s="25" t="s">
        <v>550</v>
      </c>
      <c r="Q565" s="25" t="s">
        <v>557</v>
      </c>
      <c r="R565" s="26" t="n">
        <v>2240</v>
      </c>
      <c r="S565" s="26" t="n">
        <f aca="false">IF(AND(L565="Oui",K565="Principal",R565&lt;&gt;""),I565*R565,0)</f>
        <v>2240</v>
      </c>
      <c r="T565" s="26" t="n">
        <f aca="false">IF(R565&lt;&gt;"",M565-S565,0)</f>
        <v>1000</v>
      </c>
      <c r="U565" s="26" t="n">
        <f aca="false">IF(R565="",M565,0)</f>
        <v>0</v>
      </c>
    </row>
    <row r="566" customFormat="false" ht="15" hidden="false" customHeight="false" outlineLevel="0" collapsed="false">
      <c r="A566" s="25" t="s">
        <v>53</v>
      </c>
      <c r="B566" s="25" t="s">
        <v>58</v>
      </c>
      <c r="C566" s="25" t="s">
        <v>50</v>
      </c>
      <c r="D566" s="25" t="n">
        <v>27</v>
      </c>
      <c r="E566" s="25" t="s">
        <v>577</v>
      </c>
      <c r="F566" s="25" t="s">
        <v>120</v>
      </c>
      <c r="G566" s="25" t="n">
        <v>1199</v>
      </c>
      <c r="H566" s="25" t="s">
        <v>622</v>
      </c>
      <c r="I566" s="25" t="n">
        <v>1</v>
      </c>
      <c r="J566" s="26" t="n">
        <v>7500</v>
      </c>
      <c r="K566" s="25" t="s">
        <v>577</v>
      </c>
      <c r="L566" s="25" t="s">
        <v>579</v>
      </c>
      <c r="M566" s="26" t="n">
        <f aca="false">IF(AND(L566="Oui",K566="Principal"),I566*J566,0)</f>
        <v>0</v>
      </c>
      <c r="N566" s="25" t="s">
        <v>548</v>
      </c>
      <c r="O566" s="25"/>
      <c r="P566" s="25" t="s">
        <v>550</v>
      </c>
      <c r="Q566" s="25" t="s">
        <v>557</v>
      </c>
      <c r="R566" s="26" t="n">
        <v>6000</v>
      </c>
      <c r="S566" s="26" t="n">
        <f aca="false">IF(AND(L566="Oui",K566="Principal",R566&lt;&gt;""),I566*R566,0)</f>
        <v>0</v>
      </c>
      <c r="T566" s="26" t="n">
        <f aca="false">IF(R566&lt;&gt;"",M566-S566,0)</f>
        <v>0</v>
      </c>
      <c r="U566" s="26" t="n">
        <f aca="false">IF(R566="",M566,0)</f>
        <v>0</v>
      </c>
    </row>
    <row r="567" customFormat="false" ht="15" hidden="false" customHeight="false" outlineLevel="0" collapsed="false">
      <c r="A567" s="25" t="s">
        <v>53</v>
      </c>
      <c r="B567" s="25" t="s">
        <v>59</v>
      </c>
      <c r="C567" s="25" t="s">
        <v>48</v>
      </c>
      <c r="D567" s="25" t="n">
        <v>1</v>
      </c>
      <c r="E567" s="25" t="s">
        <v>544</v>
      </c>
      <c r="F567" s="25" t="s">
        <v>151</v>
      </c>
      <c r="G567" s="25" t="n">
        <v>1618</v>
      </c>
      <c r="H567" s="25" t="s">
        <v>600</v>
      </c>
      <c r="I567" s="25" t="n">
        <v>5</v>
      </c>
      <c r="J567" s="26" t="n">
        <v>450</v>
      </c>
      <c r="K567" s="25" t="s">
        <v>546</v>
      </c>
      <c r="L567" s="25" t="s">
        <v>547</v>
      </c>
      <c r="M567" s="26" t="n">
        <f aca="false">IF(AND(L567="Oui",K567="Principal"),I567*J567,0)</f>
        <v>2250</v>
      </c>
      <c r="N567" s="25" t="s">
        <v>548</v>
      </c>
      <c r="O567" s="25"/>
      <c r="P567" s="25" t="s">
        <v>556</v>
      </c>
      <c r="Q567" s="25" t="s">
        <v>557</v>
      </c>
      <c r="R567" s="26" t="n">
        <v>350</v>
      </c>
      <c r="S567" s="26" t="n">
        <f aca="false">IF(AND(L567="Oui",K567="Principal",R567&lt;&gt;""),I567*R567,0)</f>
        <v>1750</v>
      </c>
      <c r="T567" s="26" t="n">
        <f aca="false">IF(R567&lt;&gt;"",M567-S567,0)</f>
        <v>500</v>
      </c>
      <c r="U567" s="26" t="n">
        <f aca="false">IF(R567="",M567,0)</f>
        <v>0</v>
      </c>
    </row>
    <row r="568" customFormat="false" ht="15" hidden="false" customHeight="false" outlineLevel="0" collapsed="false">
      <c r="A568" s="25" t="s">
        <v>53</v>
      </c>
      <c r="B568" s="25" t="s">
        <v>59</v>
      </c>
      <c r="C568" s="25" t="s">
        <v>48</v>
      </c>
      <c r="D568" s="25" t="n">
        <v>2</v>
      </c>
      <c r="E568" s="25" t="s">
        <v>544</v>
      </c>
      <c r="F568" s="25" t="s">
        <v>158</v>
      </c>
      <c r="G568" s="25" t="n">
        <v>1575</v>
      </c>
      <c r="H568" s="25" t="s">
        <v>605</v>
      </c>
      <c r="I568" s="25" t="n">
        <v>4</v>
      </c>
      <c r="J568" s="26" t="n">
        <v>275</v>
      </c>
      <c r="K568" s="25" t="s">
        <v>546</v>
      </c>
      <c r="L568" s="25" t="s">
        <v>547</v>
      </c>
      <c r="M568" s="26" t="n">
        <f aca="false">IF(AND(L568="Oui",K568="Principal"),I568*J568,0)</f>
        <v>1100</v>
      </c>
      <c r="N568" s="25" t="s">
        <v>548</v>
      </c>
      <c r="O568" s="25"/>
      <c r="P568" s="25" t="s">
        <v>556</v>
      </c>
      <c r="Q568" s="25" t="s">
        <v>557</v>
      </c>
      <c r="R568" s="26" t="n">
        <v>175</v>
      </c>
      <c r="S568" s="26" t="n">
        <f aca="false">IF(AND(L568="Oui",K568="Principal",R568&lt;&gt;""),I568*R568,0)</f>
        <v>700</v>
      </c>
      <c r="T568" s="26" t="n">
        <f aca="false">IF(R568&lt;&gt;"",M568-S568,0)</f>
        <v>400</v>
      </c>
      <c r="U568" s="26" t="n">
        <f aca="false">IF(R568="",M568,0)</f>
        <v>0</v>
      </c>
    </row>
    <row r="569" customFormat="false" ht="15" hidden="false" customHeight="false" outlineLevel="0" collapsed="false">
      <c r="A569" s="25" t="s">
        <v>53</v>
      </c>
      <c r="B569" s="25" t="s">
        <v>59</v>
      </c>
      <c r="C569" s="25" t="s">
        <v>48</v>
      </c>
      <c r="D569" s="25" t="n">
        <v>3</v>
      </c>
      <c r="E569" s="25" t="s">
        <v>554</v>
      </c>
      <c r="F569" s="25" t="s">
        <v>88</v>
      </c>
      <c r="G569" s="25" t="n">
        <v>1572</v>
      </c>
      <c r="H569" s="25" t="s">
        <v>555</v>
      </c>
      <c r="I569" s="25" t="n">
        <v>1</v>
      </c>
      <c r="J569" s="26" t="n">
        <v>250</v>
      </c>
      <c r="K569" s="25" t="s">
        <v>546</v>
      </c>
      <c r="L569" s="25" t="s">
        <v>547</v>
      </c>
      <c r="M569" s="26" t="n">
        <f aca="false">IF(AND(L569="Oui",K569="Principal"),I569*J569,0)</f>
        <v>250</v>
      </c>
      <c r="N569" s="25" t="s">
        <v>548</v>
      </c>
      <c r="O569" s="25"/>
      <c r="P569" s="25" t="s">
        <v>556</v>
      </c>
      <c r="Q569" s="25" t="s">
        <v>557</v>
      </c>
      <c r="R569" s="26" t="n">
        <v>150</v>
      </c>
      <c r="S569" s="26" t="n">
        <f aca="false">IF(AND(L569="Oui",K569="Principal",R569&lt;&gt;""),I569*R569,0)</f>
        <v>150</v>
      </c>
      <c r="T569" s="26" t="n">
        <f aca="false">IF(R569&lt;&gt;"",M569-S569,0)</f>
        <v>100</v>
      </c>
      <c r="U569" s="26" t="n">
        <f aca="false">IF(R569="",M569,0)</f>
        <v>0</v>
      </c>
    </row>
    <row r="570" customFormat="false" ht="15" hidden="false" customHeight="false" outlineLevel="0" collapsed="false">
      <c r="A570" s="25" t="s">
        <v>53</v>
      </c>
      <c r="B570" s="25" t="s">
        <v>59</v>
      </c>
      <c r="C570" s="25" t="s">
        <v>48</v>
      </c>
      <c r="D570" s="25" t="n">
        <v>4</v>
      </c>
      <c r="E570" s="25" t="s">
        <v>160</v>
      </c>
      <c r="F570" s="25" t="s">
        <v>160</v>
      </c>
      <c r="G570" s="25" t="n">
        <v>1277</v>
      </c>
      <c r="H570" s="25" t="s">
        <v>606</v>
      </c>
      <c r="I570" s="25" t="n">
        <v>10</v>
      </c>
      <c r="J570" s="26" t="n">
        <v>150</v>
      </c>
      <c r="K570" s="25" t="s">
        <v>546</v>
      </c>
      <c r="L570" s="25" t="s">
        <v>547</v>
      </c>
      <c r="M570" s="26" t="n">
        <f aca="false">IF(AND(L570="Oui",K570="Principal"),I570*J570,0)</f>
        <v>1500</v>
      </c>
      <c r="N570" s="25" t="s">
        <v>548</v>
      </c>
      <c r="O570" s="25"/>
      <c r="P570" s="25" t="s">
        <v>550</v>
      </c>
      <c r="Q570" s="25" t="s">
        <v>557</v>
      </c>
      <c r="R570" s="26"/>
      <c r="S570" s="26" t="n">
        <f aca="false">IF(AND(L570="Oui",K570="Principal",R570&lt;&gt;""),I570*R570,0)</f>
        <v>0</v>
      </c>
      <c r="T570" s="26" t="n">
        <f aca="false">IF(R570&lt;&gt;"",M570-S570,0)</f>
        <v>0</v>
      </c>
      <c r="U570" s="26" t="n">
        <f aca="false">IF(R570="",M570,0)</f>
        <v>1500</v>
      </c>
    </row>
    <row r="571" customFormat="false" ht="15" hidden="false" customHeight="false" outlineLevel="0" collapsed="false">
      <c r="A571" s="25" t="s">
        <v>53</v>
      </c>
      <c r="B571" s="25" t="s">
        <v>59</v>
      </c>
      <c r="C571" s="25" t="s">
        <v>48</v>
      </c>
      <c r="D571" s="25" t="n">
        <v>5</v>
      </c>
      <c r="E571" s="25" t="s">
        <v>563</v>
      </c>
      <c r="F571" s="25" t="s">
        <v>97</v>
      </c>
      <c r="G571" s="25" t="n">
        <v>1571</v>
      </c>
      <c r="H571" s="25" t="s">
        <v>564</v>
      </c>
      <c r="I571" s="25" t="n">
        <v>2</v>
      </c>
      <c r="J571" s="26" t="n">
        <v>75</v>
      </c>
      <c r="K571" s="25" t="s">
        <v>546</v>
      </c>
      <c r="L571" s="25" t="s">
        <v>547</v>
      </c>
      <c r="M571" s="26" t="n">
        <f aca="false">IF(AND(L571="Oui",K571="Principal"),I571*J571,0)</f>
        <v>150</v>
      </c>
      <c r="N571" s="25" t="s">
        <v>548</v>
      </c>
      <c r="O571" s="25"/>
      <c r="P571" s="25" t="s">
        <v>550</v>
      </c>
      <c r="Q571" s="25" t="s">
        <v>557</v>
      </c>
      <c r="R571" s="26"/>
      <c r="S571" s="26" t="n">
        <f aca="false">IF(AND(L571="Oui",K571="Principal",R571&lt;&gt;""),I571*R571,0)</f>
        <v>0</v>
      </c>
      <c r="T571" s="26" t="n">
        <f aca="false">IF(R571&lt;&gt;"",M571-S571,0)</f>
        <v>0</v>
      </c>
      <c r="U571" s="26" t="n">
        <f aca="false">IF(R571="",M571,0)</f>
        <v>150</v>
      </c>
    </row>
    <row r="572" customFormat="false" ht="15" hidden="false" customHeight="false" outlineLevel="0" collapsed="false">
      <c r="A572" s="25" t="s">
        <v>53</v>
      </c>
      <c r="B572" s="25" t="s">
        <v>59</v>
      </c>
      <c r="C572" s="25" t="s">
        <v>48</v>
      </c>
      <c r="D572" s="25" t="n">
        <v>6</v>
      </c>
      <c r="E572" s="25" t="s">
        <v>563</v>
      </c>
      <c r="F572" s="25" t="s">
        <v>255</v>
      </c>
      <c r="G572" s="25" t="n">
        <v>1636</v>
      </c>
      <c r="H572" s="25" t="s">
        <v>661</v>
      </c>
      <c r="I572" s="25" t="n">
        <v>1</v>
      </c>
      <c r="J572" s="26" t="n">
        <v>400</v>
      </c>
      <c r="K572" s="25" t="s">
        <v>546</v>
      </c>
      <c r="L572" s="25" t="s">
        <v>547</v>
      </c>
      <c r="M572" s="26" t="n">
        <f aca="false">IF(AND(L572="Oui",K572="Principal"),I572*J572,0)</f>
        <v>400</v>
      </c>
      <c r="N572" s="25" t="s">
        <v>548</v>
      </c>
      <c r="O572" s="25"/>
      <c r="P572" s="25" t="s">
        <v>556</v>
      </c>
      <c r="Q572" s="25" t="s">
        <v>557</v>
      </c>
      <c r="R572" s="26" t="n">
        <v>320</v>
      </c>
      <c r="S572" s="26" t="n">
        <f aca="false">IF(AND(L572="Oui",K572="Principal",R572&lt;&gt;""),I572*R572,0)</f>
        <v>320</v>
      </c>
      <c r="T572" s="26" t="n">
        <f aca="false">IF(R572&lt;&gt;"",M572-S572,0)</f>
        <v>80</v>
      </c>
      <c r="U572" s="26" t="n">
        <f aca="false">IF(R572="",M572,0)</f>
        <v>0</v>
      </c>
    </row>
    <row r="573" customFormat="false" ht="15" hidden="false" customHeight="false" outlineLevel="0" collapsed="false">
      <c r="A573" s="25" t="s">
        <v>53</v>
      </c>
      <c r="B573" s="25" t="s">
        <v>59</v>
      </c>
      <c r="C573" s="25" t="s">
        <v>48</v>
      </c>
      <c r="D573" s="25" t="n">
        <v>7</v>
      </c>
      <c r="E573" s="25" t="s">
        <v>563</v>
      </c>
      <c r="F573" s="25" t="s">
        <v>257</v>
      </c>
      <c r="G573" s="25" t="n">
        <v>1635</v>
      </c>
      <c r="H573" s="25" t="s">
        <v>607</v>
      </c>
      <c r="I573" s="25" t="n">
        <v>1</v>
      </c>
      <c r="J573" s="26" t="n">
        <v>100</v>
      </c>
      <c r="K573" s="25" t="s">
        <v>546</v>
      </c>
      <c r="L573" s="25" t="s">
        <v>547</v>
      </c>
      <c r="M573" s="26" t="n">
        <f aca="false">IF(AND(L573="Oui",K573="Principal"),I573*J573,0)</f>
        <v>100</v>
      </c>
      <c r="N573" s="25" t="s">
        <v>548</v>
      </c>
      <c r="O573" s="25"/>
      <c r="P573" s="25" t="s">
        <v>556</v>
      </c>
      <c r="Q573" s="25" t="s">
        <v>557</v>
      </c>
      <c r="R573" s="26" t="n">
        <v>80</v>
      </c>
      <c r="S573" s="26" t="n">
        <f aca="false">IF(AND(L573="Oui",K573="Principal",R573&lt;&gt;""),I573*R573,0)</f>
        <v>80</v>
      </c>
      <c r="T573" s="26" t="n">
        <f aca="false">IF(R573&lt;&gt;"",M573-S573,0)</f>
        <v>20</v>
      </c>
      <c r="U573" s="26" t="n">
        <f aca="false">IF(R573="",M573,0)</f>
        <v>0</v>
      </c>
    </row>
    <row r="574" customFormat="false" ht="15" hidden="false" customHeight="false" outlineLevel="0" collapsed="false">
      <c r="A574" s="25" t="s">
        <v>53</v>
      </c>
      <c r="B574" s="25" t="s">
        <v>59</v>
      </c>
      <c r="C574" s="25" t="s">
        <v>48</v>
      </c>
      <c r="D574" s="25" t="n">
        <v>8</v>
      </c>
      <c r="E574" s="25" t="s">
        <v>565</v>
      </c>
      <c r="F574" s="25" t="s">
        <v>99</v>
      </c>
      <c r="G574" s="25" t="n">
        <v>9</v>
      </c>
      <c r="H574" s="25" t="s">
        <v>566</v>
      </c>
      <c r="I574" s="25" t="n">
        <v>2</v>
      </c>
      <c r="J574" s="26" t="n">
        <v>150</v>
      </c>
      <c r="K574" s="25" t="s">
        <v>546</v>
      </c>
      <c r="L574" s="25" t="s">
        <v>547</v>
      </c>
      <c r="M574" s="26" t="n">
        <f aca="false">IF(AND(L574="Oui",K574="Principal"),I574*J574,0)</f>
        <v>300</v>
      </c>
      <c r="N574" s="25" t="s">
        <v>548</v>
      </c>
      <c r="O574" s="25"/>
      <c r="P574" s="25" t="s">
        <v>559</v>
      </c>
      <c r="Q574" s="25" t="s">
        <v>551</v>
      </c>
      <c r="R574" s="26"/>
      <c r="S574" s="26" t="n">
        <f aca="false">IF(AND(L574="Oui",K574="Principal",R574&lt;&gt;""),I574*R574,0)</f>
        <v>0</v>
      </c>
      <c r="T574" s="26" t="n">
        <f aca="false">IF(R574&lt;&gt;"",M574-S574,0)</f>
        <v>0</v>
      </c>
      <c r="U574" s="26" t="n">
        <f aca="false">IF(R574="",M574,0)</f>
        <v>300</v>
      </c>
    </row>
    <row r="575" customFormat="false" ht="15" hidden="false" customHeight="false" outlineLevel="0" collapsed="false">
      <c r="A575" s="25" t="s">
        <v>53</v>
      </c>
      <c r="B575" s="25" t="s">
        <v>59</v>
      </c>
      <c r="C575" s="25" t="s">
        <v>48</v>
      </c>
      <c r="D575" s="25" t="n">
        <v>9</v>
      </c>
      <c r="E575" s="25" t="s">
        <v>565</v>
      </c>
      <c r="F575" s="25" t="s">
        <v>102</v>
      </c>
      <c r="G575" s="25" t="n">
        <v>1587</v>
      </c>
      <c r="H575" s="25" t="s">
        <v>567</v>
      </c>
      <c r="I575" s="25" t="n">
        <v>1</v>
      </c>
      <c r="J575" s="26" t="n">
        <v>500</v>
      </c>
      <c r="K575" s="25" t="s">
        <v>546</v>
      </c>
      <c r="L575" s="25" t="s">
        <v>547</v>
      </c>
      <c r="M575" s="26" t="n">
        <f aca="false">IF(AND(L575="Oui",K575="Principal"),I575*J575,0)</f>
        <v>500</v>
      </c>
      <c r="N575" s="25" t="s">
        <v>548</v>
      </c>
      <c r="O575" s="25"/>
      <c r="P575" s="25" t="s">
        <v>556</v>
      </c>
      <c r="Q575" s="25" t="s">
        <v>557</v>
      </c>
      <c r="R575" s="26" t="n">
        <v>350</v>
      </c>
      <c r="S575" s="26" t="n">
        <f aca="false">IF(AND(L575="Oui",K575="Principal",R575&lt;&gt;""),I575*R575,0)</f>
        <v>350</v>
      </c>
      <c r="T575" s="26" t="n">
        <f aca="false">IF(R575&lt;&gt;"",M575-S575,0)</f>
        <v>150</v>
      </c>
      <c r="U575" s="26" t="n">
        <f aca="false">IF(R575="",M575,0)</f>
        <v>0</v>
      </c>
    </row>
    <row r="576" customFormat="false" ht="15" hidden="false" customHeight="false" outlineLevel="0" collapsed="false">
      <c r="A576" s="33" t="s">
        <v>53</v>
      </c>
      <c r="B576" s="33" t="s">
        <v>59</v>
      </c>
      <c r="C576" s="33" t="s">
        <v>48</v>
      </c>
      <c r="D576" s="33" t="n">
        <v>10</v>
      </c>
      <c r="E576" s="33" t="s">
        <v>609</v>
      </c>
      <c r="F576" s="33" t="s">
        <v>199</v>
      </c>
      <c r="G576" s="33" t="n">
        <v>1229</v>
      </c>
      <c r="H576" s="33" t="s">
        <v>643</v>
      </c>
      <c r="I576" s="33" t="n">
        <v>1</v>
      </c>
      <c r="J576" s="34" t="n">
        <v>1800</v>
      </c>
      <c r="K576" s="33" t="s">
        <v>546</v>
      </c>
      <c r="L576" s="33" t="s">
        <v>547</v>
      </c>
      <c r="M576" s="34" t="n">
        <f aca="false">IF(AND(L576="Oui",K576="Principal"),I576*J576,0)</f>
        <v>1800</v>
      </c>
      <c r="N576" s="33" t="s">
        <v>182</v>
      </c>
      <c r="O576" s="33" t="s">
        <v>644</v>
      </c>
      <c r="P576" s="33" t="s">
        <v>550</v>
      </c>
      <c r="Q576" s="33" t="s">
        <v>557</v>
      </c>
      <c r="R576" s="34" t="n">
        <v>1500</v>
      </c>
      <c r="S576" s="34" t="n">
        <f aca="false">IF(AND(L576="Oui",K576="Principal",R576&lt;&gt;""),I576*R576,0)</f>
        <v>1500</v>
      </c>
      <c r="T576" s="34" t="n">
        <f aca="false">IF(R576&lt;&gt;"",M576-S576,0)</f>
        <v>300</v>
      </c>
      <c r="U576" s="34" t="n">
        <f aca="false">IF(R576="",M576,0)</f>
        <v>0</v>
      </c>
    </row>
    <row r="577" customFormat="false" ht="15" hidden="false" customHeight="false" outlineLevel="0" collapsed="false">
      <c r="A577" s="25" t="s">
        <v>53</v>
      </c>
      <c r="B577" s="25" t="s">
        <v>59</v>
      </c>
      <c r="C577" s="25" t="s">
        <v>48</v>
      </c>
      <c r="D577" s="25" t="n">
        <v>11</v>
      </c>
      <c r="E577" s="25" t="s">
        <v>554</v>
      </c>
      <c r="F577" s="25" t="s">
        <v>104</v>
      </c>
      <c r="G577" s="25" t="n">
        <v>1589</v>
      </c>
      <c r="H577" s="25" t="s">
        <v>568</v>
      </c>
      <c r="I577" s="25" t="n">
        <v>1</v>
      </c>
      <c r="J577" s="26" t="n">
        <v>900</v>
      </c>
      <c r="K577" s="25" t="s">
        <v>546</v>
      </c>
      <c r="L577" s="25" t="s">
        <v>547</v>
      </c>
      <c r="M577" s="26" t="n">
        <f aca="false">IF(AND(L577="Oui",K577="Principal"),I577*J577,0)</f>
        <v>900</v>
      </c>
      <c r="N577" s="25" t="s">
        <v>548</v>
      </c>
      <c r="O577" s="25"/>
      <c r="P577" s="25" t="s">
        <v>556</v>
      </c>
      <c r="Q577" s="25" t="s">
        <v>557</v>
      </c>
      <c r="R577" s="26" t="n">
        <v>650</v>
      </c>
      <c r="S577" s="26" t="n">
        <f aca="false">IF(AND(L577="Oui",K577="Principal",R577&lt;&gt;""),I577*R577,0)</f>
        <v>650</v>
      </c>
      <c r="T577" s="26" t="n">
        <f aca="false">IF(R577&lt;&gt;"",M577-S577,0)</f>
        <v>250</v>
      </c>
      <c r="U577" s="26" t="n">
        <f aca="false">IF(R577="",M577,0)</f>
        <v>0</v>
      </c>
    </row>
    <row r="578" customFormat="false" ht="15" hidden="false" customHeight="false" outlineLevel="0" collapsed="false">
      <c r="A578" s="25" t="s">
        <v>53</v>
      </c>
      <c r="B578" s="25" t="s">
        <v>59</v>
      </c>
      <c r="C578" s="25" t="s">
        <v>48</v>
      </c>
      <c r="D578" s="25" t="n">
        <v>12</v>
      </c>
      <c r="E578" s="25" t="s">
        <v>565</v>
      </c>
      <c r="F578" s="25" t="s">
        <v>166</v>
      </c>
      <c r="G578" s="25" t="n">
        <v>1173</v>
      </c>
      <c r="H578" s="25" t="s">
        <v>569</v>
      </c>
      <c r="I578" s="25" t="n">
        <v>2</v>
      </c>
      <c r="J578" s="26" t="n">
        <v>570</v>
      </c>
      <c r="K578" s="25" t="s">
        <v>546</v>
      </c>
      <c r="L578" s="25" t="s">
        <v>547</v>
      </c>
      <c r="M578" s="26" t="n">
        <f aca="false">IF(AND(L578="Oui",K578="Principal"),I578*J578,0)</f>
        <v>1140</v>
      </c>
      <c r="N578" s="25" t="s">
        <v>548</v>
      </c>
      <c r="O578" s="25"/>
      <c r="P578" s="25" t="s">
        <v>550</v>
      </c>
      <c r="Q578" s="25" t="s">
        <v>557</v>
      </c>
      <c r="R578" s="26" t="n">
        <v>420</v>
      </c>
      <c r="S578" s="26" t="n">
        <f aca="false">IF(AND(L578="Oui",K578="Principal",R578&lt;&gt;""),I578*R578,0)</f>
        <v>840</v>
      </c>
      <c r="T578" s="26" t="n">
        <f aca="false">IF(R578&lt;&gt;"",M578-S578,0)</f>
        <v>300</v>
      </c>
      <c r="U578" s="26" t="n">
        <f aca="false">IF(R578="",M578,0)</f>
        <v>0</v>
      </c>
    </row>
    <row r="579" customFormat="false" ht="15" hidden="false" customHeight="false" outlineLevel="0" collapsed="false">
      <c r="A579" s="25" t="s">
        <v>53</v>
      </c>
      <c r="B579" s="25" t="s">
        <v>59</v>
      </c>
      <c r="C579" s="25" t="s">
        <v>48</v>
      </c>
      <c r="D579" s="25" t="n">
        <v>13</v>
      </c>
      <c r="E579" s="25" t="s">
        <v>565</v>
      </c>
      <c r="F579" s="25" t="s">
        <v>110</v>
      </c>
      <c r="G579" s="25" t="n">
        <v>1250</v>
      </c>
      <c r="H579" s="25" t="s">
        <v>570</v>
      </c>
      <c r="I579" s="25" t="n">
        <v>1</v>
      </c>
      <c r="J579" s="26" t="n">
        <v>250</v>
      </c>
      <c r="K579" s="25" t="s">
        <v>546</v>
      </c>
      <c r="L579" s="25" t="s">
        <v>547</v>
      </c>
      <c r="M579" s="26" t="n">
        <f aca="false">IF(AND(L579="Oui",K579="Principal"),I579*J579,0)</f>
        <v>250</v>
      </c>
      <c r="N579" s="25" t="s">
        <v>548</v>
      </c>
      <c r="O579" s="25"/>
      <c r="P579" s="25" t="s">
        <v>550</v>
      </c>
      <c r="Q579" s="25" t="s">
        <v>557</v>
      </c>
      <c r="R579" s="26" t="n">
        <v>100</v>
      </c>
      <c r="S579" s="26" t="n">
        <f aca="false">IF(AND(L579="Oui",K579="Principal",R579&lt;&gt;""),I579*R579,0)</f>
        <v>100</v>
      </c>
      <c r="T579" s="26" t="n">
        <f aca="false">IF(R579&lt;&gt;"",M579-S579,0)</f>
        <v>150</v>
      </c>
      <c r="U579" s="26" t="n">
        <f aca="false">IF(R579="",M579,0)</f>
        <v>0</v>
      </c>
    </row>
    <row r="580" customFormat="false" ht="15" hidden="false" customHeight="false" outlineLevel="0" collapsed="false">
      <c r="A580" s="25" t="s">
        <v>53</v>
      </c>
      <c r="B580" s="25" t="s">
        <v>59</v>
      </c>
      <c r="C580" s="25" t="s">
        <v>48</v>
      </c>
      <c r="D580" s="25" t="n">
        <v>14</v>
      </c>
      <c r="E580" s="25" t="s">
        <v>167</v>
      </c>
      <c r="F580" s="25" t="s">
        <v>167</v>
      </c>
      <c r="G580" s="25" t="n">
        <v>1255</v>
      </c>
      <c r="H580" s="25" t="s">
        <v>610</v>
      </c>
      <c r="I580" s="25" t="n">
        <v>1</v>
      </c>
      <c r="J580" s="26" t="n">
        <v>900</v>
      </c>
      <c r="K580" s="25" t="s">
        <v>546</v>
      </c>
      <c r="L580" s="25" t="s">
        <v>547</v>
      </c>
      <c r="M580" s="26" t="n">
        <f aca="false">IF(AND(L580="Oui",K580="Principal"),I580*J580,0)</f>
        <v>900</v>
      </c>
      <c r="N580" s="25" t="s">
        <v>548</v>
      </c>
      <c r="O580" s="25"/>
      <c r="P580" s="25" t="s">
        <v>550</v>
      </c>
      <c r="Q580" s="25" t="s">
        <v>557</v>
      </c>
      <c r="R580" s="26" t="n">
        <v>600</v>
      </c>
      <c r="S580" s="26" t="n">
        <f aca="false">IF(AND(L580="Oui",K580="Principal",R580&lt;&gt;""),I580*R580,0)</f>
        <v>600</v>
      </c>
      <c r="T580" s="26" t="n">
        <f aca="false">IF(R580&lt;&gt;"",M580-S580,0)</f>
        <v>300</v>
      </c>
      <c r="U580" s="26" t="n">
        <f aca="false">IF(R580="",M580,0)</f>
        <v>0</v>
      </c>
    </row>
    <row r="581" customFormat="false" ht="15" hidden="false" customHeight="false" outlineLevel="0" collapsed="false">
      <c r="A581" s="31" t="s">
        <v>53</v>
      </c>
      <c r="B581" s="31" t="s">
        <v>59</v>
      </c>
      <c r="C581" s="31" t="s">
        <v>48</v>
      </c>
      <c r="D581" s="31" t="n">
        <v>15</v>
      </c>
      <c r="E581" s="31" t="s">
        <v>167</v>
      </c>
      <c r="F581" s="31" t="s">
        <v>170</v>
      </c>
      <c r="G581" s="31" t="s">
        <v>611</v>
      </c>
      <c r="H581" s="31" t="s">
        <v>612</v>
      </c>
      <c r="I581" s="31" t="n">
        <v>20</v>
      </c>
      <c r="J581" s="32" t="n">
        <v>25</v>
      </c>
      <c r="K581" s="31" t="s">
        <v>546</v>
      </c>
      <c r="L581" s="31" t="s">
        <v>547</v>
      </c>
      <c r="M581" s="32" t="n">
        <f aca="false">IF(AND(L581="Oui",K581="Principal"),I581*J581,0)</f>
        <v>500</v>
      </c>
      <c r="N581" s="31" t="s">
        <v>172</v>
      </c>
      <c r="O581" s="31" t="s">
        <v>613</v>
      </c>
      <c r="P581" s="31" t="s">
        <v>550</v>
      </c>
      <c r="Q581" s="31" t="s">
        <v>557</v>
      </c>
      <c r="R581" s="32" t="n">
        <v>25</v>
      </c>
      <c r="S581" s="32" t="n">
        <f aca="false">IF(AND(L581="Oui",K581="Principal",R581&lt;&gt;""),I581*R581,0)</f>
        <v>500</v>
      </c>
      <c r="T581" s="32" t="n">
        <f aca="false">IF(R581&lt;&gt;"",M581-S581,0)</f>
        <v>0</v>
      </c>
      <c r="U581" s="32" t="n">
        <f aca="false">IF(R581="",M581,0)</f>
        <v>0</v>
      </c>
    </row>
    <row r="582" customFormat="false" ht="15" hidden="false" customHeight="false" outlineLevel="0" collapsed="false">
      <c r="A582" s="25" t="s">
        <v>53</v>
      </c>
      <c r="B582" s="25" t="s">
        <v>59</v>
      </c>
      <c r="C582" s="25" t="s">
        <v>48</v>
      </c>
      <c r="D582" s="25" t="n">
        <v>16</v>
      </c>
      <c r="E582" s="25" t="s">
        <v>167</v>
      </c>
      <c r="F582" s="25" t="s">
        <v>173</v>
      </c>
      <c r="G582" s="25" t="n">
        <v>1202</v>
      </c>
      <c r="H582" s="25" t="s">
        <v>599</v>
      </c>
      <c r="I582" s="25" t="n">
        <v>1</v>
      </c>
      <c r="J582" s="26" t="n">
        <v>250</v>
      </c>
      <c r="K582" s="25" t="s">
        <v>546</v>
      </c>
      <c r="L582" s="25" t="s">
        <v>547</v>
      </c>
      <c r="M582" s="26" t="n">
        <f aca="false">IF(AND(L582="Oui",K582="Principal"),I582*J582,0)</f>
        <v>250</v>
      </c>
      <c r="N582" s="25" t="s">
        <v>548</v>
      </c>
      <c r="O582" s="25"/>
      <c r="P582" s="25" t="s">
        <v>550</v>
      </c>
      <c r="Q582" s="25" t="s">
        <v>557</v>
      </c>
      <c r="R582" s="26" t="n">
        <v>100</v>
      </c>
      <c r="S582" s="26" t="n">
        <f aca="false">IF(AND(L582="Oui",K582="Principal",R582&lt;&gt;""),I582*R582,0)</f>
        <v>100</v>
      </c>
      <c r="T582" s="26" t="n">
        <f aca="false">IF(R582&lt;&gt;"",M582-S582,0)</f>
        <v>150</v>
      </c>
      <c r="U582" s="26" t="n">
        <f aca="false">IF(R582="",M582,0)</f>
        <v>0</v>
      </c>
    </row>
    <row r="583" customFormat="false" ht="15" hidden="false" customHeight="false" outlineLevel="0" collapsed="false">
      <c r="A583" s="25" t="s">
        <v>53</v>
      </c>
      <c r="B583" s="25" t="s">
        <v>59</v>
      </c>
      <c r="C583" s="25" t="s">
        <v>48</v>
      </c>
      <c r="D583" s="25" t="n">
        <v>17</v>
      </c>
      <c r="E583" s="25" t="s">
        <v>573</v>
      </c>
      <c r="F583" s="25" t="s">
        <v>176</v>
      </c>
      <c r="G583" s="25" t="n">
        <v>19</v>
      </c>
      <c r="H583" s="25" t="s">
        <v>615</v>
      </c>
      <c r="I583" s="25" t="n">
        <v>1</v>
      </c>
      <c r="J583" s="26" t="n">
        <v>2500</v>
      </c>
      <c r="K583" s="25" t="s">
        <v>546</v>
      </c>
      <c r="L583" s="25" t="s">
        <v>547</v>
      </c>
      <c r="M583" s="26" t="n">
        <f aca="false">IF(AND(L583="Oui",K583="Principal"),I583*J583,0)</f>
        <v>2500</v>
      </c>
      <c r="N583" s="25" t="s">
        <v>548</v>
      </c>
      <c r="O583" s="25"/>
      <c r="P583" s="25" t="s">
        <v>559</v>
      </c>
      <c r="Q583" s="25" t="s">
        <v>551</v>
      </c>
      <c r="R583" s="26"/>
      <c r="S583" s="26" t="n">
        <f aca="false">IF(AND(L583="Oui",K583="Principal",R583&lt;&gt;""),I583*R583,0)</f>
        <v>0</v>
      </c>
      <c r="T583" s="26" t="n">
        <f aca="false">IF(R583&lt;&gt;"",M583-S583,0)</f>
        <v>0</v>
      </c>
      <c r="U583" s="26" t="n">
        <f aca="false">IF(R583="",M583,0)</f>
        <v>2500</v>
      </c>
    </row>
    <row r="584" customFormat="false" ht="15" hidden="false" customHeight="false" outlineLevel="0" collapsed="false">
      <c r="A584" s="25" t="s">
        <v>53</v>
      </c>
      <c r="B584" s="25" t="s">
        <v>59</v>
      </c>
      <c r="C584" s="25" t="s">
        <v>48</v>
      </c>
      <c r="D584" s="25" t="n">
        <v>18</v>
      </c>
      <c r="E584" s="25" t="s">
        <v>573</v>
      </c>
      <c r="F584" s="25" t="s">
        <v>117</v>
      </c>
      <c r="G584" s="25" t="n">
        <v>1287</v>
      </c>
      <c r="H584" s="25" t="s">
        <v>575</v>
      </c>
      <c r="I584" s="25" t="n">
        <v>1</v>
      </c>
      <c r="J584" s="26" t="n">
        <v>2500</v>
      </c>
      <c r="K584" s="25" t="s">
        <v>546</v>
      </c>
      <c r="L584" s="25" t="s">
        <v>547</v>
      </c>
      <c r="M584" s="26" t="n">
        <f aca="false">IF(AND(L584="Oui",K584="Principal"),I584*J584,0)</f>
        <v>2500</v>
      </c>
      <c r="N584" s="25" t="s">
        <v>548</v>
      </c>
      <c r="O584" s="25" t="s">
        <v>576</v>
      </c>
      <c r="P584" s="25" t="s">
        <v>550</v>
      </c>
      <c r="Q584" s="25" t="s">
        <v>557</v>
      </c>
      <c r="R584" s="26" t="n">
        <v>1800</v>
      </c>
      <c r="S584" s="26" t="n">
        <f aca="false">IF(AND(L584="Oui",K584="Principal",R584&lt;&gt;""),I584*R584,0)</f>
        <v>1800</v>
      </c>
      <c r="T584" s="26" t="n">
        <f aca="false">IF(R584&lt;&gt;"",M584-S584,0)</f>
        <v>700</v>
      </c>
      <c r="U584" s="26" t="n">
        <f aca="false">IF(R584="",M584,0)</f>
        <v>0</v>
      </c>
    </row>
    <row r="585" customFormat="false" ht="15" hidden="false" customHeight="false" outlineLevel="0" collapsed="false">
      <c r="A585" s="25" t="s">
        <v>53</v>
      </c>
      <c r="B585" s="25" t="s">
        <v>59</v>
      </c>
      <c r="C585" s="25" t="s">
        <v>48</v>
      </c>
      <c r="D585" s="25" t="n">
        <v>19</v>
      </c>
      <c r="E585" s="25" t="s">
        <v>616</v>
      </c>
      <c r="F585" s="25" t="s">
        <v>274</v>
      </c>
      <c r="G585" s="25" t="n">
        <v>1515</v>
      </c>
      <c r="H585" s="25" t="s">
        <v>670</v>
      </c>
      <c r="I585" s="25" t="n">
        <v>1</v>
      </c>
      <c r="J585" s="26" t="n">
        <v>3900</v>
      </c>
      <c r="K585" s="25" t="s">
        <v>618</v>
      </c>
      <c r="L585" s="25" t="s">
        <v>579</v>
      </c>
      <c r="M585" s="26" t="n">
        <f aca="false">IF(AND(L585="Oui",K585="Principal"),I585*J585,0)</f>
        <v>0</v>
      </c>
      <c r="N585" s="25" t="s">
        <v>548</v>
      </c>
      <c r="O585" s="25"/>
      <c r="P585" s="25" t="s">
        <v>550</v>
      </c>
      <c r="Q585" s="25" t="s">
        <v>557</v>
      </c>
      <c r="R585" s="26" t="n">
        <v>2900</v>
      </c>
      <c r="S585" s="26" t="n">
        <f aca="false">IF(AND(L585="Oui",K585="Principal",R585&lt;&gt;""),I585*R585,0)</f>
        <v>0</v>
      </c>
      <c r="T585" s="26" t="n">
        <f aca="false">IF(R585&lt;&gt;"",M585-S585,0)</f>
        <v>0</v>
      </c>
      <c r="U585" s="26" t="n">
        <f aca="false">IF(R585="",M585,0)</f>
        <v>0</v>
      </c>
    </row>
    <row r="586" customFormat="false" ht="15" hidden="false" customHeight="false" outlineLevel="0" collapsed="false">
      <c r="A586" s="33" t="s">
        <v>53</v>
      </c>
      <c r="B586" s="33" t="s">
        <v>59</v>
      </c>
      <c r="C586" s="33" t="s">
        <v>48</v>
      </c>
      <c r="D586" s="33" t="n">
        <v>20</v>
      </c>
      <c r="E586" s="33" t="s">
        <v>616</v>
      </c>
      <c r="F586" s="33" t="s">
        <v>276</v>
      </c>
      <c r="G586" s="33" t="n">
        <v>1509</v>
      </c>
      <c r="H586" s="33" t="s">
        <v>671</v>
      </c>
      <c r="I586" s="33" t="n">
        <v>1</v>
      </c>
      <c r="J586" s="34" t="n">
        <v>5000</v>
      </c>
      <c r="K586" s="33" t="s">
        <v>618</v>
      </c>
      <c r="L586" s="33" t="s">
        <v>579</v>
      </c>
      <c r="M586" s="34" t="n">
        <f aca="false">IF(AND(L586="Oui",K586="Principal"),I586*J586,0)</f>
        <v>0</v>
      </c>
      <c r="N586" s="33" t="s">
        <v>182</v>
      </c>
      <c r="O586" s="33" t="s">
        <v>672</v>
      </c>
      <c r="P586" s="33" t="s">
        <v>550</v>
      </c>
      <c r="Q586" s="33" t="s">
        <v>557</v>
      </c>
      <c r="R586" s="34" t="n">
        <v>3000</v>
      </c>
      <c r="S586" s="34" t="n">
        <f aca="false">IF(AND(L586="Oui",K586="Principal",R586&lt;&gt;""),I586*R586,0)</f>
        <v>0</v>
      </c>
      <c r="T586" s="34" t="n">
        <f aca="false">IF(R586&lt;&gt;"",M586-S586,0)</f>
        <v>0</v>
      </c>
      <c r="U586" s="34" t="n">
        <f aca="false">IF(R586="",M586,0)</f>
        <v>0</v>
      </c>
    </row>
    <row r="587" customFormat="false" ht="15" hidden="false" customHeight="false" outlineLevel="0" collapsed="false">
      <c r="A587" s="25" t="s">
        <v>53</v>
      </c>
      <c r="B587" s="25" t="s">
        <v>59</v>
      </c>
      <c r="C587" s="25" t="s">
        <v>48</v>
      </c>
      <c r="D587" s="25" t="n">
        <v>21</v>
      </c>
      <c r="E587" s="25" t="s">
        <v>616</v>
      </c>
      <c r="F587" s="25" t="s">
        <v>278</v>
      </c>
      <c r="G587" s="25" t="n">
        <v>1522</v>
      </c>
      <c r="H587" s="25" t="s">
        <v>673</v>
      </c>
      <c r="I587" s="25" t="n">
        <v>1</v>
      </c>
      <c r="J587" s="26" t="n">
        <v>4000</v>
      </c>
      <c r="K587" s="25" t="s">
        <v>618</v>
      </c>
      <c r="L587" s="25" t="s">
        <v>579</v>
      </c>
      <c r="M587" s="26" t="n">
        <f aca="false">IF(AND(L587="Oui",K587="Principal"),I587*J587,0)</f>
        <v>0</v>
      </c>
      <c r="N587" s="25" t="s">
        <v>548</v>
      </c>
      <c r="O587" s="25"/>
      <c r="P587" s="25" t="s">
        <v>550</v>
      </c>
      <c r="Q587" s="25" t="s">
        <v>557</v>
      </c>
      <c r="R587" s="26" t="n">
        <v>3000</v>
      </c>
      <c r="S587" s="26" t="n">
        <f aca="false">IF(AND(L587="Oui",K587="Principal",R587&lt;&gt;""),I587*R587,0)</f>
        <v>0</v>
      </c>
      <c r="T587" s="26" t="n">
        <f aca="false">IF(R587&lt;&gt;"",M587-S587,0)</f>
        <v>0</v>
      </c>
      <c r="U587" s="26" t="n">
        <f aca="false">IF(R587="",M587,0)</f>
        <v>0</v>
      </c>
    </row>
    <row r="588" customFormat="false" ht="15" hidden="false" customHeight="false" outlineLevel="0" collapsed="false">
      <c r="A588" s="25" t="s">
        <v>53</v>
      </c>
      <c r="B588" s="25" t="s">
        <v>59</v>
      </c>
      <c r="C588" s="25" t="s">
        <v>48</v>
      </c>
      <c r="D588" s="25" t="n">
        <v>22</v>
      </c>
      <c r="E588" s="25" t="s">
        <v>616</v>
      </c>
      <c r="F588" s="25" t="s">
        <v>280</v>
      </c>
      <c r="G588" s="25" t="n">
        <v>1490</v>
      </c>
      <c r="H588" s="25" t="s">
        <v>674</v>
      </c>
      <c r="I588" s="25" t="n">
        <v>1</v>
      </c>
      <c r="J588" s="26" t="n">
        <v>4000</v>
      </c>
      <c r="K588" s="25" t="s">
        <v>618</v>
      </c>
      <c r="L588" s="25" t="s">
        <v>579</v>
      </c>
      <c r="M588" s="26" t="n">
        <f aca="false">IF(AND(L588="Oui",K588="Principal"),I588*J588,0)</f>
        <v>0</v>
      </c>
      <c r="N588" s="25" t="s">
        <v>548</v>
      </c>
      <c r="O588" s="25"/>
      <c r="P588" s="25" t="s">
        <v>550</v>
      </c>
      <c r="Q588" s="25" t="s">
        <v>557</v>
      </c>
      <c r="R588" s="26" t="n">
        <v>3000</v>
      </c>
      <c r="S588" s="26" t="n">
        <f aca="false">IF(AND(L588="Oui",K588="Principal",R588&lt;&gt;""),I588*R588,0)</f>
        <v>0</v>
      </c>
      <c r="T588" s="26" t="n">
        <f aca="false">IF(R588&lt;&gt;"",M588-S588,0)</f>
        <v>0</v>
      </c>
      <c r="U588" s="26" t="n">
        <f aca="false">IF(R588="",M588,0)</f>
        <v>0</v>
      </c>
    </row>
    <row r="589" customFormat="false" ht="15" hidden="false" customHeight="false" outlineLevel="0" collapsed="false">
      <c r="A589" s="25" t="s">
        <v>53</v>
      </c>
      <c r="B589" s="25" t="s">
        <v>59</v>
      </c>
      <c r="C589" s="25" t="s">
        <v>48</v>
      </c>
      <c r="D589" s="25" t="n">
        <v>23</v>
      </c>
      <c r="E589" s="25" t="s">
        <v>616</v>
      </c>
      <c r="F589" s="25" t="s">
        <v>282</v>
      </c>
      <c r="G589" s="25" t="n">
        <v>1569</v>
      </c>
      <c r="H589" s="25" t="s">
        <v>675</v>
      </c>
      <c r="I589" s="25" t="n">
        <v>1</v>
      </c>
      <c r="J589" s="26" t="n">
        <v>4650</v>
      </c>
      <c r="K589" s="25" t="s">
        <v>618</v>
      </c>
      <c r="L589" s="25" t="s">
        <v>579</v>
      </c>
      <c r="M589" s="26" t="n">
        <f aca="false">IF(AND(L589="Oui",K589="Principal"),I589*J589,0)</f>
        <v>0</v>
      </c>
      <c r="N589" s="25" t="s">
        <v>548</v>
      </c>
      <c r="O589" s="25"/>
      <c r="P589" s="25" t="s">
        <v>550</v>
      </c>
      <c r="Q589" s="25" t="s">
        <v>557</v>
      </c>
      <c r="R589" s="26" t="n">
        <v>3650</v>
      </c>
      <c r="S589" s="26" t="n">
        <f aca="false">IF(AND(L589="Oui",K589="Principal",R589&lt;&gt;""),I589*R589,0)</f>
        <v>0</v>
      </c>
      <c r="T589" s="26" t="n">
        <f aca="false">IF(R589&lt;&gt;"",M589-S589,0)</f>
        <v>0</v>
      </c>
      <c r="U589" s="26" t="n">
        <f aca="false">IF(R589="",M589,0)</f>
        <v>0</v>
      </c>
    </row>
    <row r="590" customFormat="false" ht="15" hidden="false" customHeight="false" outlineLevel="0" collapsed="false">
      <c r="A590" s="25" t="s">
        <v>53</v>
      </c>
      <c r="B590" s="25" t="s">
        <v>59</v>
      </c>
      <c r="C590" s="25" t="s">
        <v>48</v>
      </c>
      <c r="D590" s="25" t="n">
        <v>24</v>
      </c>
      <c r="E590" s="25" t="s">
        <v>577</v>
      </c>
      <c r="F590" s="25" t="s">
        <v>120</v>
      </c>
      <c r="G590" s="25" t="n">
        <v>1199</v>
      </c>
      <c r="H590" s="25" t="s">
        <v>622</v>
      </c>
      <c r="I590" s="25" t="n">
        <v>1</v>
      </c>
      <c r="J590" s="26" t="n">
        <v>7500</v>
      </c>
      <c r="K590" s="25" t="s">
        <v>577</v>
      </c>
      <c r="L590" s="25" t="s">
        <v>579</v>
      </c>
      <c r="M590" s="26" t="n">
        <f aca="false">IF(AND(L590="Oui",K590="Principal"),I590*J590,0)</f>
        <v>0</v>
      </c>
      <c r="N590" s="25" t="s">
        <v>548</v>
      </c>
      <c r="O590" s="25"/>
      <c r="P590" s="25" t="s">
        <v>550</v>
      </c>
      <c r="Q590" s="25" t="s">
        <v>557</v>
      </c>
      <c r="R590" s="26" t="n">
        <v>6000</v>
      </c>
      <c r="S590" s="26" t="n">
        <f aca="false">IF(AND(L590="Oui",K590="Principal",R590&lt;&gt;""),I590*R590,0)</f>
        <v>0</v>
      </c>
      <c r="T590" s="26" t="n">
        <f aca="false">IF(R590&lt;&gt;"",M590-S590,0)</f>
        <v>0</v>
      </c>
      <c r="U590" s="26" t="n">
        <f aca="false">IF(R590="",M590,0)</f>
        <v>0</v>
      </c>
    </row>
    <row r="591" customFormat="false" ht="15" hidden="false" customHeight="false" outlineLevel="0" collapsed="false">
      <c r="A591" s="25" t="s">
        <v>53</v>
      </c>
      <c r="B591" s="25" t="s">
        <v>59</v>
      </c>
      <c r="C591" s="25" t="s">
        <v>49</v>
      </c>
      <c r="D591" s="25" t="n">
        <v>1</v>
      </c>
      <c r="E591" s="25" t="s">
        <v>544</v>
      </c>
      <c r="F591" s="25" t="s">
        <v>151</v>
      </c>
      <c r="G591" s="25" t="n">
        <v>1618</v>
      </c>
      <c r="H591" s="25" t="s">
        <v>600</v>
      </c>
      <c r="I591" s="25" t="n">
        <v>5</v>
      </c>
      <c r="J591" s="26" t="n">
        <v>450</v>
      </c>
      <c r="K591" s="25" t="s">
        <v>546</v>
      </c>
      <c r="L591" s="25" t="s">
        <v>547</v>
      </c>
      <c r="M591" s="26" t="n">
        <f aca="false">IF(AND(L591="Oui",K591="Principal"),I591*J591,0)</f>
        <v>2250</v>
      </c>
      <c r="N591" s="25" t="s">
        <v>548</v>
      </c>
      <c r="O591" s="25"/>
      <c r="P591" s="25" t="s">
        <v>556</v>
      </c>
      <c r="Q591" s="25" t="s">
        <v>557</v>
      </c>
      <c r="R591" s="26" t="n">
        <v>350</v>
      </c>
      <c r="S591" s="26" t="n">
        <f aca="false">IF(AND(L591="Oui",K591="Principal",R591&lt;&gt;""),I591*R591,0)</f>
        <v>1750</v>
      </c>
      <c r="T591" s="26" t="n">
        <f aca="false">IF(R591&lt;&gt;"",M591-S591,0)</f>
        <v>500</v>
      </c>
      <c r="U591" s="26" t="n">
        <f aca="false">IF(R591="",M591,0)</f>
        <v>0</v>
      </c>
    </row>
    <row r="592" customFormat="false" ht="15" hidden="false" customHeight="false" outlineLevel="0" collapsed="false">
      <c r="A592" s="25" t="s">
        <v>53</v>
      </c>
      <c r="B592" s="25" t="s">
        <v>59</v>
      </c>
      <c r="C592" s="25" t="s">
        <v>49</v>
      </c>
      <c r="D592" s="25" t="n">
        <v>2</v>
      </c>
      <c r="E592" s="25" t="s">
        <v>544</v>
      </c>
      <c r="F592" s="25" t="s">
        <v>158</v>
      </c>
      <c r="G592" s="25" t="n">
        <v>1575</v>
      </c>
      <c r="H592" s="25" t="s">
        <v>605</v>
      </c>
      <c r="I592" s="25" t="n">
        <v>4</v>
      </c>
      <c r="J592" s="26" t="n">
        <v>275</v>
      </c>
      <c r="K592" s="25" t="s">
        <v>546</v>
      </c>
      <c r="L592" s="25" t="s">
        <v>547</v>
      </c>
      <c r="M592" s="26" t="n">
        <f aca="false">IF(AND(L592="Oui",K592="Principal"),I592*J592,0)</f>
        <v>1100</v>
      </c>
      <c r="N592" s="25" t="s">
        <v>548</v>
      </c>
      <c r="O592" s="25"/>
      <c r="P592" s="25" t="s">
        <v>556</v>
      </c>
      <c r="Q592" s="25" t="s">
        <v>557</v>
      </c>
      <c r="R592" s="26" t="n">
        <v>175</v>
      </c>
      <c r="S592" s="26" t="n">
        <f aca="false">IF(AND(L592="Oui",K592="Principal",R592&lt;&gt;""),I592*R592,0)</f>
        <v>700</v>
      </c>
      <c r="T592" s="26" t="n">
        <f aca="false">IF(R592&lt;&gt;"",M592-S592,0)</f>
        <v>400</v>
      </c>
      <c r="U592" s="26" t="n">
        <f aca="false">IF(R592="",M592,0)</f>
        <v>0</v>
      </c>
    </row>
    <row r="593" customFormat="false" ht="15" hidden="false" customHeight="false" outlineLevel="0" collapsed="false">
      <c r="A593" s="25" t="s">
        <v>53</v>
      </c>
      <c r="B593" s="25" t="s">
        <v>59</v>
      </c>
      <c r="C593" s="25" t="s">
        <v>49</v>
      </c>
      <c r="D593" s="25" t="n">
        <v>3</v>
      </c>
      <c r="E593" s="25" t="s">
        <v>554</v>
      </c>
      <c r="F593" s="25" t="s">
        <v>88</v>
      </c>
      <c r="G593" s="25" t="n">
        <v>1286</v>
      </c>
      <c r="H593" s="25" t="s">
        <v>580</v>
      </c>
      <c r="I593" s="25" t="n">
        <v>1</v>
      </c>
      <c r="J593" s="26" t="n">
        <v>550</v>
      </c>
      <c r="K593" s="25" t="s">
        <v>546</v>
      </c>
      <c r="L593" s="25" t="s">
        <v>547</v>
      </c>
      <c r="M593" s="26" t="n">
        <f aca="false">IF(AND(L593="Oui",K593="Principal"),I593*J593,0)</f>
        <v>550</v>
      </c>
      <c r="N593" s="25" t="s">
        <v>548</v>
      </c>
      <c r="O593" s="25"/>
      <c r="P593" s="25" t="s">
        <v>550</v>
      </c>
      <c r="Q593" s="25" t="s">
        <v>557</v>
      </c>
      <c r="R593" s="26" t="n">
        <v>450</v>
      </c>
      <c r="S593" s="26" t="n">
        <f aca="false">IF(AND(L593="Oui",K593="Principal",R593&lt;&gt;""),I593*R593,0)</f>
        <v>450</v>
      </c>
      <c r="T593" s="26" t="n">
        <f aca="false">IF(R593&lt;&gt;"",M593-S593,0)</f>
        <v>100</v>
      </c>
      <c r="U593" s="26" t="n">
        <f aca="false">IF(R593="",M593,0)</f>
        <v>0</v>
      </c>
    </row>
    <row r="594" customFormat="false" ht="15" hidden="false" customHeight="false" outlineLevel="0" collapsed="false">
      <c r="A594" s="25" t="s">
        <v>53</v>
      </c>
      <c r="B594" s="25" t="s">
        <v>59</v>
      </c>
      <c r="C594" s="25" t="s">
        <v>49</v>
      </c>
      <c r="D594" s="25" t="n">
        <v>4</v>
      </c>
      <c r="E594" s="25" t="s">
        <v>160</v>
      </c>
      <c r="F594" s="25" t="s">
        <v>160</v>
      </c>
      <c r="G594" s="25" t="n">
        <v>1277</v>
      </c>
      <c r="H594" s="25" t="s">
        <v>606</v>
      </c>
      <c r="I594" s="25" t="n">
        <v>10</v>
      </c>
      <c r="J594" s="26" t="n">
        <v>150</v>
      </c>
      <c r="K594" s="25" t="s">
        <v>546</v>
      </c>
      <c r="L594" s="25" t="s">
        <v>547</v>
      </c>
      <c r="M594" s="26" t="n">
        <f aca="false">IF(AND(L594="Oui",K594="Principal"),I594*J594,0)</f>
        <v>1500</v>
      </c>
      <c r="N594" s="25" t="s">
        <v>548</v>
      </c>
      <c r="O594" s="25"/>
      <c r="P594" s="25" t="s">
        <v>550</v>
      </c>
      <c r="Q594" s="25" t="s">
        <v>557</v>
      </c>
      <c r="R594" s="26"/>
      <c r="S594" s="26" t="n">
        <f aca="false">IF(AND(L594="Oui",K594="Principal",R594&lt;&gt;""),I594*R594,0)</f>
        <v>0</v>
      </c>
      <c r="T594" s="26" t="n">
        <f aca="false">IF(R594&lt;&gt;"",M594-S594,0)</f>
        <v>0</v>
      </c>
      <c r="U594" s="26" t="n">
        <f aca="false">IF(R594="",M594,0)</f>
        <v>1500</v>
      </c>
    </row>
    <row r="595" customFormat="false" ht="15" hidden="false" customHeight="false" outlineLevel="0" collapsed="false">
      <c r="A595" s="25" t="s">
        <v>53</v>
      </c>
      <c r="B595" s="25" t="s">
        <v>59</v>
      </c>
      <c r="C595" s="25" t="s">
        <v>49</v>
      </c>
      <c r="D595" s="25" t="n">
        <v>5</v>
      </c>
      <c r="E595" s="25" t="s">
        <v>563</v>
      </c>
      <c r="F595" s="25" t="s">
        <v>188</v>
      </c>
      <c r="G595" s="25" t="n">
        <v>8</v>
      </c>
      <c r="H595" s="25" t="s">
        <v>188</v>
      </c>
      <c r="I595" s="25" t="n">
        <v>1</v>
      </c>
      <c r="J595" s="26" t="n">
        <v>500</v>
      </c>
      <c r="K595" s="25" t="s">
        <v>546</v>
      </c>
      <c r="L595" s="25" t="s">
        <v>547</v>
      </c>
      <c r="M595" s="26" t="n">
        <f aca="false">IF(AND(L595="Oui",K595="Principal"),I595*J595,0)</f>
        <v>500</v>
      </c>
      <c r="N595" s="25" t="s">
        <v>548</v>
      </c>
      <c r="O595" s="25"/>
      <c r="P595" s="25" t="s">
        <v>559</v>
      </c>
      <c r="Q595" s="25" t="s">
        <v>551</v>
      </c>
      <c r="R595" s="26"/>
      <c r="S595" s="26" t="n">
        <f aca="false">IF(AND(L595="Oui",K595="Principal",R595&lt;&gt;""),I595*R595,0)</f>
        <v>0</v>
      </c>
      <c r="T595" s="26" t="n">
        <f aca="false">IF(R595&lt;&gt;"",M595-S595,0)</f>
        <v>0</v>
      </c>
      <c r="U595" s="26" t="n">
        <f aca="false">IF(R595="",M595,0)</f>
        <v>500</v>
      </c>
    </row>
    <row r="596" customFormat="false" ht="15" hidden="false" customHeight="false" outlineLevel="0" collapsed="false">
      <c r="A596" s="25" t="s">
        <v>53</v>
      </c>
      <c r="B596" s="25" t="s">
        <v>59</v>
      </c>
      <c r="C596" s="25" t="s">
        <v>49</v>
      </c>
      <c r="D596" s="25" t="n">
        <v>6</v>
      </c>
      <c r="E596" s="25" t="s">
        <v>563</v>
      </c>
      <c r="F596" s="25" t="s">
        <v>255</v>
      </c>
      <c r="G596" s="25" t="n">
        <v>1636</v>
      </c>
      <c r="H596" s="25" t="s">
        <v>661</v>
      </c>
      <c r="I596" s="25" t="n">
        <v>1</v>
      </c>
      <c r="J596" s="26" t="n">
        <v>400</v>
      </c>
      <c r="K596" s="25" t="s">
        <v>546</v>
      </c>
      <c r="L596" s="25" t="s">
        <v>547</v>
      </c>
      <c r="M596" s="26" t="n">
        <f aca="false">IF(AND(L596="Oui",K596="Principal"),I596*J596,0)</f>
        <v>400</v>
      </c>
      <c r="N596" s="25" t="s">
        <v>548</v>
      </c>
      <c r="O596" s="25"/>
      <c r="P596" s="25" t="s">
        <v>556</v>
      </c>
      <c r="Q596" s="25" t="s">
        <v>557</v>
      </c>
      <c r="R596" s="26" t="n">
        <v>320</v>
      </c>
      <c r="S596" s="26" t="n">
        <f aca="false">IF(AND(L596="Oui",K596="Principal",R596&lt;&gt;""),I596*R596,0)</f>
        <v>320</v>
      </c>
      <c r="T596" s="26" t="n">
        <f aca="false">IF(R596&lt;&gt;"",M596-S596,0)</f>
        <v>80</v>
      </c>
      <c r="U596" s="26" t="n">
        <f aca="false">IF(R596="",M596,0)</f>
        <v>0</v>
      </c>
    </row>
    <row r="597" customFormat="false" ht="15" hidden="false" customHeight="false" outlineLevel="0" collapsed="false">
      <c r="A597" s="25" t="s">
        <v>53</v>
      </c>
      <c r="B597" s="25" t="s">
        <v>59</v>
      </c>
      <c r="C597" s="25" t="s">
        <v>49</v>
      </c>
      <c r="D597" s="25" t="n">
        <v>7</v>
      </c>
      <c r="E597" s="25" t="s">
        <v>563</v>
      </c>
      <c r="F597" s="25" t="s">
        <v>257</v>
      </c>
      <c r="G597" s="25" t="n">
        <v>1635</v>
      </c>
      <c r="H597" s="25" t="s">
        <v>607</v>
      </c>
      <c r="I597" s="25" t="n">
        <v>2</v>
      </c>
      <c r="J597" s="26" t="n">
        <v>100</v>
      </c>
      <c r="K597" s="25" t="s">
        <v>546</v>
      </c>
      <c r="L597" s="25" t="s">
        <v>547</v>
      </c>
      <c r="M597" s="26" t="n">
        <f aca="false">IF(AND(L597="Oui",K597="Principal"),I597*J597,0)</f>
        <v>200</v>
      </c>
      <c r="N597" s="25" t="s">
        <v>548</v>
      </c>
      <c r="O597" s="25"/>
      <c r="P597" s="25" t="s">
        <v>556</v>
      </c>
      <c r="Q597" s="25" t="s">
        <v>557</v>
      </c>
      <c r="R597" s="26" t="n">
        <v>80</v>
      </c>
      <c r="S597" s="26" t="n">
        <f aca="false">IF(AND(L597="Oui",K597="Principal",R597&lt;&gt;""),I597*R597,0)</f>
        <v>160</v>
      </c>
      <c r="T597" s="26" t="n">
        <f aca="false">IF(R597&lt;&gt;"",M597-S597,0)</f>
        <v>40</v>
      </c>
      <c r="U597" s="26" t="n">
        <f aca="false">IF(R597="",M597,0)</f>
        <v>0</v>
      </c>
    </row>
    <row r="598" customFormat="false" ht="15" hidden="false" customHeight="false" outlineLevel="0" collapsed="false">
      <c r="A598" s="25" t="s">
        <v>53</v>
      </c>
      <c r="B598" s="25" t="s">
        <v>59</v>
      </c>
      <c r="C598" s="25" t="s">
        <v>49</v>
      </c>
      <c r="D598" s="25" t="n">
        <v>8</v>
      </c>
      <c r="E598" s="25" t="s">
        <v>565</v>
      </c>
      <c r="F598" s="25" t="s">
        <v>99</v>
      </c>
      <c r="G598" s="25" t="n">
        <v>1181</v>
      </c>
      <c r="H598" s="25" t="s">
        <v>581</v>
      </c>
      <c r="I598" s="25" t="n">
        <v>2</v>
      </c>
      <c r="J598" s="26" t="n">
        <v>250</v>
      </c>
      <c r="K598" s="25" t="s">
        <v>546</v>
      </c>
      <c r="L598" s="25" t="s">
        <v>547</v>
      </c>
      <c r="M598" s="26" t="n">
        <f aca="false">IF(AND(L598="Oui",K598="Principal"),I598*J598,0)</f>
        <v>500</v>
      </c>
      <c r="N598" s="25" t="s">
        <v>548</v>
      </c>
      <c r="O598" s="25"/>
      <c r="P598" s="25" t="s">
        <v>550</v>
      </c>
      <c r="Q598" s="25" t="s">
        <v>557</v>
      </c>
      <c r="R598" s="26" t="n">
        <v>110</v>
      </c>
      <c r="S598" s="26" t="n">
        <f aca="false">IF(AND(L598="Oui",K598="Principal",R598&lt;&gt;""),I598*R598,0)</f>
        <v>220</v>
      </c>
      <c r="T598" s="26" t="n">
        <f aca="false">IF(R598&lt;&gt;"",M598-S598,0)</f>
        <v>280</v>
      </c>
      <c r="U598" s="26" t="n">
        <f aca="false">IF(R598="",M598,0)</f>
        <v>0</v>
      </c>
    </row>
    <row r="599" customFormat="false" ht="15" hidden="false" customHeight="false" outlineLevel="0" collapsed="false">
      <c r="A599" s="25" t="s">
        <v>53</v>
      </c>
      <c r="B599" s="25" t="s">
        <v>59</v>
      </c>
      <c r="C599" s="25" t="s">
        <v>49</v>
      </c>
      <c r="D599" s="25" t="n">
        <v>9</v>
      </c>
      <c r="E599" s="25" t="s">
        <v>565</v>
      </c>
      <c r="F599" s="25" t="s">
        <v>102</v>
      </c>
      <c r="G599" s="25" t="n">
        <v>1587</v>
      </c>
      <c r="H599" s="25" t="s">
        <v>567</v>
      </c>
      <c r="I599" s="25" t="n">
        <v>1</v>
      </c>
      <c r="J599" s="26" t="n">
        <v>500</v>
      </c>
      <c r="K599" s="25" t="s">
        <v>546</v>
      </c>
      <c r="L599" s="25" t="s">
        <v>547</v>
      </c>
      <c r="M599" s="26" t="n">
        <f aca="false">IF(AND(L599="Oui",K599="Principal"),I599*J599,0)</f>
        <v>500</v>
      </c>
      <c r="N599" s="25" t="s">
        <v>548</v>
      </c>
      <c r="O599" s="25"/>
      <c r="P599" s="25" t="s">
        <v>556</v>
      </c>
      <c r="Q599" s="25" t="s">
        <v>557</v>
      </c>
      <c r="R599" s="26" t="n">
        <v>350</v>
      </c>
      <c r="S599" s="26" t="n">
        <f aca="false">IF(AND(L599="Oui",K599="Principal",R599&lt;&gt;""),I599*R599,0)</f>
        <v>350</v>
      </c>
      <c r="T599" s="26" t="n">
        <f aca="false">IF(R599&lt;&gt;"",M599-S599,0)</f>
        <v>150</v>
      </c>
      <c r="U599" s="26" t="n">
        <f aca="false">IF(R599="",M599,0)</f>
        <v>0</v>
      </c>
    </row>
    <row r="600" customFormat="false" ht="15" hidden="false" customHeight="false" outlineLevel="0" collapsed="false">
      <c r="A600" s="33" t="s">
        <v>53</v>
      </c>
      <c r="B600" s="33" t="s">
        <v>59</v>
      </c>
      <c r="C600" s="33" t="s">
        <v>49</v>
      </c>
      <c r="D600" s="33" t="n">
        <v>10</v>
      </c>
      <c r="E600" s="33" t="s">
        <v>609</v>
      </c>
      <c r="F600" s="33" t="s">
        <v>199</v>
      </c>
      <c r="G600" s="33" t="n">
        <v>1229</v>
      </c>
      <c r="H600" s="33" t="s">
        <v>643</v>
      </c>
      <c r="I600" s="33" t="n">
        <v>1</v>
      </c>
      <c r="J600" s="34" t="n">
        <v>1800</v>
      </c>
      <c r="K600" s="33" t="s">
        <v>546</v>
      </c>
      <c r="L600" s="33" t="s">
        <v>547</v>
      </c>
      <c r="M600" s="34" t="n">
        <f aca="false">IF(AND(L600="Oui",K600="Principal"),I600*J600,0)</f>
        <v>1800</v>
      </c>
      <c r="N600" s="33" t="s">
        <v>182</v>
      </c>
      <c r="O600" s="33" t="s">
        <v>644</v>
      </c>
      <c r="P600" s="33" t="s">
        <v>550</v>
      </c>
      <c r="Q600" s="33" t="s">
        <v>557</v>
      </c>
      <c r="R600" s="34" t="n">
        <v>1500</v>
      </c>
      <c r="S600" s="34" t="n">
        <f aca="false">IF(AND(L600="Oui",K600="Principal",R600&lt;&gt;""),I600*R600,0)</f>
        <v>1500</v>
      </c>
      <c r="T600" s="34" t="n">
        <f aca="false">IF(R600&lt;&gt;"",M600-S600,0)</f>
        <v>300</v>
      </c>
      <c r="U600" s="34" t="n">
        <f aca="false">IF(R600="",M600,0)</f>
        <v>0</v>
      </c>
    </row>
    <row r="601" customFormat="false" ht="15" hidden="false" customHeight="false" outlineLevel="0" collapsed="false">
      <c r="A601" s="25" t="s">
        <v>53</v>
      </c>
      <c r="B601" s="25" t="s">
        <v>59</v>
      </c>
      <c r="C601" s="25" t="s">
        <v>49</v>
      </c>
      <c r="D601" s="25" t="n">
        <v>11</v>
      </c>
      <c r="E601" s="25" t="s">
        <v>554</v>
      </c>
      <c r="F601" s="25" t="s">
        <v>104</v>
      </c>
      <c r="G601" s="25" t="n">
        <v>1589</v>
      </c>
      <c r="H601" s="25" t="s">
        <v>568</v>
      </c>
      <c r="I601" s="25" t="n">
        <v>1</v>
      </c>
      <c r="J601" s="26" t="n">
        <v>900</v>
      </c>
      <c r="K601" s="25" t="s">
        <v>546</v>
      </c>
      <c r="L601" s="25" t="s">
        <v>547</v>
      </c>
      <c r="M601" s="26" t="n">
        <f aca="false">IF(AND(L601="Oui",K601="Principal"),I601*J601,0)</f>
        <v>900</v>
      </c>
      <c r="N601" s="25" t="s">
        <v>548</v>
      </c>
      <c r="O601" s="25"/>
      <c r="P601" s="25" t="s">
        <v>556</v>
      </c>
      <c r="Q601" s="25" t="s">
        <v>557</v>
      </c>
      <c r="R601" s="26" t="n">
        <v>650</v>
      </c>
      <c r="S601" s="26" t="n">
        <f aca="false">IF(AND(L601="Oui",K601="Principal",R601&lt;&gt;""),I601*R601,0)</f>
        <v>650</v>
      </c>
      <c r="T601" s="26" t="n">
        <f aca="false">IF(R601&lt;&gt;"",M601-S601,0)</f>
        <v>250</v>
      </c>
      <c r="U601" s="26" t="n">
        <f aca="false">IF(R601="",M601,0)</f>
        <v>0</v>
      </c>
    </row>
    <row r="602" customFormat="false" ht="15" hidden="false" customHeight="false" outlineLevel="0" collapsed="false">
      <c r="A602" s="25" t="s">
        <v>53</v>
      </c>
      <c r="B602" s="25" t="s">
        <v>59</v>
      </c>
      <c r="C602" s="25" t="s">
        <v>49</v>
      </c>
      <c r="D602" s="25" t="n">
        <v>12</v>
      </c>
      <c r="E602" s="25" t="s">
        <v>565</v>
      </c>
      <c r="F602" s="25" t="s">
        <v>166</v>
      </c>
      <c r="G602" s="25" t="n">
        <v>1604</v>
      </c>
      <c r="H602" s="25" t="s">
        <v>582</v>
      </c>
      <c r="I602" s="25" t="n">
        <v>3</v>
      </c>
      <c r="J602" s="26" t="n">
        <v>700</v>
      </c>
      <c r="K602" s="25" t="s">
        <v>546</v>
      </c>
      <c r="L602" s="25" t="s">
        <v>547</v>
      </c>
      <c r="M602" s="26" t="n">
        <f aca="false">IF(AND(L602="Oui",K602="Principal"),I602*J602,0)</f>
        <v>2100</v>
      </c>
      <c r="N602" s="25" t="s">
        <v>548</v>
      </c>
      <c r="O602" s="25"/>
      <c r="P602" s="25" t="s">
        <v>556</v>
      </c>
      <c r="Q602" s="25" t="s">
        <v>557</v>
      </c>
      <c r="R602" s="26" t="n">
        <v>400</v>
      </c>
      <c r="S602" s="26" t="n">
        <f aca="false">IF(AND(L602="Oui",K602="Principal",R602&lt;&gt;""),I602*R602,0)</f>
        <v>1200</v>
      </c>
      <c r="T602" s="26" t="n">
        <f aca="false">IF(R602&lt;&gt;"",M602-S602,0)</f>
        <v>900</v>
      </c>
      <c r="U602" s="26" t="n">
        <f aca="false">IF(R602="",M602,0)</f>
        <v>0</v>
      </c>
    </row>
    <row r="603" customFormat="false" ht="15" hidden="false" customHeight="false" outlineLevel="0" collapsed="false">
      <c r="A603" s="25" t="s">
        <v>53</v>
      </c>
      <c r="B603" s="25" t="s">
        <v>59</v>
      </c>
      <c r="C603" s="25" t="s">
        <v>49</v>
      </c>
      <c r="D603" s="25" t="n">
        <v>13</v>
      </c>
      <c r="E603" s="25" t="s">
        <v>565</v>
      </c>
      <c r="F603" s="25" t="s">
        <v>110</v>
      </c>
      <c r="G603" s="25" t="n">
        <v>1586</v>
      </c>
      <c r="H603" s="25" t="s">
        <v>583</v>
      </c>
      <c r="I603" s="25" t="n">
        <v>1</v>
      </c>
      <c r="J603" s="26" t="n">
        <v>900</v>
      </c>
      <c r="K603" s="25" t="s">
        <v>546</v>
      </c>
      <c r="L603" s="25" t="s">
        <v>547</v>
      </c>
      <c r="M603" s="26" t="n">
        <f aca="false">IF(AND(L603="Oui",K603="Principal"),I603*J603,0)</f>
        <v>900</v>
      </c>
      <c r="N603" s="25" t="s">
        <v>548</v>
      </c>
      <c r="O603" s="25"/>
      <c r="P603" s="25" t="s">
        <v>556</v>
      </c>
      <c r="Q603" s="25" t="s">
        <v>557</v>
      </c>
      <c r="R603" s="26" t="n">
        <v>650</v>
      </c>
      <c r="S603" s="26" t="n">
        <f aca="false">IF(AND(L603="Oui",K603="Principal",R603&lt;&gt;""),I603*R603,0)</f>
        <v>650</v>
      </c>
      <c r="T603" s="26" t="n">
        <f aca="false">IF(R603&lt;&gt;"",M603-S603,0)</f>
        <v>250</v>
      </c>
      <c r="U603" s="26" t="n">
        <f aca="false">IF(R603="",M603,0)</f>
        <v>0</v>
      </c>
    </row>
    <row r="604" customFormat="false" ht="15" hidden="false" customHeight="false" outlineLevel="0" collapsed="false">
      <c r="A604" s="25" t="s">
        <v>53</v>
      </c>
      <c r="B604" s="25" t="s">
        <v>59</v>
      </c>
      <c r="C604" s="25" t="s">
        <v>49</v>
      </c>
      <c r="D604" s="25" t="n">
        <v>14</v>
      </c>
      <c r="E604" s="25" t="s">
        <v>167</v>
      </c>
      <c r="F604" s="25" t="s">
        <v>167</v>
      </c>
      <c r="G604" s="25" t="n">
        <v>1714</v>
      </c>
      <c r="H604" s="25" t="s">
        <v>623</v>
      </c>
      <c r="I604" s="25" t="n">
        <v>1</v>
      </c>
      <c r="J604" s="26" t="n">
        <v>1000</v>
      </c>
      <c r="K604" s="25" t="s">
        <v>546</v>
      </c>
      <c r="L604" s="25" t="s">
        <v>547</v>
      </c>
      <c r="M604" s="26" t="n">
        <f aca="false">IF(AND(L604="Oui",K604="Principal"),I604*J604,0)</f>
        <v>1000</v>
      </c>
      <c r="N604" s="25" t="s">
        <v>548</v>
      </c>
      <c r="O604" s="25"/>
      <c r="P604" s="25" t="s">
        <v>561</v>
      </c>
      <c r="Q604" s="25" t="s">
        <v>557</v>
      </c>
      <c r="R604" s="26" t="n">
        <v>718</v>
      </c>
      <c r="S604" s="26" t="n">
        <f aca="false">IF(AND(L604="Oui",K604="Principal",R604&lt;&gt;""),I604*R604,0)</f>
        <v>718</v>
      </c>
      <c r="T604" s="26" t="n">
        <f aca="false">IF(R604&lt;&gt;"",M604-S604,0)</f>
        <v>282</v>
      </c>
      <c r="U604" s="26" t="n">
        <f aca="false">IF(R604="",M604,0)</f>
        <v>0</v>
      </c>
    </row>
    <row r="605" customFormat="false" ht="15" hidden="false" customHeight="false" outlineLevel="0" collapsed="false">
      <c r="A605" s="31" t="s">
        <v>53</v>
      </c>
      <c r="B605" s="31" t="s">
        <v>59</v>
      </c>
      <c r="C605" s="31" t="s">
        <v>49</v>
      </c>
      <c r="D605" s="31" t="n">
        <v>15</v>
      </c>
      <c r="E605" s="31" t="s">
        <v>167</v>
      </c>
      <c r="F605" s="31" t="s">
        <v>170</v>
      </c>
      <c r="G605" s="31" t="s">
        <v>611</v>
      </c>
      <c r="H605" s="31" t="s">
        <v>612</v>
      </c>
      <c r="I605" s="31" t="n">
        <v>20</v>
      </c>
      <c r="J605" s="32" t="n">
        <v>25</v>
      </c>
      <c r="K605" s="31" t="s">
        <v>546</v>
      </c>
      <c r="L605" s="31" t="s">
        <v>547</v>
      </c>
      <c r="M605" s="32" t="n">
        <f aca="false">IF(AND(L605="Oui",K605="Principal"),I605*J605,0)</f>
        <v>500</v>
      </c>
      <c r="N605" s="31" t="s">
        <v>172</v>
      </c>
      <c r="O605" s="31" t="s">
        <v>613</v>
      </c>
      <c r="P605" s="31" t="s">
        <v>550</v>
      </c>
      <c r="Q605" s="31" t="s">
        <v>557</v>
      </c>
      <c r="R605" s="32" t="n">
        <v>25</v>
      </c>
      <c r="S605" s="32" t="n">
        <f aca="false">IF(AND(L605="Oui",K605="Principal",R605&lt;&gt;""),I605*R605,0)</f>
        <v>500</v>
      </c>
      <c r="T605" s="32" t="n">
        <f aca="false">IF(R605&lt;&gt;"",M605-S605,0)</f>
        <v>0</v>
      </c>
      <c r="U605" s="32" t="n">
        <f aca="false">IF(R605="",M605,0)</f>
        <v>0</v>
      </c>
    </row>
    <row r="606" customFormat="false" ht="15" hidden="false" customHeight="false" outlineLevel="0" collapsed="false">
      <c r="A606" s="25" t="s">
        <v>53</v>
      </c>
      <c r="B606" s="25" t="s">
        <v>59</v>
      </c>
      <c r="C606" s="25" t="s">
        <v>49</v>
      </c>
      <c r="D606" s="25" t="n">
        <v>16</v>
      </c>
      <c r="E606" s="25" t="s">
        <v>167</v>
      </c>
      <c r="F606" s="25" t="s">
        <v>173</v>
      </c>
      <c r="G606" s="25" t="n">
        <v>1202</v>
      </c>
      <c r="H606" s="25" t="s">
        <v>599</v>
      </c>
      <c r="I606" s="25" t="n">
        <v>1</v>
      </c>
      <c r="J606" s="26" t="n">
        <v>250</v>
      </c>
      <c r="K606" s="25" t="s">
        <v>546</v>
      </c>
      <c r="L606" s="25" t="s">
        <v>547</v>
      </c>
      <c r="M606" s="26" t="n">
        <f aca="false">IF(AND(L606="Oui",K606="Principal"),I606*J606,0)</f>
        <v>250</v>
      </c>
      <c r="N606" s="25" t="s">
        <v>548</v>
      </c>
      <c r="O606" s="25"/>
      <c r="P606" s="25" t="s">
        <v>550</v>
      </c>
      <c r="Q606" s="25" t="s">
        <v>557</v>
      </c>
      <c r="R606" s="26" t="n">
        <v>100</v>
      </c>
      <c r="S606" s="26" t="n">
        <f aca="false">IF(AND(L606="Oui",K606="Principal",R606&lt;&gt;""),I606*R606,0)</f>
        <v>100</v>
      </c>
      <c r="T606" s="26" t="n">
        <f aca="false">IF(R606&lt;&gt;"",M606-S606,0)</f>
        <v>150</v>
      </c>
      <c r="U606" s="26" t="n">
        <f aca="false">IF(R606="",M606,0)</f>
        <v>0</v>
      </c>
    </row>
    <row r="607" customFormat="false" ht="15" hidden="false" customHeight="false" outlineLevel="0" collapsed="false">
      <c r="A607" s="25" t="s">
        <v>53</v>
      </c>
      <c r="B607" s="25" t="s">
        <v>59</v>
      </c>
      <c r="C607" s="25" t="s">
        <v>49</v>
      </c>
      <c r="D607" s="25" t="n">
        <v>17</v>
      </c>
      <c r="E607" s="25" t="s">
        <v>573</v>
      </c>
      <c r="F607" s="25" t="s">
        <v>176</v>
      </c>
      <c r="G607" s="25" t="n">
        <v>19</v>
      </c>
      <c r="H607" s="25" t="s">
        <v>615</v>
      </c>
      <c r="I607" s="25" t="n">
        <v>1</v>
      </c>
      <c r="J607" s="26" t="n">
        <v>2500</v>
      </c>
      <c r="K607" s="25" t="s">
        <v>546</v>
      </c>
      <c r="L607" s="25" t="s">
        <v>547</v>
      </c>
      <c r="M607" s="26" t="n">
        <f aca="false">IF(AND(L607="Oui",K607="Principal"),I607*J607,0)</f>
        <v>2500</v>
      </c>
      <c r="N607" s="25" t="s">
        <v>548</v>
      </c>
      <c r="O607" s="25"/>
      <c r="P607" s="25" t="s">
        <v>559</v>
      </c>
      <c r="Q607" s="25" t="s">
        <v>551</v>
      </c>
      <c r="R607" s="26"/>
      <c r="S607" s="26" t="n">
        <f aca="false">IF(AND(L607="Oui",K607="Principal",R607&lt;&gt;""),I607*R607,0)</f>
        <v>0</v>
      </c>
      <c r="T607" s="26" t="n">
        <f aca="false">IF(R607&lt;&gt;"",M607-S607,0)</f>
        <v>0</v>
      </c>
      <c r="U607" s="26" t="n">
        <f aca="false">IF(R607="",M607,0)</f>
        <v>2500</v>
      </c>
    </row>
    <row r="608" customFormat="false" ht="15" hidden="false" customHeight="false" outlineLevel="0" collapsed="false">
      <c r="A608" s="25" t="s">
        <v>53</v>
      </c>
      <c r="B608" s="25" t="s">
        <v>59</v>
      </c>
      <c r="C608" s="25" t="s">
        <v>49</v>
      </c>
      <c r="D608" s="25" t="n">
        <v>18</v>
      </c>
      <c r="E608" s="25" t="s">
        <v>573</v>
      </c>
      <c r="F608" s="25" t="s">
        <v>117</v>
      </c>
      <c r="G608" s="25" t="n">
        <v>1288</v>
      </c>
      <c r="H608" s="25" t="s">
        <v>624</v>
      </c>
      <c r="I608" s="25" t="n">
        <v>1</v>
      </c>
      <c r="J608" s="26" t="n">
        <v>2500</v>
      </c>
      <c r="K608" s="25" t="s">
        <v>546</v>
      </c>
      <c r="L608" s="25" t="s">
        <v>547</v>
      </c>
      <c r="M608" s="26" t="n">
        <f aca="false">IF(AND(L608="Oui",K608="Principal"),I608*J608,0)</f>
        <v>2500</v>
      </c>
      <c r="N608" s="25" t="s">
        <v>548</v>
      </c>
      <c r="O608" s="25"/>
      <c r="P608" s="25" t="s">
        <v>550</v>
      </c>
      <c r="Q608" s="25" t="s">
        <v>557</v>
      </c>
      <c r="R608" s="26" t="n">
        <v>2000</v>
      </c>
      <c r="S608" s="26" t="n">
        <f aca="false">IF(AND(L608="Oui",K608="Principal",R608&lt;&gt;""),I608*R608,0)</f>
        <v>2000</v>
      </c>
      <c r="T608" s="26" t="n">
        <f aca="false">IF(R608&lt;&gt;"",M608-S608,0)</f>
        <v>500</v>
      </c>
      <c r="U608" s="26" t="n">
        <f aca="false">IF(R608="",M608,0)</f>
        <v>0</v>
      </c>
    </row>
    <row r="609" customFormat="false" ht="15" hidden="false" customHeight="false" outlineLevel="0" collapsed="false">
      <c r="A609" s="25" t="s">
        <v>53</v>
      </c>
      <c r="B609" s="25" t="s">
        <v>59</v>
      </c>
      <c r="C609" s="25" t="s">
        <v>49</v>
      </c>
      <c r="D609" s="25" t="n">
        <v>19</v>
      </c>
      <c r="E609" s="25" t="s">
        <v>616</v>
      </c>
      <c r="F609" s="25" t="s">
        <v>274</v>
      </c>
      <c r="G609" s="25" t="n">
        <v>1515</v>
      </c>
      <c r="H609" s="25" t="s">
        <v>670</v>
      </c>
      <c r="I609" s="25" t="n">
        <v>1</v>
      </c>
      <c r="J609" s="26" t="n">
        <v>3900</v>
      </c>
      <c r="K609" s="25" t="s">
        <v>546</v>
      </c>
      <c r="L609" s="25" t="s">
        <v>547</v>
      </c>
      <c r="M609" s="26" t="n">
        <f aca="false">IF(AND(L609="Oui",K609="Principal"),I609*J609,0)</f>
        <v>3900</v>
      </c>
      <c r="N609" s="25" t="s">
        <v>548</v>
      </c>
      <c r="O609" s="25"/>
      <c r="P609" s="25" t="s">
        <v>550</v>
      </c>
      <c r="Q609" s="25" t="s">
        <v>557</v>
      </c>
      <c r="R609" s="26" t="n">
        <v>2900</v>
      </c>
      <c r="S609" s="26" t="n">
        <f aca="false">IF(AND(L609="Oui",K609="Principal",R609&lt;&gt;""),I609*R609,0)</f>
        <v>2900</v>
      </c>
      <c r="T609" s="26" t="n">
        <f aca="false">IF(R609&lt;&gt;"",M609-S609,0)</f>
        <v>1000</v>
      </c>
      <c r="U609" s="26" t="n">
        <f aca="false">IF(R609="",M609,0)</f>
        <v>0</v>
      </c>
    </row>
    <row r="610" customFormat="false" ht="15" hidden="false" customHeight="false" outlineLevel="0" collapsed="false">
      <c r="A610" s="33" t="s">
        <v>53</v>
      </c>
      <c r="B610" s="33" t="s">
        <v>59</v>
      </c>
      <c r="C610" s="33" t="s">
        <v>49</v>
      </c>
      <c r="D610" s="33" t="n">
        <v>20</v>
      </c>
      <c r="E610" s="33" t="s">
        <v>616</v>
      </c>
      <c r="F610" s="33" t="s">
        <v>276</v>
      </c>
      <c r="G610" s="33" t="n">
        <v>1509</v>
      </c>
      <c r="H610" s="33" t="s">
        <v>671</v>
      </c>
      <c r="I610" s="33" t="n">
        <v>1</v>
      </c>
      <c r="J610" s="34" t="n">
        <v>5000</v>
      </c>
      <c r="K610" s="33" t="s">
        <v>546</v>
      </c>
      <c r="L610" s="33" t="s">
        <v>547</v>
      </c>
      <c r="M610" s="34" t="n">
        <f aca="false">IF(AND(L610="Oui",K610="Principal"),I610*J610,0)</f>
        <v>5000</v>
      </c>
      <c r="N610" s="33" t="s">
        <v>182</v>
      </c>
      <c r="O610" s="33" t="s">
        <v>672</v>
      </c>
      <c r="P610" s="33" t="s">
        <v>550</v>
      </c>
      <c r="Q610" s="33" t="s">
        <v>557</v>
      </c>
      <c r="R610" s="34" t="n">
        <v>3000</v>
      </c>
      <c r="S610" s="34" t="n">
        <f aca="false">IF(AND(L610="Oui",K610="Principal",R610&lt;&gt;""),I610*R610,0)</f>
        <v>3000</v>
      </c>
      <c r="T610" s="34" t="n">
        <f aca="false">IF(R610&lt;&gt;"",M610-S610,0)</f>
        <v>2000</v>
      </c>
      <c r="U610" s="34" t="n">
        <f aca="false">IF(R610="",M610,0)</f>
        <v>0</v>
      </c>
    </row>
    <row r="611" customFormat="false" ht="15" hidden="false" customHeight="false" outlineLevel="0" collapsed="false">
      <c r="A611" s="25" t="s">
        <v>53</v>
      </c>
      <c r="B611" s="25" t="s">
        <v>59</v>
      </c>
      <c r="C611" s="25" t="s">
        <v>49</v>
      </c>
      <c r="D611" s="25" t="n">
        <v>21</v>
      </c>
      <c r="E611" s="25" t="s">
        <v>616</v>
      </c>
      <c r="F611" s="25" t="s">
        <v>278</v>
      </c>
      <c r="G611" s="25" t="n">
        <v>1522</v>
      </c>
      <c r="H611" s="25" t="s">
        <v>673</v>
      </c>
      <c r="I611" s="25" t="n">
        <v>1</v>
      </c>
      <c r="J611" s="26" t="n">
        <v>4000</v>
      </c>
      <c r="K611" s="25" t="s">
        <v>546</v>
      </c>
      <c r="L611" s="25" t="s">
        <v>547</v>
      </c>
      <c r="M611" s="26" t="n">
        <f aca="false">IF(AND(L611="Oui",K611="Principal"),I611*J611,0)</f>
        <v>4000</v>
      </c>
      <c r="N611" s="25" t="s">
        <v>548</v>
      </c>
      <c r="O611" s="25"/>
      <c r="P611" s="25" t="s">
        <v>550</v>
      </c>
      <c r="Q611" s="25" t="s">
        <v>557</v>
      </c>
      <c r="R611" s="26" t="n">
        <v>3000</v>
      </c>
      <c r="S611" s="26" t="n">
        <f aca="false">IF(AND(L611="Oui",K611="Principal",R611&lt;&gt;""),I611*R611,0)</f>
        <v>3000</v>
      </c>
      <c r="T611" s="26" t="n">
        <f aca="false">IF(R611&lt;&gt;"",M611-S611,0)</f>
        <v>1000</v>
      </c>
      <c r="U611" s="26" t="n">
        <f aca="false">IF(R611="",M611,0)</f>
        <v>0</v>
      </c>
    </row>
    <row r="612" customFormat="false" ht="15" hidden="false" customHeight="false" outlineLevel="0" collapsed="false">
      <c r="A612" s="25" t="s">
        <v>53</v>
      </c>
      <c r="B612" s="25" t="s">
        <v>59</v>
      </c>
      <c r="C612" s="25" t="s">
        <v>49</v>
      </c>
      <c r="D612" s="25" t="n">
        <v>22</v>
      </c>
      <c r="E612" s="25" t="s">
        <v>616</v>
      </c>
      <c r="F612" s="25" t="s">
        <v>280</v>
      </c>
      <c r="G612" s="25" t="n">
        <v>1490</v>
      </c>
      <c r="H612" s="25" t="s">
        <v>674</v>
      </c>
      <c r="I612" s="25" t="n">
        <v>1</v>
      </c>
      <c r="J612" s="26" t="n">
        <v>4000</v>
      </c>
      <c r="K612" s="25" t="s">
        <v>546</v>
      </c>
      <c r="L612" s="25" t="s">
        <v>547</v>
      </c>
      <c r="M612" s="26" t="n">
        <f aca="false">IF(AND(L612="Oui",K612="Principal"),I612*J612,0)</f>
        <v>4000</v>
      </c>
      <c r="N612" s="25" t="s">
        <v>548</v>
      </c>
      <c r="O612" s="25"/>
      <c r="P612" s="25" t="s">
        <v>550</v>
      </c>
      <c r="Q612" s="25" t="s">
        <v>557</v>
      </c>
      <c r="R612" s="26" t="n">
        <v>3000</v>
      </c>
      <c r="S612" s="26" t="n">
        <f aca="false">IF(AND(L612="Oui",K612="Principal",R612&lt;&gt;""),I612*R612,0)</f>
        <v>3000</v>
      </c>
      <c r="T612" s="26" t="n">
        <f aca="false">IF(R612&lt;&gt;"",M612-S612,0)</f>
        <v>1000</v>
      </c>
      <c r="U612" s="26" t="n">
        <f aca="false">IF(R612="",M612,0)</f>
        <v>0</v>
      </c>
    </row>
    <row r="613" customFormat="false" ht="15" hidden="false" customHeight="false" outlineLevel="0" collapsed="false">
      <c r="A613" s="25" t="s">
        <v>53</v>
      </c>
      <c r="B613" s="25" t="s">
        <v>59</v>
      </c>
      <c r="C613" s="25" t="s">
        <v>49</v>
      </c>
      <c r="D613" s="25" t="n">
        <v>23</v>
      </c>
      <c r="E613" s="25" t="s">
        <v>616</v>
      </c>
      <c r="F613" s="25" t="s">
        <v>282</v>
      </c>
      <c r="G613" s="25" t="n">
        <v>1569</v>
      </c>
      <c r="H613" s="25" t="s">
        <v>675</v>
      </c>
      <c r="I613" s="25" t="n">
        <v>1</v>
      </c>
      <c r="J613" s="26" t="n">
        <v>4650</v>
      </c>
      <c r="K613" s="25" t="s">
        <v>546</v>
      </c>
      <c r="L613" s="25" t="s">
        <v>547</v>
      </c>
      <c r="M613" s="26" t="n">
        <f aca="false">IF(AND(L613="Oui",K613="Principal"),I613*J613,0)</f>
        <v>4650</v>
      </c>
      <c r="N613" s="25" t="s">
        <v>548</v>
      </c>
      <c r="O613" s="25"/>
      <c r="P613" s="25" t="s">
        <v>550</v>
      </c>
      <c r="Q613" s="25" t="s">
        <v>557</v>
      </c>
      <c r="R613" s="26" t="n">
        <v>3650</v>
      </c>
      <c r="S613" s="26" t="n">
        <f aca="false">IF(AND(L613="Oui",K613="Principal",R613&lt;&gt;""),I613*R613,0)</f>
        <v>3650</v>
      </c>
      <c r="T613" s="26" t="n">
        <f aca="false">IF(R613&lt;&gt;"",M613-S613,0)</f>
        <v>1000</v>
      </c>
      <c r="U613" s="26" t="n">
        <f aca="false">IF(R613="",M613,0)</f>
        <v>0</v>
      </c>
    </row>
    <row r="614" customFormat="false" ht="15" hidden="false" customHeight="false" outlineLevel="0" collapsed="false">
      <c r="A614" s="25" t="s">
        <v>53</v>
      </c>
      <c r="B614" s="25" t="s">
        <v>59</v>
      </c>
      <c r="C614" s="25" t="s">
        <v>49</v>
      </c>
      <c r="D614" s="25" t="n">
        <v>24</v>
      </c>
      <c r="E614" s="25" t="s">
        <v>577</v>
      </c>
      <c r="F614" s="25" t="s">
        <v>120</v>
      </c>
      <c r="G614" s="25" t="n">
        <v>1199</v>
      </c>
      <c r="H614" s="25" t="s">
        <v>622</v>
      </c>
      <c r="I614" s="25" t="n">
        <v>1</v>
      </c>
      <c r="J614" s="26" t="n">
        <v>7500</v>
      </c>
      <c r="K614" s="25" t="s">
        <v>577</v>
      </c>
      <c r="L614" s="25" t="s">
        <v>579</v>
      </c>
      <c r="M614" s="26" t="n">
        <f aca="false">IF(AND(L614="Oui",K614="Principal"),I614*J614,0)</f>
        <v>0</v>
      </c>
      <c r="N614" s="25" t="s">
        <v>548</v>
      </c>
      <c r="O614" s="25"/>
      <c r="P614" s="25" t="s">
        <v>550</v>
      </c>
      <c r="Q614" s="25" t="s">
        <v>557</v>
      </c>
      <c r="R614" s="26" t="n">
        <v>6000</v>
      </c>
      <c r="S614" s="26" t="n">
        <f aca="false">IF(AND(L614="Oui",K614="Principal",R614&lt;&gt;""),I614*R614,0)</f>
        <v>0</v>
      </c>
      <c r="T614" s="26" t="n">
        <f aca="false">IF(R614&lt;&gt;"",M614-S614,0)</f>
        <v>0</v>
      </c>
      <c r="U614" s="26" t="n">
        <f aca="false">IF(R614="",M614,0)</f>
        <v>0</v>
      </c>
    </row>
    <row r="615" customFormat="false" ht="15" hidden="false" customHeight="false" outlineLevel="0" collapsed="false">
      <c r="A615" s="25" t="s">
        <v>53</v>
      </c>
      <c r="B615" s="25" t="s">
        <v>59</v>
      </c>
      <c r="C615" s="25" t="s">
        <v>50</v>
      </c>
      <c r="D615" s="25" t="n">
        <v>1</v>
      </c>
      <c r="E615" s="25" t="s">
        <v>544</v>
      </c>
      <c r="F615" s="25" t="s">
        <v>151</v>
      </c>
      <c r="G615" s="25" t="n">
        <v>1618</v>
      </c>
      <c r="H615" s="25" t="s">
        <v>600</v>
      </c>
      <c r="I615" s="25" t="n">
        <v>5</v>
      </c>
      <c r="J615" s="26" t="n">
        <v>450</v>
      </c>
      <c r="K615" s="25" t="s">
        <v>546</v>
      </c>
      <c r="L615" s="25" t="s">
        <v>547</v>
      </c>
      <c r="M615" s="26" t="n">
        <f aca="false">IF(AND(L615="Oui",K615="Principal"),I615*J615,0)</f>
        <v>2250</v>
      </c>
      <c r="N615" s="25" t="s">
        <v>548</v>
      </c>
      <c r="O615" s="25"/>
      <c r="P615" s="25" t="s">
        <v>556</v>
      </c>
      <c r="Q615" s="25" t="s">
        <v>557</v>
      </c>
      <c r="R615" s="26" t="n">
        <v>350</v>
      </c>
      <c r="S615" s="26" t="n">
        <f aca="false">IF(AND(L615="Oui",K615="Principal",R615&lt;&gt;""),I615*R615,0)</f>
        <v>1750</v>
      </c>
      <c r="T615" s="26" t="n">
        <f aca="false">IF(R615&lt;&gt;"",M615-S615,0)</f>
        <v>500</v>
      </c>
      <c r="U615" s="26" t="n">
        <f aca="false">IF(R615="",M615,0)</f>
        <v>0</v>
      </c>
    </row>
    <row r="616" customFormat="false" ht="15" hidden="false" customHeight="false" outlineLevel="0" collapsed="false">
      <c r="A616" s="25" t="s">
        <v>53</v>
      </c>
      <c r="B616" s="25" t="s">
        <v>59</v>
      </c>
      <c r="C616" s="25" t="s">
        <v>50</v>
      </c>
      <c r="D616" s="25" t="n">
        <v>2</v>
      </c>
      <c r="E616" s="25" t="s">
        <v>544</v>
      </c>
      <c r="F616" s="25" t="s">
        <v>158</v>
      </c>
      <c r="G616" s="25" t="n">
        <v>1575</v>
      </c>
      <c r="H616" s="25" t="s">
        <v>605</v>
      </c>
      <c r="I616" s="25" t="n">
        <v>4</v>
      </c>
      <c r="J616" s="26" t="n">
        <v>275</v>
      </c>
      <c r="K616" s="25" t="s">
        <v>546</v>
      </c>
      <c r="L616" s="25" t="s">
        <v>547</v>
      </c>
      <c r="M616" s="26" t="n">
        <f aca="false">IF(AND(L616="Oui",K616="Principal"),I616*J616,0)</f>
        <v>1100</v>
      </c>
      <c r="N616" s="25" t="s">
        <v>548</v>
      </c>
      <c r="O616" s="25"/>
      <c r="P616" s="25" t="s">
        <v>556</v>
      </c>
      <c r="Q616" s="25" t="s">
        <v>557</v>
      </c>
      <c r="R616" s="26" t="n">
        <v>175</v>
      </c>
      <c r="S616" s="26" t="n">
        <f aca="false">IF(AND(L616="Oui",K616="Principal",R616&lt;&gt;""),I616*R616,0)</f>
        <v>700</v>
      </c>
      <c r="T616" s="26" t="n">
        <f aca="false">IF(R616&lt;&gt;"",M616-S616,0)</f>
        <v>400</v>
      </c>
      <c r="U616" s="26" t="n">
        <f aca="false">IF(R616="",M616,0)</f>
        <v>0</v>
      </c>
    </row>
    <row r="617" customFormat="false" ht="15" hidden="false" customHeight="false" outlineLevel="0" collapsed="false">
      <c r="A617" s="25" t="s">
        <v>53</v>
      </c>
      <c r="B617" s="25" t="s">
        <v>59</v>
      </c>
      <c r="C617" s="25" t="s">
        <v>50</v>
      </c>
      <c r="D617" s="25" t="n">
        <v>3</v>
      </c>
      <c r="E617" s="25" t="s">
        <v>554</v>
      </c>
      <c r="F617" s="25" t="s">
        <v>88</v>
      </c>
      <c r="G617" s="25" t="n">
        <v>1286</v>
      </c>
      <c r="H617" s="25" t="s">
        <v>580</v>
      </c>
      <c r="I617" s="25" t="n">
        <v>1</v>
      </c>
      <c r="J617" s="26" t="n">
        <v>550</v>
      </c>
      <c r="K617" s="25" t="s">
        <v>546</v>
      </c>
      <c r="L617" s="25" t="s">
        <v>547</v>
      </c>
      <c r="M617" s="26" t="n">
        <f aca="false">IF(AND(L617="Oui",K617="Principal"),I617*J617,0)</f>
        <v>550</v>
      </c>
      <c r="N617" s="25" t="s">
        <v>548</v>
      </c>
      <c r="O617" s="25"/>
      <c r="P617" s="25" t="s">
        <v>550</v>
      </c>
      <c r="Q617" s="25" t="s">
        <v>557</v>
      </c>
      <c r="R617" s="26" t="n">
        <v>450</v>
      </c>
      <c r="S617" s="26" t="n">
        <f aca="false">IF(AND(L617="Oui",K617="Principal",R617&lt;&gt;""),I617*R617,0)</f>
        <v>450</v>
      </c>
      <c r="T617" s="26" t="n">
        <f aca="false">IF(R617&lt;&gt;"",M617-S617,0)</f>
        <v>100</v>
      </c>
      <c r="U617" s="26" t="n">
        <f aca="false">IF(R617="",M617,0)</f>
        <v>0</v>
      </c>
    </row>
    <row r="618" customFormat="false" ht="15" hidden="false" customHeight="false" outlineLevel="0" collapsed="false">
      <c r="A618" s="25" t="s">
        <v>53</v>
      </c>
      <c r="B618" s="25" t="s">
        <v>59</v>
      </c>
      <c r="C618" s="25" t="s">
        <v>50</v>
      </c>
      <c r="D618" s="25" t="n">
        <v>4</v>
      </c>
      <c r="E618" s="25" t="s">
        <v>160</v>
      </c>
      <c r="F618" s="25" t="s">
        <v>160</v>
      </c>
      <c r="G618" s="25" t="n">
        <v>1277</v>
      </c>
      <c r="H618" s="25" t="s">
        <v>606</v>
      </c>
      <c r="I618" s="25" t="n">
        <v>10</v>
      </c>
      <c r="J618" s="26" t="n">
        <v>150</v>
      </c>
      <c r="K618" s="25" t="s">
        <v>546</v>
      </c>
      <c r="L618" s="25" t="s">
        <v>547</v>
      </c>
      <c r="M618" s="26" t="n">
        <f aca="false">IF(AND(L618="Oui",K618="Principal"),I618*J618,0)</f>
        <v>1500</v>
      </c>
      <c r="N618" s="25" t="s">
        <v>548</v>
      </c>
      <c r="O618" s="25"/>
      <c r="P618" s="25" t="s">
        <v>550</v>
      </c>
      <c r="Q618" s="25" t="s">
        <v>557</v>
      </c>
      <c r="R618" s="26"/>
      <c r="S618" s="26" t="n">
        <f aca="false">IF(AND(L618="Oui",K618="Principal",R618&lt;&gt;""),I618*R618,0)</f>
        <v>0</v>
      </c>
      <c r="T618" s="26" t="n">
        <f aca="false">IF(R618&lt;&gt;"",M618-S618,0)</f>
        <v>0</v>
      </c>
      <c r="U618" s="26" t="n">
        <f aca="false">IF(R618="",M618,0)</f>
        <v>1500</v>
      </c>
    </row>
    <row r="619" customFormat="false" ht="15" hidden="false" customHeight="false" outlineLevel="0" collapsed="false">
      <c r="A619" s="25" t="s">
        <v>53</v>
      </c>
      <c r="B619" s="25" t="s">
        <v>59</v>
      </c>
      <c r="C619" s="25" t="s">
        <v>50</v>
      </c>
      <c r="D619" s="25" t="n">
        <v>5</v>
      </c>
      <c r="E619" s="25" t="s">
        <v>563</v>
      </c>
      <c r="F619" s="25" t="s">
        <v>188</v>
      </c>
      <c r="G619" s="25" t="n">
        <v>8</v>
      </c>
      <c r="H619" s="25" t="s">
        <v>188</v>
      </c>
      <c r="I619" s="25" t="n">
        <v>1</v>
      </c>
      <c r="J619" s="26" t="n">
        <v>500</v>
      </c>
      <c r="K619" s="25" t="s">
        <v>546</v>
      </c>
      <c r="L619" s="25" t="s">
        <v>547</v>
      </c>
      <c r="M619" s="26" t="n">
        <f aca="false">IF(AND(L619="Oui",K619="Principal"),I619*J619,0)</f>
        <v>500</v>
      </c>
      <c r="N619" s="25" t="s">
        <v>548</v>
      </c>
      <c r="O619" s="25"/>
      <c r="P619" s="25" t="s">
        <v>559</v>
      </c>
      <c r="Q619" s="25" t="s">
        <v>551</v>
      </c>
      <c r="R619" s="26"/>
      <c r="S619" s="26" t="n">
        <f aca="false">IF(AND(L619="Oui",K619="Principal",R619&lt;&gt;""),I619*R619,0)</f>
        <v>0</v>
      </c>
      <c r="T619" s="26" t="n">
        <f aca="false">IF(R619&lt;&gt;"",M619-S619,0)</f>
        <v>0</v>
      </c>
      <c r="U619" s="26" t="n">
        <f aca="false">IF(R619="",M619,0)</f>
        <v>500</v>
      </c>
    </row>
    <row r="620" customFormat="false" ht="15" hidden="false" customHeight="false" outlineLevel="0" collapsed="false">
      <c r="A620" s="25" t="s">
        <v>53</v>
      </c>
      <c r="B620" s="25" t="s">
        <v>59</v>
      </c>
      <c r="C620" s="25" t="s">
        <v>50</v>
      </c>
      <c r="D620" s="25" t="n">
        <v>6</v>
      </c>
      <c r="E620" s="25" t="s">
        <v>563</v>
      </c>
      <c r="F620" s="25" t="s">
        <v>255</v>
      </c>
      <c r="G620" s="25" t="n">
        <v>1636</v>
      </c>
      <c r="H620" s="25" t="s">
        <v>661</v>
      </c>
      <c r="I620" s="25" t="n">
        <v>1</v>
      </c>
      <c r="J620" s="26" t="n">
        <v>400</v>
      </c>
      <c r="K620" s="25" t="s">
        <v>546</v>
      </c>
      <c r="L620" s="25" t="s">
        <v>547</v>
      </c>
      <c r="M620" s="26" t="n">
        <f aca="false">IF(AND(L620="Oui",K620="Principal"),I620*J620,0)</f>
        <v>400</v>
      </c>
      <c r="N620" s="25" t="s">
        <v>548</v>
      </c>
      <c r="O620" s="25"/>
      <c r="P620" s="25" t="s">
        <v>556</v>
      </c>
      <c r="Q620" s="25" t="s">
        <v>557</v>
      </c>
      <c r="R620" s="26" t="n">
        <v>320</v>
      </c>
      <c r="S620" s="26" t="n">
        <f aca="false">IF(AND(L620="Oui",K620="Principal",R620&lt;&gt;""),I620*R620,0)</f>
        <v>320</v>
      </c>
      <c r="T620" s="26" t="n">
        <f aca="false">IF(R620&lt;&gt;"",M620-S620,0)</f>
        <v>80</v>
      </c>
      <c r="U620" s="26" t="n">
        <f aca="false">IF(R620="",M620,0)</f>
        <v>0</v>
      </c>
    </row>
    <row r="621" customFormat="false" ht="15" hidden="false" customHeight="false" outlineLevel="0" collapsed="false">
      <c r="A621" s="25" t="s">
        <v>53</v>
      </c>
      <c r="B621" s="25" t="s">
        <v>59</v>
      </c>
      <c r="C621" s="25" t="s">
        <v>50</v>
      </c>
      <c r="D621" s="25" t="n">
        <v>7</v>
      </c>
      <c r="E621" s="25" t="s">
        <v>563</v>
      </c>
      <c r="F621" s="25" t="s">
        <v>257</v>
      </c>
      <c r="G621" s="25" t="n">
        <v>1635</v>
      </c>
      <c r="H621" s="25" t="s">
        <v>607</v>
      </c>
      <c r="I621" s="25" t="n">
        <v>2</v>
      </c>
      <c r="J621" s="26" t="n">
        <v>100</v>
      </c>
      <c r="K621" s="25" t="s">
        <v>546</v>
      </c>
      <c r="L621" s="25" t="s">
        <v>547</v>
      </c>
      <c r="M621" s="26" t="n">
        <f aca="false">IF(AND(L621="Oui",K621="Principal"),I621*J621,0)</f>
        <v>200</v>
      </c>
      <c r="N621" s="25" t="s">
        <v>548</v>
      </c>
      <c r="O621" s="25"/>
      <c r="P621" s="25" t="s">
        <v>556</v>
      </c>
      <c r="Q621" s="25" t="s">
        <v>557</v>
      </c>
      <c r="R621" s="26" t="n">
        <v>80</v>
      </c>
      <c r="S621" s="26" t="n">
        <f aca="false">IF(AND(L621="Oui",K621="Principal",R621&lt;&gt;""),I621*R621,0)</f>
        <v>160</v>
      </c>
      <c r="T621" s="26" t="n">
        <f aca="false">IF(R621&lt;&gt;"",M621-S621,0)</f>
        <v>40</v>
      </c>
      <c r="U621" s="26" t="n">
        <f aca="false">IF(R621="",M621,0)</f>
        <v>0</v>
      </c>
    </row>
    <row r="622" customFormat="false" ht="15" hidden="false" customHeight="false" outlineLevel="0" collapsed="false">
      <c r="A622" s="25" t="s">
        <v>53</v>
      </c>
      <c r="B622" s="25" t="s">
        <v>59</v>
      </c>
      <c r="C622" s="25" t="s">
        <v>50</v>
      </c>
      <c r="D622" s="25" t="n">
        <v>8</v>
      </c>
      <c r="E622" s="25" t="s">
        <v>565</v>
      </c>
      <c r="F622" s="25" t="s">
        <v>99</v>
      </c>
      <c r="G622" s="25" t="n">
        <v>1181</v>
      </c>
      <c r="H622" s="25" t="s">
        <v>581</v>
      </c>
      <c r="I622" s="25" t="n">
        <v>2</v>
      </c>
      <c r="J622" s="26" t="n">
        <v>250</v>
      </c>
      <c r="K622" s="25" t="s">
        <v>546</v>
      </c>
      <c r="L622" s="25" t="s">
        <v>547</v>
      </c>
      <c r="M622" s="26" t="n">
        <f aca="false">IF(AND(L622="Oui",K622="Principal"),I622*J622,0)</f>
        <v>500</v>
      </c>
      <c r="N622" s="25" t="s">
        <v>548</v>
      </c>
      <c r="O622" s="25"/>
      <c r="P622" s="25" t="s">
        <v>550</v>
      </c>
      <c r="Q622" s="25" t="s">
        <v>557</v>
      </c>
      <c r="R622" s="26" t="n">
        <v>110</v>
      </c>
      <c r="S622" s="26" t="n">
        <f aca="false">IF(AND(L622="Oui",K622="Principal",R622&lt;&gt;""),I622*R622,0)</f>
        <v>220</v>
      </c>
      <c r="T622" s="26" t="n">
        <f aca="false">IF(R622&lt;&gt;"",M622-S622,0)</f>
        <v>280</v>
      </c>
      <c r="U622" s="26" t="n">
        <f aca="false">IF(R622="",M622,0)</f>
        <v>0</v>
      </c>
    </row>
    <row r="623" customFormat="false" ht="15" hidden="false" customHeight="false" outlineLevel="0" collapsed="false">
      <c r="A623" s="25" t="s">
        <v>53</v>
      </c>
      <c r="B623" s="25" t="s">
        <v>59</v>
      </c>
      <c r="C623" s="25" t="s">
        <v>50</v>
      </c>
      <c r="D623" s="25" t="n">
        <v>9</v>
      </c>
      <c r="E623" s="25" t="s">
        <v>565</v>
      </c>
      <c r="F623" s="25" t="s">
        <v>102</v>
      </c>
      <c r="G623" s="25" t="n">
        <v>1587</v>
      </c>
      <c r="H623" s="25" t="s">
        <v>567</v>
      </c>
      <c r="I623" s="25" t="n">
        <v>1</v>
      </c>
      <c r="J623" s="26" t="n">
        <v>500</v>
      </c>
      <c r="K623" s="25" t="s">
        <v>546</v>
      </c>
      <c r="L623" s="25" t="s">
        <v>547</v>
      </c>
      <c r="M623" s="26" t="n">
        <f aca="false">IF(AND(L623="Oui",K623="Principal"),I623*J623,0)</f>
        <v>500</v>
      </c>
      <c r="N623" s="25" t="s">
        <v>548</v>
      </c>
      <c r="O623" s="25"/>
      <c r="P623" s="25" t="s">
        <v>556</v>
      </c>
      <c r="Q623" s="25" t="s">
        <v>557</v>
      </c>
      <c r="R623" s="26" t="n">
        <v>350</v>
      </c>
      <c r="S623" s="26" t="n">
        <f aca="false">IF(AND(L623="Oui",K623="Principal",R623&lt;&gt;""),I623*R623,0)</f>
        <v>350</v>
      </c>
      <c r="T623" s="26" t="n">
        <f aca="false">IF(R623&lt;&gt;"",M623-S623,0)</f>
        <v>150</v>
      </c>
      <c r="U623" s="26" t="n">
        <f aca="false">IF(R623="",M623,0)</f>
        <v>0</v>
      </c>
    </row>
    <row r="624" customFormat="false" ht="15" hidden="false" customHeight="false" outlineLevel="0" collapsed="false">
      <c r="A624" s="33" t="s">
        <v>53</v>
      </c>
      <c r="B624" s="33" t="s">
        <v>59</v>
      </c>
      <c r="C624" s="33" t="s">
        <v>50</v>
      </c>
      <c r="D624" s="33" t="n">
        <v>10</v>
      </c>
      <c r="E624" s="33" t="s">
        <v>609</v>
      </c>
      <c r="F624" s="33" t="s">
        <v>199</v>
      </c>
      <c r="G624" s="33" t="n">
        <v>1229</v>
      </c>
      <c r="H624" s="33" t="s">
        <v>643</v>
      </c>
      <c r="I624" s="33" t="n">
        <v>1</v>
      </c>
      <c r="J624" s="34" t="n">
        <v>1800</v>
      </c>
      <c r="K624" s="33" t="s">
        <v>546</v>
      </c>
      <c r="L624" s="33" t="s">
        <v>547</v>
      </c>
      <c r="M624" s="34" t="n">
        <f aca="false">IF(AND(L624="Oui",K624="Principal"),I624*J624,0)</f>
        <v>1800</v>
      </c>
      <c r="N624" s="33" t="s">
        <v>182</v>
      </c>
      <c r="O624" s="33" t="s">
        <v>644</v>
      </c>
      <c r="P624" s="33" t="s">
        <v>550</v>
      </c>
      <c r="Q624" s="33" t="s">
        <v>557</v>
      </c>
      <c r="R624" s="34" t="n">
        <v>1500</v>
      </c>
      <c r="S624" s="34" t="n">
        <f aca="false">IF(AND(L624="Oui",K624="Principal",R624&lt;&gt;""),I624*R624,0)</f>
        <v>1500</v>
      </c>
      <c r="T624" s="34" t="n">
        <f aca="false">IF(R624&lt;&gt;"",M624-S624,0)</f>
        <v>300</v>
      </c>
      <c r="U624" s="34" t="n">
        <f aca="false">IF(R624="",M624,0)</f>
        <v>0</v>
      </c>
    </row>
    <row r="625" customFormat="false" ht="15" hidden="false" customHeight="false" outlineLevel="0" collapsed="false">
      <c r="A625" s="25" t="s">
        <v>53</v>
      </c>
      <c r="B625" s="25" t="s">
        <v>59</v>
      </c>
      <c r="C625" s="25" t="s">
        <v>50</v>
      </c>
      <c r="D625" s="25" t="n">
        <v>11</v>
      </c>
      <c r="E625" s="25" t="s">
        <v>554</v>
      </c>
      <c r="F625" s="25" t="s">
        <v>104</v>
      </c>
      <c r="G625" s="25" t="n">
        <v>1594</v>
      </c>
      <c r="H625" s="25" t="s">
        <v>593</v>
      </c>
      <c r="I625" s="25" t="n">
        <v>1</v>
      </c>
      <c r="J625" s="26" t="n">
        <v>1600</v>
      </c>
      <c r="K625" s="25" t="s">
        <v>546</v>
      </c>
      <c r="L625" s="25" t="s">
        <v>547</v>
      </c>
      <c r="M625" s="26" t="n">
        <f aca="false">IF(AND(L625="Oui",K625="Principal"),I625*J625,0)</f>
        <v>1600</v>
      </c>
      <c r="N625" s="25" t="s">
        <v>548</v>
      </c>
      <c r="O625" s="25"/>
      <c r="P625" s="25" t="s">
        <v>556</v>
      </c>
      <c r="Q625" s="25" t="s">
        <v>557</v>
      </c>
      <c r="R625" s="26" t="n">
        <v>1300</v>
      </c>
      <c r="S625" s="26" t="n">
        <f aca="false">IF(AND(L625="Oui",K625="Principal",R625&lt;&gt;""),I625*R625,0)</f>
        <v>1300</v>
      </c>
      <c r="T625" s="26" t="n">
        <f aca="false">IF(R625&lt;&gt;"",M625-S625,0)</f>
        <v>300</v>
      </c>
      <c r="U625" s="26" t="n">
        <f aca="false">IF(R625="",M625,0)</f>
        <v>0</v>
      </c>
    </row>
    <row r="626" customFormat="false" ht="15" hidden="false" customHeight="false" outlineLevel="0" collapsed="false">
      <c r="A626" s="25" t="s">
        <v>53</v>
      </c>
      <c r="B626" s="25" t="s">
        <v>59</v>
      </c>
      <c r="C626" s="25" t="s">
        <v>50</v>
      </c>
      <c r="D626" s="25" t="n">
        <v>12</v>
      </c>
      <c r="E626" s="25" t="s">
        <v>565</v>
      </c>
      <c r="F626" s="25" t="s">
        <v>166</v>
      </c>
      <c r="G626" s="25" t="n">
        <v>1604</v>
      </c>
      <c r="H626" s="25" t="s">
        <v>582</v>
      </c>
      <c r="I626" s="25" t="n">
        <v>3</v>
      </c>
      <c r="J626" s="26" t="n">
        <v>700</v>
      </c>
      <c r="K626" s="25" t="s">
        <v>546</v>
      </c>
      <c r="L626" s="25" t="s">
        <v>547</v>
      </c>
      <c r="M626" s="26" t="n">
        <f aca="false">IF(AND(L626="Oui",K626="Principal"),I626*J626,0)</f>
        <v>2100</v>
      </c>
      <c r="N626" s="25" t="s">
        <v>548</v>
      </c>
      <c r="O626" s="25"/>
      <c r="P626" s="25" t="s">
        <v>556</v>
      </c>
      <c r="Q626" s="25" t="s">
        <v>557</v>
      </c>
      <c r="R626" s="26" t="n">
        <v>400</v>
      </c>
      <c r="S626" s="26" t="n">
        <f aca="false">IF(AND(L626="Oui",K626="Principal",R626&lt;&gt;""),I626*R626,0)</f>
        <v>1200</v>
      </c>
      <c r="T626" s="26" t="n">
        <f aca="false">IF(R626&lt;&gt;"",M626-S626,0)</f>
        <v>900</v>
      </c>
      <c r="U626" s="26" t="n">
        <f aca="false">IF(R626="",M626,0)</f>
        <v>0</v>
      </c>
    </row>
    <row r="627" customFormat="false" ht="15" hidden="false" customHeight="false" outlineLevel="0" collapsed="false">
      <c r="A627" s="25" t="s">
        <v>53</v>
      </c>
      <c r="B627" s="25" t="s">
        <v>59</v>
      </c>
      <c r="C627" s="25" t="s">
        <v>50</v>
      </c>
      <c r="D627" s="25" t="n">
        <v>13</v>
      </c>
      <c r="E627" s="25" t="s">
        <v>565</v>
      </c>
      <c r="F627" s="25" t="s">
        <v>110</v>
      </c>
      <c r="G627" s="25" t="n">
        <v>1586</v>
      </c>
      <c r="H627" s="25" t="s">
        <v>583</v>
      </c>
      <c r="I627" s="25" t="n">
        <v>1</v>
      </c>
      <c r="J627" s="26" t="n">
        <v>900</v>
      </c>
      <c r="K627" s="25" t="s">
        <v>546</v>
      </c>
      <c r="L627" s="25" t="s">
        <v>547</v>
      </c>
      <c r="M627" s="26" t="n">
        <f aca="false">IF(AND(L627="Oui",K627="Principal"),I627*J627,0)</f>
        <v>900</v>
      </c>
      <c r="N627" s="25" t="s">
        <v>548</v>
      </c>
      <c r="O627" s="25"/>
      <c r="P627" s="25" t="s">
        <v>556</v>
      </c>
      <c r="Q627" s="25" t="s">
        <v>557</v>
      </c>
      <c r="R627" s="26" t="n">
        <v>650</v>
      </c>
      <c r="S627" s="26" t="n">
        <f aca="false">IF(AND(L627="Oui",K627="Principal",R627&lt;&gt;""),I627*R627,0)</f>
        <v>650</v>
      </c>
      <c r="T627" s="26" t="n">
        <f aca="false">IF(R627&lt;&gt;"",M627-S627,0)</f>
        <v>250</v>
      </c>
      <c r="U627" s="26" t="n">
        <f aca="false">IF(R627="",M627,0)</f>
        <v>0</v>
      </c>
    </row>
    <row r="628" customFormat="false" ht="15" hidden="false" customHeight="false" outlineLevel="0" collapsed="false">
      <c r="A628" s="25" t="s">
        <v>53</v>
      </c>
      <c r="B628" s="25" t="s">
        <v>59</v>
      </c>
      <c r="C628" s="25" t="s">
        <v>50</v>
      </c>
      <c r="D628" s="25" t="n">
        <v>14</v>
      </c>
      <c r="E628" s="25" t="s">
        <v>167</v>
      </c>
      <c r="F628" s="25" t="s">
        <v>167</v>
      </c>
      <c r="G628" s="25" t="n">
        <v>1714</v>
      </c>
      <c r="H628" s="25" t="s">
        <v>623</v>
      </c>
      <c r="I628" s="25" t="n">
        <v>1</v>
      </c>
      <c r="J628" s="26" t="n">
        <v>1000</v>
      </c>
      <c r="K628" s="25" t="s">
        <v>546</v>
      </c>
      <c r="L628" s="25" t="s">
        <v>547</v>
      </c>
      <c r="M628" s="26" t="n">
        <f aca="false">IF(AND(L628="Oui",K628="Principal"),I628*J628,0)</f>
        <v>1000</v>
      </c>
      <c r="N628" s="25" t="s">
        <v>548</v>
      </c>
      <c r="O628" s="25"/>
      <c r="P628" s="25" t="s">
        <v>561</v>
      </c>
      <c r="Q628" s="25" t="s">
        <v>557</v>
      </c>
      <c r="R628" s="26" t="n">
        <v>718</v>
      </c>
      <c r="S628" s="26" t="n">
        <f aca="false">IF(AND(L628="Oui",K628="Principal",R628&lt;&gt;""),I628*R628,0)</f>
        <v>718</v>
      </c>
      <c r="T628" s="26" t="n">
        <f aca="false">IF(R628&lt;&gt;"",M628-S628,0)</f>
        <v>282</v>
      </c>
      <c r="U628" s="26" t="n">
        <f aca="false">IF(R628="",M628,0)</f>
        <v>0</v>
      </c>
    </row>
    <row r="629" customFormat="false" ht="15" hidden="false" customHeight="false" outlineLevel="0" collapsed="false">
      <c r="A629" s="31" t="s">
        <v>53</v>
      </c>
      <c r="B629" s="31" t="s">
        <v>59</v>
      </c>
      <c r="C629" s="31" t="s">
        <v>50</v>
      </c>
      <c r="D629" s="31" t="n">
        <v>15</v>
      </c>
      <c r="E629" s="31" t="s">
        <v>167</v>
      </c>
      <c r="F629" s="31" t="s">
        <v>170</v>
      </c>
      <c r="G629" s="31" t="s">
        <v>611</v>
      </c>
      <c r="H629" s="31" t="s">
        <v>612</v>
      </c>
      <c r="I629" s="31" t="n">
        <v>20</v>
      </c>
      <c r="J629" s="32" t="n">
        <v>25</v>
      </c>
      <c r="K629" s="31" t="s">
        <v>546</v>
      </c>
      <c r="L629" s="31" t="s">
        <v>547</v>
      </c>
      <c r="M629" s="32" t="n">
        <f aca="false">IF(AND(L629="Oui",K629="Principal"),I629*J629,0)</f>
        <v>500</v>
      </c>
      <c r="N629" s="31" t="s">
        <v>172</v>
      </c>
      <c r="O629" s="31" t="s">
        <v>613</v>
      </c>
      <c r="P629" s="31" t="s">
        <v>550</v>
      </c>
      <c r="Q629" s="31" t="s">
        <v>557</v>
      </c>
      <c r="R629" s="32" t="n">
        <v>25</v>
      </c>
      <c r="S629" s="32" t="n">
        <f aca="false">IF(AND(L629="Oui",K629="Principal",R629&lt;&gt;""),I629*R629,0)</f>
        <v>500</v>
      </c>
      <c r="T629" s="32" t="n">
        <f aca="false">IF(R629&lt;&gt;"",M629-S629,0)</f>
        <v>0</v>
      </c>
      <c r="U629" s="32" t="n">
        <f aca="false">IF(R629="",M629,0)</f>
        <v>0</v>
      </c>
    </row>
    <row r="630" customFormat="false" ht="15" hidden="false" customHeight="false" outlineLevel="0" collapsed="false">
      <c r="A630" s="25" t="s">
        <v>53</v>
      </c>
      <c r="B630" s="25" t="s">
        <v>59</v>
      </c>
      <c r="C630" s="25" t="s">
        <v>50</v>
      </c>
      <c r="D630" s="25" t="n">
        <v>16</v>
      </c>
      <c r="E630" s="25" t="s">
        <v>167</v>
      </c>
      <c r="F630" s="25" t="s">
        <v>173</v>
      </c>
      <c r="G630" s="25" t="n">
        <v>1202</v>
      </c>
      <c r="H630" s="25" t="s">
        <v>599</v>
      </c>
      <c r="I630" s="25" t="n">
        <v>1</v>
      </c>
      <c r="J630" s="26" t="n">
        <v>250</v>
      </c>
      <c r="K630" s="25" t="s">
        <v>546</v>
      </c>
      <c r="L630" s="25" t="s">
        <v>547</v>
      </c>
      <c r="M630" s="26" t="n">
        <f aca="false">IF(AND(L630="Oui",K630="Principal"),I630*J630,0)</f>
        <v>250</v>
      </c>
      <c r="N630" s="25" t="s">
        <v>548</v>
      </c>
      <c r="O630" s="25"/>
      <c r="P630" s="25" t="s">
        <v>550</v>
      </c>
      <c r="Q630" s="25" t="s">
        <v>557</v>
      </c>
      <c r="R630" s="26" t="n">
        <v>100</v>
      </c>
      <c r="S630" s="26" t="n">
        <f aca="false">IF(AND(L630="Oui",K630="Principal",R630&lt;&gt;""),I630*R630,0)</f>
        <v>100</v>
      </c>
      <c r="T630" s="26" t="n">
        <f aca="false">IF(R630&lt;&gt;"",M630-S630,0)</f>
        <v>150</v>
      </c>
      <c r="U630" s="26" t="n">
        <f aca="false">IF(R630="",M630,0)</f>
        <v>0</v>
      </c>
    </row>
    <row r="631" customFormat="false" ht="15" hidden="false" customHeight="false" outlineLevel="0" collapsed="false">
      <c r="A631" s="25" t="s">
        <v>53</v>
      </c>
      <c r="B631" s="25" t="s">
        <v>59</v>
      </c>
      <c r="C631" s="25" t="s">
        <v>50</v>
      </c>
      <c r="D631" s="25" t="n">
        <v>17</v>
      </c>
      <c r="E631" s="25" t="s">
        <v>573</v>
      </c>
      <c r="F631" s="25" t="s">
        <v>176</v>
      </c>
      <c r="G631" s="25" t="n">
        <v>19</v>
      </c>
      <c r="H631" s="25" t="s">
        <v>615</v>
      </c>
      <c r="I631" s="25" t="n">
        <v>1</v>
      </c>
      <c r="J631" s="26" t="n">
        <v>2500</v>
      </c>
      <c r="K631" s="25" t="s">
        <v>546</v>
      </c>
      <c r="L631" s="25" t="s">
        <v>547</v>
      </c>
      <c r="M631" s="26" t="n">
        <f aca="false">IF(AND(L631="Oui",K631="Principal"),I631*J631,0)</f>
        <v>2500</v>
      </c>
      <c r="N631" s="25" t="s">
        <v>548</v>
      </c>
      <c r="O631" s="25"/>
      <c r="P631" s="25" t="s">
        <v>559</v>
      </c>
      <c r="Q631" s="25" t="s">
        <v>551</v>
      </c>
      <c r="R631" s="26"/>
      <c r="S631" s="26" t="n">
        <f aca="false">IF(AND(L631="Oui",K631="Principal",R631&lt;&gt;""),I631*R631,0)</f>
        <v>0</v>
      </c>
      <c r="T631" s="26" t="n">
        <f aca="false">IF(R631&lt;&gt;"",M631-S631,0)</f>
        <v>0</v>
      </c>
      <c r="U631" s="26" t="n">
        <f aca="false">IF(R631="",M631,0)</f>
        <v>2500</v>
      </c>
    </row>
    <row r="632" customFormat="false" ht="15" hidden="false" customHeight="false" outlineLevel="0" collapsed="false">
      <c r="A632" s="25" t="s">
        <v>53</v>
      </c>
      <c r="B632" s="25" t="s">
        <v>59</v>
      </c>
      <c r="C632" s="25" t="s">
        <v>50</v>
      </c>
      <c r="D632" s="25" t="n">
        <v>18</v>
      </c>
      <c r="E632" s="25" t="s">
        <v>573</v>
      </c>
      <c r="F632" s="25" t="s">
        <v>117</v>
      </c>
      <c r="G632" s="25" t="n">
        <v>1288</v>
      </c>
      <c r="H632" s="25" t="s">
        <v>624</v>
      </c>
      <c r="I632" s="25" t="n">
        <v>1</v>
      </c>
      <c r="J632" s="26" t="n">
        <v>2500</v>
      </c>
      <c r="K632" s="25" t="s">
        <v>546</v>
      </c>
      <c r="L632" s="25" t="s">
        <v>547</v>
      </c>
      <c r="M632" s="26" t="n">
        <f aca="false">IF(AND(L632="Oui",K632="Principal"),I632*J632,0)</f>
        <v>2500</v>
      </c>
      <c r="N632" s="25" t="s">
        <v>548</v>
      </c>
      <c r="O632" s="25"/>
      <c r="P632" s="25" t="s">
        <v>550</v>
      </c>
      <c r="Q632" s="25" t="s">
        <v>557</v>
      </c>
      <c r="R632" s="26" t="n">
        <v>2000</v>
      </c>
      <c r="S632" s="26" t="n">
        <f aca="false">IF(AND(L632="Oui",K632="Principal",R632&lt;&gt;""),I632*R632,0)</f>
        <v>2000</v>
      </c>
      <c r="T632" s="26" t="n">
        <f aca="false">IF(R632&lt;&gt;"",M632-S632,0)</f>
        <v>500</v>
      </c>
      <c r="U632" s="26" t="n">
        <f aca="false">IF(R632="",M632,0)</f>
        <v>0</v>
      </c>
    </row>
    <row r="633" customFormat="false" ht="15" hidden="false" customHeight="false" outlineLevel="0" collapsed="false">
      <c r="A633" s="25" t="s">
        <v>53</v>
      </c>
      <c r="B633" s="25" t="s">
        <v>59</v>
      </c>
      <c r="C633" s="25" t="s">
        <v>50</v>
      </c>
      <c r="D633" s="25" t="n">
        <v>19</v>
      </c>
      <c r="E633" s="25" t="s">
        <v>616</v>
      </c>
      <c r="F633" s="25" t="s">
        <v>274</v>
      </c>
      <c r="G633" s="25" t="n">
        <v>1515</v>
      </c>
      <c r="H633" s="25" t="s">
        <v>670</v>
      </c>
      <c r="I633" s="25" t="n">
        <v>1</v>
      </c>
      <c r="J633" s="26" t="n">
        <v>3900</v>
      </c>
      <c r="K633" s="25" t="s">
        <v>546</v>
      </c>
      <c r="L633" s="25" t="s">
        <v>547</v>
      </c>
      <c r="M633" s="26" t="n">
        <f aca="false">IF(AND(L633="Oui",K633="Principal"),I633*J633,0)</f>
        <v>3900</v>
      </c>
      <c r="N633" s="25" t="s">
        <v>548</v>
      </c>
      <c r="O633" s="25"/>
      <c r="P633" s="25" t="s">
        <v>550</v>
      </c>
      <c r="Q633" s="25" t="s">
        <v>557</v>
      </c>
      <c r="R633" s="26" t="n">
        <v>2900</v>
      </c>
      <c r="S633" s="26" t="n">
        <f aca="false">IF(AND(L633="Oui",K633="Principal",R633&lt;&gt;""),I633*R633,0)</f>
        <v>2900</v>
      </c>
      <c r="T633" s="26" t="n">
        <f aca="false">IF(R633&lt;&gt;"",M633-S633,0)</f>
        <v>1000</v>
      </c>
      <c r="U633" s="26" t="n">
        <f aca="false">IF(R633="",M633,0)</f>
        <v>0</v>
      </c>
    </row>
    <row r="634" customFormat="false" ht="15" hidden="false" customHeight="false" outlineLevel="0" collapsed="false">
      <c r="A634" s="33" t="s">
        <v>53</v>
      </c>
      <c r="B634" s="33" t="s">
        <v>59</v>
      </c>
      <c r="C634" s="33" t="s">
        <v>50</v>
      </c>
      <c r="D634" s="33" t="n">
        <v>20</v>
      </c>
      <c r="E634" s="33" t="s">
        <v>616</v>
      </c>
      <c r="F634" s="33" t="s">
        <v>276</v>
      </c>
      <c r="G634" s="33" t="n">
        <v>1509</v>
      </c>
      <c r="H634" s="33" t="s">
        <v>671</v>
      </c>
      <c r="I634" s="33" t="n">
        <v>1</v>
      </c>
      <c r="J634" s="34" t="n">
        <v>5000</v>
      </c>
      <c r="K634" s="33" t="s">
        <v>546</v>
      </c>
      <c r="L634" s="33" t="s">
        <v>547</v>
      </c>
      <c r="M634" s="34" t="n">
        <f aca="false">IF(AND(L634="Oui",K634="Principal"),I634*J634,0)</f>
        <v>5000</v>
      </c>
      <c r="N634" s="33" t="s">
        <v>182</v>
      </c>
      <c r="O634" s="33" t="s">
        <v>672</v>
      </c>
      <c r="P634" s="33" t="s">
        <v>550</v>
      </c>
      <c r="Q634" s="33" t="s">
        <v>557</v>
      </c>
      <c r="R634" s="34" t="n">
        <v>3000</v>
      </c>
      <c r="S634" s="34" t="n">
        <f aca="false">IF(AND(L634="Oui",K634="Principal",R634&lt;&gt;""),I634*R634,0)</f>
        <v>3000</v>
      </c>
      <c r="T634" s="34" t="n">
        <f aca="false">IF(R634&lt;&gt;"",M634-S634,0)</f>
        <v>2000</v>
      </c>
      <c r="U634" s="34" t="n">
        <f aca="false">IF(R634="",M634,0)</f>
        <v>0</v>
      </c>
    </row>
    <row r="635" customFormat="false" ht="15" hidden="false" customHeight="false" outlineLevel="0" collapsed="false">
      <c r="A635" s="25" t="s">
        <v>53</v>
      </c>
      <c r="B635" s="25" t="s">
        <v>59</v>
      </c>
      <c r="C635" s="25" t="s">
        <v>50</v>
      </c>
      <c r="D635" s="25" t="n">
        <v>21</v>
      </c>
      <c r="E635" s="25" t="s">
        <v>616</v>
      </c>
      <c r="F635" s="25" t="s">
        <v>278</v>
      </c>
      <c r="G635" s="25" t="n">
        <v>1522</v>
      </c>
      <c r="H635" s="25" t="s">
        <v>673</v>
      </c>
      <c r="I635" s="25" t="n">
        <v>1</v>
      </c>
      <c r="J635" s="26" t="n">
        <v>4000</v>
      </c>
      <c r="K635" s="25" t="s">
        <v>546</v>
      </c>
      <c r="L635" s="25" t="s">
        <v>547</v>
      </c>
      <c r="M635" s="26" t="n">
        <f aca="false">IF(AND(L635="Oui",K635="Principal"),I635*J635,0)</f>
        <v>4000</v>
      </c>
      <c r="N635" s="25" t="s">
        <v>548</v>
      </c>
      <c r="O635" s="25"/>
      <c r="P635" s="25" t="s">
        <v>550</v>
      </c>
      <c r="Q635" s="25" t="s">
        <v>557</v>
      </c>
      <c r="R635" s="26" t="n">
        <v>3000</v>
      </c>
      <c r="S635" s="26" t="n">
        <f aca="false">IF(AND(L635="Oui",K635="Principal",R635&lt;&gt;""),I635*R635,0)</f>
        <v>3000</v>
      </c>
      <c r="T635" s="26" t="n">
        <f aca="false">IF(R635&lt;&gt;"",M635-S635,0)</f>
        <v>1000</v>
      </c>
      <c r="U635" s="26" t="n">
        <f aca="false">IF(R635="",M635,0)</f>
        <v>0</v>
      </c>
    </row>
    <row r="636" customFormat="false" ht="15" hidden="false" customHeight="false" outlineLevel="0" collapsed="false">
      <c r="A636" s="25" t="s">
        <v>53</v>
      </c>
      <c r="B636" s="25" t="s">
        <v>59</v>
      </c>
      <c r="C636" s="25" t="s">
        <v>50</v>
      </c>
      <c r="D636" s="25" t="n">
        <v>22</v>
      </c>
      <c r="E636" s="25" t="s">
        <v>616</v>
      </c>
      <c r="F636" s="25" t="s">
        <v>280</v>
      </c>
      <c r="G636" s="25" t="n">
        <v>1490</v>
      </c>
      <c r="H636" s="25" t="s">
        <v>674</v>
      </c>
      <c r="I636" s="25" t="n">
        <v>1</v>
      </c>
      <c r="J636" s="26" t="n">
        <v>4000</v>
      </c>
      <c r="K636" s="25" t="s">
        <v>546</v>
      </c>
      <c r="L636" s="25" t="s">
        <v>547</v>
      </c>
      <c r="M636" s="26" t="n">
        <f aca="false">IF(AND(L636="Oui",K636="Principal"),I636*J636,0)</f>
        <v>4000</v>
      </c>
      <c r="N636" s="25" t="s">
        <v>548</v>
      </c>
      <c r="O636" s="25"/>
      <c r="P636" s="25" t="s">
        <v>550</v>
      </c>
      <c r="Q636" s="25" t="s">
        <v>557</v>
      </c>
      <c r="R636" s="26" t="n">
        <v>3000</v>
      </c>
      <c r="S636" s="26" t="n">
        <f aca="false">IF(AND(L636="Oui",K636="Principal",R636&lt;&gt;""),I636*R636,0)</f>
        <v>3000</v>
      </c>
      <c r="T636" s="26" t="n">
        <f aca="false">IF(R636&lt;&gt;"",M636-S636,0)</f>
        <v>1000</v>
      </c>
      <c r="U636" s="26" t="n">
        <f aca="false">IF(R636="",M636,0)</f>
        <v>0</v>
      </c>
    </row>
    <row r="637" customFormat="false" ht="15" hidden="false" customHeight="false" outlineLevel="0" collapsed="false">
      <c r="A637" s="25" t="s">
        <v>53</v>
      </c>
      <c r="B637" s="25" t="s">
        <v>59</v>
      </c>
      <c r="C637" s="25" t="s">
        <v>50</v>
      </c>
      <c r="D637" s="25" t="n">
        <v>23</v>
      </c>
      <c r="E637" s="25" t="s">
        <v>616</v>
      </c>
      <c r="F637" s="25" t="s">
        <v>282</v>
      </c>
      <c r="G637" s="25" t="n">
        <v>1569</v>
      </c>
      <c r="H637" s="25" t="s">
        <v>675</v>
      </c>
      <c r="I637" s="25" t="n">
        <v>1</v>
      </c>
      <c r="J637" s="26" t="n">
        <v>4650</v>
      </c>
      <c r="K637" s="25" t="s">
        <v>546</v>
      </c>
      <c r="L637" s="25" t="s">
        <v>547</v>
      </c>
      <c r="M637" s="26" t="n">
        <f aca="false">IF(AND(L637="Oui",K637="Principal"),I637*J637,0)</f>
        <v>4650</v>
      </c>
      <c r="N637" s="25" t="s">
        <v>548</v>
      </c>
      <c r="O637" s="25"/>
      <c r="P637" s="25" t="s">
        <v>550</v>
      </c>
      <c r="Q637" s="25" t="s">
        <v>557</v>
      </c>
      <c r="R637" s="26" t="n">
        <v>3650</v>
      </c>
      <c r="S637" s="26" t="n">
        <f aca="false">IF(AND(L637="Oui",K637="Principal",R637&lt;&gt;""),I637*R637,0)</f>
        <v>3650</v>
      </c>
      <c r="T637" s="26" t="n">
        <f aca="false">IF(R637&lt;&gt;"",M637-S637,0)</f>
        <v>1000</v>
      </c>
      <c r="U637" s="26" t="n">
        <f aca="false">IF(R637="",M637,0)</f>
        <v>0</v>
      </c>
    </row>
    <row r="638" customFormat="false" ht="15" hidden="false" customHeight="false" outlineLevel="0" collapsed="false">
      <c r="A638" s="25" t="s">
        <v>53</v>
      </c>
      <c r="B638" s="25" t="s">
        <v>59</v>
      </c>
      <c r="C638" s="25" t="s">
        <v>50</v>
      </c>
      <c r="D638" s="25" t="n">
        <v>24</v>
      </c>
      <c r="E638" s="25" t="s">
        <v>625</v>
      </c>
      <c r="F638" s="25" t="s">
        <v>284</v>
      </c>
      <c r="G638" s="25" t="n">
        <v>1496</v>
      </c>
      <c r="H638" s="25" t="s">
        <v>676</v>
      </c>
      <c r="I638" s="25" t="n">
        <v>1</v>
      </c>
      <c r="J638" s="26" t="n">
        <v>4000</v>
      </c>
      <c r="K638" s="25" t="s">
        <v>546</v>
      </c>
      <c r="L638" s="25" t="s">
        <v>547</v>
      </c>
      <c r="M638" s="26" t="n">
        <f aca="false">IF(AND(L638="Oui",K638="Principal"),I638*J638,0)</f>
        <v>4000</v>
      </c>
      <c r="N638" s="25" t="s">
        <v>548</v>
      </c>
      <c r="O638" s="25"/>
      <c r="P638" s="25" t="s">
        <v>550</v>
      </c>
      <c r="Q638" s="25" t="s">
        <v>557</v>
      </c>
      <c r="R638" s="26" t="n">
        <v>3000</v>
      </c>
      <c r="S638" s="26" t="n">
        <f aca="false">IF(AND(L638="Oui",K638="Principal",R638&lt;&gt;""),I638*R638,0)</f>
        <v>3000</v>
      </c>
      <c r="T638" s="26" t="n">
        <f aca="false">IF(R638&lt;&gt;"",M638-S638,0)</f>
        <v>1000</v>
      </c>
      <c r="U638" s="26" t="n">
        <f aca="false">IF(R638="",M638,0)</f>
        <v>0</v>
      </c>
    </row>
    <row r="639" customFormat="false" ht="15" hidden="false" customHeight="false" outlineLevel="0" collapsed="false">
      <c r="A639" s="25" t="s">
        <v>53</v>
      </c>
      <c r="B639" s="25" t="s">
        <v>59</v>
      </c>
      <c r="C639" s="25" t="s">
        <v>50</v>
      </c>
      <c r="D639" s="25" t="n">
        <v>25</v>
      </c>
      <c r="E639" s="25" t="s">
        <v>625</v>
      </c>
      <c r="F639" s="25" t="s">
        <v>286</v>
      </c>
      <c r="G639" s="25" t="n">
        <v>1537</v>
      </c>
      <c r="H639" s="25" t="s">
        <v>677</v>
      </c>
      <c r="I639" s="25" t="n">
        <v>1</v>
      </c>
      <c r="J639" s="26" t="n">
        <v>3240</v>
      </c>
      <c r="K639" s="25" t="s">
        <v>546</v>
      </c>
      <c r="L639" s="25" t="s">
        <v>547</v>
      </c>
      <c r="M639" s="26" t="n">
        <f aca="false">IF(AND(L639="Oui",K639="Principal"),I639*J639,0)</f>
        <v>3240</v>
      </c>
      <c r="N639" s="25" t="s">
        <v>548</v>
      </c>
      <c r="O639" s="25"/>
      <c r="P639" s="25" t="s">
        <v>550</v>
      </c>
      <c r="Q639" s="25" t="s">
        <v>557</v>
      </c>
      <c r="R639" s="26" t="n">
        <v>2240</v>
      </c>
      <c r="S639" s="26" t="n">
        <f aca="false">IF(AND(L639="Oui",K639="Principal",R639&lt;&gt;""),I639*R639,0)</f>
        <v>2240</v>
      </c>
      <c r="T639" s="26" t="n">
        <f aca="false">IF(R639&lt;&gt;"",M639-S639,0)</f>
        <v>1000</v>
      </c>
      <c r="U639" s="26" t="n">
        <f aca="false">IF(R639="",M639,0)</f>
        <v>0</v>
      </c>
    </row>
    <row r="640" customFormat="false" ht="15" hidden="false" customHeight="false" outlineLevel="0" collapsed="false">
      <c r="A640" s="25" t="s">
        <v>53</v>
      </c>
      <c r="B640" s="25" t="s">
        <v>59</v>
      </c>
      <c r="C640" s="25" t="s">
        <v>50</v>
      </c>
      <c r="D640" s="25" t="n">
        <v>26</v>
      </c>
      <c r="E640" s="25" t="s">
        <v>625</v>
      </c>
      <c r="F640" s="25" t="s">
        <v>288</v>
      </c>
      <c r="G640" s="25" t="n">
        <v>1524</v>
      </c>
      <c r="H640" s="25" t="s">
        <v>678</v>
      </c>
      <c r="I640" s="25" t="n">
        <v>1</v>
      </c>
      <c r="J640" s="26" t="n">
        <v>3240</v>
      </c>
      <c r="K640" s="25" t="s">
        <v>546</v>
      </c>
      <c r="L640" s="25" t="s">
        <v>547</v>
      </c>
      <c r="M640" s="26" t="n">
        <f aca="false">IF(AND(L640="Oui",K640="Principal"),I640*J640,0)</f>
        <v>3240</v>
      </c>
      <c r="N640" s="25" t="s">
        <v>548</v>
      </c>
      <c r="O640" s="25"/>
      <c r="P640" s="25" t="s">
        <v>550</v>
      </c>
      <c r="Q640" s="25" t="s">
        <v>557</v>
      </c>
      <c r="R640" s="26" t="n">
        <v>2240</v>
      </c>
      <c r="S640" s="26" t="n">
        <f aca="false">IF(AND(L640="Oui",K640="Principal",R640&lt;&gt;""),I640*R640,0)</f>
        <v>2240</v>
      </c>
      <c r="T640" s="26" t="n">
        <f aca="false">IF(R640&lt;&gt;"",M640-S640,0)</f>
        <v>1000</v>
      </c>
      <c r="U640" s="26" t="n">
        <f aca="false">IF(R640="",M640,0)</f>
        <v>0</v>
      </c>
    </row>
    <row r="641" customFormat="false" ht="15" hidden="false" customHeight="false" outlineLevel="0" collapsed="false">
      <c r="A641" s="25" t="s">
        <v>53</v>
      </c>
      <c r="B641" s="25" t="s">
        <v>59</v>
      </c>
      <c r="C641" s="25" t="s">
        <v>50</v>
      </c>
      <c r="D641" s="25" t="n">
        <v>27</v>
      </c>
      <c r="E641" s="25" t="s">
        <v>625</v>
      </c>
      <c r="F641" s="25" t="s">
        <v>290</v>
      </c>
      <c r="G641" s="25" t="n">
        <v>1473</v>
      </c>
      <c r="H641" s="25" t="s">
        <v>679</v>
      </c>
      <c r="I641" s="25" t="n">
        <v>1</v>
      </c>
      <c r="J641" s="26" t="n">
        <v>3240</v>
      </c>
      <c r="K641" s="25" t="s">
        <v>546</v>
      </c>
      <c r="L641" s="25" t="s">
        <v>547</v>
      </c>
      <c r="M641" s="26" t="n">
        <f aca="false">IF(AND(L641="Oui",K641="Principal"),I641*J641,0)</f>
        <v>3240</v>
      </c>
      <c r="N641" s="25" t="s">
        <v>548</v>
      </c>
      <c r="O641" s="25"/>
      <c r="P641" s="25" t="s">
        <v>550</v>
      </c>
      <c r="Q641" s="25" t="s">
        <v>557</v>
      </c>
      <c r="R641" s="26" t="n">
        <v>2240</v>
      </c>
      <c r="S641" s="26" t="n">
        <f aca="false">IF(AND(L641="Oui",K641="Principal",R641&lt;&gt;""),I641*R641,0)</f>
        <v>2240</v>
      </c>
      <c r="T641" s="26" t="n">
        <f aca="false">IF(R641&lt;&gt;"",M641-S641,0)</f>
        <v>1000</v>
      </c>
      <c r="U641" s="26" t="n">
        <f aca="false">IF(R641="",M641,0)</f>
        <v>0</v>
      </c>
    </row>
    <row r="642" customFormat="false" ht="15" hidden="false" customHeight="false" outlineLevel="0" collapsed="false">
      <c r="A642" s="25" t="s">
        <v>53</v>
      </c>
      <c r="B642" s="25" t="s">
        <v>59</v>
      </c>
      <c r="C642" s="25" t="s">
        <v>50</v>
      </c>
      <c r="D642" s="25" t="n">
        <v>28</v>
      </c>
      <c r="E642" s="25" t="s">
        <v>625</v>
      </c>
      <c r="F642" s="25" t="s">
        <v>292</v>
      </c>
      <c r="G642" s="25" t="n">
        <v>1483</v>
      </c>
      <c r="H642" s="25" t="s">
        <v>680</v>
      </c>
      <c r="I642" s="25" t="n">
        <v>1</v>
      </c>
      <c r="J642" s="26" t="n">
        <v>3240</v>
      </c>
      <c r="K642" s="25" t="s">
        <v>546</v>
      </c>
      <c r="L642" s="25" t="s">
        <v>547</v>
      </c>
      <c r="M642" s="26" t="n">
        <f aca="false">IF(AND(L642="Oui",K642="Principal"),I642*J642,0)</f>
        <v>3240</v>
      </c>
      <c r="N642" s="25" t="s">
        <v>548</v>
      </c>
      <c r="O642" s="25"/>
      <c r="P642" s="25" t="s">
        <v>550</v>
      </c>
      <c r="Q642" s="25" t="s">
        <v>557</v>
      </c>
      <c r="R642" s="26" t="n">
        <v>2240</v>
      </c>
      <c r="S642" s="26" t="n">
        <f aca="false">IF(AND(L642="Oui",K642="Principal",R642&lt;&gt;""),I642*R642,0)</f>
        <v>2240</v>
      </c>
      <c r="T642" s="26" t="n">
        <f aca="false">IF(R642&lt;&gt;"",M642-S642,0)</f>
        <v>1000</v>
      </c>
      <c r="U642" s="26" t="n">
        <f aca="false">IF(R642="",M642,0)</f>
        <v>0</v>
      </c>
    </row>
    <row r="643" customFormat="false" ht="15" hidden="false" customHeight="false" outlineLevel="0" collapsed="false">
      <c r="A643" s="25" t="s">
        <v>53</v>
      </c>
      <c r="B643" s="25" t="s">
        <v>59</v>
      </c>
      <c r="C643" s="25" t="s">
        <v>50</v>
      </c>
      <c r="D643" s="25" t="n">
        <v>29</v>
      </c>
      <c r="E643" s="25" t="s">
        <v>577</v>
      </c>
      <c r="F643" s="25" t="s">
        <v>120</v>
      </c>
      <c r="G643" s="25" t="n">
        <v>1199</v>
      </c>
      <c r="H643" s="25" t="s">
        <v>622</v>
      </c>
      <c r="I643" s="25" t="n">
        <v>1</v>
      </c>
      <c r="J643" s="26" t="n">
        <v>7500</v>
      </c>
      <c r="K643" s="25" t="s">
        <v>577</v>
      </c>
      <c r="L643" s="25" t="s">
        <v>579</v>
      </c>
      <c r="M643" s="26" t="n">
        <f aca="false">IF(AND(L643="Oui",K643="Principal"),I643*J643,0)</f>
        <v>0</v>
      </c>
      <c r="N643" s="25" t="s">
        <v>548</v>
      </c>
      <c r="O643" s="25"/>
      <c r="P643" s="25" t="s">
        <v>550</v>
      </c>
      <c r="Q643" s="25" t="s">
        <v>557</v>
      </c>
      <c r="R643" s="26" t="n">
        <v>6000</v>
      </c>
      <c r="S643" s="26" t="n">
        <f aca="false">IF(AND(L643="Oui",K643="Principal",R643&lt;&gt;""),I643*R643,0)</f>
        <v>0</v>
      </c>
      <c r="T643" s="26" t="n">
        <f aca="false">IF(R643&lt;&gt;"",M643-S643,0)</f>
        <v>0</v>
      </c>
      <c r="U643" s="26" t="n">
        <f aca="false">IF(R643="",M643,0)</f>
        <v>0</v>
      </c>
    </row>
    <row r="644" customFormat="false" ht="15" hidden="false" customHeight="false" outlineLevel="0" collapsed="false">
      <c r="A644" s="25" t="s">
        <v>60</v>
      </c>
      <c r="B644" s="25" t="s">
        <v>61</v>
      </c>
      <c r="C644" s="25" t="s">
        <v>48</v>
      </c>
      <c r="D644" s="25" t="n">
        <v>1</v>
      </c>
      <c r="E644" s="25" t="s">
        <v>544</v>
      </c>
      <c r="F644" s="25" t="s">
        <v>295</v>
      </c>
      <c r="G644" s="25" t="n">
        <v>1618</v>
      </c>
      <c r="H644" s="25" t="s">
        <v>600</v>
      </c>
      <c r="I644" s="25" t="n">
        <v>2</v>
      </c>
      <c r="J644" s="26" t="n">
        <v>450</v>
      </c>
      <c r="K644" s="25" t="s">
        <v>546</v>
      </c>
      <c r="L644" s="25" t="s">
        <v>547</v>
      </c>
      <c r="M644" s="26" t="n">
        <f aca="false">IF(AND(L644="Oui",K644="Principal"),I644*J644,0)</f>
        <v>900</v>
      </c>
      <c r="N644" s="25" t="s">
        <v>548</v>
      </c>
      <c r="O644" s="25"/>
      <c r="P644" s="25" t="s">
        <v>556</v>
      </c>
      <c r="Q644" s="25" t="s">
        <v>557</v>
      </c>
      <c r="R644" s="26" t="n">
        <v>350</v>
      </c>
      <c r="S644" s="26" t="n">
        <f aca="false">IF(AND(L644="Oui",K644="Principal",R644&lt;&gt;""),I644*R644,0)</f>
        <v>700</v>
      </c>
      <c r="T644" s="26" t="n">
        <f aca="false">IF(R644&lt;&gt;"",M644-S644,0)</f>
        <v>200</v>
      </c>
      <c r="U644" s="26" t="n">
        <f aca="false">IF(R644="",M644,0)</f>
        <v>0</v>
      </c>
    </row>
    <row r="645" customFormat="false" ht="15" hidden="false" customHeight="false" outlineLevel="0" collapsed="false">
      <c r="A645" s="25" t="s">
        <v>60</v>
      </c>
      <c r="B645" s="25" t="s">
        <v>61</v>
      </c>
      <c r="C645" s="25" t="s">
        <v>48</v>
      </c>
      <c r="D645" s="25" t="n">
        <v>2</v>
      </c>
      <c r="E645" s="25" t="s">
        <v>544</v>
      </c>
      <c r="F645" s="25" t="s">
        <v>296</v>
      </c>
      <c r="G645" s="25" t="n">
        <v>1</v>
      </c>
      <c r="H645" s="25" t="s">
        <v>681</v>
      </c>
      <c r="I645" s="25" t="n">
        <v>5</v>
      </c>
      <c r="J645" s="26" t="n">
        <v>500</v>
      </c>
      <c r="K645" s="25" t="s">
        <v>546</v>
      </c>
      <c r="L645" s="25" t="s">
        <v>547</v>
      </c>
      <c r="M645" s="26" t="n">
        <f aca="false">IF(AND(L645="Oui",K645="Principal"),I645*J645,0)</f>
        <v>2500</v>
      </c>
      <c r="N645" s="25" t="s">
        <v>548</v>
      </c>
      <c r="O645" s="25"/>
      <c r="P645" s="25" t="s">
        <v>559</v>
      </c>
      <c r="Q645" s="25" t="s">
        <v>551</v>
      </c>
      <c r="R645" s="26"/>
      <c r="S645" s="26" t="n">
        <f aca="false">IF(AND(L645="Oui",K645="Principal",R645&lt;&gt;""),I645*R645,0)</f>
        <v>0</v>
      </c>
      <c r="T645" s="26" t="n">
        <f aca="false">IF(R645&lt;&gt;"",M645-S645,0)</f>
        <v>0</v>
      </c>
      <c r="U645" s="26" t="n">
        <f aca="false">IF(R645="",M645,0)</f>
        <v>2500</v>
      </c>
    </row>
    <row r="646" customFormat="false" ht="15" hidden="false" customHeight="false" outlineLevel="0" collapsed="false">
      <c r="A646" s="25" t="s">
        <v>60</v>
      </c>
      <c r="B646" s="25" t="s">
        <v>61</v>
      </c>
      <c r="C646" s="25" t="s">
        <v>48</v>
      </c>
      <c r="D646" s="25" t="n">
        <v>3</v>
      </c>
      <c r="E646" s="25" t="s">
        <v>544</v>
      </c>
      <c r="F646" s="25" t="s">
        <v>298</v>
      </c>
      <c r="G646" s="25" t="n">
        <v>1576</v>
      </c>
      <c r="H646" s="25" t="s">
        <v>682</v>
      </c>
      <c r="I646" s="25" t="n">
        <v>2</v>
      </c>
      <c r="J646" s="26" t="n">
        <v>500</v>
      </c>
      <c r="K646" s="25" t="s">
        <v>546</v>
      </c>
      <c r="L646" s="25" t="s">
        <v>547</v>
      </c>
      <c r="M646" s="26" t="n">
        <f aca="false">IF(AND(L646="Oui",K646="Principal"),I646*J646,0)</f>
        <v>1000</v>
      </c>
      <c r="N646" s="25" t="s">
        <v>548</v>
      </c>
      <c r="O646" s="25"/>
      <c r="P646" s="25" t="s">
        <v>556</v>
      </c>
      <c r="Q646" s="25" t="s">
        <v>557</v>
      </c>
      <c r="R646" s="26" t="n">
        <v>400</v>
      </c>
      <c r="S646" s="26" t="n">
        <f aca="false">IF(AND(L646="Oui",K646="Principal",R646&lt;&gt;""),I646*R646,0)</f>
        <v>800</v>
      </c>
      <c r="T646" s="26" t="n">
        <f aca="false">IF(R646&lt;&gt;"",M646-S646,0)</f>
        <v>200</v>
      </c>
      <c r="U646" s="26" t="n">
        <f aca="false">IF(R646="",M646,0)</f>
        <v>0</v>
      </c>
    </row>
    <row r="647" customFormat="false" ht="15" hidden="false" customHeight="false" outlineLevel="0" collapsed="false">
      <c r="A647" s="25" t="s">
        <v>60</v>
      </c>
      <c r="B647" s="25" t="s">
        <v>61</v>
      </c>
      <c r="C647" s="25" t="s">
        <v>48</v>
      </c>
      <c r="D647" s="25" t="n">
        <v>4</v>
      </c>
      <c r="E647" s="25" t="s">
        <v>544</v>
      </c>
      <c r="F647" s="25" t="s">
        <v>301</v>
      </c>
      <c r="G647" s="25" t="n">
        <v>1728</v>
      </c>
      <c r="H647" s="25" t="s">
        <v>545</v>
      </c>
      <c r="I647" s="25" t="n">
        <v>1</v>
      </c>
      <c r="J647" s="26" t="n">
        <v>900</v>
      </c>
      <c r="K647" s="25" t="s">
        <v>546</v>
      </c>
      <c r="L647" s="25" t="s">
        <v>547</v>
      </c>
      <c r="M647" s="26" t="n">
        <f aca="false">IF(AND(L647="Oui",K647="Principal"),I647*J647,0)</f>
        <v>900</v>
      </c>
      <c r="N647" s="25" t="s">
        <v>548</v>
      </c>
      <c r="O647" s="25"/>
      <c r="P647" s="25" t="s">
        <v>550</v>
      </c>
      <c r="Q647" s="25" t="s">
        <v>551</v>
      </c>
      <c r="R647" s="26"/>
      <c r="S647" s="26" t="n">
        <f aca="false">IF(AND(L647="Oui",K647="Principal",R647&lt;&gt;""),I647*R647,0)</f>
        <v>0</v>
      </c>
      <c r="T647" s="26" t="n">
        <f aca="false">IF(R647&lt;&gt;"",M647-S647,0)</f>
        <v>0</v>
      </c>
      <c r="U647" s="26" t="n">
        <f aca="false">IF(R647="",M647,0)</f>
        <v>900</v>
      </c>
    </row>
    <row r="648" customFormat="false" ht="15" hidden="false" customHeight="false" outlineLevel="0" collapsed="false">
      <c r="A648" s="33" t="s">
        <v>60</v>
      </c>
      <c r="B648" s="33" t="s">
        <v>61</v>
      </c>
      <c r="C648" s="33" t="s">
        <v>48</v>
      </c>
      <c r="D648" s="33" t="n">
        <v>5</v>
      </c>
      <c r="E648" s="33" t="s">
        <v>544</v>
      </c>
      <c r="F648" s="33" t="s">
        <v>302</v>
      </c>
      <c r="G648" s="33" t="n">
        <v>1271</v>
      </c>
      <c r="H648" s="33" t="s">
        <v>683</v>
      </c>
      <c r="I648" s="33" t="n">
        <v>1</v>
      </c>
      <c r="J648" s="34" t="n">
        <v>1150</v>
      </c>
      <c r="K648" s="33" t="s">
        <v>546</v>
      </c>
      <c r="L648" s="33" t="s">
        <v>547</v>
      </c>
      <c r="M648" s="34" t="n">
        <f aca="false">IF(AND(L648="Oui",K648="Principal"),I648*J648,0)</f>
        <v>1150</v>
      </c>
      <c r="N648" s="33" t="s">
        <v>182</v>
      </c>
      <c r="O648" s="33" t="s">
        <v>684</v>
      </c>
      <c r="P648" s="33" t="s">
        <v>550</v>
      </c>
      <c r="Q648" s="33" t="s">
        <v>557</v>
      </c>
      <c r="R648" s="34" t="n">
        <v>850</v>
      </c>
      <c r="S648" s="34" t="n">
        <f aca="false">IF(AND(L648="Oui",K648="Principal",R648&lt;&gt;""),I648*R648,0)</f>
        <v>850</v>
      </c>
      <c r="T648" s="34" t="n">
        <f aca="false">IF(R648&lt;&gt;"",M648-S648,0)</f>
        <v>300</v>
      </c>
      <c r="U648" s="34" t="n">
        <f aca="false">IF(R648="",M648,0)</f>
        <v>0</v>
      </c>
    </row>
    <row r="649" customFormat="false" ht="15" hidden="false" customHeight="false" outlineLevel="0" collapsed="false">
      <c r="A649" s="25" t="s">
        <v>60</v>
      </c>
      <c r="B649" s="25" t="s">
        <v>61</v>
      </c>
      <c r="C649" s="25" t="s">
        <v>48</v>
      </c>
      <c r="D649" s="25" t="n">
        <v>6</v>
      </c>
      <c r="E649" s="25" t="s">
        <v>563</v>
      </c>
      <c r="F649" s="25" t="s">
        <v>255</v>
      </c>
      <c r="G649" s="25" t="n">
        <v>1636</v>
      </c>
      <c r="H649" s="25" t="s">
        <v>661</v>
      </c>
      <c r="I649" s="25" t="n">
        <v>1</v>
      </c>
      <c r="J649" s="26" t="n">
        <v>400</v>
      </c>
      <c r="K649" s="25" t="s">
        <v>546</v>
      </c>
      <c r="L649" s="25" t="s">
        <v>547</v>
      </c>
      <c r="M649" s="26" t="n">
        <f aca="false">IF(AND(L649="Oui",K649="Principal"),I649*J649,0)</f>
        <v>400</v>
      </c>
      <c r="N649" s="25" t="s">
        <v>548</v>
      </c>
      <c r="O649" s="25"/>
      <c r="P649" s="25" t="s">
        <v>556</v>
      </c>
      <c r="Q649" s="25" t="s">
        <v>557</v>
      </c>
      <c r="R649" s="26" t="n">
        <v>320</v>
      </c>
      <c r="S649" s="26" t="n">
        <f aca="false">IF(AND(L649="Oui",K649="Principal",R649&lt;&gt;""),I649*R649,0)</f>
        <v>320</v>
      </c>
      <c r="T649" s="26" t="n">
        <f aca="false">IF(R649&lt;&gt;"",M649-S649,0)</f>
        <v>80</v>
      </c>
      <c r="U649" s="26" t="n">
        <f aca="false">IF(R649="",M649,0)</f>
        <v>0</v>
      </c>
    </row>
    <row r="650" customFormat="false" ht="15" hidden="false" customHeight="false" outlineLevel="0" collapsed="false">
      <c r="A650" s="25" t="s">
        <v>60</v>
      </c>
      <c r="B650" s="25" t="s">
        <v>61</v>
      </c>
      <c r="C650" s="25" t="s">
        <v>48</v>
      </c>
      <c r="D650" s="25" t="n">
        <v>7</v>
      </c>
      <c r="E650" s="25" t="s">
        <v>563</v>
      </c>
      <c r="F650" s="25" t="s">
        <v>257</v>
      </c>
      <c r="G650" s="25" t="n">
        <v>1635</v>
      </c>
      <c r="H650" s="25" t="s">
        <v>607</v>
      </c>
      <c r="I650" s="25" t="n">
        <v>1</v>
      </c>
      <c r="J650" s="26" t="n">
        <v>100</v>
      </c>
      <c r="K650" s="25" t="s">
        <v>546</v>
      </c>
      <c r="L650" s="25" t="s">
        <v>547</v>
      </c>
      <c r="M650" s="26" t="n">
        <f aca="false">IF(AND(L650="Oui",K650="Principal"),I650*J650,0)</f>
        <v>100</v>
      </c>
      <c r="N650" s="25" t="s">
        <v>548</v>
      </c>
      <c r="O650" s="25"/>
      <c r="P650" s="25" t="s">
        <v>556</v>
      </c>
      <c r="Q650" s="25" t="s">
        <v>557</v>
      </c>
      <c r="R650" s="26" t="n">
        <v>80</v>
      </c>
      <c r="S650" s="26" t="n">
        <f aca="false">IF(AND(L650="Oui",K650="Principal",R650&lt;&gt;""),I650*R650,0)</f>
        <v>80</v>
      </c>
      <c r="T650" s="26" t="n">
        <f aca="false">IF(R650&lt;&gt;"",M650-S650,0)</f>
        <v>20</v>
      </c>
      <c r="U650" s="26" t="n">
        <f aca="false">IF(R650="",M650,0)</f>
        <v>0</v>
      </c>
    </row>
    <row r="651" customFormat="false" ht="15" hidden="false" customHeight="false" outlineLevel="0" collapsed="false">
      <c r="A651" s="25" t="s">
        <v>60</v>
      </c>
      <c r="B651" s="25" t="s">
        <v>61</v>
      </c>
      <c r="C651" s="25" t="s">
        <v>48</v>
      </c>
      <c r="D651" s="25" t="n">
        <v>8</v>
      </c>
      <c r="E651" s="25" t="s">
        <v>563</v>
      </c>
      <c r="F651" s="25" t="s">
        <v>97</v>
      </c>
      <c r="G651" s="25" t="n">
        <v>1571</v>
      </c>
      <c r="H651" s="25" t="s">
        <v>564</v>
      </c>
      <c r="I651" s="25" t="n">
        <v>2</v>
      </c>
      <c r="J651" s="26" t="n">
        <v>75</v>
      </c>
      <c r="K651" s="25" t="s">
        <v>546</v>
      </c>
      <c r="L651" s="25" t="s">
        <v>547</v>
      </c>
      <c r="M651" s="26" t="n">
        <f aca="false">IF(AND(L651="Oui",K651="Principal"),I651*J651,0)</f>
        <v>150</v>
      </c>
      <c r="N651" s="25" t="s">
        <v>548</v>
      </c>
      <c r="O651" s="25"/>
      <c r="P651" s="25" t="s">
        <v>550</v>
      </c>
      <c r="Q651" s="25" t="s">
        <v>557</v>
      </c>
      <c r="R651" s="26"/>
      <c r="S651" s="26" t="n">
        <f aca="false">IF(AND(L651="Oui",K651="Principal",R651&lt;&gt;""),I651*R651,0)</f>
        <v>0</v>
      </c>
      <c r="T651" s="26" t="n">
        <f aca="false">IF(R651&lt;&gt;"",M651-S651,0)</f>
        <v>0</v>
      </c>
      <c r="U651" s="26" t="n">
        <f aca="false">IF(R651="",M651,0)</f>
        <v>150</v>
      </c>
    </row>
    <row r="652" customFormat="false" ht="15" hidden="false" customHeight="false" outlineLevel="0" collapsed="false">
      <c r="A652" s="25" t="s">
        <v>60</v>
      </c>
      <c r="B652" s="25" t="s">
        <v>61</v>
      </c>
      <c r="C652" s="25" t="s">
        <v>48</v>
      </c>
      <c r="D652" s="25" t="n">
        <v>9</v>
      </c>
      <c r="E652" s="25" t="s">
        <v>565</v>
      </c>
      <c r="F652" s="25" t="s">
        <v>99</v>
      </c>
      <c r="G652" s="25" t="n">
        <v>9</v>
      </c>
      <c r="H652" s="25" t="s">
        <v>566</v>
      </c>
      <c r="I652" s="25" t="n">
        <v>1</v>
      </c>
      <c r="J652" s="26" t="n">
        <v>150</v>
      </c>
      <c r="K652" s="25" t="s">
        <v>546</v>
      </c>
      <c r="L652" s="25" t="s">
        <v>547</v>
      </c>
      <c r="M652" s="26" t="n">
        <f aca="false">IF(AND(L652="Oui",K652="Principal"),I652*J652,0)</f>
        <v>150</v>
      </c>
      <c r="N652" s="25" t="s">
        <v>548</v>
      </c>
      <c r="O652" s="25"/>
      <c r="P652" s="25" t="s">
        <v>559</v>
      </c>
      <c r="Q652" s="25" t="s">
        <v>551</v>
      </c>
      <c r="R652" s="26"/>
      <c r="S652" s="26" t="n">
        <f aca="false">IF(AND(L652="Oui",K652="Principal",R652&lt;&gt;""),I652*R652,0)</f>
        <v>0</v>
      </c>
      <c r="T652" s="26" t="n">
        <f aca="false">IF(R652&lt;&gt;"",M652-S652,0)</f>
        <v>0</v>
      </c>
      <c r="U652" s="26" t="n">
        <f aca="false">IF(R652="",M652,0)</f>
        <v>150</v>
      </c>
    </row>
    <row r="653" customFormat="false" ht="15" hidden="false" customHeight="false" outlineLevel="0" collapsed="false">
      <c r="A653" s="25" t="s">
        <v>60</v>
      </c>
      <c r="B653" s="25" t="s">
        <v>61</v>
      </c>
      <c r="C653" s="25" t="s">
        <v>48</v>
      </c>
      <c r="D653" s="25" t="n">
        <v>10</v>
      </c>
      <c r="E653" s="25" t="s">
        <v>565</v>
      </c>
      <c r="F653" s="25" t="s">
        <v>164</v>
      </c>
      <c r="G653" s="25" t="n">
        <v>10</v>
      </c>
      <c r="H653" s="25" t="s">
        <v>608</v>
      </c>
      <c r="I653" s="25" t="n">
        <v>1</v>
      </c>
      <c r="J653" s="26" t="n">
        <v>200</v>
      </c>
      <c r="K653" s="25" t="s">
        <v>546</v>
      </c>
      <c r="L653" s="25" t="s">
        <v>547</v>
      </c>
      <c r="M653" s="26" t="n">
        <f aca="false">IF(AND(L653="Oui",K653="Principal"),I653*J653,0)</f>
        <v>200</v>
      </c>
      <c r="N653" s="25" t="s">
        <v>548</v>
      </c>
      <c r="O653" s="25"/>
      <c r="P653" s="25" t="s">
        <v>559</v>
      </c>
      <c r="Q653" s="25" t="s">
        <v>551</v>
      </c>
      <c r="R653" s="26"/>
      <c r="S653" s="26" t="n">
        <f aca="false">IF(AND(L653="Oui",K653="Principal",R653&lt;&gt;""),I653*R653,0)</f>
        <v>0</v>
      </c>
      <c r="T653" s="26" t="n">
        <f aca="false">IF(R653&lt;&gt;"",M653-S653,0)</f>
        <v>0</v>
      </c>
      <c r="U653" s="26" t="n">
        <f aca="false">IF(R653="",M653,0)</f>
        <v>200</v>
      </c>
    </row>
    <row r="654" customFormat="false" ht="15" hidden="false" customHeight="false" outlineLevel="0" collapsed="false">
      <c r="A654" s="25" t="s">
        <v>60</v>
      </c>
      <c r="B654" s="25" t="s">
        <v>61</v>
      </c>
      <c r="C654" s="25" t="s">
        <v>48</v>
      </c>
      <c r="D654" s="25" t="n">
        <v>11</v>
      </c>
      <c r="E654" s="25" t="s">
        <v>565</v>
      </c>
      <c r="F654" s="25" t="s">
        <v>166</v>
      </c>
      <c r="G654" s="25" t="n">
        <v>1173</v>
      </c>
      <c r="H654" s="25" t="s">
        <v>569</v>
      </c>
      <c r="I654" s="25" t="n">
        <v>1</v>
      </c>
      <c r="J654" s="26" t="n">
        <v>570</v>
      </c>
      <c r="K654" s="25" t="s">
        <v>546</v>
      </c>
      <c r="L654" s="25" t="s">
        <v>547</v>
      </c>
      <c r="M654" s="26" t="n">
        <f aca="false">IF(AND(L654="Oui",K654="Principal"),I654*J654,0)</f>
        <v>570</v>
      </c>
      <c r="N654" s="25" t="s">
        <v>548</v>
      </c>
      <c r="O654" s="25"/>
      <c r="P654" s="25" t="s">
        <v>550</v>
      </c>
      <c r="Q654" s="25" t="s">
        <v>557</v>
      </c>
      <c r="R654" s="26" t="n">
        <v>420</v>
      </c>
      <c r="S654" s="26" t="n">
        <f aca="false">IF(AND(L654="Oui",K654="Principal",R654&lt;&gt;""),I654*R654,0)</f>
        <v>420</v>
      </c>
      <c r="T654" s="26" t="n">
        <f aca="false">IF(R654&lt;&gt;"",M654-S654,0)</f>
        <v>150</v>
      </c>
      <c r="U654" s="26" t="n">
        <f aca="false">IF(R654="",M654,0)</f>
        <v>0</v>
      </c>
    </row>
    <row r="655" customFormat="false" ht="15" hidden="false" customHeight="false" outlineLevel="0" collapsed="false">
      <c r="A655" s="25" t="s">
        <v>60</v>
      </c>
      <c r="B655" s="25" t="s">
        <v>61</v>
      </c>
      <c r="C655" s="25" t="s">
        <v>48</v>
      </c>
      <c r="D655" s="25" t="n">
        <v>12</v>
      </c>
      <c r="E655" s="25" t="s">
        <v>565</v>
      </c>
      <c r="F655" s="25" t="s">
        <v>304</v>
      </c>
      <c r="G655" s="25" t="n">
        <v>1250</v>
      </c>
      <c r="H655" s="25" t="s">
        <v>570</v>
      </c>
      <c r="I655" s="25" t="n">
        <v>1</v>
      </c>
      <c r="J655" s="26" t="n">
        <v>250</v>
      </c>
      <c r="K655" s="25" t="s">
        <v>546</v>
      </c>
      <c r="L655" s="25" t="s">
        <v>547</v>
      </c>
      <c r="M655" s="26" t="n">
        <f aca="false">IF(AND(L655="Oui",K655="Principal"),I655*J655,0)</f>
        <v>250</v>
      </c>
      <c r="N655" s="25" t="s">
        <v>548</v>
      </c>
      <c r="O655" s="25"/>
      <c r="P655" s="25" t="s">
        <v>550</v>
      </c>
      <c r="Q655" s="25" t="s">
        <v>557</v>
      </c>
      <c r="R655" s="26" t="n">
        <v>100</v>
      </c>
      <c r="S655" s="26" t="n">
        <f aca="false">IF(AND(L655="Oui",K655="Principal",R655&lt;&gt;""),I655*R655,0)</f>
        <v>100</v>
      </c>
      <c r="T655" s="26" t="n">
        <f aca="false">IF(R655&lt;&gt;"",M655-S655,0)</f>
        <v>150</v>
      </c>
      <c r="U655" s="26" t="n">
        <f aca="false">IF(R655="",M655,0)</f>
        <v>0</v>
      </c>
    </row>
    <row r="656" customFormat="false" ht="15" hidden="false" customHeight="false" outlineLevel="0" collapsed="false">
      <c r="A656" s="33" t="s">
        <v>60</v>
      </c>
      <c r="B656" s="33" t="s">
        <v>61</v>
      </c>
      <c r="C656" s="33" t="s">
        <v>48</v>
      </c>
      <c r="D656" s="33" t="n">
        <v>13</v>
      </c>
      <c r="E656" s="33" t="s">
        <v>609</v>
      </c>
      <c r="F656" s="33" t="s">
        <v>199</v>
      </c>
      <c r="G656" s="33" t="n">
        <v>1229</v>
      </c>
      <c r="H656" s="33" t="s">
        <v>643</v>
      </c>
      <c r="I656" s="33" t="n">
        <v>1</v>
      </c>
      <c r="J656" s="34" t="n">
        <v>1800</v>
      </c>
      <c r="K656" s="33" t="s">
        <v>546</v>
      </c>
      <c r="L656" s="33" t="s">
        <v>547</v>
      </c>
      <c r="M656" s="34" t="n">
        <f aca="false">IF(AND(L656="Oui",K656="Principal"),I656*J656,0)</f>
        <v>1800</v>
      </c>
      <c r="N656" s="33" t="s">
        <v>182</v>
      </c>
      <c r="O656" s="33" t="s">
        <v>644</v>
      </c>
      <c r="P656" s="33" t="s">
        <v>550</v>
      </c>
      <c r="Q656" s="33" t="s">
        <v>557</v>
      </c>
      <c r="R656" s="34" t="n">
        <v>1500</v>
      </c>
      <c r="S656" s="34" t="n">
        <f aca="false">IF(AND(L656="Oui",K656="Principal",R656&lt;&gt;""),I656*R656,0)</f>
        <v>1500</v>
      </c>
      <c r="T656" s="34" t="n">
        <f aca="false">IF(R656&lt;&gt;"",M656-S656,0)</f>
        <v>300</v>
      </c>
      <c r="U656" s="34" t="n">
        <f aca="false">IF(R656="",M656,0)</f>
        <v>0</v>
      </c>
    </row>
    <row r="657" customFormat="false" ht="15" hidden="false" customHeight="false" outlineLevel="0" collapsed="false">
      <c r="A657" s="25" t="s">
        <v>60</v>
      </c>
      <c r="B657" s="25" t="s">
        <v>61</v>
      </c>
      <c r="C657" s="25" t="s">
        <v>48</v>
      </c>
      <c r="D657" s="25" t="n">
        <v>14</v>
      </c>
      <c r="E657" s="25" t="s">
        <v>609</v>
      </c>
      <c r="F657" s="25" t="s">
        <v>305</v>
      </c>
      <c r="G657" s="25" t="n">
        <v>1187</v>
      </c>
      <c r="H657" s="25" t="s">
        <v>685</v>
      </c>
      <c r="I657" s="25" t="n">
        <v>1</v>
      </c>
      <c r="J657" s="26" t="n">
        <v>2800</v>
      </c>
      <c r="K657" s="25" t="s">
        <v>546</v>
      </c>
      <c r="L657" s="25" t="s">
        <v>547</v>
      </c>
      <c r="M657" s="26" t="n">
        <f aca="false">IF(AND(L657="Oui",K657="Principal"),I657*J657,0)</f>
        <v>2800</v>
      </c>
      <c r="N657" s="25" t="s">
        <v>548</v>
      </c>
      <c r="O657" s="25"/>
      <c r="P657" s="25" t="s">
        <v>550</v>
      </c>
      <c r="Q657" s="25" t="s">
        <v>557</v>
      </c>
      <c r="R657" s="26" t="n">
        <v>1100</v>
      </c>
      <c r="S657" s="26" t="n">
        <f aca="false">IF(AND(L657="Oui",K657="Principal",R657&lt;&gt;""),I657*R657,0)</f>
        <v>1100</v>
      </c>
      <c r="T657" s="26" t="n">
        <f aca="false">IF(R657&lt;&gt;"",M657-S657,0)</f>
        <v>1700</v>
      </c>
      <c r="U657" s="26" t="n">
        <f aca="false">IF(R657="",M657,0)</f>
        <v>0</v>
      </c>
    </row>
    <row r="658" customFormat="false" ht="15" hidden="false" customHeight="false" outlineLevel="0" collapsed="false">
      <c r="A658" s="25" t="s">
        <v>60</v>
      </c>
      <c r="B658" s="25" t="s">
        <v>61</v>
      </c>
      <c r="C658" s="25" t="s">
        <v>48</v>
      </c>
      <c r="D658" s="25" t="n">
        <v>15</v>
      </c>
      <c r="E658" s="25" t="s">
        <v>573</v>
      </c>
      <c r="F658" s="25" t="s">
        <v>176</v>
      </c>
      <c r="G658" s="25" t="n">
        <v>19</v>
      </c>
      <c r="H658" s="25" t="s">
        <v>615</v>
      </c>
      <c r="I658" s="25" t="n">
        <v>1</v>
      </c>
      <c r="J658" s="26" t="n">
        <v>2500</v>
      </c>
      <c r="K658" s="25" t="s">
        <v>546</v>
      </c>
      <c r="L658" s="25" t="s">
        <v>547</v>
      </c>
      <c r="M658" s="26" t="n">
        <f aca="false">IF(AND(L658="Oui",K658="Principal"),I658*J658,0)</f>
        <v>2500</v>
      </c>
      <c r="N658" s="25" t="s">
        <v>548</v>
      </c>
      <c r="O658" s="25"/>
      <c r="P658" s="25" t="s">
        <v>559</v>
      </c>
      <c r="Q658" s="25" t="s">
        <v>551</v>
      </c>
      <c r="R658" s="26"/>
      <c r="S658" s="26" t="n">
        <f aca="false">IF(AND(L658="Oui",K658="Principal",R658&lt;&gt;""),I658*R658,0)</f>
        <v>0</v>
      </c>
      <c r="T658" s="26" t="n">
        <f aca="false">IF(R658&lt;&gt;"",M658-S658,0)</f>
        <v>0</v>
      </c>
      <c r="U658" s="26" t="n">
        <f aca="false">IF(R658="",M658,0)</f>
        <v>2500</v>
      </c>
    </row>
    <row r="659" customFormat="false" ht="15" hidden="false" customHeight="false" outlineLevel="0" collapsed="false">
      <c r="A659" s="27" t="s">
        <v>60</v>
      </c>
      <c r="B659" s="27" t="s">
        <v>61</v>
      </c>
      <c r="C659" s="27" t="s">
        <v>48</v>
      </c>
      <c r="D659" s="27" t="n">
        <v>16</v>
      </c>
      <c r="E659" s="27" t="s">
        <v>686</v>
      </c>
      <c r="F659" s="27" t="s">
        <v>308</v>
      </c>
      <c r="G659" s="27"/>
      <c r="H659" s="27" t="s">
        <v>585</v>
      </c>
      <c r="I659" s="27" t="n">
        <v>1</v>
      </c>
      <c r="J659" s="28" t="n">
        <v>0</v>
      </c>
      <c r="K659" s="27" t="s">
        <v>618</v>
      </c>
      <c r="L659" s="27" t="s">
        <v>579</v>
      </c>
      <c r="M659" s="28" t="n">
        <f aca="false">IF(AND(L659="Oui",K659="Principal"),I659*J659,0)</f>
        <v>0</v>
      </c>
      <c r="N659" s="27" t="s">
        <v>128</v>
      </c>
      <c r="O659" s="27" t="s">
        <v>687</v>
      </c>
      <c r="P659" s="27"/>
      <c r="Q659" s="27"/>
      <c r="R659" s="28"/>
      <c r="S659" s="28" t="n">
        <f aca="false">IF(AND(L659="Oui",K659="Principal",R659&lt;&gt;""),I659*R659,0)</f>
        <v>0</v>
      </c>
      <c r="T659" s="28" t="n">
        <f aca="false">IF(R659&lt;&gt;"",M659-S659,0)</f>
        <v>0</v>
      </c>
      <c r="U659" s="28" t="n">
        <f aca="false">IF(R659="",M659,0)</f>
        <v>0</v>
      </c>
    </row>
    <row r="660" customFormat="false" ht="15" hidden="false" customHeight="false" outlineLevel="0" collapsed="false">
      <c r="A660" s="25" t="s">
        <v>60</v>
      </c>
      <c r="B660" s="25" t="s">
        <v>61</v>
      </c>
      <c r="C660" s="25" t="s">
        <v>48</v>
      </c>
      <c r="D660" s="25" t="n">
        <v>17</v>
      </c>
      <c r="E660" s="25" t="s">
        <v>686</v>
      </c>
      <c r="F660" s="25" t="s">
        <v>309</v>
      </c>
      <c r="G660" s="25" t="n">
        <v>1351</v>
      </c>
      <c r="H660" s="25" t="s">
        <v>688</v>
      </c>
      <c r="I660" s="25" t="n">
        <v>1</v>
      </c>
      <c r="J660" s="26" t="n">
        <v>4000</v>
      </c>
      <c r="K660" s="25" t="s">
        <v>618</v>
      </c>
      <c r="L660" s="25" t="s">
        <v>579</v>
      </c>
      <c r="M660" s="26" t="n">
        <f aca="false">IF(AND(L660="Oui",K660="Principal"),I660*J660,0)</f>
        <v>0</v>
      </c>
      <c r="N660" s="25" t="s">
        <v>548</v>
      </c>
      <c r="O660" s="25"/>
      <c r="P660" s="25" t="s">
        <v>550</v>
      </c>
      <c r="Q660" s="25" t="s">
        <v>557</v>
      </c>
      <c r="R660" s="26" t="n">
        <v>3000</v>
      </c>
      <c r="S660" s="26" t="n">
        <f aca="false">IF(AND(L660="Oui",K660="Principal",R660&lt;&gt;""),I660*R660,0)</f>
        <v>0</v>
      </c>
      <c r="T660" s="26" t="n">
        <f aca="false">IF(R660&lt;&gt;"",M660-S660,0)</f>
        <v>0</v>
      </c>
      <c r="U660" s="26" t="n">
        <f aca="false">IF(R660="",M660,0)</f>
        <v>0</v>
      </c>
    </row>
    <row r="661" customFormat="false" ht="15" hidden="false" customHeight="false" outlineLevel="0" collapsed="false">
      <c r="A661" s="25" t="s">
        <v>60</v>
      </c>
      <c r="B661" s="25" t="s">
        <v>61</v>
      </c>
      <c r="C661" s="25" t="s">
        <v>48</v>
      </c>
      <c r="D661" s="25" t="n">
        <v>18</v>
      </c>
      <c r="E661" s="25" t="s">
        <v>689</v>
      </c>
      <c r="F661" s="25" t="s">
        <v>311</v>
      </c>
      <c r="G661" s="25" t="n">
        <v>1311</v>
      </c>
      <c r="H661" s="25" t="s">
        <v>690</v>
      </c>
      <c r="I661" s="25" t="n">
        <v>1</v>
      </c>
      <c r="J661" s="26" t="n">
        <v>3500</v>
      </c>
      <c r="K661" s="25" t="s">
        <v>618</v>
      </c>
      <c r="L661" s="25" t="s">
        <v>579</v>
      </c>
      <c r="M661" s="26" t="n">
        <f aca="false">IF(AND(L661="Oui",K661="Principal"),I661*J661,0)</f>
        <v>0</v>
      </c>
      <c r="N661" s="25" t="s">
        <v>548</v>
      </c>
      <c r="O661" s="25"/>
      <c r="P661" s="25" t="s">
        <v>550</v>
      </c>
      <c r="Q661" s="25" t="s">
        <v>557</v>
      </c>
      <c r="R661" s="26" t="n">
        <v>2500</v>
      </c>
      <c r="S661" s="26" t="n">
        <f aca="false">IF(AND(L661="Oui",K661="Principal",R661&lt;&gt;""),I661*R661,0)</f>
        <v>0</v>
      </c>
      <c r="T661" s="26" t="n">
        <f aca="false">IF(R661&lt;&gt;"",M661-S661,0)</f>
        <v>0</v>
      </c>
      <c r="U661" s="26" t="n">
        <f aca="false">IF(R661="",M661,0)</f>
        <v>0</v>
      </c>
    </row>
    <row r="662" customFormat="false" ht="15" hidden="false" customHeight="false" outlineLevel="0" collapsed="false">
      <c r="A662" s="25" t="s">
        <v>60</v>
      </c>
      <c r="B662" s="25" t="s">
        <v>61</v>
      </c>
      <c r="C662" s="25" t="s">
        <v>48</v>
      </c>
      <c r="D662" s="25" t="n">
        <v>19</v>
      </c>
      <c r="E662" s="25" t="s">
        <v>689</v>
      </c>
      <c r="F662" s="25" t="s">
        <v>313</v>
      </c>
      <c r="G662" s="25" t="n">
        <v>1304</v>
      </c>
      <c r="H662" s="25" t="s">
        <v>691</v>
      </c>
      <c r="I662" s="25" t="n">
        <v>1</v>
      </c>
      <c r="J662" s="26" t="n">
        <v>2800</v>
      </c>
      <c r="K662" s="25" t="s">
        <v>618</v>
      </c>
      <c r="L662" s="25" t="s">
        <v>579</v>
      </c>
      <c r="M662" s="26" t="n">
        <f aca="false">IF(AND(L662="Oui",K662="Principal"),I662*J662,0)</f>
        <v>0</v>
      </c>
      <c r="N662" s="25" t="s">
        <v>548</v>
      </c>
      <c r="O662" s="25"/>
      <c r="P662" s="25" t="s">
        <v>550</v>
      </c>
      <c r="Q662" s="25" t="s">
        <v>557</v>
      </c>
      <c r="R662" s="26" t="n">
        <v>1800</v>
      </c>
      <c r="S662" s="26" t="n">
        <f aca="false">IF(AND(L662="Oui",K662="Principal",R662&lt;&gt;""),I662*R662,0)</f>
        <v>0</v>
      </c>
      <c r="T662" s="26" t="n">
        <f aca="false">IF(R662&lt;&gt;"",M662-S662,0)</f>
        <v>0</v>
      </c>
      <c r="U662" s="26" t="n">
        <f aca="false">IF(R662="",M662,0)</f>
        <v>0</v>
      </c>
    </row>
    <row r="663" customFormat="false" ht="15" hidden="false" customHeight="false" outlineLevel="0" collapsed="false">
      <c r="A663" s="25" t="s">
        <v>60</v>
      </c>
      <c r="B663" s="25" t="s">
        <v>61</v>
      </c>
      <c r="C663" s="25" t="s">
        <v>48</v>
      </c>
      <c r="D663" s="25" t="n">
        <v>20</v>
      </c>
      <c r="E663" s="25" t="s">
        <v>686</v>
      </c>
      <c r="F663" s="25" t="s">
        <v>315</v>
      </c>
      <c r="G663" s="25" t="n">
        <v>1560</v>
      </c>
      <c r="H663" s="25" t="s">
        <v>692</v>
      </c>
      <c r="I663" s="25" t="n">
        <v>1</v>
      </c>
      <c r="J663" s="26" t="n">
        <v>3960</v>
      </c>
      <c r="K663" s="25" t="s">
        <v>618</v>
      </c>
      <c r="L663" s="25" t="s">
        <v>579</v>
      </c>
      <c r="M663" s="26" t="n">
        <f aca="false">IF(AND(L663="Oui",K663="Principal"),I663*J663,0)</f>
        <v>0</v>
      </c>
      <c r="N663" s="25" t="s">
        <v>548</v>
      </c>
      <c r="O663" s="25"/>
      <c r="P663" s="25" t="s">
        <v>550</v>
      </c>
      <c r="Q663" s="25" t="s">
        <v>557</v>
      </c>
      <c r="R663" s="26" t="n">
        <v>2960</v>
      </c>
      <c r="S663" s="26" t="n">
        <f aca="false">IF(AND(L663="Oui",K663="Principal",R663&lt;&gt;""),I663*R663,0)</f>
        <v>0</v>
      </c>
      <c r="T663" s="26" t="n">
        <f aca="false">IF(R663&lt;&gt;"",M663-S663,0)</f>
        <v>0</v>
      </c>
      <c r="U663" s="26" t="n">
        <f aca="false">IF(R663="",M663,0)</f>
        <v>0</v>
      </c>
    </row>
    <row r="664" customFormat="false" ht="15" hidden="false" customHeight="false" outlineLevel="0" collapsed="false">
      <c r="A664" s="25" t="s">
        <v>60</v>
      </c>
      <c r="B664" s="25" t="s">
        <v>61</v>
      </c>
      <c r="C664" s="25" t="s">
        <v>48</v>
      </c>
      <c r="D664" s="25" t="n">
        <v>21</v>
      </c>
      <c r="E664" s="25" t="s">
        <v>686</v>
      </c>
      <c r="F664" s="25" t="s">
        <v>317</v>
      </c>
      <c r="G664" s="25" t="n">
        <v>1566</v>
      </c>
      <c r="H664" s="25" t="s">
        <v>693</v>
      </c>
      <c r="I664" s="25" t="n">
        <v>1</v>
      </c>
      <c r="J664" s="26" t="n">
        <v>3960</v>
      </c>
      <c r="K664" s="25" t="s">
        <v>618</v>
      </c>
      <c r="L664" s="25" t="s">
        <v>579</v>
      </c>
      <c r="M664" s="26" t="n">
        <f aca="false">IF(AND(L664="Oui",K664="Principal"),I664*J664,0)</f>
        <v>0</v>
      </c>
      <c r="N664" s="25" t="s">
        <v>548</v>
      </c>
      <c r="O664" s="25"/>
      <c r="P664" s="25" t="s">
        <v>550</v>
      </c>
      <c r="Q664" s="25" t="s">
        <v>557</v>
      </c>
      <c r="R664" s="26" t="n">
        <v>2960</v>
      </c>
      <c r="S664" s="26" t="n">
        <f aca="false">IF(AND(L664="Oui",K664="Principal",R664&lt;&gt;""),I664*R664,0)</f>
        <v>0</v>
      </c>
      <c r="T664" s="26" t="n">
        <f aca="false">IF(R664&lt;&gt;"",M664-S664,0)</f>
        <v>0</v>
      </c>
      <c r="U664" s="26" t="n">
        <f aca="false">IF(R664="",M664,0)</f>
        <v>0</v>
      </c>
    </row>
    <row r="665" customFormat="false" ht="15" hidden="false" customHeight="false" outlineLevel="0" collapsed="false">
      <c r="A665" s="27" t="s">
        <v>60</v>
      </c>
      <c r="B665" s="27" t="s">
        <v>61</v>
      </c>
      <c r="C665" s="27" t="s">
        <v>48</v>
      </c>
      <c r="D665" s="27" t="n">
        <v>22</v>
      </c>
      <c r="E665" s="27" t="s">
        <v>686</v>
      </c>
      <c r="F665" s="27" t="s">
        <v>319</v>
      </c>
      <c r="G665" s="27"/>
      <c r="H665" s="27" t="s">
        <v>585</v>
      </c>
      <c r="I665" s="27" t="n">
        <v>1</v>
      </c>
      <c r="J665" s="28" t="n">
        <v>0</v>
      </c>
      <c r="K665" s="27" t="s">
        <v>618</v>
      </c>
      <c r="L665" s="27" t="s">
        <v>579</v>
      </c>
      <c r="M665" s="28" t="n">
        <f aca="false">IF(AND(L665="Oui",K665="Principal"),I665*J665,0)</f>
        <v>0</v>
      </c>
      <c r="N665" s="27" t="s">
        <v>128</v>
      </c>
      <c r="O665" s="27" t="s">
        <v>586</v>
      </c>
      <c r="P665" s="27"/>
      <c r="Q665" s="27"/>
      <c r="R665" s="28"/>
      <c r="S665" s="28" t="n">
        <f aca="false">IF(AND(L665="Oui",K665="Principal",R665&lt;&gt;""),I665*R665,0)</f>
        <v>0</v>
      </c>
      <c r="T665" s="28" t="n">
        <f aca="false">IF(R665&lt;&gt;"",M665-S665,0)</f>
        <v>0</v>
      </c>
      <c r="U665" s="28" t="n">
        <f aca="false">IF(R665="",M665,0)</f>
        <v>0</v>
      </c>
    </row>
    <row r="666" customFormat="false" ht="15" hidden="false" customHeight="false" outlineLevel="0" collapsed="false">
      <c r="A666" s="27" t="s">
        <v>60</v>
      </c>
      <c r="B666" s="27" t="s">
        <v>61</v>
      </c>
      <c r="C666" s="27" t="s">
        <v>48</v>
      </c>
      <c r="D666" s="27" t="n">
        <v>23</v>
      </c>
      <c r="E666" s="27" t="s">
        <v>686</v>
      </c>
      <c r="F666" s="27" t="s">
        <v>320</v>
      </c>
      <c r="G666" s="27"/>
      <c r="H666" s="27" t="s">
        <v>585</v>
      </c>
      <c r="I666" s="27" t="n">
        <v>1</v>
      </c>
      <c r="J666" s="28" t="n">
        <v>0</v>
      </c>
      <c r="K666" s="27" t="s">
        <v>618</v>
      </c>
      <c r="L666" s="27" t="s">
        <v>579</v>
      </c>
      <c r="M666" s="28" t="n">
        <f aca="false">IF(AND(L666="Oui",K666="Principal"),I666*J666,0)</f>
        <v>0</v>
      </c>
      <c r="N666" s="27" t="s">
        <v>128</v>
      </c>
      <c r="O666" s="27" t="s">
        <v>586</v>
      </c>
      <c r="P666" s="27"/>
      <c r="Q666" s="27"/>
      <c r="R666" s="28"/>
      <c r="S666" s="28" t="n">
        <f aca="false">IF(AND(L666="Oui",K666="Principal",R666&lt;&gt;""),I666*R666,0)</f>
        <v>0</v>
      </c>
      <c r="T666" s="28" t="n">
        <f aca="false">IF(R666&lt;&gt;"",M666-S666,0)</f>
        <v>0</v>
      </c>
      <c r="U666" s="28" t="n">
        <f aca="false">IF(R666="",M666,0)</f>
        <v>0</v>
      </c>
    </row>
    <row r="667" customFormat="false" ht="15" hidden="false" customHeight="false" outlineLevel="0" collapsed="false">
      <c r="A667" s="25" t="s">
        <v>60</v>
      </c>
      <c r="B667" s="25" t="s">
        <v>61</v>
      </c>
      <c r="C667" s="25" t="s">
        <v>48</v>
      </c>
      <c r="D667" s="25" t="n">
        <v>24</v>
      </c>
      <c r="E667" s="25" t="s">
        <v>577</v>
      </c>
      <c r="F667" s="25" t="s">
        <v>321</v>
      </c>
      <c r="G667" s="25" t="n">
        <v>1192</v>
      </c>
      <c r="H667" s="25" t="s">
        <v>694</v>
      </c>
      <c r="I667" s="25" t="n">
        <v>1</v>
      </c>
      <c r="J667" s="26" t="n">
        <v>7000</v>
      </c>
      <c r="K667" s="25" t="s">
        <v>577</v>
      </c>
      <c r="L667" s="25" t="s">
        <v>579</v>
      </c>
      <c r="M667" s="26" t="n">
        <f aca="false">IF(AND(L667="Oui",K667="Principal"),I667*J667,0)</f>
        <v>0</v>
      </c>
      <c r="N667" s="25" t="s">
        <v>548</v>
      </c>
      <c r="O667" s="25"/>
      <c r="P667" s="25" t="s">
        <v>550</v>
      </c>
      <c r="Q667" s="25" t="s">
        <v>557</v>
      </c>
      <c r="R667" s="26" t="n">
        <v>5500</v>
      </c>
      <c r="S667" s="26" t="n">
        <f aca="false">IF(AND(L667="Oui",K667="Principal",R667&lt;&gt;""),I667*R667,0)</f>
        <v>0</v>
      </c>
      <c r="T667" s="26" t="n">
        <f aca="false">IF(R667&lt;&gt;"",M667-S667,0)</f>
        <v>0</v>
      </c>
      <c r="U667" s="26" t="n">
        <f aca="false">IF(R667="",M667,0)</f>
        <v>0</v>
      </c>
    </row>
    <row r="668" customFormat="false" ht="15" hidden="false" customHeight="false" outlineLevel="0" collapsed="false">
      <c r="A668" s="25" t="s">
        <v>60</v>
      </c>
      <c r="B668" s="25" t="s">
        <v>61</v>
      </c>
      <c r="C668" s="25" t="s">
        <v>49</v>
      </c>
      <c r="D668" s="25" t="n">
        <v>1</v>
      </c>
      <c r="E668" s="25" t="s">
        <v>544</v>
      </c>
      <c r="F668" s="25" t="s">
        <v>295</v>
      </c>
      <c r="G668" s="25" t="n">
        <v>1618</v>
      </c>
      <c r="H668" s="25" t="s">
        <v>600</v>
      </c>
      <c r="I668" s="25" t="n">
        <v>2</v>
      </c>
      <c r="J668" s="26" t="n">
        <v>450</v>
      </c>
      <c r="K668" s="25" t="s">
        <v>546</v>
      </c>
      <c r="L668" s="25" t="s">
        <v>547</v>
      </c>
      <c r="M668" s="26" t="n">
        <f aca="false">IF(AND(L668="Oui",K668="Principal"),I668*J668,0)</f>
        <v>900</v>
      </c>
      <c r="N668" s="25" t="s">
        <v>548</v>
      </c>
      <c r="O668" s="25"/>
      <c r="P668" s="25" t="s">
        <v>556</v>
      </c>
      <c r="Q668" s="25" t="s">
        <v>557</v>
      </c>
      <c r="R668" s="26" t="n">
        <v>350</v>
      </c>
      <c r="S668" s="26" t="n">
        <f aca="false">IF(AND(L668="Oui",K668="Principal",R668&lt;&gt;""),I668*R668,0)</f>
        <v>700</v>
      </c>
      <c r="T668" s="26" t="n">
        <f aca="false">IF(R668&lt;&gt;"",M668-S668,0)</f>
        <v>200</v>
      </c>
      <c r="U668" s="26" t="n">
        <f aca="false">IF(R668="",M668,0)</f>
        <v>0</v>
      </c>
    </row>
    <row r="669" customFormat="false" ht="15" hidden="false" customHeight="false" outlineLevel="0" collapsed="false">
      <c r="A669" s="25" t="s">
        <v>60</v>
      </c>
      <c r="B669" s="25" t="s">
        <v>61</v>
      </c>
      <c r="C669" s="25" t="s">
        <v>49</v>
      </c>
      <c r="D669" s="25" t="n">
        <v>2</v>
      </c>
      <c r="E669" s="25" t="s">
        <v>544</v>
      </c>
      <c r="F669" s="25" t="s">
        <v>296</v>
      </c>
      <c r="G669" s="25" t="n">
        <v>1</v>
      </c>
      <c r="H669" s="25" t="s">
        <v>681</v>
      </c>
      <c r="I669" s="25" t="n">
        <v>5</v>
      </c>
      <c r="J669" s="26" t="n">
        <v>500</v>
      </c>
      <c r="K669" s="25" t="s">
        <v>546</v>
      </c>
      <c r="L669" s="25" t="s">
        <v>547</v>
      </c>
      <c r="M669" s="26" t="n">
        <f aca="false">IF(AND(L669="Oui",K669="Principal"),I669*J669,0)</f>
        <v>2500</v>
      </c>
      <c r="N669" s="25" t="s">
        <v>548</v>
      </c>
      <c r="O669" s="25"/>
      <c r="P669" s="25" t="s">
        <v>559</v>
      </c>
      <c r="Q669" s="25" t="s">
        <v>551</v>
      </c>
      <c r="R669" s="26"/>
      <c r="S669" s="26" t="n">
        <f aca="false">IF(AND(L669="Oui",K669="Principal",R669&lt;&gt;""),I669*R669,0)</f>
        <v>0</v>
      </c>
      <c r="T669" s="26" t="n">
        <f aca="false">IF(R669&lt;&gt;"",M669-S669,0)</f>
        <v>0</v>
      </c>
      <c r="U669" s="26" t="n">
        <f aca="false">IF(R669="",M669,0)</f>
        <v>2500</v>
      </c>
    </row>
    <row r="670" customFormat="false" ht="15" hidden="false" customHeight="false" outlineLevel="0" collapsed="false">
      <c r="A670" s="25" t="s">
        <v>60</v>
      </c>
      <c r="B670" s="25" t="s">
        <v>61</v>
      </c>
      <c r="C670" s="25" t="s">
        <v>49</v>
      </c>
      <c r="D670" s="25" t="n">
        <v>3</v>
      </c>
      <c r="E670" s="25" t="s">
        <v>544</v>
      </c>
      <c r="F670" s="25" t="s">
        <v>298</v>
      </c>
      <c r="G670" s="25" t="n">
        <v>1616</v>
      </c>
      <c r="H670" s="25" t="s">
        <v>695</v>
      </c>
      <c r="I670" s="25" t="n">
        <v>2</v>
      </c>
      <c r="J670" s="26" t="n">
        <v>900</v>
      </c>
      <c r="K670" s="25" t="s">
        <v>546</v>
      </c>
      <c r="L670" s="25" t="s">
        <v>547</v>
      </c>
      <c r="M670" s="26" t="n">
        <f aca="false">IF(AND(L670="Oui",K670="Principal"),I670*J670,0)</f>
        <v>1800</v>
      </c>
      <c r="N670" s="25" t="s">
        <v>548</v>
      </c>
      <c r="O670" s="25"/>
      <c r="P670" s="25" t="s">
        <v>556</v>
      </c>
      <c r="Q670" s="25" t="s">
        <v>557</v>
      </c>
      <c r="R670" s="26" t="n">
        <v>800</v>
      </c>
      <c r="S670" s="26" t="n">
        <f aca="false">IF(AND(L670="Oui",K670="Principal",R670&lt;&gt;""),I670*R670,0)</f>
        <v>1600</v>
      </c>
      <c r="T670" s="26" t="n">
        <f aca="false">IF(R670&lt;&gt;"",M670-S670,0)</f>
        <v>200</v>
      </c>
      <c r="U670" s="26" t="n">
        <f aca="false">IF(R670="",M670,0)</f>
        <v>0</v>
      </c>
    </row>
    <row r="671" customFormat="false" ht="15" hidden="false" customHeight="false" outlineLevel="0" collapsed="false">
      <c r="A671" s="25" t="s">
        <v>60</v>
      </c>
      <c r="B671" s="25" t="s">
        <v>61</v>
      </c>
      <c r="C671" s="25" t="s">
        <v>49</v>
      </c>
      <c r="D671" s="25" t="n">
        <v>4</v>
      </c>
      <c r="E671" s="25" t="s">
        <v>544</v>
      </c>
      <c r="F671" s="25" t="s">
        <v>301</v>
      </c>
      <c r="G671" s="25" t="n">
        <v>1728</v>
      </c>
      <c r="H671" s="25" t="s">
        <v>545</v>
      </c>
      <c r="I671" s="25" t="n">
        <v>1</v>
      </c>
      <c r="J671" s="26" t="n">
        <v>900</v>
      </c>
      <c r="K671" s="25" t="s">
        <v>546</v>
      </c>
      <c r="L671" s="25" t="s">
        <v>547</v>
      </c>
      <c r="M671" s="26" t="n">
        <f aca="false">IF(AND(L671="Oui",K671="Principal"),I671*J671,0)</f>
        <v>900</v>
      </c>
      <c r="N671" s="25" t="s">
        <v>548</v>
      </c>
      <c r="O671" s="25"/>
      <c r="P671" s="25" t="s">
        <v>550</v>
      </c>
      <c r="Q671" s="25" t="s">
        <v>551</v>
      </c>
      <c r="R671" s="26"/>
      <c r="S671" s="26" t="n">
        <f aca="false">IF(AND(L671="Oui",K671="Principal",R671&lt;&gt;""),I671*R671,0)</f>
        <v>0</v>
      </c>
      <c r="T671" s="26" t="n">
        <f aca="false">IF(R671&lt;&gt;"",M671-S671,0)</f>
        <v>0</v>
      </c>
      <c r="U671" s="26" t="n">
        <f aca="false">IF(R671="",M671,0)</f>
        <v>900</v>
      </c>
    </row>
    <row r="672" customFormat="false" ht="15" hidden="false" customHeight="false" outlineLevel="0" collapsed="false">
      <c r="A672" s="33" t="s">
        <v>60</v>
      </c>
      <c r="B672" s="33" t="s">
        <v>61</v>
      </c>
      <c r="C672" s="33" t="s">
        <v>49</v>
      </c>
      <c r="D672" s="33" t="n">
        <v>5</v>
      </c>
      <c r="E672" s="33" t="s">
        <v>544</v>
      </c>
      <c r="F672" s="33" t="s">
        <v>302</v>
      </c>
      <c r="G672" s="33" t="n">
        <v>1271</v>
      </c>
      <c r="H672" s="33" t="s">
        <v>683</v>
      </c>
      <c r="I672" s="33" t="n">
        <v>1</v>
      </c>
      <c r="J672" s="34" t="n">
        <v>1150</v>
      </c>
      <c r="K672" s="33" t="s">
        <v>546</v>
      </c>
      <c r="L672" s="33" t="s">
        <v>547</v>
      </c>
      <c r="M672" s="34" t="n">
        <f aca="false">IF(AND(L672="Oui",K672="Principal"),I672*J672,0)</f>
        <v>1150</v>
      </c>
      <c r="N672" s="33" t="s">
        <v>182</v>
      </c>
      <c r="O672" s="33" t="s">
        <v>684</v>
      </c>
      <c r="P672" s="33" t="s">
        <v>550</v>
      </c>
      <c r="Q672" s="33" t="s">
        <v>557</v>
      </c>
      <c r="R672" s="34" t="n">
        <v>850</v>
      </c>
      <c r="S672" s="34" t="n">
        <f aca="false">IF(AND(L672="Oui",K672="Principal",R672&lt;&gt;""),I672*R672,0)</f>
        <v>850</v>
      </c>
      <c r="T672" s="34" t="n">
        <f aca="false">IF(R672&lt;&gt;"",M672-S672,0)</f>
        <v>300</v>
      </c>
      <c r="U672" s="34" t="n">
        <f aca="false">IF(R672="",M672,0)</f>
        <v>0</v>
      </c>
    </row>
    <row r="673" customFormat="false" ht="15" hidden="false" customHeight="false" outlineLevel="0" collapsed="false">
      <c r="A673" s="25" t="s">
        <v>60</v>
      </c>
      <c r="B673" s="25" t="s">
        <v>61</v>
      </c>
      <c r="C673" s="25" t="s">
        <v>49</v>
      </c>
      <c r="D673" s="25" t="n">
        <v>6</v>
      </c>
      <c r="E673" s="25" t="s">
        <v>563</v>
      </c>
      <c r="F673" s="25" t="s">
        <v>255</v>
      </c>
      <c r="G673" s="25" t="n">
        <v>1636</v>
      </c>
      <c r="H673" s="25" t="s">
        <v>661</v>
      </c>
      <c r="I673" s="25" t="n">
        <v>1</v>
      </c>
      <c r="J673" s="26" t="n">
        <v>400</v>
      </c>
      <c r="K673" s="25" t="s">
        <v>546</v>
      </c>
      <c r="L673" s="25" t="s">
        <v>547</v>
      </c>
      <c r="M673" s="26" t="n">
        <f aca="false">IF(AND(L673="Oui",K673="Principal"),I673*J673,0)</f>
        <v>400</v>
      </c>
      <c r="N673" s="25" t="s">
        <v>548</v>
      </c>
      <c r="O673" s="25"/>
      <c r="P673" s="25" t="s">
        <v>556</v>
      </c>
      <c r="Q673" s="25" t="s">
        <v>557</v>
      </c>
      <c r="R673" s="26" t="n">
        <v>320</v>
      </c>
      <c r="S673" s="26" t="n">
        <f aca="false">IF(AND(L673="Oui",K673="Principal",R673&lt;&gt;""),I673*R673,0)</f>
        <v>320</v>
      </c>
      <c r="T673" s="26" t="n">
        <f aca="false">IF(R673&lt;&gt;"",M673-S673,0)</f>
        <v>80</v>
      </c>
      <c r="U673" s="26" t="n">
        <f aca="false">IF(R673="",M673,0)</f>
        <v>0</v>
      </c>
    </row>
    <row r="674" customFormat="false" ht="15" hidden="false" customHeight="false" outlineLevel="0" collapsed="false">
      <c r="A674" s="25" t="s">
        <v>60</v>
      </c>
      <c r="B674" s="25" t="s">
        <v>61</v>
      </c>
      <c r="C674" s="25" t="s">
        <v>49</v>
      </c>
      <c r="D674" s="25" t="n">
        <v>7</v>
      </c>
      <c r="E674" s="25" t="s">
        <v>563</v>
      </c>
      <c r="F674" s="25" t="s">
        <v>257</v>
      </c>
      <c r="G674" s="25" t="n">
        <v>1635</v>
      </c>
      <c r="H674" s="25" t="s">
        <v>607</v>
      </c>
      <c r="I674" s="25" t="n">
        <v>1</v>
      </c>
      <c r="J674" s="26" t="n">
        <v>100</v>
      </c>
      <c r="K674" s="25" t="s">
        <v>546</v>
      </c>
      <c r="L674" s="25" t="s">
        <v>547</v>
      </c>
      <c r="M674" s="26" t="n">
        <f aca="false">IF(AND(L674="Oui",K674="Principal"),I674*J674,0)</f>
        <v>100</v>
      </c>
      <c r="N674" s="25" t="s">
        <v>548</v>
      </c>
      <c r="O674" s="25"/>
      <c r="P674" s="25" t="s">
        <v>556</v>
      </c>
      <c r="Q674" s="25" t="s">
        <v>557</v>
      </c>
      <c r="R674" s="26" t="n">
        <v>80</v>
      </c>
      <c r="S674" s="26" t="n">
        <f aca="false">IF(AND(L674="Oui",K674="Principal",R674&lt;&gt;""),I674*R674,0)</f>
        <v>80</v>
      </c>
      <c r="T674" s="26" t="n">
        <f aca="false">IF(R674&lt;&gt;"",M674-S674,0)</f>
        <v>20</v>
      </c>
      <c r="U674" s="26" t="n">
        <f aca="false">IF(R674="",M674,0)</f>
        <v>0</v>
      </c>
    </row>
    <row r="675" customFormat="false" ht="15" hidden="false" customHeight="false" outlineLevel="0" collapsed="false">
      <c r="A675" s="25" t="s">
        <v>60</v>
      </c>
      <c r="B675" s="25" t="s">
        <v>61</v>
      </c>
      <c r="C675" s="25" t="s">
        <v>49</v>
      </c>
      <c r="D675" s="25" t="n">
        <v>8</v>
      </c>
      <c r="E675" s="25" t="s">
        <v>563</v>
      </c>
      <c r="F675" s="25" t="s">
        <v>188</v>
      </c>
      <c r="G675" s="25" t="n">
        <v>8</v>
      </c>
      <c r="H675" s="25" t="s">
        <v>188</v>
      </c>
      <c r="I675" s="25" t="n">
        <v>1</v>
      </c>
      <c r="J675" s="26" t="n">
        <v>500</v>
      </c>
      <c r="K675" s="25" t="s">
        <v>546</v>
      </c>
      <c r="L675" s="25" t="s">
        <v>547</v>
      </c>
      <c r="M675" s="26" t="n">
        <f aca="false">IF(AND(L675="Oui",K675="Principal"),I675*J675,0)</f>
        <v>500</v>
      </c>
      <c r="N675" s="25" t="s">
        <v>548</v>
      </c>
      <c r="O675" s="25"/>
      <c r="P675" s="25" t="s">
        <v>559</v>
      </c>
      <c r="Q675" s="25" t="s">
        <v>551</v>
      </c>
      <c r="R675" s="26"/>
      <c r="S675" s="26" t="n">
        <f aca="false">IF(AND(L675="Oui",K675="Principal",R675&lt;&gt;""),I675*R675,0)</f>
        <v>0</v>
      </c>
      <c r="T675" s="26" t="n">
        <f aca="false">IF(R675&lt;&gt;"",M675-S675,0)</f>
        <v>0</v>
      </c>
      <c r="U675" s="26" t="n">
        <f aca="false">IF(R675="",M675,0)</f>
        <v>500</v>
      </c>
    </row>
    <row r="676" customFormat="false" ht="15" hidden="false" customHeight="false" outlineLevel="0" collapsed="false">
      <c r="A676" s="25" t="s">
        <v>60</v>
      </c>
      <c r="B676" s="25" t="s">
        <v>61</v>
      </c>
      <c r="C676" s="25" t="s">
        <v>49</v>
      </c>
      <c r="D676" s="25" t="n">
        <v>9</v>
      </c>
      <c r="E676" s="25" t="s">
        <v>563</v>
      </c>
      <c r="F676" s="25" t="s">
        <v>323</v>
      </c>
      <c r="G676" s="25" t="n">
        <v>1607</v>
      </c>
      <c r="H676" s="25" t="s">
        <v>696</v>
      </c>
      <c r="I676" s="25" t="n">
        <v>1</v>
      </c>
      <c r="J676" s="26" t="n">
        <v>2500</v>
      </c>
      <c r="K676" s="25" t="s">
        <v>546</v>
      </c>
      <c r="L676" s="25" t="s">
        <v>547</v>
      </c>
      <c r="M676" s="26" t="n">
        <f aca="false">IF(AND(L676="Oui",K676="Principal"),I676*J676,0)</f>
        <v>2500</v>
      </c>
      <c r="N676" s="25" t="s">
        <v>548</v>
      </c>
      <c r="O676" s="25"/>
      <c r="P676" s="25" t="s">
        <v>556</v>
      </c>
      <c r="Q676" s="25" t="s">
        <v>557</v>
      </c>
      <c r="R676" s="26" t="n">
        <v>2000</v>
      </c>
      <c r="S676" s="26" t="n">
        <f aca="false">IF(AND(L676="Oui",K676="Principal",R676&lt;&gt;""),I676*R676,0)</f>
        <v>2000</v>
      </c>
      <c r="T676" s="26" t="n">
        <f aca="false">IF(R676&lt;&gt;"",M676-S676,0)</f>
        <v>500</v>
      </c>
      <c r="U676" s="26" t="n">
        <f aca="false">IF(R676="",M676,0)</f>
        <v>0</v>
      </c>
    </row>
    <row r="677" customFormat="false" ht="15" hidden="false" customHeight="false" outlineLevel="0" collapsed="false">
      <c r="A677" s="25" t="s">
        <v>60</v>
      </c>
      <c r="B677" s="25" t="s">
        <v>61</v>
      </c>
      <c r="C677" s="25" t="s">
        <v>49</v>
      </c>
      <c r="D677" s="25" t="n">
        <v>10</v>
      </c>
      <c r="E677" s="25" t="s">
        <v>563</v>
      </c>
      <c r="F677" s="25" t="s">
        <v>325</v>
      </c>
      <c r="G677" s="25" t="n">
        <v>1248</v>
      </c>
      <c r="H677" s="25" t="s">
        <v>697</v>
      </c>
      <c r="I677" s="25" t="n">
        <v>1</v>
      </c>
      <c r="J677" s="26" t="n">
        <v>400</v>
      </c>
      <c r="K677" s="25" t="s">
        <v>546</v>
      </c>
      <c r="L677" s="25" t="s">
        <v>547</v>
      </c>
      <c r="M677" s="26" t="n">
        <f aca="false">IF(AND(L677="Oui",K677="Principal"),I677*J677,0)</f>
        <v>400</v>
      </c>
      <c r="N677" s="25" t="s">
        <v>548</v>
      </c>
      <c r="O677" s="25"/>
      <c r="P677" s="25" t="s">
        <v>550</v>
      </c>
      <c r="Q677" s="25" t="s">
        <v>557</v>
      </c>
      <c r="R677" s="26" t="n">
        <v>250</v>
      </c>
      <c r="S677" s="26" t="n">
        <f aca="false">IF(AND(L677="Oui",K677="Principal",R677&lt;&gt;""),I677*R677,0)</f>
        <v>250</v>
      </c>
      <c r="T677" s="26" t="n">
        <f aca="false">IF(R677&lt;&gt;"",M677-S677,0)</f>
        <v>150</v>
      </c>
      <c r="U677" s="26" t="n">
        <f aca="false">IF(R677="",M677,0)</f>
        <v>0</v>
      </c>
    </row>
    <row r="678" customFormat="false" ht="15" hidden="false" customHeight="false" outlineLevel="0" collapsed="false">
      <c r="A678" s="25" t="s">
        <v>60</v>
      </c>
      <c r="B678" s="25" t="s">
        <v>61</v>
      </c>
      <c r="C678" s="25" t="s">
        <v>49</v>
      </c>
      <c r="D678" s="25" t="n">
        <v>11</v>
      </c>
      <c r="E678" s="25" t="s">
        <v>565</v>
      </c>
      <c r="F678" s="25" t="s">
        <v>99</v>
      </c>
      <c r="G678" s="25" t="n">
        <v>1181</v>
      </c>
      <c r="H678" s="25" t="s">
        <v>581</v>
      </c>
      <c r="I678" s="25" t="n">
        <v>1</v>
      </c>
      <c r="J678" s="26" t="n">
        <v>250</v>
      </c>
      <c r="K678" s="25" t="s">
        <v>546</v>
      </c>
      <c r="L678" s="25" t="s">
        <v>547</v>
      </c>
      <c r="M678" s="26" t="n">
        <f aca="false">IF(AND(L678="Oui",K678="Principal"),I678*J678,0)</f>
        <v>250</v>
      </c>
      <c r="N678" s="25" t="s">
        <v>548</v>
      </c>
      <c r="O678" s="25"/>
      <c r="P678" s="25" t="s">
        <v>550</v>
      </c>
      <c r="Q678" s="25" t="s">
        <v>557</v>
      </c>
      <c r="R678" s="26" t="n">
        <v>110</v>
      </c>
      <c r="S678" s="26" t="n">
        <f aca="false">IF(AND(L678="Oui",K678="Principal",R678&lt;&gt;""),I678*R678,0)</f>
        <v>110</v>
      </c>
      <c r="T678" s="26" t="n">
        <f aca="false">IF(R678&lt;&gt;"",M678-S678,0)</f>
        <v>140</v>
      </c>
      <c r="U678" s="26" t="n">
        <f aca="false">IF(R678="",M678,0)</f>
        <v>0</v>
      </c>
    </row>
    <row r="679" customFormat="false" ht="15" hidden="false" customHeight="false" outlineLevel="0" collapsed="false">
      <c r="A679" s="25" t="s">
        <v>60</v>
      </c>
      <c r="B679" s="25" t="s">
        <v>61</v>
      </c>
      <c r="C679" s="25" t="s">
        <v>49</v>
      </c>
      <c r="D679" s="25" t="n">
        <v>12</v>
      </c>
      <c r="E679" s="25" t="s">
        <v>565</v>
      </c>
      <c r="F679" s="25" t="s">
        <v>164</v>
      </c>
      <c r="G679" s="25" t="n">
        <v>1587</v>
      </c>
      <c r="H679" s="25" t="s">
        <v>567</v>
      </c>
      <c r="I679" s="25" t="n">
        <v>1</v>
      </c>
      <c r="J679" s="26" t="n">
        <v>500</v>
      </c>
      <c r="K679" s="25" t="s">
        <v>546</v>
      </c>
      <c r="L679" s="25" t="s">
        <v>547</v>
      </c>
      <c r="M679" s="26" t="n">
        <f aca="false">IF(AND(L679="Oui",K679="Principal"),I679*J679,0)</f>
        <v>500</v>
      </c>
      <c r="N679" s="25" t="s">
        <v>548</v>
      </c>
      <c r="O679" s="25"/>
      <c r="P679" s="25" t="s">
        <v>556</v>
      </c>
      <c r="Q679" s="25" t="s">
        <v>557</v>
      </c>
      <c r="R679" s="26" t="n">
        <v>350</v>
      </c>
      <c r="S679" s="26" t="n">
        <f aca="false">IF(AND(L679="Oui",K679="Principal",R679&lt;&gt;""),I679*R679,0)</f>
        <v>350</v>
      </c>
      <c r="T679" s="26" t="n">
        <f aca="false">IF(R679&lt;&gt;"",M679-S679,0)</f>
        <v>150</v>
      </c>
      <c r="U679" s="26" t="n">
        <f aca="false">IF(R679="",M679,0)</f>
        <v>0</v>
      </c>
    </row>
    <row r="680" customFormat="false" ht="15" hidden="false" customHeight="false" outlineLevel="0" collapsed="false">
      <c r="A680" s="25" t="s">
        <v>60</v>
      </c>
      <c r="B680" s="25" t="s">
        <v>61</v>
      </c>
      <c r="C680" s="25" t="s">
        <v>49</v>
      </c>
      <c r="D680" s="25" t="n">
        <v>13</v>
      </c>
      <c r="E680" s="25" t="s">
        <v>565</v>
      </c>
      <c r="F680" s="25" t="s">
        <v>166</v>
      </c>
      <c r="G680" s="25" t="n">
        <v>1604</v>
      </c>
      <c r="H680" s="25" t="s">
        <v>582</v>
      </c>
      <c r="I680" s="25" t="n">
        <v>2</v>
      </c>
      <c r="J680" s="26" t="n">
        <v>700</v>
      </c>
      <c r="K680" s="25" t="s">
        <v>546</v>
      </c>
      <c r="L680" s="25" t="s">
        <v>547</v>
      </c>
      <c r="M680" s="26" t="n">
        <f aca="false">IF(AND(L680="Oui",K680="Principal"),I680*J680,0)</f>
        <v>1400</v>
      </c>
      <c r="N680" s="25" t="s">
        <v>548</v>
      </c>
      <c r="O680" s="25"/>
      <c r="P680" s="25" t="s">
        <v>556</v>
      </c>
      <c r="Q680" s="25" t="s">
        <v>557</v>
      </c>
      <c r="R680" s="26" t="n">
        <v>400</v>
      </c>
      <c r="S680" s="26" t="n">
        <f aca="false">IF(AND(L680="Oui",K680="Principal",R680&lt;&gt;""),I680*R680,0)</f>
        <v>800</v>
      </c>
      <c r="T680" s="26" t="n">
        <f aca="false">IF(R680&lt;&gt;"",M680-S680,0)</f>
        <v>600</v>
      </c>
      <c r="U680" s="26" t="n">
        <f aca="false">IF(R680="",M680,0)</f>
        <v>0</v>
      </c>
    </row>
    <row r="681" customFormat="false" ht="15" hidden="false" customHeight="false" outlineLevel="0" collapsed="false">
      <c r="A681" s="25" t="s">
        <v>60</v>
      </c>
      <c r="B681" s="25" t="s">
        <v>61</v>
      </c>
      <c r="C681" s="25" t="s">
        <v>49</v>
      </c>
      <c r="D681" s="25" t="n">
        <v>14</v>
      </c>
      <c r="E681" s="25" t="s">
        <v>565</v>
      </c>
      <c r="F681" s="25" t="s">
        <v>304</v>
      </c>
      <c r="G681" s="25" t="n">
        <v>1586</v>
      </c>
      <c r="H681" s="25" t="s">
        <v>583</v>
      </c>
      <c r="I681" s="25" t="n">
        <v>1</v>
      </c>
      <c r="J681" s="26" t="n">
        <v>900</v>
      </c>
      <c r="K681" s="25" t="s">
        <v>546</v>
      </c>
      <c r="L681" s="25" t="s">
        <v>547</v>
      </c>
      <c r="M681" s="26" t="n">
        <f aca="false">IF(AND(L681="Oui",K681="Principal"),I681*J681,0)</f>
        <v>900</v>
      </c>
      <c r="N681" s="25" t="s">
        <v>548</v>
      </c>
      <c r="O681" s="25"/>
      <c r="P681" s="25" t="s">
        <v>556</v>
      </c>
      <c r="Q681" s="25" t="s">
        <v>557</v>
      </c>
      <c r="R681" s="26" t="n">
        <v>650</v>
      </c>
      <c r="S681" s="26" t="n">
        <f aca="false">IF(AND(L681="Oui",K681="Principal",R681&lt;&gt;""),I681*R681,0)</f>
        <v>650</v>
      </c>
      <c r="T681" s="26" t="n">
        <f aca="false">IF(R681&lt;&gt;"",M681-S681,0)</f>
        <v>250</v>
      </c>
      <c r="U681" s="26" t="n">
        <f aca="false">IF(R681="",M681,0)</f>
        <v>0</v>
      </c>
    </row>
    <row r="682" customFormat="false" ht="15" hidden="false" customHeight="false" outlineLevel="0" collapsed="false">
      <c r="A682" s="33" t="s">
        <v>60</v>
      </c>
      <c r="B682" s="33" t="s">
        <v>61</v>
      </c>
      <c r="C682" s="33" t="s">
        <v>49</v>
      </c>
      <c r="D682" s="33" t="n">
        <v>15</v>
      </c>
      <c r="E682" s="33" t="s">
        <v>609</v>
      </c>
      <c r="F682" s="33" t="s">
        <v>199</v>
      </c>
      <c r="G682" s="33" t="n">
        <v>1229</v>
      </c>
      <c r="H682" s="33" t="s">
        <v>643</v>
      </c>
      <c r="I682" s="33" t="n">
        <v>1</v>
      </c>
      <c r="J682" s="34" t="n">
        <v>1800</v>
      </c>
      <c r="K682" s="33" t="s">
        <v>546</v>
      </c>
      <c r="L682" s="33" t="s">
        <v>547</v>
      </c>
      <c r="M682" s="34" t="n">
        <f aca="false">IF(AND(L682="Oui",K682="Principal"),I682*J682,0)</f>
        <v>1800</v>
      </c>
      <c r="N682" s="33" t="s">
        <v>182</v>
      </c>
      <c r="O682" s="33" t="s">
        <v>644</v>
      </c>
      <c r="P682" s="33" t="s">
        <v>550</v>
      </c>
      <c r="Q682" s="33" t="s">
        <v>557</v>
      </c>
      <c r="R682" s="34" t="n">
        <v>1500</v>
      </c>
      <c r="S682" s="34" t="n">
        <f aca="false">IF(AND(L682="Oui",K682="Principal",R682&lt;&gt;""),I682*R682,0)</f>
        <v>1500</v>
      </c>
      <c r="T682" s="34" t="n">
        <f aca="false">IF(R682&lt;&gt;"",M682-S682,0)</f>
        <v>300</v>
      </c>
      <c r="U682" s="34" t="n">
        <f aca="false">IF(R682="",M682,0)</f>
        <v>0</v>
      </c>
    </row>
    <row r="683" customFormat="false" ht="15" hidden="false" customHeight="false" outlineLevel="0" collapsed="false">
      <c r="A683" s="25" t="s">
        <v>60</v>
      </c>
      <c r="B683" s="25" t="s">
        <v>61</v>
      </c>
      <c r="C683" s="25" t="s">
        <v>49</v>
      </c>
      <c r="D683" s="25" t="n">
        <v>16</v>
      </c>
      <c r="E683" s="25" t="s">
        <v>609</v>
      </c>
      <c r="F683" s="25" t="s">
        <v>305</v>
      </c>
      <c r="G683" s="25" t="n">
        <v>1727</v>
      </c>
      <c r="H683" s="25" t="s">
        <v>698</v>
      </c>
      <c r="I683" s="25" t="n">
        <v>1</v>
      </c>
      <c r="J683" s="26" t="n">
        <v>4750</v>
      </c>
      <c r="K683" s="25" t="s">
        <v>546</v>
      </c>
      <c r="L683" s="25" t="s">
        <v>547</v>
      </c>
      <c r="M683" s="26" t="n">
        <f aca="false">IF(AND(L683="Oui",K683="Principal"),I683*J683,0)</f>
        <v>4750</v>
      </c>
      <c r="N683" s="25" t="s">
        <v>548</v>
      </c>
      <c r="O683" s="25"/>
      <c r="P683" s="25" t="s">
        <v>559</v>
      </c>
      <c r="Q683" s="25" t="s">
        <v>557</v>
      </c>
      <c r="R683" s="26" t="n">
        <v>3700</v>
      </c>
      <c r="S683" s="26" t="n">
        <f aca="false">IF(AND(L683="Oui",K683="Principal",R683&lt;&gt;""),I683*R683,0)</f>
        <v>3700</v>
      </c>
      <c r="T683" s="26" t="n">
        <f aca="false">IF(R683&lt;&gt;"",M683-S683,0)</f>
        <v>1050</v>
      </c>
      <c r="U683" s="26" t="n">
        <f aca="false">IF(R683="",M683,0)</f>
        <v>0</v>
      </c>
    </row>
    <row r="684" customFormat="false" ht="15" hidden="false" customHeight="false" outlineLevel="0" collapsed="false">
      <c r="A684" s="25" t="s">
        <v>60</v>
      </c>
      <c r="B684" s="25" t="s">
        <v>61</v>
      </c>
      <c r="C684" s="25" t="s">
        <v>49</v>
      </c>
      <c r="D684" s="25" t="n">
        <v>17</v>
      </c>
      <c r="E684" s="25" t="s">
        <v>554</v>
      </c>
      <c r="F684" s="25" t="s">
        <v>104</v>
      </c>
      <c r="G684" s="25" t="n">
        <v>1589</v>
      </c>
      <c r="H684" s="25" t="s">
        <v>568</v>
      </c>
      <c r="I684" s="25" t="n">
        <v>1</v>
      </c>
      <c r="J684" s="26" t="n">
        <v>900</v>
      </c>
      <c r="K684" s="25" t="s">
        <v>546</v>
      </c>
      <c r="L684" s="25" t="s">
        <v>547</v>
      </c>
      <c r="M684" s="26" t="n">
        <f aca="false">IF(AND(L684="Oui",K684="Principal"),I684*J684,0)</f>
        <v>900</v>
      </c>
      <c r="N684" s="25" t="s">
        <v>548</v>
      </c>
      <c r="O684" s="25"/>
      <c r="P684" s="25" t="s">
        <v>556</v>
      </c>
      <c r="Q684" s="25" t="s">
        <v>557</v>
      </c>
      <c r="R684" s="26" t="n">
        <v>650</v>
      </c>
      <c r="S684" s="26" t="n">
        <f aca="false">IF(AND(L684="Oui",K684="Principal",R684&lt;&gt;""),I684*R684,0)</f>
        <v>650</v>
      </c>
      <c r="T684" s="26" t="n">
        <f aca="false">IF(R684&lt;&gt;"",M684-S684,0)</f>
        <v>250</v>
      </c>
      <c r="U684" s="26" t="n">
        <f aca="false">IF(R684="",M684,0)</f>
        <v>0</v>
      </c>
    </row>
    <row r="685" customFormat="false" ht="15" hidden="false" customHeight="false" outlineLevel="0" collapsed="false">
      <c r="A685" s="29" t="s">
        <v>60</v>
      </c>
      <c r="B685" s="29" t="s">
        <v>61</v>
      </c>
      <c r="C685" s="29" t="s">
        <v>49</v>
      </c>
      <c r="D685" s="29" t="n">
        <v>18</v>
      </c>
      <c r="E685" s="29" t="s">
        <v>554</v>
      </c>
      <c r="F685" s="29" t="s">
        <v>328</v>
      </c>
      <c r="G685" s="29" t="n">
        <v>31</v>
      </c>
      <c r="H685" s="29" t="s">
        <v>595</v>
      </c>
      <c r="I685" s="29" t="n">
        <v>1</v>
      </c>
      <c r="J685" s="30" t="n">
        <v>1500</v>
      </c>
      <c r="K685" s="29" t="s">
        <v>546</v>
      </c>
      <c r="L685" s="29" t="s">
        <v>547</v>
      </c>
      <c r="M685" s="30" t="n">
        <f aca="false">IF(AND(L685="Oui",K685="Principal"),I685*J685,0)</f>
        <v>1500</v>
      </c>
      <c r="N685" s="29" t="s">
        <v>141</v>
      </c>
      <c r="O685" s="29" t="s">
        <v>699</v>
      </c>
      <c r="P685" s="29" t="s">
        <v>559</v>
      </c>
      <c r="Q685" s="29" t="s">
        <v>551</v>
      </c>
      <c r="R685" s="30"/>
      <c r="S685" s="30" t="n">
        <f aca="false">IF(AND(L685="Oui",K685="Principal",R685&lt;&gt;""),I685*R685,0)</f>
        <v>0</v>
      </c>
      <c r="T685" s="30" t="n">
        <f aca="false">IF(R685&lt;&gt;"",M685-S685,0)</f>
        <v>0</v>
      </c>
      <c r="U685" s="30" t="n">
        <f aca="false">IF(R685="",M685,0)</f>
        <v>1500</v>
      </c>
    </row>
    <row r="686" customFormat="false" ht="15" hidden="false" customHeight="false" outlineLevel="0" collapsed="false">
      <c r="A686" s="25" t="s">
        <v>60</v>
      </c>
      <c r="B686" s="25" t="s">
        <v>61</v>
      </c>
      <c r="C686" s="25" t="s">
        <v>49</v>
      </c>
      <c r="D686" s="25" t="n">
        <v>19</v>
      </c>
      <c r="E686" s="25" t="s">
        <v>700</v>
      </c>
      <c r="F686" s="25" t="s">
        <v>329</v>
      </c>
      <c r="G686" s="25" t="n">
        <v>1716</v>
      </c>
      <c r="H686" s="25" t="s">
        <v>701</v>
      </c>
      <c r="I686" s="25" t="n">
        <v>1</v>
      </c>
      <c r="J686" s="26" t="n">
        <v>1800</v>
      </c>
      <c r="K686" s="25" t="s">
        <v>546</v>
      </c>
      <c r="L686" s="25" t="s">
        <v>547</v>
      </c>
      <c r="M686" s="26" t="n">
        <f aca="false">IF(AND(L686="Oui",K686="Principal"),I686*J686,0)</f>
        <v>1800</v>
      </c>
      <c r="N686" s="25" t="s">
        <v>548</v>
      </c>
      <c r="O686" s="25"/>
      <c r="P686" s="25" t="s">
        <v>559</v>
      </c>
      <c r="Q686" s="25" t="s">
        <v>557</v>
      </c>
      <c r="R686" s="26" t="n">
        <v>1300</v>
      </c>
      <c r="S686" s="26" t="n">
        <f aca="false">IF(AND(L686="Oui",K686="Principal",R686&lt;&gt;""),I686*R686,0)</f>
        <v>1300</v>
      </c>
      <c r="T686" s="26" t="n">
        <f aca="false">IF(R686&lt;&gt;"",M686-S686,0)</f>
        <v>500</v>
      </c>
      <c r="U686" s="26" t="n">
        <f aca="false">IF(R686="",M686,0)</f>
        <v>0</v>
      </c>
    </row>
    <row r="687" customFormat="false" ht="15" hidden="false" customHeight="false" outlineLevel="0" collapsed="false">
      <c r="A687" s="25" t="s">
        <v>60</v>
      </c>
      <c r="B687" s="25" t="s">
        <v>61</v>
      </c>
      <c r="C687" s="25" t="s">
        <v>49</v>
      </c>
      <c r="D687" s="25" t="n">
        <v>20</v>
      </c>
      <c r="E687" s="25" t="s">
        <v>571</v>
      </c>
      <c r="F687" s="25" t="s">
        <v>331</v>
      </c>
      <c r="G687" s="25" t="n">
        <v>1625</v>
      </c>
      <c r="H687" s="25" t="s">
        <v>572</v>
      </c>
      <c r="I687" s="25" t="n">
        <v>1</v>
      </c>
      <c r="J687" s="26" t="n">
        <v>500</v>
      </c>
      <c r="K687" s="25" t="s">
        <v>546</v>
      </c>
      <c r="L687" s="25" t="s">
        <v>547</v>
      </c>
      <c r="M687" s="26" t="n">
        <f aca="false">IF(AND(L687="Oui",K687="Principal"),I687*J687,0)</f>
        <v>500</v>
      </c>
      <c r="N687" s="25" t="s">
        <v>548</v>
      </c>
      <c r="O687" s="25"/>
      <c r="P687" s="25" t="s">
        <v>556</v>
      </c>
      <c r="Q687" s="25" t="s">
        <v>557</v>
      </c>
      <c r="R687" s="26"/>
      <c r="S687" s="26" t="n">
        <f aca="false">IF(AND(L687="Oui",K687="Principal",R687&lt;&gt;""),I687*R687,0)</f>
        <v>0</v>
      </c>
      <c r="T687" s="26" t="n">
        <f aca="false">IF(R687&lt;&gt;"",M687-S687,0)</f>
        <v>0</v>
      </c>
      <c r="U687" s="26" t="n">
        <f aca="false">IF(R687="",M687,0)</f>
        <v>500</v>
      </c>
    </row>
    <row r="688" customFormat="false" ht="15" hidden="false" customHeight="false" outlineLevel="0" collapsed="false">
      <c r="A688" s="25" t="s">
        <v>60</v>
      </c>
      <c r="B688" s="25" t="s">
        <v>61</v>
      </c>
      <c r="C688" s="25" t="s">
        <v>49</v>
      </c>
      <c r="D688" s="25" t="n">
        <v>21</v>
      </c>
      <c r="E688" s="25" t="s">
        <v>573</v>
      </c>
      <c r="F688" s="25" t="s">
        <v>176</v>
      </c>
      <c r="G688" s="25" t="n">
        <v>19</v>
      </c>
      <c r="H688" s="25" t="s">
        <v>615</v>
      </c>
      <c r="I688" s="25" t="n">
        <v>1</v>
      </c>
      <c r="J688" s="26" t="n">
        <v>2500</v>
      </c>
      <c r="K688" s="25" t="s">
        <v>546</v>
      </c>
      <c r="L688" s="25" t="s">
        <v>547</v>
      </c>
      <c r="M688" s="26" t="n">
        <f aca="false">IF(AND(L688="Oui",K688="Principal"),I688*J688,0)</f>
        <v>2500</v>
      </c>
      <c r="N688" s="25" t="s">
        <v>548</v>
      </c>
      <c r="O688" s="25"/>
      <c r="P688" s="25" t="s">
        <v>559</v>
      </c>
      <c r="Q688" s="25" t="s">
        <v>551</v>
      </c>
      <c r="R688" s="26"/>
      <c r="S688" s="26" t="n">
        <f aca="false">IF(AND(L688="Oui",K688="Principal",R688&lt;&gt;""),I688*R688,0)</f>
        <v>0</v>
      </c>
      <c r="T688" s="26" t="n">
        <f aca="false">IF(R688&lt;&gt;"",M688-S688,0)</f>
        <v>0</v>
      </c>
      <c r="U688" s="26" t="n">
        <f aca="false">IF(R688="",M688,0)</f>
        <v>2500</v>
      </c>
    </row>
    <row r="689" customFormat="false" ht="15" hidden="false" customHeight="false" outlineLevel="0" collapsed="false">
      <c r="A689" s="25" t="s">
        <v>60</v>
      </c>
      <c r="B689" s="25" t="s">
        <v>61</v>
      </c>
      <c r="C689" s="25" t="s">
        <v>49</v>
      </c>
      <c r="D689" s="25" t="n">
        <v>22</v>
      </c>
      <c r="E689" s="25" t="s">
        <v>573</v>
      </c>
      <c r="F689" s="25" t="s">
        <v>117</v>
      </c>
      <c r="G689" s="25" t="n">
        <v>1288</v>
      </c>
      <c r="H689" s="25" t="s">
        <v>624</v>
      </c>
      <c r="I689" s="25" t="n">
        <v>1</v>
      </c>
      <c r="J689" s="26" t="n">
        <v>2500</v>
      </c>
      <c r="K689" s="25" t="s">
        <v>546</v>
      </c>
      <c r="L689" s="25" t="s">
        <v>547</v>
      </c>
      <c r="M689" s="26" t="n">
        <f aca="false">IF(AND(L689="Oui",K689="Principal"),I689*J689,0)</f>
        <v>2500</v>
      </c>
      <c r="N689" s="25" t="s">
        <v>548</v>
      </c>
      <c r="O689" s="25"/>
      <c r="P689" s="25" t="s">
        <v>550</v>
      </c>
      <c r="Q689" s="25" t="s">
        <v>557</v>
      </c>
      <c r="R689" s="26" t="n">
        <v>2000</v>
      </c>
      <c r="S689" s="26" t="n">
        <f aca="false">IF(AND(L689="Oui",K689="Principal",R689&lt;&gt;""),I689*R689,0)</f>
        <v>2000</v>
      </c>
      <c r="T689" s="26" t="n">
        <f aca="false">IF(R689&lt;&gt;"",M689-S689,0)</f>
        <v>500</v>
      </c>
      <c r="U689" s="26" t="n">
        <f aca="false">IF(R689="",M689,0)</f>
        <v>0</v>
      </c>
    </row>
    <row r="690" customFormat="false" ht="15" hidden="false" customHeight="false" outlineLevel="0" collapsed="false">
      <c r="A690" s="25" t="s">
        <v>60</v>
      </c>
      <c r="B690" s="25" t="s">
        <v>61</v>
      </c>
      <c r="C690" s="25" t="s">
        <v>49</v>
      </c>
      <c r="D690" s="25" t="n">
        <v>23</v>
      </c>
      <c r="E690" s="25" t="s">
        <v>573</v>
      </c>
      <c r="F690" s="25" t="s">
        <v>321</v>
      </c>
      <c r="G690" s="25" t="n">
        <v>1192</v>
      </c>
      <c r="H690" s="25" t="s">
        <v>694</v>
      </c>
      <c r="I690" s="25" t="n">
        <v>1</v>
      </c>
      <c r="J690" s="26" t="n">
        <v>7000</v>
      </c>
      <c r="K690" s="25" t="s">
        <v>546</v>
      </c>
      <c r="L690" s="25" t="s">
        <v>547</v>
      </c>
      <c r="M690" s="26" t="n">
        <f aca="false">IF(AND(L690="Oui",K690="Principal"),I690*J690,0)</f>
        <v>7000</v>
      </c>
      <c r="N690" s="25" t="s">
        <v>548</v>
      </c>
      <c r="O690" s="25"/>
      <c r="P690" s="25" t="s">
        <v>550</v>
      </c>
      <c r="Q690" s="25" t="s">
        <v>557</v>
      </c>
      <c r="R690" s="26" t="n">
        <v>5500</v>
      </c>
      <c r="S690" s="26" t="n">
        <f aca="false">IF(AND(L690="Oui",K690="Principal",R690&lt;&gt;""),I690*R690,0)</f>
        <v>5500</v>
      </c>
      <c r="T690" s="26" t="n">
        <f aca="false">IF(R690&lt;&gt;"",M690-S690,0)</f>
        <v>1500</v>
      </c>
      <c r="U690" s="26" t="n">
        <f aca="false">IF(R690="",M690,0)</f>
        <v>0</v>
      </c>
    </row>
    <row r="691" customFormat="false" ht="15" hidden="false" customHeight="false" outlineLevel="0" collapsed="false">
      <c r="A691" s="27" t="s">
        <v>60</v>
      </c>
      <c r="B691" s="27" t="s">
        <v>61</v>
      </c>
      <c r="C691" s="27" t="s">
        <v>49</v>
      </c>
      <c r="D691" s="27" t="n">
        <v>24</v>
      </c>
      <c r="E691" s="27" t="s">
        <v>686</v>
      </c>
      <c r="F691" s="27" t="s">
        <v>308</v>
      </c>
      <c r="G691" s="27"/>
      <c r="H691" s="27" t="s">
        <v>585</v>
      </c>
      <c r="I691" s="27" t="n">
        <v>1</v>
      </c>
      <c r="J691" s="28" t="n">
        <v>0</v>
      </c>
      <c r="K691" s="27" t="s">
        <v>546</v>
      </c>
      <c r="L691" s="27" t="s">
        <v>579</v>
      </c>
      <c r="M691" s="28" t="n">
        <f aca="false">IF(AND(L691="Oui",K691="Principal"),I691*J691,0)</f>
        <v>0</v>
      </c>
      <c r="N691" s="27" t="s">
        <v>128</v>
      </c>
      <c r="O691" s="27" t="s">
        <v>687</v>
      </c>
      <c r="P691" s="27"/>
      <c r="Q691" s="27"/>
      <c r="R691" s="28"/>
      <c r="S691" s="28" t="n">
        <f aca="false">IF(AND(L691="Oui",K691="Principal",R691&lt;&gt;""),I691*R691,0)</f>
        <v>0</v>
      </c>
      <c r="T691" s="28" t="n">
        <f aca="false">IF(R691&lt;&gt;"",M691-S691,0)</f>
        <v>0</v>
      </c>
      <c r="U691" s="28" t="n">
        <f aca="false">IF(R691="",M691,0)</f>
        <v>0</v>
      </c>
    </row>
    <row r="692" customFormat="false" ht="15" hidden="false" customHeight="false" outlineLevel="0" collapsed="false">
      <c r="A692" s="25" t="s">
        <v>60</v>
      </c>
      <c r="B692" s="25" t="s">
        <v>61</v>
      </c>
      <c r="C692" s="25" t="s">
        <v>49</v>
      </c>
      <c r="D692" s="25" t="n">
        <v>25</v>
      </c>
      <c r="E692" s="25" t="s">
        <v>686</v>
      </c>
      <c r="F692" s="25" t="s">
        <v>309</v>
      </c>
      <c r="G692" s="25" t="n">
        <v>1351</v>
      </c>
      <c r="H692" s="25" t="s">
        <v>688</v>
      </c>
      <c r="I692" s="25" t="n">
        <v>1</v>
      </c>
      <c r="J692" s="26" t="n">
        <v>4000</v>
      </c>
      <c r="K692" s="25" t="s">
        <v>546</v>
      </c>
      <c r="L692" s="25" t="s">
        <v>547</v>
      </c>
      <c r="M692" s="26" t="n">
        <f aca="false">IF(AND(L692="Oui",K692="Principal"),I692*J692,0)</f>
        <v>4000</v>
      </c>
      <c r="N692" s="25" t="s">
        <v>548</v>
      </c>
      <c r="O692" s="25"/>
      <c r="P692" s="25" t="s">
        <v>550</v>
      </c>
      <c r="Q692" s="25" t="s">
        <v>557</v>
      </c>
      <c r="R692" s="26" t="n">
        <v>3000</v>
      </c>
      <c r="S692" s="26" t="n">
        <f aca="false">IF(AND(L692="Oui",K692="Principal",R692&lt;&gt;""),I692*R692,0)</f>
        <v>3000</v>
      </c>
      <c r="T692" s="26" t="n">
        <f aca="false">IF(R692&lt;&gt;"",M692-S692,0)</f>
        <v>1000</v>
      </c>
      <c r="U692" s="26" t="n">
        <f aca="false">IF(R692="",M692,0)</f>
        <v>0</v>
      </c>
    </row>
    <row r="693" customFormat="false" ht="15" hidden="false" customHeight="false" outlineLevel="0" collapsed="false">
      <c r="A693" s="25" t="s">
        <v>60</v>
      </c>
      <c r="B693" s="25" t="s">
        <v>61</v>
      </c>
      <c r="C693" s="25" t="s">
        <v>49</v>
      </c>
      <c r="D693" s="25" t="n">
        <v>26</v>
      </c>
      <c r="E693" s="25" t="s">
        <v>689</v>
      </c>
      <c r="F693" s="25" t="s">
        <v>311</v>
      </c>
      <c r="G693" s="25" t="n">
        <v>1311</v>
      </c>
      <c r="H693" s="25" t="s">
        <v>690</v>
      </c>
      <c r="I693" s="25" t="n">
        <v>1</v>
      </c>
      <c r="J693" s="26" t="n">
        <v>3500</v>
      </c>
      <c r="K693" s="25" t="s">
        <v>546</v>
      </c>
      <c r="L693" s="25" t="s">
        <v>547</v>
      </c>
      <c r="M693" s="26" t="n">
        <f aca="false">IF(AND(L693="Oui",K693="Principal"),I693*J693,0)</f>
        <v>3500</v>
      </c>
      <c r="N693" s="25" t="s">
        <v>548</v>
      </c>
      <c r="O693" s="25"/>
      <c r="P693" s="25" t="s">
        <v>550</v>
      </c>
      <c r="Q693" s="25" t="s">
        <v>557</v>
      </c>
      <c r="R693" s="26" t="n">
        <v>2500</v>
      </c>
      <c r="S693" s="26" t="n">
        <f aca="false">IF(AND(L693="Oui",K693="Principal",R693&lt;&gt;""),I693*R693,0)</f>
        <v>2500</v>
      </c>
      <c r="T693" s="26" t="n">
        <f aca="false">IF(R693&lt;&gt;"",M693-S693,0)</f>
        <v>1000</v>
      </c>
      <c r="U693" s="26" t="n">
        <f aca="false">IF(R693="",M693,0)</f>
        <v>0</v>
      </c>
    </row>
    <row r="694" customFormat="false" ht="15" hidden="false" customHeight="false" outlineLevel="0" collapsed="false">
      <c r="A694" s="25" t="s">
        <v>60</v>
      </c>
      <c r="B694" s="25" t="s">
        <v>61</v>
      </c>
      <c r="C694" s="25" t="s">
        <v>49</v>
      </c>
      <c r="D694" s="25" t="n">
        <v>27</v>
      </c>
      <c r="E694" s="25" t="s">
        <v>689</v>
      </c>
      <c r="F694" s="25" t="s">
        <v>313</v>
      </c>
      <c r="G694" s="25" t="n">
        <v>1304</v>
      </c>
      <c r="H694" s="25" t="s">
        <v>691</v>
      </c>
      <c r="I694" s="25" t="n">
        <v>1</v>
      </c>
      <c r="J694" s="26" t="n">
        <v>2800</v>
      </c>
      <c r="K694" s="25" t="s">
        <v>546</v>
      </c>
      <c r="L694" s="25" t="s">
        <v>547</v>
      </c>
      <c r="M694" s="26" t="n">
        <f aca="false">IF(AND(L694="Oui",K694="Principal"),I694*J694,0)</f>
        <v>2800</v>
      </c>
      <c r="N694" s="25" t="s">
        <v>548</v>
      </c>
      <c r="O694" s="25"/>
      <c r="P694" s="25" t="s">
        <v>550</v>
      </c>
      <c r="Q694" s="25" t="s">
        <v>557</v>
      </c>
      <c r="R694" s="26" t="n">
        <v>1800</v>
      </c>
      <c r="S694" s="26" t="n">
        <f aca="false">IF(AND(L694="Oui",K694="Principal",R694&lt;&gt;""),I694*R694,0)</f>
        <v>1800</v>
      </c>
      <c r="T694" s="26" t="n">
        <f aca="false">IF(R694&lt;&gt;"",M694-S694,0)</f>
        <v>1000</v>
      </c>
      <c r="U694" s="26" t="n">
        <f aca="false">IF(R694="",M694,0)</f>
        <v>0</v>
      </c>
    </row>
    <row r="695" customFormat="false" ht="15" hidden="false" customHeight="false" outlineLevel="0" collapsed="false">
      <c r="A695" s="25" t="s">
        <v>60</v>
      </c>
      <c r="B695" s="25" t="s">
        <v>61</v>
      </c>
      <c r="C695" s="25" t="s">
        <v>49</v>
      </c>
      <c r="D695" s="25" t="n">
        <v>28</v>
      </c>
      <c r="E695" s="25" t="s">
        <v>686</v>
      </c>
      <c r="F695" s="25" t="s">
        <v>315</v>
      </c>
      <c r="G695" s="25" t="n">
        <v>1560</v>
      </c>
      <c r="H695" s="25" t="s">
        <v>692</v>
      </c>
      <c r="I695" s="25" t="n">
        <v>1</v>
      </c>
      <c r="J695" s="26" t="n">
        <v>3960</v>
      </c>
      <c r="K695" s="25" t="s">
        <v>546</v>
      </c>
      <c r="L695" s="25" t="s">
        <v>547</v>
      </c>
      <c r="M695" s="26" t="n">
        <f aca="false">IF(AND(L695="Oui",K695="Principal"),I695*J695,0)</f>
        <v>3960</v>
      </c>
      <c r="N695" s="25" t="s">
        <v>548</v>
      </c>
      <c r="O695" s="25"/>
      <c r="P695" s="25" t="s">
        <v>550</v>
      </c>
      <c r="Q695" s="25" t="s">
        <v>557</v>
      </c>
      <c r="R695" s="26" t="n">
        <v>2960</v>
      </c>
      <c r="S695" s="26" t="n">
        <f aca="false">IF(AND(L695="Oui",K695="Principal",R695&lt;&gt;""),I695*R695,0)</f>
        <v>2960</v>
      </c>
      <c r="T695" s="26" t="n">
        <f aca="false">IF(R695&lt;&gt;"",M695-S695,0)</f>
        <v>1000</v>
      </c>
      <c r="U695" s="26" t="n">
        <f aca="false">IF(R695="",M695,0)</f>
        <v>0</v>
      </c>
    </row>
    <row r="696" customFormat="false" ht="15" hidden="false" customHeight="false" outlineLevel="0" collapsed="false">
      <c r="A696" s="25" t="s">
        <v>60</v>
      </c>
      <c r="B696" s="25" t="s">
        <v>61</v>
      </c>
      <c r="C696" s="25" t="s">
        <v>49</v>
      </c>
      <c r="D696" s="25" t="n">
        <v>29</v>
      </c>
      <c r="E696" s="25" t="s">
        <v>686</v>
      </c>
      <c r="F696" s="25" t="s">
        <v>317</v>
      </c>
      <c r="G696" s="25" t="n">
        <v>1566</v>
      </c>
      <c r="H696" s="25" t="s">
        <v>693</v>
      </c>
      <c r="I696" s="25" t="n">
        <v>1</v>
      </c>
      <c r="J696" s="26" t="n">
        <v>3960</v>
      </c>
      <c r="K696" s="25" t="s">
        <v>546</v>
      </c>
      <c r="L696" s="25" t="s">
        <v>547</v>
      </c>
      <c r="M696" s="26" t="n">
        <f aca="false">IF(AND(L696="Oui",K696="Principal"),I696*J696,0)</f>
        <v>3960</v>
      </c>
      <c r="N696" s="25" t="s">
        <v>548</v>
      </c>
      <c r="O696" s="25"/>
      <c r="P696" s="25" t="s">
        <v>550</v>
      </c>
      <c r="Q696" s="25" t="s">
        <v>557</v>
      </c>
      <c r="R696" s="26" t="n">
        <v>2960</v>
      </c>
      <c r="S696" s="26" t="n">
        <f aca="false">IF(AND(L696="Oui",K696="Principal",R696&lt;&gt;""),I696*R696,0)</f>
        <v>2960</v>
      </c>
      <c r="T696" s="26" t="n">
        <f aca="false">IF(R696&lt;&gt;"",M696-S696,0)</f>
        <v>1000</v>
      </c>
      <c r="U696" s="26" t="n">
        <f aca="false">IF(R696="",M696,0)</f>
        <v>0</v>
      </c>
    </row>
    <row r="697" customFormat="false" ht="15" hidden="false" customHeight="false" outlineLevel="0" collapsed="false">
      <c r="A697" s="27" t="s">
        <v>60</v>
      </c>
      <c r="B697" s="27" t="s">
        <v>61</v>
      </c>
      <c r="C697" s="27" t="s">
        <v>49</v>
      </c>
      <c r="D697" s="27" t="n">
        <v>30</v>
      </c>
      <c r="E697" s="27" t="s">
        <v>686</v>
      </c>
      <c r="F697" s="27" t="s">
        <v>319</v>
      </c>
      <c r="G697" s="27"/>
      <c r="H697" s="27" t="s">
        <v>585</v>
      </c>
      <c r="I697" s="27" t="n">
        <v>1</v>
      </c>
      <c r="J697" s="28" t="n">
        <v>0</v>
      </c>
      <c r="K697" s="27" t="s">
        <v>546</v>
      </c>
      <c r="L697" s="27" t="s">
        <v>579</v>
      </c>
      <c r="M697" s="28" t="n">
        <f aca="false">IF(AND(L697="Oui",K697="Principal"),I697*J697,0)</f>
        <v>0</v>
      </c>
      <c r="N697" s="27" t="s">
        <v>128</v>
      </c>
      <c r="O697" s="27" t="s">
        <v>586</v>
      </c>
      <c r="P697" s="27"/>
      <c r="Q697" s="27"/>
      <c r="R697" s="28"/>
      <c r="S697" s="28" t="n">
        <f aca="false">IF(AND(L697="Oui",K697="Principal",R697&lt;&gt;""),I697*R697,0)</f>
        <v>0</v>
      </c>
      <c r="T697" s="28" t="n">
        <f aca="false">IF(R697&lt;&gt;"",M697-S697,0)</f>
        <v>0</v>
      </c>
      <c r="U697" s="28" t="n">
        <f aca="false">IF(R697="",M697,0)</f>
        <v>0</v>
      </c>
    </row>
    <row r="698" customFormat="false" ht="15" hidden="false" customHeight="false" outlineLevel="0" collapsed="false">
      <c r="A698" s="27" t="s">
        <v>60</v>
      </c>
      <c r="B698" s="27" t="s">
        <v>61</v>
      </c>
      <c r="C698" s="27" t="s">
        <v>49</v>
      </c>
      <c r="D698" s="27" t="n">
        <v>31</v>
      </c>
      <c r="E698" s="27" t="s">
        <v>686</v>
      </c>
      <c r="F698" s="27" t="s">
        <v>320</v>
      </c>
      <c r="G698" s="27"/>
      <c r="H698" s="27" t="s">
        <v>585</v>
      </c>
      <c r="I698" s="27" t="n">
        <v>1</v>
      </c>
      <c r="J698" s="28" t="n">
        <v>0</v>
      </c>
      <c r="K698" s="27" t="s">
        <v>546</v>
      </c>
      <c r="L698" s="27" t="s">
        <v>579</v>
      </c>
      <c r="M698" s="28" t="n">
        <f aca="false">IF(AND(L698="Oui",K698="Principal"),I698*J698,0)</f>
        <v>0</v>
      </c>
      <c r="N698" s="27" t="s">
        <v>128</v>
      </c>
      <c r="O698" s="27" t="s">
        <v>586</v>
      </c>
      <c r="P698" s="27"/>
      <c r="Q698" s="27"/>
      <c r="R698" s="28"/>
      <c r="S698" s="28" t="n">
        <f aca="false">IF(AND(L698="Oui",K698="Principal",R698&lt;&gt;""),I698*R698,0)</f>
        <v>0</v>
      </c>
      <c r="T698" s="28" t="n">
        <f aca="false">IF(R698&lt;&gt;"",M698-S698,0)</f>
        <v>0</v>
      </c>
      <c r="U698" s="28" t="n">
        <f aca="false">IF(R698="",M698,0)</f>
        <v>0</v>
      </c>
    </row>
    <row r="699" customFormat="false" ht="15" hidden="false" customHeight="false" outlineLevel="0" collapsed="false">
      <c r="A699" s="25" t="s">
        <v>60</v>
      </c>
      <c r="B699" s="25" t="s">
        <v>61</v>
      </c>
      <c r="C699" s="25" t="s">
        <v>50</v>
      </c>
      <c r="D699" s="25" t="n">
        <v>1</v>
      </c>
      <c r="E699" s="25" t="s">
        <v>544</v>
      </c>
      <c r="F699" s="25" t="s">
        <v>295</v>
      </c>
      <c r="G699" s="25" t="n">
        <v>1618</v>
      </c>
      <c r="H699" s="25" t="s">
        <v>600</v>
      </c>
      <c r="I699" s="25" t="n">
        <v>2</v>
      </c>
      <c r="J699" s="26" t="n">
        <v>450</v>
      </c>
      <c r="K699" s="25" t="s">
        <v>546</v>
      </c>
      <c r="L699" s="25" t="s">
        <v>547</v>
      </c>
      <c r="M699" s="26" t="n">
        <f aca="false">IF(AND(L699="Oui",K699="Principal"),I699*J699,0)</f>
        <v>900</v>
      </c>
      <c r="N699" s="25" t="s">
        <v>548</v>
      </c>
      <c r="O699" s="25"/>
      <c r="P699" s="25" t="s">
        <v>556</v>
      </c>
      <c r="Q699" s="25" t="s">
        <v>557</v>
      </c>
      <c r="R699" s="26" t="n">
        <v>350</v>
      </c>
      <c r="S699" s="26" t="n">
        <f aca="false">IF(AND(L699="Oui",K699="Principal",R699&lt;&gt;""),I699*R699,0)</f>
        <v>700</v>
      </c>
      <c r="T699" s="26" t="n">
        <f aca="false">IF(R699&lt;&gt;"",M699-S699,0)</f>
        <v>200</v>
      </c>
      <c r="U699" s="26" t="n">
        <f aca="false">IF(R699="",M699,0)</f>
        <v>0</v>
      </c>
    </row>
    <row r="700" customFormat="false" ht="15" hidden="false" customHeight="false" outlineLevel="0" collapsed="false">
      <c r="A700" s="25" t="s">
        <v>60</v>
      </c>
      <c r="B700" s="25" t="s">
        <v>61</v>
      </c>
      <c r="C700" s="25" t="s">
        <v>50</v>
      </c>
      <c r="D700" s="25" t="n">
        <v>2</v>
      </c>
      <c r="E700" s="25" t="s">
        <v>544</v>
      </c>
      <c r="F700" s="25" t="s">
        <v>296</v>
      </c>
      <c r="G700" s="25" t="n">
        <v>1</v>
      </c>
      <c r="H700" s="25" t="s">
        <v>681</v>
      </c>
      <c r="I700" s="25" t="n">
        <v>5</v>
      </c>
      <c r="J700" s="26" t="n">
        <v>500</v>
      </c>
      <c r="K700" s="25" t="s">
        <v>546</v>
      </c>
      <c r="L700" s="25" t="s">
        <v>547</v>
      </c>
      <c r="M700" s="26" t="n">
        <f aca="false">IF(AND(L700="Oui",K700="Principal"),I700*J700,0)</f>
        <v>2500</v>
      </c>
      <c r="N700" s="25" t="s">
        <v>548</v>
      </c>
      <c r="O700" s="25"/>
      <c r="P700" s="25" t="s">
        <v>559</v>
      </c>
      <c r="Q700" s="25" t="s">
        <v>551</v>
      </c>
      <c r="R700" s="26"/>
      <c r="S700" s="26" t="n">
        <f aca="false">IF(AND(L700="Oui",K700="Principal",R700&lt;&gt;""),I700*R700,0)</f>
        <v>0</v>
      </c>
      <c r="T700" s="26" t="n">
        <f aca="false">IF(R700&lt;&gt;"",M700-S700,0)</f>
        <v>0</v>
      </c>
      <c r="U700" s="26" t="n">
        <f aca="false">IF(R700="",M700,0)</f>
        <v>2500</v>
      </c>
    </row>
    <row r="701" customFormat="false" ht="15" hidden="false" customHeight="false" outlineLevel="0" collapsed="false">
      <c r="A701" s="25" t="s">
        <v>60</v>
      </c>
      <c r="B701" s="25" t="s">
        <v>61</v>
      </c>
      <c r="C701" s="25" t="s">
        <v>50</v>
      </c>
      <c r="D701" s="25" t="n">
        <v>3</v>
      </c>
      <c r="E701" s="25" t="s">
        <v>544</v>
      </c>
      <c r="F701" s="25" t="s">
        <v>298</v>
      </c>
      <c r="G701" s="25" t="n">
        <v>1616</v>
      </c>
      <c r="H701" s="25" t="s">
        <v>695</v>
      </c>
      <c r="I701" s="25" t="n">
        <v>2</v>
      </c>
      <c r="J701" s="26" t="n">
        <v>900</v>
      </c>
      <c r="K701" s="25" t="s">
        <v>546</v>
      </c>
      <c r="L701" s="25" t="s">
        <v>547</v>
      </c>
      <c r="M701" s="26" t="n">
        <f aca="false">IF(AND(L701="Oui",K701="Principal"),I701*J701,0)</f>
        <v>1800</v>
      </c>
      <c r="N701" s="25" t="s">
        <v>548</v>
      </c>
      <c r="O701" s="25"/>
      <c r="P701" s="25" t="s">
        <v>556</v>
      </c>
      <c r="Q701" s="25" t="s">
        <v>557</v>
      </c>
      <c r="R701" s="26" t="n">
        <v>800</v>
      </c>
      <c r="S701" s="26" t="n">
        <f aca="false">IF(AND(L701="Oui",K701="Principal",R701&lt;&gt;""),I701*R701,0)</f>
        <v>1600</v>
      </c>
      <c r="T701" s="26" t="n">
        <f aca="false">IF(R701&lt;&gt;"",M701-S701,0)</f>
        <v>200</v>
      </c>
      <c r="U701" s="26" t="n">
        <f aca="false">IF(R701="",M701,0)</f>
        <v>0</v>
      </c>
    </row>
    <row r="702" customFormat="false" ht="15" hidden="false" customHeight="false" outlineLevel="0" collapsed="false">
      <c r="A702" s="25" t="s">
        <v>60</v>
      </c>
      <c r="B702" s="25" t="s">
        <v>61</v>
      </c>
      <c r="C702" s="25" t="s">
        <v>50</v>
      </c>
      <c r="D702" s="25" t="n">
        <v>4</v>
      </c>
      <c r="E702" s="25" t="s">
        <v>544</v>
      </c>
      <c r="F702" s="25" t="s">
        <v>301</v>
      </c>
      <c r="G702" s="25" t="n">
        <v>1728</v>
      </c>
      <c r="H702" s="25" t="s">
        <v>545</v>
      </c>
      <c r="I702" s="25" t="n">
        <v>1</v>
      </c>
      <c r="J702" s="26" t="n">
        <v>900</v>
      </c>
      <c r="K702" s="25" t="s">
        <v>546</v>
      </c>
      <c r="L702" s="25" t="s">
        <v>547</v>
      </c>
      <c r="M702" s="26" t="n">
        <f aca="false">IF(AND(L702="Oui",K702="Principal"),I702*J702,0)</f>
        <v>900</v>
      </c>
      <c r="N702" s="25" t="s">
        <v>548</v>
      </c>
      <c r="O702" s="25"/>
      <c r="P702" s="25" t="s">
        <v>550</v>
      </c>
      <c r="Q702" s="25" t="s">
        <v>551</v>
      </c>
      <c r="R702" s="26"/>
      <c r="S702" s="26" t="n">
        <f aca="false">IF(AND(L702="Oui",K702="Principal",R702&lt;&gt;""),I702*R702,0)</f>
        <v>0</v>
      </c>
      <c r="T702" s="26" t="n">
        <f aca="false">IF(R702&lt;&gt;"",M702-S702,0)</f>
        <v>0</v>
      </c>
      <c r="U702" s="26" t="n">
        <f aca="false">IF(R702="",M702,0)</f>
        <v>900</v>
      </c>
    </row>
    <row r="703" customFormat="false" ht="15" hidden="false" customHeight="false" outlineLevel="0" collapsed="false">
      <c r="A703" s="33" t="s">
        <v>60</v>
      </c>
      <c r="B703" s="33" t="s">
        <v>61</v>
      </c>
      <c r="C703" s="33" t="s">
        <v>50</v>
      </c>
      <c r="D703" s="33" t="n">
        <v>5</v>
      </c>
      <c r="E703" s="33" t="s">
        <v>544</v>
      </c>
      <c r="F703" s="33" t="s">
        <v>302</v>
      </c>
      <c r="G703" s="33" t="n">
        <v>1271</v>
      </c>
      <c r="H703" s="33" t="s">
        <v>683</v>
      </c>
      <c r="I703" s="33" t="n">
        <v>1</v>
      </c>
      <c r="J703" s="34" t="n">
        <v>1150</v>
      </c>
      <c r="K703" s="33" t="s">
        <v>546</v>
      </c>
      <c r="L703" s="33" t="s">
        <v>547</v>
      </c>
      <c r="M703" s="34" t="n">
        <f aca="false">IF(AND(L703="Oui",K703="Principal"),I703*J703,0)</f>
        <v>1150</v>
      </c>
      <c r="N703" s="33" t="s">
        <v>182</v>
      </c>
      <c r="O703" s="33" t="s">
        <v>684</v>
      </c>
      <c r="P703" s="33" t="s">
        <v>550</v>
      </c>
      <c r="Q703" s="33" t="s">
        <v>557</v>
      </c>
      <c r="R703" s="34" t="n">
        <v>850</v>
      </c>
      <c r="S703" s="34" t="n">
        <f aca="false">IF(AND(L703="Oui",K703="Principal",R703&lt;&gt;""),I703*R703,0)</f>
        <v>850</v>
      </c>
      <c r="T703" s="34" t="n">
        <f aca="false">IF(R703&lt;&gt;"",M703-S703,0)</f>
        <v>300</v>
      </c>
      <c r="U703" s="34" t="n">
        <f aca="false">IF(R703="",M703,0)</f>
        <v>0</v>
      </c>
    </row>
    <row r="704" customFormat="false" ht="15" hidden="false" customHeight="false" outlineLevel="0" collapsed="false">
      <c r="A704" s="25" t="s">
        <v>60</v>
      </c>
      <c r="B704" s="25" t="s">
        <v>61</v>
      </c>
      <c r="C704" s="25" t="s">
        <v>50</v>
      </c>
      <c r="D704" s="25" t="n">
        <v>6</v>
      </c>
      <c r="E704" s="25" t="s">
        <v>563</v>
      </c>
      <c r="F704" s="25" t="s">
        <v>255</v>
      </c>
      <c r="G704" s="25" t="n">
        <v>1636</v>
      </c>
      <c r="H704" s="25" t="s">
        <v>661</v>
      </c>
      <c r="I704" s="25" t="n">
        <v>1</v>
      </c>
      <c r="J704" s="26" t="n">
        <v>400</v>
      </c>
      <c r="K704" s="25" t="s">
        <v>546</v>
      </c>
      <c r="L704" s="25" t="s">
        <v>547</v>
      </c>
      <c r="M704" s="26" t="n">
        <f aca="false">IF(AND(L704="Oui",K704="Principal"),I704*J704,0)</f>
        <v>400</v>
      </c>
      <c r="N704" s="25" t="s">
        <v>548</v>
      </c>
      <c r="O704" s="25"/>
      <c r="P704" s="25" t="s">
        <v>556</v>
      </c>
      <c r="Q704" s="25" t="s">
        <v>557</v>
      </c>
      <c r="R704" s="26" t="n">
        <v>320</v>
      </c>
      <c r="S704" s="26" t="n">
        <f aca="false">IF(AND(L704="Oui",K704="Principal",R704&lt;&gt;""),I704*R704,0)</f>
        <v>320</v>
      </c>
      <c r="T704" s="26" t="n">
        <f aca="false">IF(R704&lt;&gt;"",M704-S704,0)</f>
        <v>80</v>
      </c>
      <c r="U704" s="26" t="n">
        <f aca="false">IF(R704="",M704,0)</f>
        <v>0</v>
      </c>
    </row>
    <row r="705" customFormat="false" ht="15" hidden="false" customHeight="false" outlineLevel="0" collapsed="false">
      <c r="A705" s="25" t="s">
        <v>60</v>
      </c>
      <c r="B705" s="25" t="s">
        <v>61</v>
      </c>
      <c r="C705" s="25" t="s">
        <v>50</v>
      </c>
      <c r="D705" s="25" t="n">
        <v>7</v>
      </c>
      <c r="E705" s="25" t="s">
        <v>563</v>
      </c>
      <c r="F705" s="25" t="s">
        <v>257</v>
      </c>
      <c r="G705" s="25" t="n">
        <v>1635</v>
      </c>
      <c r="H705" s="25" t="s">
        <v>607</v>
      </c>
      <c r="I705" s="25" t="n">
        <v>1</v>
      </c>
      <c r="J705" s="26" t="n">
        <v>100</v>
      </c>
      <c r="K705" s="25" t="s">
        <v>546</v>
      </c>
      <c r="L705" s="25" t="s">
        <v>547</v>
      </c>
      <c r="M705" s="26" t="n">
        <f aca="false">IF(AND(L705="Oui",K705="Principal"),I705*J705,0)</f>
        <v>100</v>
      </c>
      <c r="N705" s="25" t="s">
        <v>548</v>
      </c>
      <c r="O705" s="25"/>
      <c r="P705" s="25" t="s">
        <v>556</v>
      </c>
      <c r="Q705" s="25" t="s">
        <v>557</v>
      </c>
      <c r="R705" s="26" t="n">
        <v>80</v>
      </c>
      <c r="S705" s="26" t="n">
        <f aca="false">IF(AND(L705="Oui",K705="Principal",R705&lt;&gt;""),I705*R705,0)</f>
        <v>80</v>
      </c>
      <c r="T705" s="26" t="n">
        <f aca="false">IF(R705&lt;&gt;"",M705-S705,0)</f>
        <v>20</v>
      </c>
      <c r="U705" s="26" t="n">
        <f aca="false">IF(R705="",M705,0)</f>
        <v>0</v>
      </c>
    </row>
    <row r="706" customFormat="false" ht="15" hidden="false" customHeight="false" outlineLevel="0" collapsed="false">
      <c r="A706" s="25" t="s">
        <v>60</v>
      </c>
      <c r="B706" s="25" t="s">
        <v>61</v>
      </c>
      <c r="C706" s="25" t="s">
        <v>50</v>
      </c>
      <c r="D706" s="25" t="n">
        <v>8</v>
      </c>
      <c r="E706" s="25" t="s">
        <v>563</v>
      </c>
      <c r="F706" s="25" t="s">
        <v>188</v>
      </c>
      <c r="G706" s="25" t="n">
        <v>8</v>
      </c>
      <c r="H706" s="25" t="s">
        <v>188</v>
      </c>
      <c r="I706" s="25" t="n">
        <v>1</v>
      </c>
      <c r="J706" s="26" t="n">
        <v>500</v>
      </c>
      <c r="K706" s="25" t="s">
        <v>546</v>
      </c>
      <c r="L706" s="25" t="s">
        <v>547</v>
      </c>
      <c r="M706" s="26" t="n">
        <f aca="false">IF(AND(L706="Oui",K706="Principal"),I706*J706,0)</f>
        <v>500</v>
      </c>
      <c r="N706" s="25" t="s">
        <v>548</v>
      </c>
      <c r="O706" s="25"/>
      <c r="P706" s="25" t="s">
        <v>559</v>
      </c>
      <c r="Q706" s="25" t="s">
        <v>551</v>
      </c>
      <c r="R706" s="26"/>
      <c r="S706" s="26" t="n">
        <f aca="false">IF(AND(L706="Oui",K706="Principal",R706&lt;&gt;""),I706*R706,0)</f>
        <v>0</v>
      </c>
      <c r="T706" s="26" t="n">
        <f aca="false">IF(R706&lt;&gt;"",M706-S706,0)</f>
        <v>0</v>
      </c>
      <c r="U706" s="26" t="n">
        <f aca="false">IF(R706="",M706,0)</f>
        <v>500</v>
      </c>
    </row>
    <row r="707" customFormat="false" ht="15" hidden="false" customHeight="false" outlineLevel="0" collapsed="false">
      <c r="A707" s="25" t="s">
        <v>60</v>
      </c>
      <c r="B707" s="25" t="s">
        <v>61</v>
      </c>
      <c r="C707" s="25" t="s">
        <v>50</v>
      </c>
      <c r="D707" s="25" t="n">
        <v>9</v>
      </c>
      <c r="E707" s="25" t="s">
        <v>563</v>
      </c>
      <c r="F707" s="25" t="s">
        <v>323</v>
      </c>
      <c r="G707" s="25" t="n">
        <v>1607</v>
      </c>
      <c r="H707" s="25" t="s">
        <v>696</v>
      </c>
      <c r="I707" s="25" t="n">
        <v>1</v>
      </c>
      <c r="J707" s="26" t="n">
        <v>2500</v>
      </c>
      <c r="K707" s="25" t="s">
        <v>546</v>
      </c>
      <c r="L707" s="25" t="s">
        <v>547</v>
      </c>
      <c r="M707" s="26" t="n">
        <f aca="false">IF(AND(L707="Oui",K707="Principal"),I707*J707,0)</f>
        <v>2500</v>
      </c>
      <c r="N707" s="25" t="s">
        <v>548</v>
      </c>
      <c r="O707" s="25"/>
      <c r="P707" s="25" t="s">
        <v>556</v>
      </c>
      <c r="Q707" s="25" t="s">
        <v>557</v>
      </c>
      <c r="R707" s="26" t="n">
        <v>2000</v>
      </c>
      <c r="S707" s="26" t="n">
        <f aca="false">IF(AND(L707="Oui",K707="Principal",R707&lt;&gt;""),I707*R707,0)</f>
        <v>2000</v>
      </c>
      <c r="T707" s="26" t="n">
        <f aca="false">IF(R707&lt;&gt;"",M707-S707,0)</f>
        <v>500</v>
      </c>
      <c r="U707" s="26" t="n">
        <f aca="false">IF(R707="",M707,0)</f>
        <v>0</v>
      </c>
    </row>
    <row r="708" customFormat="false" ht="15" hidden="false" customHeight="false" outlineLevel="0" collapsed="false">
      <c r="A708" s="25" t="s">
        <v>60</v>
      </c>
      <c r="B708" s="25" t="s">
        <v>61</v>
      </c>
      <c r="C708" s="25" t="s">
        <v>50</v>
      </c>
      <c r="D708" s="25" t="n">
        <v>10</v>
      </c>
      <c r="E708" s="25" t="s">
        <v>563</v>
      </c>
      <c r="F708" s="25" t="s">
        <v>325</v>
      </c>
      <c r="G708" s="25" t="n">
        <v>1639</v>
      </c>
      <c r="H708" s="25" t="s">
        <v>702</v>
      </c>
      <c r="I708" s="25" t="n">
        <v>1</v>
      </c>
      <c r="J708" s="26" t="n">
        <v>1000</v>
      </c>
      <c r="K708" s="25" t="s">
        <v>546</v>
      </c>
      <c r="L708" s="25" t="s">
        <v>547</v>
      </c>
      <c r="M708" s="26" t="n">
        <f aca="false">IF(AND(L708="Oui",K708="Principal"),I708*J708,0)</f>
        <v>1000</v>
      </c>
      <c r="N708" s="25" t="s">
        <v>548</v>
      </c>
      <c r="O708" s="25"/>
      <c r="P708" s="25" t="s">
        <v>556</v>
      </c>
      <c r="Q708" s="25" t="s">
        <v>557</v>
      </c>
      <c r="R708" s="26" t="n">
        <v>700</v>
      </c>
      <c r="S708" s="26" t="n">
        <f aca="false">IF(AND(L708="Oui",K708="Principal",R708&lt;&gt;""),I708*R708,0)</f>
        <v>700</v>
      </c>
      <c r="T708" s="26" t="n">
        <f aca="false">IF(R708&lt;&gt;"",M708-S708,0)</f>
        <v>300</v>
      </c>
      <c r="U708" s="26" t="n">
        <f aca="false">IF(R708="",M708,0)</f>
        <v>0</v>
      </c>
    </row>
    <row r="709" customFormat="false" ht="15" hidden="false" customHeight="false" outlineLevel="0" collapsed="false">
      <c r="A709" s="25" t="s">
        <v>60</v>
      </c>
      <c r="B709" s="25" t="s">
        <v>61</v>
      </c>
      <c r="C709" s="25" t="s">
        <v>50</v>
      </c>
      <c r="D709" s="25" t="n">
        <v>11</v>
      </c>
      <c r="E709" s="25" t="s">
        <v>565</v>
      </c>
      <c r="F709" s="25" t="s">
        <v>99</v>
      </c>
      <c r="G709" s="25" t="n">
        <v>1181</v>
      </c>
      <c r="H709" s="25" t="s">
        <v>581</v>
      </c>
      <c r="I709" s="25" t="n">
        <v>1</v>
      </c>
      <c r="J709" s="26" t="n">
        <v>250</v>
      </c>
      <c r="K709" s="25" t="s">
        <v>546</v>
      </c>
      <c r="L709" s="25" t="s">
        <v>547</v>
      </c>
      <c r="M709" s="26" t="n">
        <f aca="false">IF(AND(L709="Oui",K709="Principal"),I709*J709,0)</f>
        <v>250</v>
      </c>
      <c r="N709" s="25" t="s">
        <v>548</v>
      </c>
      <c r="O709" s="25"/>
      <c r="P709" s="25" t="s">
        <v>550</v>
      </c>
      <c r="Q709" s="25" t="s">
        <v>557</v>
      </c>
      <c r="R709" s="26" t="n">
        <v>110</v>
      </c>
      <c r="S709" s="26" t="n">
        <f aca="false">IF(AND(L709="Oui",K709="Principal",R709&lt;&gt;""),I709*R709,0)</f>
        <v>110</v>
      </c>
      <c r="T709" s="26" t="n">
        <f aca="false">IF(R709&lt;&gt;"",M709-S709,0)</f>
        <v>140</v>
      </c>
      <c r="U709" s="26" t="n">
        <f aca="false">IF(R709="",M709,0)</f>
        <v>0</v>
      </c>
    </row>
    <row r="710" customFormat="false" ht="15" hidden="false" customHeight="false" outlineLevel="0" collapsed="false">
      <c r="A710" s="25" t="s">
        <v>60</v>
      </c>
      <c r="B710" s="25" t="s">
        <v>61</v>
      </c>
      <c r="C710" s="25" t="s">
        <v>50</v>
      </c>
      <c r="D710" s="25" t="n">
        <v>12</v>
      </c>
      <c r="E710" s="25" t="s">
        <v>565</v>
      </c>
      <c r="F710" s="25" t="s">
        <v>164</v>
      </c>
      <c r="G710" s="25" t="n">
        <v>1587</v>
      </c>
      <c r="H710" s="25" t="s">
        <v>567</v>
      </c>
      <c r="I710" s="25" t="n">
        <v>1</v>
      </c>
      <c r="J710" s="26" t="n">
        <v>500</v>
      </c>
      <c r="K710" s="25" t="s">
        <v>546</v>
      </c>
      <c r="L710" s="25" t="s">
        <v>547</v>
      </c>
      <c r="M710" s="26" t="n">
        <f aca="false">IF(AND(L710="Oui",K710="Principal"),I710*J710,0)</f>
        <v>500</v>
      </c>
      <c r="N710" s="25" t="s">
        <v>548</v>
      </c>
      <c r="O710" s="25"/>
      <c r="P710" s="25" t="s">
        <v>556</v>
      </c>
      <c r="Q710" s="25" t="s">
        <v>557</v>
      </c>
      <c r="R710" s="26" t="n">
        <v>350</v>
      </c>
      <c r="S710" s="26" t="n">
        <f aca="false">IF(AND(L710="Oui",K710="Principal",R710&lt;&gt;""),I710*R710,0)</f>
        <v>350</v>
      </c>
      <c r="T710" s="26" t="n">
        <f aca="false">IF(R710&lt;&gt;"",M710-S710,0)</f>
        <v>150</v>
      </c>
      <c r="U710" s="26" t="n">
        <f aca="false">IF(R710="",M710,0)</f>
        <v>0</v>
      </c>
    </row>
    <row r="711" customFormat="false" ht="15" hidden="false" customHeight="false" outlineLevel="0" collapsed="false">
      <c r="A711" s="25" t="s">
        <v>60</v>
      </c>
      <c r="B711" s="25" t="s">
        <v>61</v>
      </c>
      <c r="C711" s="25" t="s">
        <v>50</v>
      </c>
      <c r="D711" s="25" t="n">
        <v>13</v>
      </c>
      <c r="E711" s="25" t="s">
        <v>565</v>
      </c>
      <c r="F711" s="25" t="s">
        <v>166</v>
      </c>
      <c r="G711" s="25" t="n">
        <v>1604</v>
      </c>
      <c r="H711" s="25" t="s">
        <v>582</v>
      </c>
      <c r="I711" s="25" t="n">
        <v>2</v>
      </c>
      <c r="J711" s="26" t="n">
        <v>700</v>
      </c>
      <c r="K711" s="25" t="s">
        <v>546</v>
      </c>
      <c r="L711" s="25" t="s">
        <v>547</v>
      </c>
      <c r="M711" s="26" t="n">
        <f aca="false">IF(AND(L711="Oui",K711="Principal"),I711*J711,0)</f>
        <v>1400</v>
      </c>
      <c r="N711" s="25" t="s">
        <v>548</v>
      </c>
      <c r="O711" s="25"/>
      <c r="P711" s="25" t="s">
        <v>556</v>
      </c>
      <c r="Q711" s="25" t="s">
        <v>557</v>
      </c>
      <c r="R711" s="26" t="n">
        <v>400</v>
      </c>
      <c r="S711" s="26" t="n">
        <f aca="false">IF(AND(L711="Oui",K711="Principal",R711&lt;&gt;""),I711*R711,0)</f>
        <v>800</v>
      </c>
      <c r="T711" s="26" t="n">
        <f aca="false">IF(R711&lt;&gt;"",M711-S711,0)</f>
        <v>600</v>
      </c>
      <c r="U711" s="26" t="n">
        <f aca="false">IF(R711="",M711,0)</f>
        <v>0</v>
      </c>
    </row>
    <row r="712" customFormat="false" ht="15" hidden="false" customHeight="false" outlineLevel="0" collapsed="false">
      <c r="A712" s="25" t="s">
        <v>60</v>
      </c>
      <c r="B712" s="25" t="s">
        <v>61</v>
      </c>
      <c r="C712" s="25" t="s">
        <v>50</v>
      </c>
      <c r="D712" s="25" t="n">
        <v>14</v>
      </c>
      <c r="E712" s="25" t="s">
        <v>565</v>
      </c>
      <c r="F712" s="25" t="s">
        <v>304</v>
      </c>
      <c r="G712" s="25" t="n">
        <v>1586</v>
      </c>
      <c r="H712" s="25" t="s">
        <v>583</v>
      </c>
      <c r="I712" s="25" t="n">
        <v>1</v>
      </c>
      <c r="J712" s="26" t="n">
        <v>900</v>
      </c>
      <c r="K712" s="25" t="s">
        <v>546</v>
      </c>
      <c r="L712" s="25" t="s">
        <v>547</v>
      </c>
      <c r="M712" s="26" t="n">
        <f aca="false">IF(AND(L712="Oui",K712="Principal"),I712*J712,0)</f>
        <v>900</v>
      </c>
      <c r="N712" s="25" t="s">
        <v>548</v>
      </c>
      <c r="O712" s="25"/>
      <c r="P712" s="25" t="s">
        <v>556</v>
      </c>
      <c r="Q712" s="25" t="s">
        <v>557</v>
      </c>
      <c r="R712" s="26" t="n">
        <v>650</v>
      </c>
      <c r="S712" s="26" t="n">
        <f aca="false">IF(AND(L712="Oui",K712="Principal",R712&lt;&gt;""),I712*R712,0)</f>
        <v>650</v>
      </c>
      <c r="T712" s="26" t="n">
        <f aca="false">IF(R712&lt;&gt;"",M712-S712,0)</f>
        <v>250</v>
      </c>
      <c r="U712" s="26" t="n">
        <f aca="false">IF(R712="",M712,0)</f>
        <v>0</v>
      </c>
    </row>
    <row r="713" customFormat="false" ht="15" hidden="false" customHeight="false" outlineLevel="0" collapsed="false">
      <c r="A713" s="33" t="s">
        <v>60</v>
      </c>
      <c r="B713" s="33" t="s">
        <v>61</v>
      </c>
      <c r="C713" s="33" t="s">
        <v>50</v>
      </c>
      <c r="D713" s="33" t="n">
        <v>15</v>
      </c>
      <c r="E713" s="33" t="s">
        <v>609</v>
      </c>
      <c r="F713" s="33" t="s">
        <v>199</v>
      </c>
      <c r="G713" s="33" t="n">
        <v>1229</v>
      </c>
      <c r="H713" s="33" t="s">
        <v>643</v>
      </c>
      <c r="I713" s="33" t="n">
        <v>1</v>
      </c>
      <c r="J713" s="34" t="n">
        <v>1800</v>
      </c>
      <c r="K713" s="33" t="s">
        <v>546</v>
      </c>
      <c r="L713" s="33" t="s">
        <v>547</v>
      </c>
      <c r="M713" s="34" t="n">
        <f aca="false">IF(AND(L713="Oui",K713="Principal"),I713*J713,0)</f>
        <v>1800</v>
      </c>
      <c r="N713" s="33" t="s">
        <v>182</v>
      </c>
      <c r="O713" s="33" t="s">
        <v>644</v>
      </c>
      <c r="P713" s="33" t="s">
        <v>550</v>
      </c>
      <c r="Q713" s="33" t="s">
        <v>557</v>
      </c>
      <c r="R713" s="34" t="n">
        <v>1500</v>
      </c>
      <c r="S713" s="34" t="n">
        <f aca="false">IF(AND(L713="Oui",K713="Principal",R713&lt;&gt;""),I713*R713,0)</f>
        <v>1500</v>
      </c>
      <c r="T713" s="34" t="n">
        <f aca="false">IF(R713&lt;&gt;"",M713-S713,0)</f>
        <v>300</v>
      </c>
      <c r="U713" s="34" t="n">
        <f aca="false">IF(R713="",M713,0)</f>
        <v>0</v>
      </c>
    </row>
    <row r="714" customFormat="false" ht="15" hidden="false" customHeight="false" outlineLevel="0" collapsed="false">
      <c r="A714" s="25" t="s">
        <v>60</v>
      </c>
      <c r="B714" s="25" t="s">
        <v>61</v>
      </c>
      <c r="C714" s="25" t="s">
        <v>50</v>
      </c>
      <c r="D714" s="25" t="n">
        <v>16</v>
      </c>
      <c r="E714" s="25" t="s">
        <v>609</v>
      </c>
      <c r="F714" s="25" t="s">
        <v>305</v>
      </c>
      <c r="G714" s="25" t="n">
        <v>1727</v>
      </c>
      <c r="H714" s="25" t="s">
        <v>698</v>
      </c>
      <c r="I714" s="25" t="n">
        <v>1</v>
      </c>
      <c r="J714" s="26" t="n">
        <v>4750</v>
      </c>
      <c r="K714" s="25" t="s">
        <v>546</v>
      </c>
      <c r="L714" s="25" t="s">
        <v>547</v>
      </c>
      <c r="M714" s="26" t="n">
        <f aca="false">IF(AND(L714="Oui",K714="Principal"),I714*J714,0)</f>
        <v>4750</v>
      </c>
      <c r="N714" s="25" t="s">
        <v>548</v>
      </c>
      <c r="O714" s="25"/>
      <c r="P714" s="25" t="s">
        <v>559</v>
      </c>
      <c r="Q714" s="25" t="s">
        <v>557</v>
      </c>
      <c r="R714" s="26" t="n">
        <v>3700</v>
      </c>
      <c r="S714" s="26" t="n">
        <f aca="false">IF(AND(L714="Oui",K714="Principal",R714&lt;&gt;""),I714*R714,0)</f>
        <v>3700</v>
      </c>
      <c r="T714" s="26" t="n">
        <f aca="false">IF(R714&lt;&gt;"",M714-S714,0)</f>
        <v>1050</v>
      </c>
      <c r="U714" s="26" t="n">
        <f aca="false">IF(R714="",M714,0)</f>
        <v>0</v>
      </c>
    </row>
    <row r="715" customFormat="false" ht="15" hidden="false" customHeight="false" outlineLevel="0" collapsed="false">
      <c r="A715" s="25" t="s">
        <v>60</v>
      </c>
      <c r="B715" s="25" t="s">
        <v>61</v>
      </c>
      <c r="C715" s="25" t="s">
        <v>50</v>
      </c>
      <c r="D715" s="25" t="n">
        <v>17</v>
      </c>
      <c r="E715" s="25" t="s">
        <v>554</v>
      </c>
      <c r="F715" s="25" t="s">
        <v>104</v>
      </c>
      <c r="G715" s="25" t="n">
        <v>1594</v>
      </c>
      <c r="H715" s="25" t="s">
        <v>593</v>
      </c>
      <c r="I715" s="25" t="n">
        <v>1</v>
      </c>
      <c r="J715" s="26" t="n">
        <v>1600</v>
      </c>
      <c r="K715" s="25" t="s">
        <v>546</v>
      </c>
      <c r="L715" s="25" t="s">
        <v>547</v>
      </c>
      <c r="M715" s="26" t="n">
        <f aca="false">IF(AND(L715="Oui",K715="Principal"),I715*J715,0)</f>
        <v>1600</v>
      </c>
      <c r="N715" s="25" t="s">
        <v>548</v>
      </c>
      <c r="O715" s="25"/>
      <c r="P715" s="25" t="s">
        <v>556</v>
      </c>
      <c r="Q715" s="25" t="s">
        <v>557</v>
      </c>
      <c r="R715" s="26" t="n">
        <v>1300</v>
      </c>
      <c r="S715" s="26" t="n">
        <f aca="false">IF(AND(L715="Oui",K715="Principal",R715&lt;&gt;""),I715*R715,0)</f>
        <v>1300</v>
      </c>
      <c r="T715" s="26" t="n">
        <f aca="false">IF(R715&lt;&gt;"",M715-S715,0)</f>
        <v>300</v>
      </c>
      <c r="U715" s="26" t="n">
        <f aca="false">IF(R715="",M715,0)</f>
        <v>0</v>
      </c>
    </row>
    <row r="716" customFormat="false" ht="15" hidden="false" customHeight="false" outlineLevel="0" collapsed="false">
      <c r="A716" s="29" t="s">
        <v>60</v>
      </c>
      <c r="B716" s="29" t="s">
        <v>61</v>
      </c>
      <c r="C716" s="29" t="s">
        <v>50</v>
      </c>
      <c r="D716" s="29" t="n">
        <v>18</v>
      </c>
      <c r="E716" s="29" t="s">
        <v>554</v>
      </c>
      <c r="F716" s="29" t="s">
        <v>328</v>
      </c>
      <c r="G716" s="29" t="n">
        <v>31</v>
      </c>
      <c r="H716" s="29" t="s">
        <v>595</v>
      </c>
      <c r="I716" s="29" t="n">
        <v>1</v>
      </c>
      <c r="J716" s="30" t="n">
        <v>1500</v>
      </c>
      <c r="K716" s="29" t="s">
        <v>546</v>
      </c>
      <c r="L716" s="29" t="s">
        <v>547</v>
      </c>
      <c r="M716" s="30" t="n">
        <f aca="false">IF(AND(L716="Oui",K716="Principal"),I716*J716,0)</f>
        <v>1500</v>
      </c>
      <c r="N716" s="29" t="s">
        <v>141</v>
      </c>
      <c r="O716" s="29" t="s">
        <v>699</v>
      </c>
      <c r="P716" s="29" t="s">
        <v>559</v>
      </c>
      <c r="Q716" s="29" t="s">
        <v>551</v>
      </c>
      <c r="R716" s="30"/>
      <c r="S716" s="30" t="n">
        <f aca="false">IF(AND(L716="Oui",K716="Principal",R716&lt;&gt;""),I716*R716,0)</f>
        <v>0</v>
      </c>
      <c r="T716" s="30" t="n">
        <f aca="false">IF(R716&lt;&gt;"",M716-S716,0)</f>
        <v>0</v>
      </c>
      <c r="U716" s="30" t="n">
        <f aca="false">IF(R716="",M716,0)</f>
        <v>1500</v>
      </c>
    </row>
    <row r="717" customFormat="false" ht="15" hidden="false" customHeight="false" outlineLevel="0" collapsed="false">
      <c r="A717" s="25" t="s">
        <v>60</v>
      </c>
      <c r="B717" s="25" t="s">
        <v>61</v>
      </c>
      <c r="C717" s="25" t="s">
        <v>50</v>
      </c>
      <c r="D717" s="25" t="n">
        <v>19</v>
      </c>
      <c r="E717" s="25" t="s">
        <v>700</v>
      </c>
      <c r="F717" s="25" t="s">
        <v>329</v>
      </c>
      <c r="G717" s="25" t="n">
        <v>1716</v>
      </c>
      <c r="H717" s="25" t="s">
        <v>701</v>
      </c>
      <c r="I717" s="25" t="n">
        <v>1</v>
      </c>
      <c r="J717" s="26" t="n">
        <v>1800</v>
      </c>
      <c r="K717" s="25" t="s">
        <v>546</v>
      </c>
      <c r="L717" s="25" t="s">
        <v>547</v>
      </c>
      <c r="M717" s="26" t="n">
        <f aca="false">IF(AND(L717="Oui",K717="Principal"),I717*J717,0)</f>
        <v>1800</v>
      </c>
      <c r="N717" s="25" t="s">
        <v>548</v>
      </c>
      <c r="O717" s="25"/>
      <c r="P717" s="25" t="s">
        <v>559</v>
      </c>
      <c r="Q717" s="25" t="s">
        <v>557</v>
      </c>
      <c r="R717" s="26" t="n">
        <v>1300</v>
      </c>
      <c r="S717" s="26" t="n">
        <f aca="false">IF(AND(L717="Oui",K717="Principal",R717&lt;&gt;""),I717*R717,0)</f>
        <v>1300</v>
      </c>
      <c r="T717" s="26" t="n">
        <f aca="false">IF(R717&lt;&gt;"",M717-S717,0)</f>
        <v>500</v>
      </c>
      <c r="U717" s="26" t="n">
        <f aca="false">IF(R717="",M717,0)</f>
        <v>0</v>
      </c>
    </row>
    <row r="718" customFormat="false" ht="15" hidden="false" customHeight="false" outlineLevel="0" collapsed="false">
      <c r="A718" s="25" t="s">
        <v>60</v>
      </c>
      <c r="B718" s="25" t="s">
        <v>61</v>
      </c>
      <c r="C718" s="25" t="s">
        <v>50</v>
      </c>
      <c r="D718" s="25" t="n">
        <v>20</v>
      </c>
      <c r="E718" s="25" t="s">
        <v>571</v>
      </c>
      <c r="F718" s="25" t="s">
        <v>331</v>
      </c>
      <c r="G718" s="25" t="n">
        <v>1625</v>
      </c>
      <c r="H718" s="25" t="s">
        <v>572</v>
      </c>
      <c r="I718" s="25" t="n">
        <v>1</v>
      </c>
      <c r="J718" s="26" t="n">
        <v>500</v>
      </c>
      <c r="K718" s="25" t="s">
        <v>546</v>
      </c>
      <c r="L718" s="25" t="s">
        <v>547</v>
      </c>
      <c r="M718" s="26" t="n">
        <f aca="false">IF(AND(L718="Oui",K718="Principal"),I718*J718,0)</f>
        <v>500</v>
      </c>
      <c r="N718" s="25" t="s">
        <v>548</v>
      </c>
      <c r="O718" s="25"/>
      <c r="P718" s="25" t="s">
        <v>556</v>
      </c>
      <c r="Q718" s="25" t="s">
        <v>557</v>
      </c>
      <c r="R718" s="26"/>
      <c r="S718" s="26" t="n">
        <f aca="false">IF(AND(L718="Oui",K718="Principal",R718&lt;&gt;""),I718*R718,0)</f>
        <v>0</v>
      </c>
      <c r="T718" s="26" t="n">
        <f aca="false">IF(R718&lt;&gt;"",M718-S718,0)</f>
        <v>0</v>
      </c>
      <c r="U718" s="26" t="n">
        <f aca="false">IF(R718="",M718,0)</f>
        <v>500</v>
      </c>
    </row>
    <row r="719" customFormat="false" ht="15" hidden="false" customHeight="false" outlineLevel="0" collapsed="false">
      <c r="A719" s="25" t="s">
        <v>60</v>
      </c>
      <c r="B719" s="25" t="s">
        <v>61</v>
      </c>
      <c r="C719" s="25" t="s">
        <v>50</v>
      </c>
      <c r="D719" s="25" t="n">
        <v>21</v>
      </c>
      <c r="E719" s="25" t="s">
        <v>573</v>
      </c>
      <c r="F719" s="25" t="s">
        <v>176</v>
      </c>
      <c r="G719" s="25" t="n">
        <v>19</v>
      </c>
      <c r="H719" s="25" t="s">
        <v>615</v>
      </c>
      <c r="I719" s="25" t="n">
        <v>1</v>
      </c>
      <c r="J719" s="26" t="n">
        <v>2500</v>
      </c>
      <c r="K719" s="25" t="s">
        <v>546</v>
      </c>
      <c r="L719" s="25" t="s">
        <v>547</v>
      </c>
      <c r="M719" s="26" t="n">
        <f aca="false">IF(AND(L719="Oui",K719="Principal"),I719*J719,0)</f>
        <v>2500</v>
      </c>
      <c r="N719" s="25" t="s">
        <v>548</v>
      </c>
      <c r="O719" s="25"/>
      <c r="P719" s="25" t="s">
        <v>559</v>
      </c>
      <c r="Q719" s="25" t="s">
        <v>551</v>
      </c>
      <c r="R719" s="26"/>
      <c r="S719" s="26" t="n">
        <f aca="false">IF(AND(L719="Oui",K719="Principal",R719&lt;&gt;""),I719*R719,0)</f>
        <v>0</v>
      </c>
      <c r="T719" s="26" t="n">
        <f aca="false">IF(R719&lt;&gt;"",M719-S719,0)</f>
        <v>0</v>
      </c>
      <c r="U719" s="26" t="n">
        <f aca="false">IF(R719="",M719,0)</f>
        <v>2500</v>
      </c>
    </row>
    <row r="720" customFormat="false" ht="15" hidden="false" customHeight="false" outlineLevel="0" collapsed="false">
      <c r="A720" s="25" t="s">
        <v>60</v>
      </c>
      <c r="B720" s="25" t="s">
        <v>61</v>
      </c>
      <c r="C720" s="25" t="s">
        <v>50</v>
      </c>
      <c r="D720" s="25" t="n">
        <v>22</v>
      </c>
      <c r="E720" s="25" t="s">
        <v>573</v>
      </c>
      <c r="F720" s="25" t="s">
        <v>117</v>
      </c>
      <c r="G720" s="25" t="n">
        <v>1288</v>
      </c>
      <c r="H720" s="25" t="s">
        <v>624</v>
      </c>
      <c r="I720" s="25" t="n">
        <v>1</v>
      </c>
      <c r="J720" s="26" t="n">
        <v>2500</v>
      </c>
      <c r="K720" s="25" t="s">
        <v>546</v>
      </c>
      <c r="L720" s="25" t="s">
        <v>547</v>
      </c>
      <c r="M720" s="26" t="n">
        <f aca="false">IF(AND(L720="Oui",K720="Principal"),I720*J720,0)</f>
        <v>2500</v>
      </c>
      <c r="N720" s="25" t="s">
        <v>548</v>
      </c>
      <c r="O720" s="25"/>
      <c r="P720" s="25" t="s">
        <v>550</v>
      </c>
      <c r="Q720" s="25" t="s">
        <v>557</v>
      </c>
      <c r="R720" s="26" t="n">
        <v>2000</v>
      </c>
      <c r="S720" s="26" t="n">
        <f aca="false">IF(AND(L720="Oui",K720="Principal",R720&lt;&gt;""),I720*R720,0)</f>
        <v>2000</v>
      </c>
      <c r="T720" s="26" t="n">
        <f aca="false">IF(R720&lt;&gt;"",M720-S720,0)</f>
        <v>500</v>
      </c>
      <c r="U720" s="26" t="n">
        <f aca="false">IF(R720="",M720,0)</f>
        <v>0</v>
      </c>
    </row>
    <row r="721" customFormat="false" ht="15" hidden="false" customHeight="false" outlineLevel="0" collapsed="false">
      <c r="A721" s="25" t="s">
        <v>60</v>
      </c>
      <c r="B721" s="25" t="s">
        <v>61</v>
      </c>
      <c r="C721" s="25" t="s">
        <v>50</v>
      </c>
      <c r="D721" s="25" t="n">
        <v>23</v>
      </c>
      <c r="E721" s="25" t="s">
        <v>573</v>
      </c>
      <c r="F721" s="25" t="s">
        <v>321</v>
      </c>
      <c r="G721" s="25" t="n">
        <v>1192</v>
      </c>
      <c r="H721" s="25" t="s">
        <v>694</v>
      </c>
      <c r="I721" s="25" t="n">
        <v>1</v>
      </c>
      <c r="J721" s="26" t="n">
        <v>7000</v>
      </c>
      <c r="K721" s="25" t="s">
        <v>546</v>
      </c>
      <c r="L721" s="25" t="s">
        <v>547</v>
      </c>
      <c r="M721" s="26" t="n">
        <f aca="false">IF(AND(L721="Oui",K721="Principal"),I721*J721,0)</f>
        <v>7000</v>
      </c>
      <c r="N721" s="25" t="s">
        <v>548</v>
      </c>
      <c r="O721" s="25"/>
      <c r="P721" s="25" t="s">
        <v>550</v>
      </c>
      <c r="Q721" s="25" t="s">
        <v>557</v>
      </c>
      <c r="R721" s="26" t="n">
        <v>5500</v>
      </c>
      <c r="S721" s="26" t="n">
        <f aca="false">IF(AND(L721="Oui",K721="Principal",R721&lt;&gt;""),I721*R721,0)</f>
        <v>5500</v>
      </c>
      <c r="T721" s="26" t="n">
        <f aca="false">IF(R721&lt;&gt;"",M721-S721,0)</f>
        <v>1500</v>
      </c>
      <c r="U721" s="26" t="n">
        <f aca="false">IF(R721="",M721,0)</f>
        <v>0</v>
      </c>
    </row>
    <row r="722" customFormat="false" ht="15" hidden="false" customHeight="false" outlineLevel="0" collapsed="false">
      <c r="A722" s="27" t="s">
        <v>60</v>
      </c>
      <c r="B722" s="27" t="s">
        <v>61</v>
      </c>
      <c r="C722" s="27" t="s">
        <v>50</v>
      </c>
      <c r="D722" s="27" t="n">
        <v>24</v>
      </c>
      <c r="E722" s="27" t="s">
        <v>686</v>
      </c>
      <c r="F722" s="27" t="s">
        <v>308</v>
      </c>
      <c r="G722" s="27"/>
      <c r="H722" s="27" t="s">
        <v>585</v>
      </c>
      <c r="I722" s="27" t="n">
        <v>1</v>
      </c>
      <c r="J722" s="28" t="n">
        <v>0</v>
      </c>
      <c r="K722" s="27" t="s">
        <v>546</v>
      </c>
      <c r="L722" s="27" t="s">
        <v>579</v>
      </c>
      <c r="M722" s="28" t="n">
        <f aca="false">IF(AND(L722="Oui",K722="Principal"),I722*J722,0)</f>
        <v>0</v>
      </c>
      <c r="N722" s="27" t="s">
        <v>128</v>
      </c>
      <c r="O722" s="27" t="s">
        <v>687</v>
      </c>
      <c r="P722" s="27"/>
      <c r="Q722" s="27"/>
      <c r="R722" s="28"/>
      <c r="S722" s="28" t="n">
        <f aca="false">IF(AND(L722="Oui",K722="Principal",R722&lt;&gt;""),I722*R722,0)</f>
        <v>0</v>
      </c>
      <c r="T722" s="28" t="n">
        <f aca="false">IF(R722&lt;&gt;"",M722-S722,0)</f>
        <v>0</v>
      </c>
      <c r="U722" s="28" t="n">
        <f aca="false">IF(R722="",M722,0)</f>
        <v>0</v>
      </c>
    </row>
    <row r="723" customFormat="false" ht="15" hidden="false" customHeight="false" outlineLevel="0" collapsed="false">
      <c r="A723" s="25" t="s">
        <v>60</v>
      </c>
      <c r="B723" s="25" t="s">
        <v>61</v>
      </c>
      <c r="C723" s="25" t="s">
        <v>50</v>
      </c>
      <c r="D723" s="25" t="n">
        <v>25</v>
      </c>
      <c r="E723" s="25" t="s">
        <v>686</v>
      </c>
      <c r="F723" s="25" t="s">
        <v>309</v>
      </c>
      <c r="G723" s="25" t="n">
        <v>1351</v>
      </c>
      <c r="H723" s="25" t="s">
        <v>688</v>
      </c>
      <c r="I723" s="25" t="n">
        <v>1</v>
      </c>
      <c r="J723" s="26" t="n">
        <v>4000</v>
      </c>
      <c r="K723" s="25" t="s">
        <v>546</v>
      </c>
      <c r="L723" s="25" t="s">
        <v>547</v>
      </c>
      <c r="M723" s="26" t="n">
        <f aca="false">IF(AND(L723="Oui",K723="Principal"),I723*J723,0)</f>
        <v>4000</v>
      </c>
      <c r="N723" s="25" t="s">
        <v>548</v>
      </c>
      <c r="O723" s="25"/>
      <c r="P723" s="25" t="s">
        <v>550</v>
      </c>
      <c r="Q723" s="25" t="s">
        <v>557</v>
      </c>
      <c r="R723" s="26" t="n">
        <v>3000</v>
      </c>
      <c r="S723" s="26" t="n">
        <f aca="false">IF(AND(L723="Oui",K723="Principal",R723&lt;&gt;""),I723*R723,0)</f>
        <v>3000</v>
      </c>
      <c r="T723" s="26" t="n">
        <f aca="false">IF(R723&lt;&gt;"",M723-S723,0)</f>
        <v>1000</v>
      </c>
      <c r="U723" s="26" t="n">
        <f aca="false">IF(R723="",M723,0)</f>
        <v>0</v>
      </c>
    </row>
    <row r="724" customFormat="false" ht="15" hidden="false" customHeight="false" outlineLevel="0" collapsed="false">
      <c r="A724" s="25" t="s">
        <v>60</v>
      </c>
      <c r="B724" s="25" t="s">
        <v>61</v>
      </c>
      <c r="C724" s="25" t="s">
        <v>50</v>
      </c>
      <c r="D724" s="25" t="n">
        <v>26</v>
      </c>
      <c r="E724" s="25" t="s">
        <v>689</v>
      </c>
      <c r="F724" s="25" t="s">
        <v>311</v>
      </c>
      <c r="G724" s="25" t="n">
        <v>1311</v>
      </c>
      <c r="H724" s="25" t="s">
        <v>690</v>
      </c>
      <c r="I724" s="25" t="n">
        <v>1</v>
      </c>
      <c r="J724" s="26" t="n">
        <v>3500</v>
      </c>
      <c r="K724" s="25" t="s">
        <v>546</v>
      </c>
      <c r="L724" s="25" t="s">
        <v>547</v>
      </c>
      <c r="M724" s="26" t="n">
        <f aca="false">IF(AND(L724="Oui",K724="Principal"),I724*J724,0)</f>
        <v>3500</v>
      </c>
      <c r="N724" s="25" t="s">
        <v>548</v>
      </c>
      <c r="O724" s="25"/>
      <c r="P724" s="25" t="s">
        <v>550</v>
      </c>
      <c r="Q724" s="25" t="s">
        <v>557</v>
      </c>
      <c r="R724" s="26" t="n">
        <v>2500</v>
      </c>
      <c r="S724" s="26" t="n">
        <f aca="false">IF(AND(L724="Oui",K724="Principal",R724&lt;&gt;""),I724*R724,0)</f>
        <v>2500</v>
      </c>
      <c r="T724" s="26" t="n">
        <f aca="false">IF(R724&lt;&gt;"",M724-S724,0)</f>
        <v>1000</v>
      </c>
      <c r="U724" s="26" t="n">
        <f aca="false">IF(R724="",M724,0)</f>
        <v>0</v>
      </c>
    </row>
    <row r="725" customFormat="false" ht="15" hidden="false" customHeight="false" outlineLevel="0" collapsed="false">
      <c r="A725" s="25" t="s">
        <v>60</v>
      </c>
      <c r="B725" s="25" t="s">
        <v>61</v>
      </c>
      <c r="C725" s="25" t="s">
        <v>50</v>
      </c>
      <c r="D725" s="25" t="n">
        <v>27</v>
      </c>
      <c r="E725" s="25" t="s">
        <v>689</v>
      </c>
      <c r="F725" s="25" t="s">
        <v>313</v>
      </c>
      <c r="G725" s="25" t="n">
        <v>1304</v>
      </c>
      <c r="H725" s="25" t="s">
        <v>691</v>
      </c>
      <c r="I725" s="25" t="n">
        <v>1</v>
      </c>
      <c r="J725" s="26" t="n">
        <v>2800</v>
      </c>
      <c r="K725" s="25" t="s">
        <v>546</v>
      </c>
      <c r="L725" s="25" t="s">
        <v>547</v>
      </c>
      <c r="M725" s="26" t="n">
        <f aca="false">IF(AND(L725="Oui",K725="Principal"),I725*J725,0)</f>
        <v>2800</v>
      </c>
      <c r="N725" s="25" t="s">
        <v>548</v>
      </c>
      <c r="O725" s="25"/>
      <c r="P725" s="25" t="s">
        <v>550</v>
      </c>
      <c r="Q725" s="25" t="s">
        <v>557</v>
      </c>
      <c r="R725" s="26" t="n">
        <v>1800</v>
      </c>
      <c r="S725" s="26" t="n">
        <f aca="false">IF(AND(L725="Oui",K725="Principal",R725&lt;&gt;""),I725*R725,0)</f>
        <v>1800</v>
      </c>
      <c r="T725" s="26" t="n">
        <f aca="false">IF(R725&lt;&gt;"",M725-S725,0)</f>
        <v>1000</v>
      </c>
      <c r="U725" s="26" t="n">
        <f aca="false">IF(R725="",M725,0)</f>
        <v>0</v>
      </c>
    </row>
    <row r="726" customFormat="false" ht="15" hidden="false" customHeight="false" outlineLevel="0" collapsed="false">
      <c r="A726" s="25" t="s">
        <v>60</v>
      </c>
      <c r="B726" s="25" t="s">
        <v>61</v>
      </c>
      <c r="C726" s="25" t="s">
        <v>50</v>
      </c>
      <c r="D726" s="25" t="n">
        <v>28</v>
      </c>
      <c r="E726" s="25" t="s">
        <v>686</v>
      </c>
      <c r="F726" s="25" t="s">
        <v>315</v>
      </c>
      <c r="G726" s="25" t="n">
        <v>1560</v>
      </c>
      <c r="H726" s="25" t="s">
        <v>692</v>
      </c>
      <c r="I726" s="25" t="n">
        <v>1</v>
      </c>
      <c r="J726" s="26" t="n">
        <v>3960</v>
      </c>
      <c r="K726" s="25" t="s">
        <v>546</v>
      </c>
      <c r="L726" s="25" t="s">
        <v>547</v>
      </c>
      <c r="M726" s="26" t="n">
        <f aca="false">IF(AND(L726="Oui",K726="Principal"),I726*J726,0)</f>
        <v>3960</v>
      </c>
      <c r="N726" s="25" t="s">
        <v>548</v>
      </c>
      <c r="O726" s="25"/>
      <c r="P726" s="25" t="s">
        <v>550</v>
      </c>
      <c r="Q726" s="25" t="s">
        <v>557</v>
      </c>
      <c r="R726" s="26" t="n">
        <v>2960</v>
      </c>
      <c r="S726" s="26" t="n">
        <f aca="false">IF(AND(L726="Oui",K726="Principal",R726&lt;&gt;""),I726*R726,0)</f>
        <v>2960</v>
      </c>
      <c r="T726" s="26" t="n">
        <f aca="false">IF(R726&lt;&gt;"",M726-S726,0)</f>
        <v>1000</v>
      </c>
      <c r="U726" s="26" t="n">
        <f aca="false">IF(R726="",M726,0)</f>
        <v>0</v>
      </c>
    </row>
    <row r="727" customFormat="false" ht="15" hidden="false" customHeight="false" outlineLevel="0" collapsed="false">
      <c r="A727" s="25" t="s">
        <v>60</v>
      </c>
      <c r="B727" s="25" t="s">
        <v>61</v>
      </c>
      <c r="C727" s="25" t="s">
        <v>50</v>
      </c>
      <c r="D727" s="25" t="n">
        <v>29</v>
      </c>
      <c r="E727" s="25" t="s">
        <v>588</v>
      </c>
      <c r="F727" s="25" t="s">
        <v>332</v>
      </c>
      <c r="G727" s="25" t="n">
        <v>1547</v>
      </c>
      <c r="H727" s="25" t="s">
        <v>703</v>
      </c>
      <c r="I727" s="25" t="n">
        <v>1</v>
      </c>
      <c r="J727" s="26" t="n">
        <v>3130</v>
      </c>
      <c r="K727" s="25" t="s">
        <v>546</v>
      </c>
      <c r="L727" s="25" t="s">
        <v>547</v>
      </c>
      <c r="M727" s="26" t="n">
        <f aca="false">IF(AND(L727="Oui",K727="Principal"),I727*J727,0)</f>
        <v>3130</v>
      </c>
      <c r="N727" s="25" t="s">
        <v>548</v>
      </c>
      <c r="O727" s="25"/>
      <c r="P727" s="25" t="s">
        <v>550</v>
      </c>
      <c r="Q727" s="25" t="s">
        <v>557</v>
      </c>
      <c r="R727" s="26" t="n">
        <v>2130</v>
      </c>
      <c r="S727" s="26" t="n">
        <f aca="false">IF(AND(L727="Oui",K727="Principal",R727&lt;&gt;""),I727*R727,0)</f>
        <v>2130</v>
      </c>
      <c r="T727" s="26" t="n">
        <f aca="false">IF(R727&lt;&gt;"",M727-S727,0)</f>
        <v>1000</v>
      </c>
      <c r="U727" s="26" t="n">
        <f aca="false">IF(R727="",M727,0)</f>
        <v>0</v>
      </c>
    </row>
    <row r="728" customFormat="false" ht="15" hidden="false" customHeight="false" outlineLevel="0" collapsed="false">
      <c r="A728" s="25" t="s">
        <v>60</v>
      </c>
      <c r="B728" s="25" t="s">
        <v>61</v>
      </c>
      <c r="C728" s="25" t="s">
        <v>50</v>
      </c>
      <c r="D728" s="25" t="n">
        <v>30</v>
      </c>
      <c r="E728" s="25" t="s">
        <v>686</v>
      </c>
      <c r="F728" s="25" t="s">
        <v>317</v>
      </c>
      <c r="G728" s="25" t="n">
        <v>1566</v>
      </c>
      <c r="H728" s="25" t="s">
        <v>693</v>
      </c>
      <c r="I728" s="25" t="n">
        <v>1</v>
      </c>
      <c r="J728" s="26" t="n">
        <v>3960</v>
      </c>
      <c r="K728" s="25" t="s">
        <v>546</v>
      </c>
      <c r="L728" s="25" t="s">
        <v>547</v>
      </c>
      <c r="M728" s="26" t="n">
        <f aca="false">IF(AND(L728="Oui",K728="Principal"),I728*J728,0)</f>
        <v>3960</v>
      </c>
      <c r="N728" s="25" t="s">
        <v>548</v>
      </c>
      <c r="O728" s="25"/>
      <c r="P728" s="25" t="s">
        <v>550</v>
      </c>
      <c r="Q728" s="25" t="s">
        <v>557</v>
      </c>
      <c r="R728" s="26" t="n">
        <v>2960</v>
      </c>
      <c r="S728" s="26" t="n">
        <f aca="false">IF(AND(L728="Oui",K728="Principal",R728&lt;&gt;""),I728*R728,0)</f>
        <v>2960</v>
      </c>
      <c r="T728" s="26" t="n">
        <f aca="false">IF(R728&lt;&gt;"",M728-S728,0)</f>
        <v>1000</v>
      </c>
      <c r="U728" s="26" t="n">
        <f aca="false">IF(R728="",M728,0)</f>
        <v>0</v>
      </c>
    </row>
    <row r="729" customFormat="false" ht="15" hidden="false" customHeight="false" outlineLevel="0" collapsed="false">
      <c r="A729" s="25" t="s">
        <v>60</v>
      </c>
      <c r="B729" s="25" t="s">
        <v>61</v>
      </c>
      <c r="C729" s="25" t="s">
        <v>50</v>
      </c>
      <c r="D729" s="25" t="n">
        <v>31</v>
      </c>
      <c r="E729" s="25" t="s">
        <v>588</v>
      </c>
      <c r="F729" s="25" t="s">
        <v>334</v>
      </c>
      <c r="G729" s="25" t="n">
        <v>1540</v>
      </c>
      <c r="H729" s="25" t="s">
        <v>704</v>
      </c>
      <c r="I729" s="25" t="n">
        <v>1</v>
      </c>
      <c r="J729" s="26" t="n">
        <v>3430</v>
      </c>
      <c r="K729" s="25" t="s">
        <v>546</v>
      </c>
      <c r="L729" s="25" t="s">
        <v>547</v>
      </c>
      <c r="M729" s="26" t="n">
        <f aca="false">IF(AND(L729="Oui",K729="Principal"),I729*J729,0)</f>
        <v>3430</v>
      </c>
      <c r="N729" s="25" t="s">
        <v>548</v>
      </c>
      <c r="O729" s="25"/>
      <c r="P729" s="25" t="s">
        <v>550</v>
      </c>
      <c r="Q729" s="25" t="s">
        <v>557</v>
      </c>
      <c r="R729" s="26" t="n">
        <v>2430</v>
      </c>
      <c r="S729" s="26" t="n">
        <f aca="false">IF(AND(L729="Oui",K729="Principal",R729&lt;&gt;""),I729*R729,0)</f>
        <v>2430</v>
      </c>
      <c r="T729" s="26" t="n">
        <f aca="false">IF(R729&lt;&gt;"",M729-S729,0)</f>
        <v>1000</v>
      </c>
      <c r="U729" s="26" t="n">
        <f aca="false">IF(R729="",M729,0)</f>
        <v>0</v>
      </c>
    </row>
    <row r="730" customFormat="false" ht="15" hidden="false" customHeight="false" outlineLevel="0" collapsed="false">
      <c r="A730" s="27" t="s">
        <v>60</v>
      </c>
      <c r="B730" s="27" t="s">
        <v>61</v>
      </c>
      <c r="C730" s="27" t="s">
        <v>50</v>
      </c>
      <c r="D730" s="27" t="n">
        <v>32</v>
      </c>
      <c r="E730" s="27" t="s">
        <v>686</v>
      </c>
      <c r="F730" s="27" t="s">
        <v>319</v>
      </c>
      <c r="G730" s="27"/>
      <c r="H730" s="27" t="s">
        <v>585</v>
      </c>
      <c r="I730" s="27" t="n">
        <v>1</v>
      </c>
      <c r="J730" s="28" t="n">
        <v>0</v>
      </c>
      <c r="K730" s="27" t="s">
        <v>546</v>
      </c>
      <c r="L730" s="27" t="s">
        <v>579</v>
      </c>
      <c r="M730" s="28" t="n">
        <f aca="false">IF(AND(L730="Oui",K730="Principal"),I730*J730,0)</f>
        <v>0</v>
      </c>
      <c r="N730" s="27" t="s">
        <v>128</v>
      </c>
      <c r="O730" s="27" t="s">
        <v>586</v>
      </c>
      <c r="P730" s="27"/>
      <c r="Q730" s="27"/>
      <c r="R730" s="28"/>
      <c r="S730" s="28" t="n">
        <f aca="false">IF(AND(L730="Oui",K730="Principal",R730&lt;&gt;""),I730*R730,0)</f>
        <v>0</v>
      </c>
      <c r="T730" s="28" t="n">
        <f aca="false">IF(R730&lt;&gt;"",M730-S730,0)</f>
        <v>0</v>
      </c>
      <c r="U730" s="28" t="n">
        <f aca="false">IF(R730="",M730,0)</f>
        <v>0</v>
      </c>
    </row>
    <row r="731" customFormat="false" ht="15" hidden="false" customHeight="false" outlineLevel="0" collapsed="false">
      <c r="A731" s="27" t="s">
        <v>60</v>
      </c>
      <c r="B731" s="27" t="s">
        <v>61</v>
      </c>
      <c r="C731" s="27" t="s">
        <v>50</v>
      </c>
      <c r="D731" s="27" t="n">
        <v>33</v>
      </c>
      <c r="E731" s="27" t="s">
        <v>686</v>
      </c>
      <c r="F731" s="27" t="s">
        <v>320</v>
      </c>
      <c r="G731" s="27"/>
      <c r="H731" s="27" t="s">
        <v>585</v>
      </c>
      <c r="I731" s="27" t="n">
        <v>1</v>
      </c>
      <c r="J731" s="28" t="n">
        <v>0</v>
      </c>
      <c r="K731" s="27" t="s">
        <v>546</v>
      </c>
      <c r="L731" s="27" t="s">
        <v>579</v>
      </c>
      <c r="M731" s="28" t="n">
        <f aca="false">IF(AND(L731="Oui",K731="Principal"),I731*J731,0)</f>
        <v>0</v>
      </c>
      <c r="N731" s="27" t="s">
        <v>128</v>
      </c>
      <c r="O731" s="27" t="s">
        <v>586</v>
      </c>
      <c r="P731" s="27"/>
      <c r="Q731" s="27"/>
      <c r="R731" s="28"/>
      <c r="S731" s="28" t="n">
        <f aca="false">IF(AND(L731="Oui",K731="Principal",R731&lt;&gt;""),I731*R731,0)</f>
        <v>0</v>
      </c>
      <c r="T731" s="28" t="n">
        <f aca="false">IF(R731&lt;&gt;"",M731-S731,0)</f>
        <v>0</v>
      </c>
      <c r="U731" s="28" t="n">
        <f aca="false">IF(R731="",M731,0)</f>
        <v>0</v>
      </c>
    </row>
    <row r="732" customFormat="false" ht="15" hidden="false" customHeight="false" outlineLevel="0" collapsed="false">
      <c r="A732" s="27" t="s">
        <v>60</v>
      </c>
      <c r="B732" s="27" t="s">
        <v>61</v>
      </c>
      <c r="C732" s="27" t="s">
        <v>50</v>
      </c>
      <c r="D732" s="27" t="n">
        <v>34</v>
      </c>
      <c r="E732" s="27" t="s">
        <v>588</v>
      </c>
      <c r="F732" s="27" t="s">
        <v>336</v>
      </c>
      <c r="G732" s="27"/>
      <c r="H732" s="27" t="s">
        <v>585</v>
      </c>
      <c r="I732" s="27" t="n">
        <v>1</v>
      </c>
      <c r="J732" s="28" t="n">
        <v>0</v>
      </c>
      <c r="K732" s="27" t="s">
        <v>546</v>
      </c>
      <c r="L732" s="27" t="s">
        <v>579</v>
      </c>
      <c r="M732" s="28" t="n">
        <f aca="false">IF(AND(L732="Oui",K732="Principal"),I732*J732,0)</f>
        <v>0</v>
      </c>
      <c r="N732" s="27" t="s">
        <v>128</v>
      </c>
      <c r="O732" s="27" t="s">
        <v>586</v>
      </c>
      <c r="P732" s="27"/>
      <c r="Q732" s="27"/>
      <c r="R732" s="28"/>
      <c r="S732" s="28" t="n">
        <f aca="false">IF(AND(L732="Oui",K732="Principal",R732&lt;&gt;""),I732*R732,0)</f>
        <v>0</v>
      </c>
      <c r="T732" s="28" t="n">
        <f aca="false">IF(R732&lt;&gt;"",M732-S732,0)</f>
        <v>0</v>
      </c>
      <c r="U732" s="28" t="n">
        <f aca="false">IF(R732="",M732,0)</f>
        <v>0</v>
      </c>
    </row>
    <row r="733" customFormat="false" ht="15" hidden="false" customHeight="false" outlineLevel="0" collapsed="false">
      <c r="A733" s="25" t="s">
        <v>60</v>
      </c>
      <c r="B733" s="25" t="s">
        <v>62</v>
      </c>
      <c r="C733" s="25" t="s">
        <v>48</v>
      </c>
      <c r="D733" s="25" t="n">
        <v>1</v>
      </c>
      <c r="E733" s="25" t="s">
        <v>544</v>
      </c>
      <c r="F733" s="25" t="s">
        <v>295</v>
      </c>
      <c r="G733" s="25" t="n">
        <v>1618</v>
      </c>
      <c r="H733" s="25" t="s">
        <v>600</v>
      </c>
      <c r="I733" s="25" t="n">
        <v>2</v>
      </c>
      <c r="J733" s="26" t="n">
        <v>450</v>
      </c>
      <c r="K733" s="25" t="s">
        <v>546</v>
      </c>
      <c r="L733" s="25" t="s">
        <v>547</v>
      </c>
      <c r="M733" s="26" t="n">
        <f aca="false">IF(AND(L733="Oui",K733="Principal"),I733*J733,0)</f>
        <v>900</v>
      </c>
      <c r="N733" s="25" t="s">
        <v>548</v>
      </c>
      <c r="O733" s="25"/>
      <c r="P733" s="25" t="s">
        <v>556</v>
      </c>
      <c r="Q733" s="25" t="s">
        <v>557</v>
      </c>
      <c r="R733" s="26" t="n">
        <v>350</v>
      </c>
      <c r="S733" s="26" t="n">
        <f aca="false">IF(AND(L733="Oui",K733="Principal",R733&lt;&gt;""),I733*R733,0)</f>
        <v>700</v>
      </c>
      <c r="T733" s="26" t="n">
        <f aca="false">IF(R733&lt;&gt;"",M733-S733,0)</f>
        <v>200</v>
      </c>
      <c r="U733" s="26" t="n">
        <f aca="false">IF(R733="",M733,0)</f>
        <v>0</v>
      </c>
    </row>
    <row r="734" customFormat="false" ht="15" hidden="false" customHeight="false" outlineLevel="0" collapsed="false">
      <c r="A734" s="25" t="s">
        <v>60</v>
      </c>
      <c r="B734" s="25" t="s">
        <v>62</v>
      </c>
      <c r="C734" s="25" t="s">
        <v>48</v>
      </c>
      <c r="D734" s="25" t="n">
        <v>2</v>
      </c>
      <c r="E734" s="25" t="s">
        <v>544</v>
      </c>
      <c r="F734" s="25" t="s">
        <v>296</v>
      </c>
      <c r="G734" s="25" t="n">
        <v>1</v>
      </c>
      <c r="H734" s="25" t="s">
        <v>681</v>
      </c>
      <c r="I734" s="25" t="n">
        <v>4</v>
      </c>
      <c r="J734" s="26" t="n">
        <v>500</v>
      </c>
      <c r="K734" s="25" t="s">
        <v>546</v>
      </c>
      <c r="L734" s="25" t="s">
        <v>547</v>
      </c>
      <c r="M734" s="26" t="n">
        <f aca="false">IF(AND(L734="Oui",K734="Principal"),I734*J734,0)</f>
        <v>2000</v>
      </c>
      <c r="N734" s="25" t="s">
        <v>548</v>
      </c>
      <c r="O734" s="25"/>
      <c r="P734" s="25" t="s">
        <v>559</v>
      </c>
      <c r="Q734" s="25" t="s">
        <v>551</v>
      </c>
      <c r="R734" s="26"/>
      <c r="S734" s="26" t="n">
        <f aca="false">IF(AND(L734="Oui",K734="Principal",R734&lt;&gt;""),I734*R734,0)</f>
        <v>0</v>
      </c>
      <c r="T734" s="26" t="n">
        <f aca="false">IF(R734&lt;&gt;"",M734-S734,0)</f>
        <v>0</v>
      </c>
      <c r="U734" s="26" t="n">
        <f aca="false">IF(R734="",M734,0)</f>
        <v>2000</v>
      </c>
    </row>
    <row r="735" customFormat="false" ht="15" hidden="false" customHeight="false" outlineLevel="0" collapsed="false">
      <c r="A735" s="25" t="s">
        <v>60</v>
      </c>
      <c r="B735" s="25" t="s">
        <v>62</v>
      </c>
      <c r="C735" s="25" t="s">
        <v>48</v>
      </c>
      <c r="D735" s="25" t="n">
        <v>3</v>
      </c>
      <c r="E735" s="25" t="s">
        <v>544</v>
      </c>
      <c r="F735" s="25" t="s">
        <v>298</v>
      </c>
      <c r="G735" s="25" t="n">
        <v>1576</v>
      </c>
      <c r="H735" s="25" t="s">
        <v>682</v>
      </c>
      <c r="I735" s="25" t="n">
        <v>1</v>
      </c>
      <c r="J735" s="26" t="n">
        <v>500</v>
      </c>
      <c r="K735" s="25" t="s">
        <v>546</v>
      </c>
      <c r="L735" s="25" t="s">
        <v>547</v>
      </c>
      <c r="M735" s="26" t="n">
        <f aca="false">IF(AND(L735="Oui",K735="Principal"),I735*J735,0)</f>
        <v>500</v>
      </c>
      <c r="N735" s="25" t="s">
        <v>548</v>
      </c>
      <c r="O735" s="25"/>
      <c r="P735" s="25" t="s">
        <v>556</v>
      </c>
      <c r="Q735" s="25" t="s">
        <v>557</v>
      </c>
      <c r="R735" s="26" t="n">
        <v>400</v>
      </c>
      <c r="S735" s="26" t="n">
        <f aca="false">IF(AND(L735="Oui",K735="Principal",R735&lt;&gt;""),I735*R735,0)</f>
        <v>400</v>
      </c>
      <c r="T735" s="26" t="n">
        <f aca="false">IF(R735&lt;&gt;"",M735-S735,0)</f>
        <v>100</v>
      </c>
      <c r="U735" s="26" t="n">
        <f aca="false">IF(R735="",M735,0)</f>
        <v>0</v>
      </c>
    </row>
    <row r="736" customFormat="false" ht="15" hidden="false" customHeight="false" outlineLevel="0" collapsed="false">
      <c r="A736" s="25" t="s">
        <v>60</v>
      </c>
      <c r="B736" s="25" t="s">
        <v>62</v>
      </c>
      <c r="C736" s="25" t="s">
        <v>48</v>
      </c>
      <c r="D736" s="25" t="n">
        <v>4</v>
      </c>
      <c r="E736" s="25" t="s">
        <v>544</v>
      </c>
      <c r="F736" s="25" t="s">
        <v>338</v>
      </c>
      <c r="G736" s="25" t="n">
        <v>2</v>
      </c>
      <c r="H736" s="25" t="s">
        <v>705</v>
      </c>
      <c r="I736" s="25" t="n">
        <v>2</v>
      </c>
      <c r="J736" s="26" t="n">
        <v>900</v>
      </c>
      <c r="K736" s="25" t="s">
        <v>546</v>
      </c>
      <c r="L736" s="25" t="s">
        <v>547</v>
      </c>
      <c r="M736" s="26" t="n">
        <f aca="false">IF(AND(L736="Oui",K736="Principal"),I736*J736,0)</f>
        <v>1800</v>
      </c>
      <c r="N736" s="25" t="s">
        <v>548</v>
      </c>
      <c r="O736" s="25"/>
      <c r="P736" s="25" t="s">
        <v>559</v>
      </c>
      <c r="Q736" s="25" t="s">
        <v>551</v>
      </c>
      <c r="R736" s="26"/>
      <c r="S736" s="26" t="n">
        <f aca="false">IF(AND(L736="Oui",K736="Principal",R736&lt;&gt;""),I736*R736,0)</f>
        <v>0</v>
      </c>
      <c r="T736" s="26" t="n">
        <f aca="false">IF(R736&lt;&gt;"",M736-S736,0)</f>
        <v>0</v>
      </c>
      <c r="U736" s="26" t="n">
        <f aca="false">IF(R736="",M736,0)</f>
        <v>1800</v>
      </c>
    </row>
    <row r="737" customFormat="false" ht="15" hidden="false" customHeight="false" outlineLevel="0" collapsed="false">
      <c r="A737" s="25" t="s">
        <v>60</v>
      </c>
      <c r="B737" s="25" t="s">
        <v>62</v>
      </c>
      <c r="C737" s="25" t="s">
        <v>48</v>
      </c>
      <c r="D737" s="25" t="n">
        <v>5</v>
      </c>
      <c r="E737" s="25" t="s">
        <v>544</v>
      </c>
      <c r="F737" s="25" t="s">
        <v>301</v>
      </c>
      <c r="G737" s="25" t="n">
        <v>1728</v>
      </c>
      <c r="H737" s="25" t="s">
        <v>545</v>
      </c>
      <c r="I737" s="25" t="n">
        <v>1</v>
      </c>
      <c r="J737" s="26" t="n">
        <v>900</v>
      </c>
      <c r="K737" s="25" t="s">
        <v>546</v>
      </c>
      <c r="L737" s="25" t="s">
        <v>547</v>
      </c>
      <c r="M737" s="26" t="n">
        <f aca="false">IF(AND(L737="Oui",K737="Principal"),I737*J737,0)</f>
        <v>900</v>
      </c>
      <c r="N737" s="25" t="s">
        <v>548</v>
      </c>
      <c r="O737" s="25"/>
      <c r="P737" s="25" t="s">
        <v>550</v>
      </c>
      <c r="Q737" s="25" t="s">
        <v>551</v>
      </c>
      <c r="R737" s="26"/>
      <c r="S737" s="26" t="n">
        <f aca="false">IF(AND(L737="Oui",K737="Principal",R737&lt;&gt;""),I737*R737,0)</f>
        <v>0</v>
      </c>
      <c r="T737" s="26" t="n">
        <f aca="false">IF(R737&lt;&gt;"",M737-S737,0)</f>
        <v>0</v>
      </c>
      <c r="U737" s="26" t="n">
        <f aca="false">IF(R737="",M737,0)</f>
        <v>900</v>
      </c>
    </row>
    <row r="738" customFormat="false" ht="15" hidden="false" customHeight="false" outlineLevel="0" collapsed="false">
      <c r="A738" s="33" t="s">
        <v>60</v>
      </c>
      <c r="B738" s="33" t="s">
        <v>62</v>
      </c>
      <c r="C738" s="33" t="s">
        <v>48</v>
      </c>
      <c r="D738" s="33" t="n">
        <v>6</v>
      </c>
      <c r="E738" s="33" t="s">
        <v>544</v>
      </c>
      <c r="F738" s="33" t="s">
        <v>302</v>
      </c>
      <c r="G738" s="33" t="n">
        <v>1271</v>
      </c>
      <c r="H738" s="33" t="s">
        <v>683</v>
      </c>
      <c r="I738" s="33" t="n">
        <v>1</v>
      </c>
      <c r="J738" s="34" t="n">
        <v>1150</v>
      </c>
      <c r="K738" s="33" t="s">
        <v>546</v>
      </c>
      <c r="L738" s="33" t="s">
        <v>547</v>
      </c>
      <c r="M738" s="34" t="n">
        <f aca="false">IF(AND(L738="Oui",K738="Principal"),I738*J738,0)</f>
        <v>1150</v>
      </c>
      <c r="N738" s="33" t="s">
        <v>182</v>
      </c>
      <c r="O738" s="33" t="s">
        <v>684</v>
      </c>
      <c r="P738" s="33" t="s">
        <v>550</v>
      </c>
      <c r="Q738" s="33" t="s">
        <v>557</v>
      </c>
      <c r="R738" s="34" t="n">
        <v>850</v>
      </c>
      <c r="S738" s="34" t="n">
        <f aca="false">IF(AND(L738="Oui",K738="Principal",R738&lt;&gt;""),I738*R738,0)</f>
        <v>850</v>
      </c>
      <c r="T738" s="34" t="n">
        <f aca="false">IF(R738&lt;&gt;"",M738-S738,0)</f>
        <v>300</v>
      </c>
      <c r="U738" s="34" t="n">
        <f aca="false">IF(R738="",M738,0)</f>
        <v>0</v>
      </c>
    </row>
    <row r="739" customFormat="false" ht="15" hidden="false" customHeight="false" outlineLevel="0" collapsed="false">
      <c r="A739" s="25" t="s">
        <v>60</v>
      </c>
      <c r="B739" s="25" t="s">
        <v>62</v>
      </c>
      <c r="C739" s="25" t="s">
        <v>48</v>
      </c>
      <c r="D739" s="25" t="n">
        <v>7</v>
      </c>
      <c r="E739" s="25" t="s">
        <v>563</v>
      </c>
      <c r="F739" s="25" t="s">
        <v>255</v>
      </c>
      <c r="G739" s="25" t="n">
        <v>1636</v>
      </c>
      <c r="H739" s="25" t="s">
        <v>661</v>
      </c>
      <c r="I739" s="25" t="n">
        <v>1</v>
      </c>
      <c r="J739" s="26" t="n">
        <v>400</v>
      </c>
      <c r="K739" s="25" t="s">
        <v>546</v>
      </c>
      <c r="L739" s="25" t="s">
        <v>547</v>
      </c>
      <c r="M739" s="26" t="n">
        <f aca="false">IF(AND(L739="Oui",K739="Principal"),I739*J739,0)</f>
        <v>400</v>
      </c>
      <c r="N739" s="25" t="s">
        <v>548</v>
      </c>
      <c r="O739" s="25"/>
      <c r="P739" s="25" t="s">
        <v>556</v>
      </c>
      <c r="Q739" s="25" t="s">
        <v>557</v>
      </c>
      <c r="R739" s="26" t="n">
        <v>320</v>
      </c>
      <c r="S739" s="26" t="n">
        <f aca="false">IF(AND(L739="Oui",K739="Principal",R739&lt;&gt;""),I739*R739,0)</f>
        <v>320</v>
      </c>
      <c r="T739" s="26" t="n">
        <f aca="false">IF(R739&lt;&gt;"",M739-S739,0)</f>
        <v>80</v>
      </c>
      <c r="U739" s="26" t="n">
        <f aca="false">IF(R739="",M739,0)</f>
        <v>0</v>
      </c>
    </row>
    <row r="740" customFormat="false" ht="15" hidden="false" customHeight="false" outlineLevel="0" collapsed="false">
      <c r="A740" s="25" t="s">
        <v>60</v>
      </c>
      <c r="B740" s="25" t="s">
        <v>62</v>
      </c>
      <c r="C740" s="25" t="s">
        <v>48</v>
      </c>
      <c r="D740" s="25" t="n">
        <v>8</v>
      </c>
      <c r="E740" s="25" t="s">
        <v>563</v>
      </c>
      <c r="F740" s="25" t="s">
        <v>257</v>
      </c>
      <c r="G740" s="25" t="n">
        <v>1635</v>
      </c>
      <c r="H740" s="25" t="s">
        <v>607</v>
      </c>
      <c r="I740" s="25" t="n">
        <v>1</v>
      </c>
      <c r="J740" s="26" t="n">
        <v>100</v>
      </c>
      <c r="K740" s="25" t="s">
        <v>546</v>
      </c>
      <c r="L740" s="25" t="s">
        <v>547</v>
      </c>
      <c r="M740" s="26" t="n">
        <f aca="false">IF(AND(L740="Oui",K740="Principal"),I740*J740,0)</f>
        <v>100</v>
      </c>
      <c r="N740" s="25" t="s">
        <v>548</v>
      </c>
      <c r="O740" s="25"/>
      <c r="P740" s="25" t="s">
        <v>556</v>
      </c>
      <c r="Q740" s="25" t="s">
        <v>557</v>
      </c>
      <c r="R740" s="26" t="n">
        <v>80</v>
      </c>
      <c r="S740" s="26" t="n">
        <f aca="false">IF(AND(L740="Oui",K740="Principal",R740&lt;&gt;""),I740*R740,0)</f>
        <v>80</v>
      </c>
      <c r="T740" s="26" t="n">
        <f aca="false">IF(R740&lt;&gt;"",M740-S740,0)</f>
        <v>20</v>
      </c>
      <c r="U740" s="26" t="n">
        <f aca="false">IF(R740="",M740,0)</f>
        <v>0</v>
      </c>
    </row>
    <row r="741" customFormat="false" ht="15" hidden="false" customHeight="false" outlineLevel="0" collapsed="false">
      <c r="A741" s="25" t="s">
        <v>60</v>
      </c>
      <c r="B741" s="25" t="s">
        <v>62</v>
      </c>
      <c r="C741" s="25" t="s">
        <v>48</v>
      </c>
      <c r="D741" s="25" t="n">
        <v>9</v>
      </c>
      <c r="E741" s="25" t="s">
        <v>563</v>
      </c>
      <c r="F741" s="25" t="s">
        <v>97</v>
      </c>
      <c r="G741" s="25" t="n">
        <v>1571</v>
      </c>
      <c r="H741" s="25" t="s">
        <v>564</v>
      </c>
      <c r="I741" s="25" t="n">
        <v>2</v>
      </c>
      <c r="J741" s="26" t="n">
        <v>75</v>
      </c>
      <c r="K741" s="25" t="s">
        <v>546</v>
      </c>
      <c r="L741" s="25" t="s">
        <v>547</v>
      </c>
      <c r="M741" s="26" t="n">
        <f aca="false">IF(AND(L741="Oui",K741="Principal"),I741*J741,0)</f>
        <v>150</v>
      </c>
      <c r="N741" s="25" t="s">
        <v>548</v>
      </c>
      <c r="O741" s="25"/>
      <c r="P741" s="25" t="s">
        <v>550</v>
      </c>
      <c r="Q741" s="25" t="s">
        <v>557</v>
      </c>
      <c r="R741" s="26"/>
      <c r="S741" s="26" t="n">
        <f aca="false">IF(AND(L741="Oui",K741="Principal",R741&lt;&gt;""),I741*R741,0)</f>
        <v>0</v>
      </c>
      <c r="T741" s="26" t="n">
        <f aca="false">IF(R741&lt;&gt;"",M741-S741,0)</f>
        <v>0</v>
      </c>
      <c r="U741" s="26" t="n">
        <f aca="false">IF(R741="",M741,0)</f>
        <v>150</v>
      </c>
    </row>
    <row r="742" customFormat="false" ht="15" hidden="false" customHeight="false" outlineLevel="0" collapsed="false">
      <c r="A742" s="25" t="s">
        <v>60</v>
      </c>
      <c r="B742" s="25" t="s">
        <v>62</v>
      </c>
      <c r="C742" s="25" t="s">
        <v>48</v>
      </c>
      <c r="D742" s="25" t="n">
        <v>10</v>
      </c>
      <c r="E742" s="25" t="s">
        <v>565</v>
      </c>
      <c r="F742" s="25" t="s">
        <v>99</v>
      </c>
      <c r="G742" s="25" t="n">
        <v>9</v>
      </c>
      <c r="H742" s="25" t="s">
        <v>566</v>
      </c>
      <c r="I742" s="25" t="n">
        <v>1</v>
      </c>
      <c r="J742" s="26" t="n">
        <v>150</v>
      </c>
      <c r="K742" s="25" t="s">
        <v>546</v>
      </c>
      <c r="L742" s="25" t="s">
        <v>547</v>
      </c>
      <c r="M742" s="26" t="n">
        <f aca="false">IF(AND(L742="Oui",K742="Principal"),I742*J742,0)</f>
        <v>150</v>
      </c>
      <c r="N742" s="25" t="s">
        <v>548</v>
      </c>
      <c r="O742" s="25"/>
      <c r="P742" s="25" t="s">
        <v>559</v>
      </c>
      <c r="Q742" s="25" t="s">
        <v>551</v>
      </c>
      <c r="R742" s="26"/>
      <c r="S742" s="26" t="n">
        <f aca="false">IF(AND(L742="Oui",K742="Principal",R742&lt;&gt;""),I742*R742,0)</f>
        <v>0</v>
      </c>
      <c r="T742" s="26" t="n">
        <f aca="false">IF(R742&lt;&gt;"",M742-S742,0)</f>
        <v>0</v>
      </c>
      <c r="U742" s="26" t="n">
        <f aca="false">IF(R742="",M742,0)</f>
        <v>150</v>
      </c>
    </row>
    <row r="743" customFormat="false" ht="15" hidden="false" customHeight="false" outlineLevel="0" collapsed="false">
      <c r="A743" s="25" t="s">
        <v>60</v>
      </c>
      <c r="B743" s="25" t="s">
        <v>62</v>
      </c>
      <c r="C743" s="25" t="s">
        <v>48</v>
      </c>
      <c r="D743" s="25" t="n">
        <v>11</v>
      </c>
      <c r="E743" s="25" t="s">
        <v>565</v>
      </c>
      <c r="F743" s="25" t="s">
        <v>164</v>
      </c>
      <c r="G743" s="25" t="n">
        <v>10</v>
      </c>
      <c r="H743" s="25" t="s">
        <v>608</v>
      </c>
      <c r="I743" s="25" t="n">
        <v>1</v>
      </c>
      <c r="J743" s="26" t="n">
        <v>200</v>
      </c>
      <c r="K743" s="25" t="s">
        <v>546</v>
      </c>
      <c r="L743" s="25" t="s">
        <v>547</v>
      </c>
      <c r="M743" s="26" t="n">
        <f aca="false">IF(AND(L743="Oui",K743="Principal"),I743*J743,0)</f>
        <v>200</v>
      </c>
      <c r="N743" s="25" t="s">
        <v>548</v>
      </c>
      <c r="O743" s="25"/>
      <c r="P743" s="25" t="s">
        <v>559</v>
      </c>
      <c r="Q743" s="25" t="s">
        <v>551</v>
      </c>
      <c r="R743" s="26"/>
      <c r="S743" s="26" t="n">
        <f aca="false">IF(AND(L743="Oui",K743="Principal",R743&lt;&gt;""),I743*R743,0)</f>
        <v>0</v>
      </c>
      <c r="T743" s="26" t="n">
        <f aca="false">IF(R743&lt;&gt;"",M743-S743,0)</f>
        <v>0</v>
      </c>
      <c r="U743" s="26" t="n">
        <f aca="false">IF(R743="",M743,0)</f>
        <v>200</v>
      </c>
    </row>
    <row r="744" customFormat="false" ht="15" hidden="false" customHeight="false" outlineLevel="0" collapsed="false">
      <c r="A744" s="25" t="s">
        <v>60</v>
      </c>
      <c r="B744" s="25" t="s">
        <v>62</v>
      </c>
      <c r="C744" s="25" t="s">
        <v>48</v>
      </c>
      <c r="D744" s="25" t="n">
        <v>12</v>
      </c>
      <c r="E744" s="25" t="s">
        <v>565</v>
      </c>
      <c r="F744" s="25" t="s">
        <v>166</v>
      </c>
      <c r="G744" s="25" t="n">
        <v>1173</v>
      </c>
      <c r="H744" s="25" t="s">
        <v>569</v>
      </c>
      <c r="I744" s="25" t="n">
        <v>1</v>
      </c>
      <c r="J744" s="26" t="n">
        <v>570</v>
      </c>
      <c r="K744" s="25" t="s">
        <v>546</v>
      </c>
      <c r="L744" s="25" t="s">
        <v>547</v>
      </c>
      <c r="M744" s="26" t="n">
        <f aca="false">IF(AND(L744="Oui",K744="Principal"),I744*J744,0)</f>
        <v>570</v>
      </c>
      <c r="N744" s="25" t="s">
        <v>548</v>
      </c>
      <c r="O744" s="25"/>
      <c r="P744" s="25" t="s">
        <v>550</v>
      </c>
      <c r="Q744" s="25" t="s">
        <v>557</v>
      </c>
      <c r="R744" s="26" t="n">
        <v>420</v>
      </c>
      <c r="S744" s="26" t="n">
        <f aca="false">IF(AND(L744="Oui",K744="Principal",R744&lt;&gt;""),I744*R744,0)</f>
        <v>420</v>
      </c>
      <c r="T744" s="26" t="n">
        <f aca="false">IF(R744&lt;&gt;"",M744-S744,0)</f>
        <v>150</v>
      </c>
      <c r="U744" s="26" t="n">
        <f aca="false">IF(R744="",M744,0)</f>
        <v>0</v>
      </c>
    </row>
    <row r="745" customFormat="false" ht="15" hidden="false" customHeight="false" outlineLevel="0" collapsed="false">
      <c r="A745" s="25" t="s">
        <v>60</v>
      </c>
      <c r="B745" s="25" t="s">
        <v>62</v>
      </c>
      <c r="C745" s="25" t="s">
        <v>48</v>
      </c>
      <c r="D745" s="25" t="n">
        <v>13</v>
      </c>
      <c r="E745" s="25" t="s">
        <v>565</v>
      </c>
      <c r="F745" s="25" t="s">
        <v>304</v>
      </c>
      <c r="G745" s="25" t="n">
        <v>1250</v>
      </c>
      <c r="H745" s="25" t="s">
        <v>570</v>
      </c>
      <c r="I745" s="25" t="n">
        <v>1</v>
      </c>
      <c r="J745" s="26" t="n">
        <v>250</v>
      </c>
      <c r="K745" s="25" t="s">
        <v>546</v>
      </c>
      <c r="L745" s="25" t="s">
        <v>547</v>
      </c>
      <c r="M745" s="26" t="n">
        <f aca="false">IF(AND(L745="Oui",K745="Principal"),I745*J745,0)</f>
        <v>250</v>
      </c>
      <c r="N745" s="25" t="s">
        <v>548</v>
      </c>
      <c r="O745" s="25"/>
      <c r="P745" s="25" t="s">
        <v>550</v>
      </c>
      <c r="Q745" s="25" t="s">
        <v>557</v>
      </c>
      <c r="R745" s="26" t="n">
        <v>100</v>
      </c>
      <c r="S745" s="26" t="n">
        <f aca="false">IF(AND(L745="Oui",K745="Principal",R745&lt;&gt;""),I745*R745,0)</f>
        <v>100</v>
      </c>
      <c r="T745" s="26" t="n">
        <f aca="false">IF(R745&lt;&gt;"",M745-S745,0)</f>
        <v>150</v>
      </c>
      <c r="U745" s="26" t="n">
        <f aca="false">IF(R745="",M745,0)</f>
        <v>0</v>
      </c>
    </row>
    <row r="746" customFormat="false" ht="15" hidden="false" customHeight="false" outlineLevel="0" collapsed="false">
      <c r="A746" s="33" t="s">
        <v>60</v>
      </c>
      <c r="B746" s="33" t="s">
        <v>62</v>
      </c>
      <c r="C746" s="33" t="s">
        <v>48</v>
      </c>
      <c r="D746" s="33" t="n">
        <v>14</v>
      </c>
      <c r="E746" s="33" t="s">
        <v>609</v>
      </c>
      <c r="F746" s="33" t="s">
        <v>199</v>
      </c>
      <c r="G746" s="33" t="n">
        <v>1229</v>
      </c>
      <c r="H746" s="33" t="s">
        <v>643</v>
      </c>
      <c r="I746" s="33" t="n">
        <v>1</v>
      </c>
      <c r="J746" s="34" t="n">
        <v>1800</v>
      </c>
      <c r="K746" s="33" t="s">
        <v>546</v>
      </c>
      <c r="L746" s="33" t="s">
        <v>547</v>
      </c>
      <c r="M746" s="34" t="n">
        <f aca="false">IF(AND(L746="Oui",K746="Principal"),I746*J746,0)</f>
        <v>1800</v>
      </c>
      <c r="N746" s="33" t="s">
        <v>182</v>
      </c>
      <c r="O746" s="33" t="s">
        <v>644</v>
      </c>
      <c r="P746" s="33" t="s">
        <v>550</v>
      </c>
      <c r="Q746" s="33" t="s">
        <v>557</v>
      </c>
      <c r="R746" s="34" t="n">
        <v>1500</v>
      </c>
      <c r="S746" s="34" t="n">
        <f aca="false">IF(AND(L746="Oui",K746="Principal",R746&lt;&gt;""),I746*R746,0)</f>
        <v>1500</v>
      </c>
      <c r="T746" s="34" t="n">
        <f aca="false">IF(R746&lt;&gt;"",M746-S746,0)</f>
        <v>300</v>
      </c>
      <c r="U746" s="34" t="n">
        <f aca="false">IF(R746="",M746,0)</f>
        <v>0</v>
      </c>
    </row>
    <row r="747" customFormat="false" ht="15" hidden="false" customHeight="false" outlineLevel="0" collapsed="false">
      <c r="A747" s="25" t="s">
        <v>60</v>
      </c>
      <c r="B747" s="25" t="s">
        <v>62</v>
      </c>
      <c r="C747" s="25" t="s">
        <v>48</v>
      </c>
      <c r="D747" s="25" t="n">
        <v>15</v>
      </c>
      <c r="E747" s="25" t="s">
        <v>609</v>
      </c>
      <c r="F747" s="25" t="s">
        <v>305</v>
      </c>
      <c r="G747" s="25" t="n">
        <v>1187</v>
      </c>
      <c r="H747" s="25" t="s">
        <v>685</v>
      </c>
      <c r="I747" s="25" t="n">
        <v>1</v>
      </c>
      <c r="J747" s="26" t="n">
        <v>2800</v>
      </c>
      <c r="K747" s="25" t="s">
        <v>546</v>
      </c>
      <c r="L747" s="25" t="s">
        <v>547</v>
      </c>
      <c r="M747" s="26" t="n">
        <f aca="false">IF(AND(L747="Oui",K747="Principal"),I747*J747,0)</f>
        <v>2800</v>
      </c>
      <c r="N747" s="25" t="s">
        <v>548</v>
      </c>
      <c r="O747" s="25"/>
      <c r="P747" s="25" t="s">
        <v>550</v>
      </c>
      <c r="Q747" s="25" t="s">
        <v>557</v>
      </c>
      <c r="R747" s="26" t="n">
        <v>1100</v>
      </c>
      <c r="S747" s="26" t="n">
        <f aca="false">IF(AND(L747="Oui",K747="Principal",R747&lt;&gt;""),I747*R747,0)</f>
        <v>1100</v>
      </c>
      <c r="T747" s="26" t="n">
        <f aca="false">IF(R747&lt;&gt;"",M747-S747,0)</f>
        <v>1700</v>
      </c>
      <c r="U747" s="26" t="n">
        <f aca="false">IF(R747="",M747,0)</f>
        <v>0</v>
      </c>
    </row>
    <row r="748" customFormat="false" ht="15" hidden="false" customHeight="false" outlineLevel="0" collapsed="false">
      <c r="A748" s="25" t="s">
        <v>60</v>
      </c>
      <c r="B748" s="25" t="s">
        <v>62</v>
      </c>
      <c r="C748" s="25" t="s">
        <v>48</v>
      </c>
      <c r="D748" s="25" t="n">
        <v>16</v>
      </c>
      <c r="E748" s="25" t="s">
        <v>573</v>
      </c>
      <c r="F748" s="25" t="s">
        <v>176</v>
      </c>
      <c r="G748" s="25" t="n">
        <v>19</v>
      </c>
      <c r="H748" s="25" t="s">
        <v>615</v>
      </c>
      <c r="I748" s="25" t="n">
        <v>1</v>
      </c>
      <c r="J748" s="26" t="n">
        <v>2500</v>
      </c>
      <c r="K748" s="25" t="s">
        <v>546</v>
      </c>
      <c r="L748" s="25" t="s">
        <v>547</v>
      </c>
      <c r="M748" s="26" t="n">
        <f aca="false">IF(AND(L748="Oui",K748="Principal"),I748*J748,0)</f>
        <v>2500</v>
      </c>
      <c r="N748" s="25" t="s">
        <v>548</v>
      </c>
      <c r="O748" s="25"/>
      <c r="P748" s="25" t="s">
        <v>559</v>
      </c>
      <c r="Q748" s="25" t="s">
        <v>551</v>
      </c>
      <c r="R748" s="26"/>
      <c r="S748" s="26" t="n">
        <f aca="false">IF(AND(L748="Oui",K748="Principal",R748&lt;&gt;""),I748*R748,0)</f>
        <v>0</v>
      </c>
      <c r="T748" s="26" t="n">
        <f aca="false">IF(R748&lt;&gt;"",M748-S748,0)</f>
        <v>0</v>
      </c>
      <c r="U748" s="26" t="n">
        <f aca="false">IF(R748="",M748,0)</f>
        <v>2500</v>
      </c>
    </row>
    <row r="749" customFormat="false" ht="15" hidden="false" customHeight="false" outlineLevel="0" collapsed="false">
      <c r="A749" s="25" t="s">
        <v>60</v>
      </c>
      <c r="B749" s="25" t="s">
        <v>62</v>
      </c>
      <c r="C749" s="25" t="s">
        <v>48</v>
      </c>
      <c r="D749" s="25" t="n">
        <v>17</v>
      </c>
      <c r="E749" s="25" t="s">
        <v>686</v>
      </c>
      <c r="F749" s="25" t="s">
        <v>341</v>
      </c>
      <c r="G749" s="25" t="n">
        <v>1363</v>
      </c>
      <c r="H749" s="25" t="s">
        <v>706</v>
      </c>
      <c r="I749" s="25" t="n">
        <v>1</v>
      </c>
      <c r="J749" s="26" t="n">
        <v>4000</v>
      </c>
      <c r="K749" s="25" t="s">
        <v>618</v>
      </c>
      <c r="L749" s="25" t="s">
        <v>579</v>
      </c>
      <c r="M749" s="26" t="n">
        <f aca="false">IF(AND(L749="Oui",K749="Principal"),I749*J749,0)</f>
        <v>0</v>
      </c>
      <c r="N749" s="25" t="s">
        <v>548</v>
      </c>
      <c r="O749" s="25"/>
      <c r="P749" s="25" t="s">
        <v>550</v>
      </c>
      <c r="Q749" s="25" t="s">
        <v>557</v>
      </c>
      <c r="R749" s="26" t="n">
        <v>3000</v>
      </c>
      <c r="S749" s="26" t="n">
        <f aca="false">IF(AND(L749="Oui",K749="Principal",R749&lt;&gt;""),I749*R749,0)</f>
        <v>0</v>
      </c>
      <c r="T749" s="26" t="n">
        <f aca="false">IF(R749&lt;&gt;"",M749-S749,0)</f>
        <v>0</v>
      </c>
      <c r="U749" s="26" t="n">
        <f aca="false">IF(R749="",M749,0)</f>
        <v>0</v>
      </c>
    </row>
    <row r="750" customFormat="false" ht="15" hidden="false" customHeight="false" outlineLevel="0" collapsed="false">
      <c r="A750" s="25" t="s">
        <v>60</v>
      </c>
      <c r="B750" s="25" t="s">
        <v>62</v>
      </c>
      <c r="C750" s="25" t="s">
        <v>48</v>
      </c>
      <c r="D750" s="25" t="n">
        <v>18</v>
      </c>
      <c r="E750" s="25" t="s">
        <v>686</v>
      </c>
      <c r="F750" s="25" t="s">
        <v>309</v>
      </c>
      <c r="G750" s="25" t="n">
        <v>1351</v>
      </c>
      <c r="H750" s="25" t="s">
        <v>688</v>
      </c>
      <c r="I750" s="25" t="n">
        <v>1</v>
      </c>
      <c r="J750" s="26" t="n">
        <v>4000</v>
      </c>
      <c r="K750" s="25" t="s">
        <v>618</v>
      </c>
      <c r="L750" s="25" t="s">
        <v>579</v>
      </c>
      <c r="M750" s="26" t="n">
        <f aca="false">IF(AND(L750="Oui",K750="Principal"),I750*J750,0)</f>
        <v>0</v>
      </c>
      <c r="N750" s="25" t="s">
        <v>548</v>
      </c>
      <c r="O750" s="25"/>
      <c r="P750" s="25" t="s">
        <v>550</v>
      </c>
      <c r="Q750" s="25" t="s">
        <v>557</v>
      </c>
      <c r="R750" s="26" t="n">
        <v>3000</v>
      </c>
      <c r="S750" s="26" t="n">
        <f aca="false">IF(AND(L750="Oui",K750="Principal",R750&lt;&gt;""),I750*R750,0)</f>
        <v>0</v>
      </c>
      <c r="T750" s="26" t="n">
        <f aca="false">IF(R750&lt;&gt;"",M750-S750,0)</f>
        <v>0</v>
      </c>
      <c r="U750" s="26" t="n">
        <f aca="false">IF(R750="",M750,0)</f>
        <v>0</v>
      </c>
    </row>
    <row r="751" customFormat="false" ht="15" hidden="false" customHeight="false" outlineLevel="0" collapsed="false">
      <c r="A751" s="25" t="s">
        <v>60</v>
      </c>
      <c r="B751" s="25" t="s">
        <v>62</v>
      </c>
      <c r="C751" s="25" t="s">
        <v>48</v>
      </c>
      <c r="D751" s="25" t="n">
        <v>19</v>
      </c>
      <c r="E751" s="25" t="s">
        <v>689</v>
      </c>
      <c r="F751" s="25" t="s">
        <v>343</v>
      </c>
      <c r="G751" s="25" t="n">
        <v>1315</v>
      </c>
      <c r="H751" s="25" t="s">
        <v>707</v>
      </c>
      <c r="I751" s="25" t="n">
        <v>1</v>
      </c>
      <c r="J751" s="26" t="n">
        <v>3500</v>
      </c>
      <c r="K751" s="25" t="s">
        <v>618</v>
      </c>
      <c r="L751" s="25" t="s">
        <v>579</v>
      </c>
      <c r="M751" s="26" t="n">
        <f aca="false">IF(AND(L751="Oui",K751="Principal"),I751*J751,0)</f>
        <v>0</v>
      </c>
      <c r="N751" s="25" t="s">
        <v>548</v>
      </c>
      <c r="O751" s="25"/>
      <c r="P751" s="25" t="s">
        <v>550</v>
      </c>
      <c r="Q751" s="25" t="s">
        <v>557</v>
      </c>
      <c r="R751" s="26" t="n">
        <v>2500</v>
      </c>
      <c r="S751" s="26" t="n">
        <f aca="false">IF(AND(L751="Oui",K751="Principal",R751&lt;&gt;""),I751*R751,0)</f>
        <v>0</v>
      </c>
      <c r="T751" s="26" t="n">
        <f aca="false">IF(R751&lt;&gt;"",M751-S751,0)</f>
        <v>0</v>
      </c>
      <c r="U751" s="26" t="n">
        <f aca="false">IF(R751="",M751,0)</f>
        <v>0</v>
      </c>
    </row>
    <row r="752" customFormat="false" ht="15" hidden="false" customHeight="false" outlineLevel="0" collapsed="false">
      <c r="A752" s="25" t="s">
        <v>60</v>
      </c>
      <c r="B752" s="25" t="s">
        <v>62</v>
      </c>
      <c r="C752" s="25" t="s">
        <v>48</v>
      </c>
      <c r="D752" s="25" t="n">
        <v>20</v>
      </c>
      <c r="E752" s="25" t="s">
        <v>689</v>
      </c>
      <c r="F752" s="25" t="s">
        <v>345</v>
      </c>
      <c r="G752" s="25" t="n">
        <v>1318</v>
      </c>
      <c r="H752" s="25" t="s">
        <v>708</v>
      </c>
      <c r="I752" s="25" t="n">
        <v>1</v>
      </c>
      <c r="J752" s="26" t="n">
        <v>2800</v>
      </c>
      <c r="K752" s="25" t="s">
        <v>618</v>
      </c>
      <c r="L752" s="25" t="s">
        <v>579</v>
      </c>
      <c r="M752" s="26" t="n">
        <f aca="false">IF(AND(L752="Oui",K752="Principal"),I752*J752,0)</f>
        <v>0</v>
      </c>
      <c r="N752" s="25" t="s">
        <v>548</v>
      </c>
      <c r="O752" s="25"/>
      <c r="P752" s="25" t="s">
        <v>550</v>
      </c>
      <c r="Q752" s="25" t="s">
        <v>557</v>
      </c>
      <c r="R752" s="26" t="n">
        <v>1800</v>
      </c>
      <c r="S752" s="26" t="n">
        <f aca="false">IF(AND(L752="Oui",K752="Principal",R752&lt;&gt;""),I752*R752,0)</f>
        <v>0</v>
      </c>
      <c r="T752" s="26" t="n">
        <f aca="false">IF(R752&lt;&gt;"",M752-S752,0)</f>
        <v>0</v>
      </c>
      <c r="U752" s="26" t="n">
        <f aca="false">IF(R752="",M752,0)</f>
        <v>0</v>
      </c>
    </row>
    <row r="753" customFormat="false" ht="15" hidden="false" customHeight="false" outlineLevel="0" collapsed="false">
      <c r="A753" s="25" t="s">
        <v>60</v>
      </c>
      <c r="B753" s="25" t="s">
        <v>62</v>
      </c>
      <c r="C753" s="25" t="s">
        <v>48</v>
      </c>
      <c r="D753" s="25" t="n">
        <v>21</v>
      </c>
      <c r="E753" s="25" t="s">
        <v>686</v>
      </c>
      <c r="F753" s="25" t="s">
        <v>347</v>
      </c>
      <c r="G753" s="25" t="n">
        <v>1559</v>
      </c>
      <c r="H753" s="25" t="s">
        <v>709</v>
      </c>
      <c r="I753" s="25" t="n">
        <v>1</v>
      </c>
      <c r="J753" s="26" t="n">
        <v>3960</v>
      </c>
      <c r="K753" s="25" t="s">
        <v>618</v>
      </c>
      <c r="L753" s="25" t="s">
        <v>579</v>
      </c>
      <c r="M753" s="26" t="n">
        <f aca="false">IF(AND(L753="Oui",K753="Principal"),I753*J753,0)</f>
        <v>0</v>
      </c>
      <c r="N753" s="25" t="s">
        <v>548</v>
      </c>
      <c r="O753" s="25"/>
      <c r="P753" s="25" t="s">
        <v>550</v>
      </c>
      <c r="Q753" s="25" t="s">
        <v>557</v>
      </c>
      <c r="R753" s="26" t="n">
        <v>2960</v>
      </c>
      <c r="S753" s="26" t="n">
        <f aca="false">IF(AND(L753="Oui",K753="Principal",R753&lt;&gt;""),I753*R753,0)</f>
        <v>0</v>
      </c>
      <c r="T753" s="26" t="n">
        <f aca="false">IF(R753&lt;&gt;"",M753-S753,0)</f>
        <v>0</v>
      </c>
      <c r="U753" s="26" t="n">
        <f aca="false">IF(R753="",M753,0)</f>
        <v>0</v>
      </c>
    </row>
    <row r="754" customFormat="false" ht="15" hidden="false" customHeight="false" outlineLevel="0" collapsed="false">
      <c r="A754" s="25" t="s">
        <v>60</v>
      </c>
      <c r="B754" s="25" t="s">
        <v>62</v>
      </c>
      <c r="C754" s="25" t="s">
        <v>48</v>
      </c>
      <c r="D754" s="25" t="n">
        <v>22</v>
      </c>
      <c r="E754" s="25" t="s">
        <v>686</v>
      </c>
      <c r="F754" s="25" t="s">
        <v>349</v>
      </c>
      <c r="G754" s="25" t="n">
        <v>1565</v>
      </c>
      <c r="H754" s="25" t="s">
        <v>710</v>
      </c>
      <c r="I754" s="25" t="n">
        <v>1</v>
      </c>
      <c r="J754" s="26" t="n">
        <v>3960</v>
      </c>
      <c r="K754" s="25" t="s">
        <v>618</v>
      </c>
      <c r="L754" s="25" t="s">
        <v>579</v>
      </c>
      <c r="M754" s="26" t="n">
        <f aca="false">IF(AND(L754="Oui",K754="Principal"),I754*J754,0)</f>
        <v>0</v>
      </c>
      <c r="N754" s="25" t="s">
        <v>548</v>
      </c>
      <c r="O754" s="25"/>
      <c r="P754" s="25" t="s">
        <v>550</v>
      </c>
      <c r="Q754" s="25" t="s">
        <v>557</v>
      </c>
      <c r="R754" s="26" t="n">
        <v>2960</v>
      </c>
      <c r="S754" s="26" t="n">
        <f aca="false">IF(AND(L754="Oui",K754="Principal",R754&lt;&gt;""),I754*R754,0)</f>
        <v>0</v>
      </c>
      <c r="T754" s="26" t="n">
        <f aca="false">IF(R754&lt;&gt;"",M754-S754,0)</f>
        <v>0</v>
      </c>
      <c r="U754" s="26" t="n">
        <f aca="false">IF(R754="",M754,0)</f>
        <v>0</v>
      </c>
    </row>
    <row r="755" customFormat="false" ht="15" hidden="false" customHeight="false" outlineLevel="0" collapsed="false">
      <c r="A755" s="25" t="s">
        <v>60</v>
      </c>
      <c r="B755" s="25" t="s">
        <v>62</v>
      </c>
      <c r="C755" s="25" t="s">
        <v>48</v>
      </c>
      <c r="D755" s="25" t="n">
        <v>23</v>
      </c>
      <c r="E755" s="25" t="s">
        <v>686</v>
      </c>
      <c r="F755" s="25" t="s">
        <v>351</v>
      </c>
      <c r="G755" s="25" t="n">
        <v>1438</v>
      </c>
      <c r="H755" s="25" t="s">
        <v>711</v>
      </c>
      <c r="I755" s="25" t="n">
        <v>1</v>
      </c>
      <c r="J755" s="26" t="n">
        <v>3960</v>
      </c>
      <c r="K755" s="25" t="s">
        <v>618</v>
      </c>
      <c r="L755" s="25" t="s">
        <v>579</v>
      </c>
      <c r="M755" s="26" t="n">
        <f aca="false">IF(AND(L755="Oui",K755="Principal"),I755*J755,0)</f>
        <v>0</v>
      </c>
      <c r="N755" s="25" t="s">
        <v>548</v>
      </c>
      <c r="O755" s="25"/>
      <c r="P755" s="25" t="s">
        <v>550</v>
      </c>
      <c r="Q755" s="25" t="s">
        <v>557</v>
      </c>
      <c r="R755" s="26" t="n">
        <v>2960</v>
      </c>
      <c r="S755" s="26" t="n">
        <f aca="false">IF(AND(L755="Oui",K755="Principal",R755&lt;&gt;""),I755*R755,0)</f>
        <v>0</v>
      </c>
      <c r="T755" s="26" t="n">
        <f aca="false">IF(R755&lt;&gt;"",M755-S755,0)</f>
        <v>0</v>
      </c>
      <c r="U755" s="26" t="n">
        <f aca="false">IF(R755="",M755,0)</f>
        <v>0</v>
      </c>
    </row>
    <row r="756" customFormat="false" ht="15" hidden="false" customHeight="false" outlineLevel="0" collapsed="false">
      <c r="A756" s="27" t="s">
        <v>60</v>
      </c>
      <c r="B756" s="27" t="s">
        <v>62</v>
      </c>
      <c r="C756" s="27" t="s">
        <v>48</v>
      </c>
      <c r="D756" s="27" t="n">
        <v>24</v>
      </c>
      <c r="E756" s="27" t="s">
        <v>686</v>
      </c>
      <c r="F756" s="27" t="s">
        <v>353</v>
      </c>
      <c r="G756" s="27"/>
      <c r="H756" s="27" t="s">
        <v>585</v>
      </c>
      <c r="I756" s="27" t="n">
        <v>1</v>
      </c>
      <c r="J756" s="28" t="n">
        <v>0</v>
      </c>
      <c r="K756" s="27" t="s">
        <v>618</v>
      </c>
      <c r="L756" s="27" t="s">
        <v>579</v>
      </c>
      <c r="M756" s="28" t="n">
        <f aca="false">IF(AND(L756="Oui",K756="Principal"),I756*J756,0)</f>
        <v>0</v>
      </c>
      <c r="N756" s="27" t="s">
        <v>128</v>
      </c>
      <c r="O756" s="27" t="s">
        <v>712</v>
      </c>
      <c r="P756" s="27"/>
      <c r="Q756" s="27"/>
      <c r="R756" s="28"/>
      <c r="S756" s="28" t="n">
        <f aca="false">IF(AND(L756="Oui",K756="Principal",R756&lt;&gt;""),I756*R756,0)</f>
        <v>0</v>
      </c>
      <c r="T756" s="28" t="n">
        <f aca="false">IF(R756&lt;&gt;"",M756-S756,0)</f>
        <v>0</v>
      </c>
      <c r="U756" s="28" t="n">
        <f aca="false">IF(R756="",M756,0)</f>
        <v>0</v>
      </c>
    </row>
    <row r="757" customFormat="false" ht="15" hidden="false" customHeight="false" outlineLevel="0" collapsed="false">
      <c r="A757" s="25" t="s">
        <v>60</v>
      </c>
      <c r="B757" s="25" t="s">
        <v>62</v>
      </c>
      <c r="C757" s="25" t="s">
        <v>48</v>
      </c>
      <c r="D757" s="25" t="n">
        <v>25</v>
      </c>
      <c r="E757" s="25" t="s">
        <v>577</v>
      </c>
      <c r="F757" s="25" t="s">
        <v>321</v>
      </c>
      <c r="G757" s="25" t="n">
        <v>1192</v>
      </c>
      <c r="H757" s="25" t="s">
        <v>694</v>
      </c>
      <c r="I757" s="25" t="n">
        <v>1</v>
      </c>
      <c r="J757" s="26" t="n">
        <v>7000</v>
      </c>
      <c r="K757" s="25" t="s">
        <v>577</v>
      </c>
      <c r="L757" s="25" t="s">
        <v>579</v>
      </c>
      <c r="M757" s="26" t="n">
        <f aca="false">IF(AND(L757="Oui",K757="Principal"),I757*J757,0)</f>
        <v>0</v>
      </c>
      <c r="N757" s="25" t="s">
        <v>548</v>
      </c>
      <c r="O757" s="25"/>
      <c r="P757" s="25" t="s">
        <v>550</v>
      </c>
      <c r="Q757" s="25" t="s">
        <v>557</v>
      </c>
      <c r="R757" s="26" t="n">
        <v>5500</v>
      </c>
      <c r="S757" s="26" t="n">
        <f aca="false">IF(AND(L757="Oui",K757="Principal",R757&lt;&gt;""),I757*R757,0)</f>
        <v>0</v>
      </c>
      <c r="T757" s="26" t="n">
        <f aca="false">IF(R757&lt;&gt;"",M757-S757,0)</f>
        <v>0</v>
      </c>
      <c r="U757" s="26" t="n">
        <f aca="false">IF(R757="",M757,0)</f>
        <v>0</v>
      </c>
    </row>
    <row r="758" customFormat="false" ht="15" hidden="false" customHeight="false" outlineLevel="0" collapsed="false">
      <c r="A758" s="25" t="s">
        <v>60</v>
      </c>
      <c r="B758" s="25" t="s">
        <v>62</v>
      </c>
      <c r="C758" s="25" t="s">
        <v>49</v>
      </c>
      <c r="D758" s="25" t="n">
        <v>1</v>
      </c>
      <c r="E758" s="25" t="s">
        <v>544</v>
      </c>
      <c r="F758" s="25" t="s">
        <v>295</v>
      </c>
      <c r="G758" s="25" t="n">
        <v>1618</v>
      </c>
      <c r="H758" s="25" t="s">
        <v>600</v>
      </c>
      <c r="I758" s="25" t="n">
        <v>2</v>
      </c>
      <c r="J758" s="26" t="n">
        <v>450</v>
      </c>
      <c r="K758" s="25" t="s">
        <v>546</v>
      </c>
      <c r="L758" s="25" t="s">
        <v>547</v>
      </c>
      <c r="M758" s="26" t="n">
        <f aca="false">IF(AND(L758="Oui",K758="Principal"),I758*J758,0)</f>
        <v>900</v>
      </c>
      <c r="N758" s="25" t="s">
        <v>548</v>
      </c>
      <c r="O758" s="25"/>
      <c r="P758" s="25" t="s">
        <v>556</v>
      </c>
      <c r="Q758" s="25" t="s">
        <v>557</v>
      </c>
      <c r="R758" s="26" t="n">
        <v>350</v>
      </c>
      <c r="S758" s="26" t="n">
        <f aca="false">IF(AND(L758="Oui",K758="Principal",R758&lt;&gt;""),I758*R758,0)</f>
        <v>700</v>
      </c>
      <c r="T758" s="26" t="n">
        <f aca="false">IF(R758&lt;&gt;"",M758-S758,0)</f>
        <v>200</v>
      </c>
      <c r="U758" s="26" t="n">
        <f aca="false">IF(R758="",M758,0)</f>
        <v>0</v>
      </c>
    </row>
    <row r="759" customFormat="false" ht="15" hidden="false" customHeight="false" outlineLevel="0" collapsed="false">
      <c r="A759" s="25" t="s">
        <v>60</v>
      </c>
      <c r="B759" s="25" t="s">
        <v>62</v>
      </c>
      <c r="C759" s="25" t="s">
        <v>49</v>
      </c>
      <c r="D759" s="25" t="n">
        <v>2</v>
      </c>
      <c r="E759" s="25" t="s">
        <v>544</v>
      </c>
      <c r="F759" s="25" t="s">
        <v>296</v>
      </c>
      <c r="G759" s="25" t="n">
        <v>1</v>
      </c>
      <c r="H759" s="25" t="s">
        <v>681</v>
      </c>
      <c r="I759" s="25" t="n">
        <v>4</v>
      </c>
      <c r="J759" s="26" t="n">
        <v>500</v>
      </c>
      <c r="K759" s="25" t="s">
        <v>546</v>
      </c>
      <c r="L759" s="25" t="s">
        <v>547</v>
      </c>
      <c r="M759" s="26" t="n">
        <f aca="false">IF(AND(L759="Oui",K759="Principal"),I759*J759,0)</f>
        <v>2000</v>
      </c>
      <c r="N759" s="25" t="s">
        <v>548</v>
      </c>
      <c r="O759" s="25"/>
      <c r="P759" s="25" t="s">
        <v>559</v>
      </c>
      <c r="Q759" s="25" t="s">
        <v>551</v>
      </c>
      <c r="R759" s="26"/>
      <c r="S759" s="26" t="n">
        <f aca="false">IF(AND(L759="Oui",K759="Principal",R759&lt;&gt;""),I759*R759,0)</f>
        <v>0</v>
      </c>
      <c r="T759" s="26" t="n">
        <f aca="false">IF(R759&lt;&gt;"",M759-S759,0)</f>
        <v>0</v>
      </c>
      <c r="U759" s="26" t="n">
        <f aca="false">IF(R759="",M759,0)</f>
        <v>2000</v>
      </c>
    </row>
    <row r="760" customFormat="false" ht="15" hidden="false" customHeight="false" outlineLevel="0" collapsed="false">
      <c r="A760" s="25" t="s">
        <v>60</v>
      </c>
      <c r="B760" s="25" t="s">
        <v>62</v>
      </c>
      <c r="C760" s="25" t="s">
        <v>49</v>
      </c>
      <c r="D760" s="25" t="n">
        <v>3</v>
      </c>
      <c r="E760" s="25" t="s">
        <v>544</v>
      </c>
      <c r="F760" s="25" t="s">
        <v>298</v>
      </c>
      <c r="G760" s="25" t="n">
        <v>1616</v>
      </c>
      <c r="H760" s="25" t="s">
        <v>695</v>
      </c>
      <c r="I760" s="25" t="n">
        <v>1</v>
      </c>
      <c r="J760" s="26" t="n">
        <v>900</v>
      </c>
      <c r="K760" s="25" t="s">
        <v>546</v>
      </c>
      <c r="L760" s="25" t="s">
        <v>547</v>
      </c>
      <c r="M760" s="26" t="n">
        <f aca="false">IF(AND(L760="Oui",K760="Principal"),I760*J760,0)</f>
        <v>900</v>
      </c>
      <c r="N760" s="25" t="s">
        <v>548</v>
      </c>
      <c r="O760" s="25"/>
      <c r="P760" s="25" t="s">
        <v>556</v>
      </c>
      <c r="Q760" s="25" t="s">
        <v>557</v>
      </c>
      <c r="R760" s="26" t="n">
        <v>800</v>
      </c>
      <c r="S760" s="26" t="n">
        <f aca="false">IF(AND(L760="Oui",K760="Principal",R760&lt;&gt;""),I760*R760,0)</f>
        <v>800</v>
      </c>
      <c r="T760" s="26" t="n">
        <f aca="false">IF(R760&lt;&gt;"",M760-S760,0)</f>
        <v>100</v>
      </c>
      <c r="U760" s="26" t="n">
        <f aca="false">IF(R760="",M760,0)</f>
        <v>0</v>
      </c>
    </row>
    <row r="761" customFormat="false" ht="15" hidden="false" customHeight="false" outlineLevel="0" collapsed="false">
      <c r="A761" s="25" t="s">
        <v>60</v>
      </c>
      <c r="B761" s="25" t="s">
        <v>62</v>
      </c>
      <c r="C761" s="25" t="s">
        <v>49</v>
      </c>
      <c r="D761" s="25" t="n">
        <v>4</v>
      </c>
      <c r="E761" s="25" t="s">
        <v>544</v>
      </c>
      <c r="F761" s="25" t="s">
        <v>338</v>
      </c>
      <c r="G761" s="25" t="n">
        <v>1715</v>
      </c>
      <c r="H761" s="25" t="s">
        <v>713</v>
      </c>
      <c r="I761" s="25" t="n">
        <v>2</v>
      </c>
      <c r="J761" s="26" t="n">
        <v>1600</v>
      </c>
      <c r="K761" s="25" t="s">
        <v>546</v>
      </c>
      <c r="L761" s="25" t="s">
        <v>547</v>
      </c>
      <c r="M761" s="26" t="n">
        <f aca="false">IF(AND(L761="Oui",K761="Principal"),I761*J761,0)</f>
        <v>3200</v>
      </c>
      <c r="N761" s="25" t="s">
        <v>548</v>
      </c>
      <c r="O761" s="25"/>
      <c r="P761" s="25" t="s">
        <v>550</v>
      </c>
      <c r="Q761" s="25" t="s">
        <v>557</v>
      </c>
      <c r="R761" s="26" t="n">
        <v>1300</v>
      </c>
      <c r="S761" s="26" t="n">
        <f aca="false">IF(AND(L761="Oui",K761="Principal",R761&lt;&gt;""),I761*R761,0)</f>
        <v>2600</v>
      </c>
      <c r="T761" s="26" t="n">
        <f aca="false">IF(R761&lt;&gt;"",M761-S761,0)</f>
        <v>600</v>
      </c>
      <c r="U761" s="26" t="n">
        <f aca="false">IF(R761="",M761,0)</f>
        <v>0</v>
      </c>
    </row>
    <row r="762" customFormat="false" ht="15" hidden="false" customHeight="false" outlineLevel="0" collapsed="false">
      <c r="A762" s="25" t="s">
        <v>60</v>
      </c>
      <c r="B762" s="25" t="s">
        <v>62</v>
      </c>
      <c r="C762" s="25" t="s">
        <v>49</v>
      </c>
      <c r="D762" s="25" t="n">
        <v>5</v>
      </c>
      <c r="E762" s="25" t="s">
        <v>544</v>
      </c>
      <c r="F762" s="25" t="s">
        <v>301</v>
      </c>
      <c r="G762" s="25" t="n">
        <v>1728</v>
      </c>
      <c r="H762" s="25" t="s">
        <v>545</v>
      </c>
      <c r="I762" s="25" t="n">
        <v>1</v>
      </c>
      <c r="J762" s="26" t="n">
        <v>900</v>
      </c>
      <c r="K762" s="25" t="s">
        <v>546</v>
      </c>
      <c r="L762" s="25" t="s">
        <v>547</v>
      </c>
      <c r="M762" s="26" t="n">
        <f aca="false">IF(AND(L762="Oui",K762="Principal"),I762*J762,0)</f>
        <v>900</v>
      </c>
      <c r="N762" s="25" t="s">
        <v>548</v>
      </c>
      <c r="O762" s="25"/>
      <c r="P762" s="25" t="s">
        <v>550</v>
      </c>
      <c r="Q762" s="25" t="s">
        <v>551</v>
      </c>
      <c r="R762" s="26"/>
      <c r="S762" s="26" t="n">
        <f aca="false">IF(AND(L762="Oui",K762="Principal",R762&lt;&gt;""),I762*R762,0)</f>
        <v>0</v>
      </c>
      <c r="T762" s="26" t="n">
        <f aca="false">IF(R762&lt;&gt;"",M762-S762,0)</f>
        <v>0</v>
      </c>
      <c r="U762" s="26" t="n">
        <f aca="false">IF(R762="",M762,0)</f>
        <v>900</v>
      </c>
    </row>
    <row r="763" customFormat="false" ht="15" hidden="false" customHeight="false" outlineLevel="0" collapsed="false">
      <c r="A763" s="33" t="s">
        <v>60</v>
      </c>
      <c r="B763" s="33" t="s">
        <v>62</v>
      </c>
      <c r="C763" s="33" t="s">
        <v>49</v>
      </c>
      <c r="D763" s="33" t="n">
        <v>6</v>
      </c>
      <c r="E763" s="33" t="s">
        <v>544</v>
      </c>
      <c r="F763" s="33" t="s">
        <v>302</v>
      </c>
      <c r="G763" s="33" t="n">
        <v>1271</v>
      </c>
      <c r="H763" s="33" t="s">
        <v>683</v>
      </c>
      <c r="I763" s="33" t="n">
        <v>1</v>
      </c>
      <c r="J763" s="34" t="n">
        <v>1150</v>
      </c>
      <c r="K763" s="33" t="s">
        <v>546</v>
      </c>
      <c r="L763" s="33" t="s">
        <v>547</v>
      </c>
      <c r="M763" s="34" t="n">
        <f aca="false">IF(AND(L763="Oui",K763="Principal"),I763*J763,0)</f>
        <v>1150</v>
      </c>
      <c r="N763" s="33" t="s">
        <v>182</v>
      </c>
      <c r="O763" s="33" t="s">
        <v>684</v>
      </c>
      <c r="P763" s="33" t="s">
        <v>550</v>
      </c>
      <c r="Q763" s="33" t="s">
        <v>557</v>
      </c>
      <c r="R763" s="34" t="n">
        <v>850</v>
      </c>
      <c r="S763" s="34" t="n">
        <f aca="false">IF(AND(L763="Oui",K763="Principal",R763&lt;&gt;""),I763*R763,0)</f>
        <v>850</v>
      </c>
      <c r="T763" s="34" t="n">
        <f aca="false">IF(R763&lt;&gt;"",M763-S763,0)</f>
        <v>300</v>
      </c>
      <c r="U763" s="34" t="n">
        <f aca="false">IF(R763="",M763,0)</f>
        <v>0</v>
      </c>
    </row>
    <row r="764" customFormat="false" ht="15" hidden="false" customHeight="false" outlineLevel="0" collapsed="false">
      <c r="A764" s="25" t="s">
        <v>60</v>
      </c>
      <c r="B764" s="25" t="s">
        <v>62</v>
      </c>
      <c r="C764" s="25" t="s">
        <v>49</v>
      </c>
      <c r="D764" s="25" t="n">
        <v>7</v>
      </c>
      <c r="E764" s="25" t="s">
        <v>563</v>
      </c>
      <c r="F764" s="25" t="s">
        <v>255</v>
      </c>
      <c r="G764" s="25" t="n">
        <v>1636</v>
      </c>
      <c r="H764" s="25" t="s">
        <v>661</v>
      </c>
      <c r="I764" s="25" t="n">
        <v>1</v>
      </c>
      <c r="J764" s="26" t="n">
        <v>400</v>
      </c>
      <c r="K764" s="25" t="s">
        <v>546</v>
      </c>
      <c r="L764" s="25" t="s">
        <v>547</v>
      </c>
      <c r="M764" s="26" t="n">
        <f aca="false">IF(AND(L764="Oui",K764="Principal"),I764*J764,0)</f>
        <v>400</v>
      </c>
      <c r="N764" s="25" t="s">
        <v>548</v>
      </c>
      <c r="O764" s="25"/>
      <c r="P764" s="25" t="s">
        <v>556</v>
      </c>
      <c r="Q764" s="25" t="s">
        <v>557</v>
      </c>
      <c r="R764" s="26" t="n">
        <v>320</v>
      </c>
      <c r="S764" s="26" t="n">
        <f aca="false">IF(AND(L764="Oui",K764="Principal",R764&lt;&gt;""),I764*R764,0)</f>
        <v>320</v>
      </c>
      <c r="T764" s="26" t="n">
        <f aca="false">IF(R764&lt;&gt;"",M764-S764,0)</f>
        <v>80</v>
      </c>
      <c r="U764" s="26" t="n">
        <f aca="false">IF(R764="",M764,0)</f>
        <v>0</v>
      </c>
    </row>
    <row r="765" customFormat="false" ht="15" hidden="false" customHeight="false" outlineLevel="0" collapsed="false">
      <c r="A765" s="25" t="s">
        <v>60</v>
      </c>
      <c r="B765" s="25" t="s">
        <v>62</v>
      </c>
      <c r="C765" s="25" t="s">
        <v>49</v>
      </c>
      <c r="D765" s="25" t="n">
        <v>8</v>
      </c>
      <c r="E765" s="25" t="s">
        <v>563</v>
      </c>
      <c r="F765" s="25" t="s">
        <v>257</v>
      </c>
      <c r="G765" s="25" t="n">
        <v>1635</v>
      </c>
      <c r="H765" s="25" t="s">
        <v>607</v>
      </c>
      <c r="I765" s="25" t="n">
        <v>1</v>
      </c>
      <c r="J765" s="26" t="n">
        <v>100</v>
      </c>
      <c r="K765" s="25" t="s">
        <v>546</v>
      </c>
      <c r="L765" s="25" t="s">
        <v>547</v>
      </c>
      <c r="M765" s="26" t="n">
        <f aca="false">IF(AND(L765="Oui",K765="Principal"),I765*J765,0)</f>
        <v>100</v>
      </c>
      <c r="N765" s="25" t="s">
        <v>548</v>
      </c>
      <c r="O765" s="25"/>
      <c r="P765" s="25" t="s">
        <v>556</v>
      </c>
      <c r="Q765" s="25" t="s">
        <v>557</v>
      </c>
      <c r="R765" s="26" t="n">
        <v>80</v>
      </c>
      <c r="S765" s="26" t="n">
        <f aca="false">IF(AND(L765="Oui",K765="Principal",R765&lt;&gt;""),I765*R765,0)</f>
        <v>80</v>
      </c>
      <c r="T765" s="26" t="n">
        <f aca="false">IF(R765&lt;&gt;"",M765-S765,0)</f>
        <v>20</v>
      </c>
      <c r="U765" s="26" t="n">
        <f aca="false">IF(R765="",M765,0)</f>
        <v>0</v>
      </c>
    </row>
    <row r="766" customFormat="false" ht="15" hidden="false" customHeight="false" outlineLevel="0" collapsed="false">
      <c r="A766" s="25" t="s">
        <v>60</v>
      </c>
      <c r="B766" s="25" t="s">
        <v>62</v>
      </c>
      <c r="C766" s="25" t="s">
        <v>49</v>
      </c>
      <c r="D766" s="25" t="n">
        <v>9</v>
      </c>
      <c r="E766" s="25" t="s">
        <v>563</v>
      </c>
      <c r="F766" s="25" t="s">
        <v>188</v>
      </c>
      <c r="G766" s="25" t="n">
        <v>8</v>
      </c>
      <c r="H766" s="25" t="s">
        <v>188</v>
      </c>
      <c r="I766" s="25" t="n">
        <v>1</v>
      </c>
      <c r="J766" s="26" t="n">
        <v>500</v>
      </c>
      <c r="K766" s="25" t="s">
        <v>546</v>
      </c>
      <c r="L766" s="25" t="s">
        <v>547</v>
      </c>
      <c r="M766" s="26" t="n">
        <f aca="false">IF(AND(L766="Oui",K766="Principal"),I766*J766,0)</f>
        <v>500</v>
      </c>
      <c r="N766" s="25" t="s">
        <v>548</v>
      </c>
      <c r="O766" s="25"/>
      <c r="P766" s="25" t="s">
        <v>559</v>
      </c>
      <c r="Q766" s="25" t="s">
        <v>551</v>
      </c>
      <c r="R766" s="26"/>
      <c r="S766" s="26" t="n">
        <f aca="false">IF(AND(L766="Oui",K766="Principal",R766&lt;&gt;""),I766*R766,0)</f>
        <v>0</v>
      </c>
      <c r="T766" s="26" t="n">
        <f aca="false">IF(R766&lt;&gt;"",M766-S766,0)</f>
        <v>0</v>
      </c>
      <c r="U766" s="26" t="n">
        <f aca="false">IF(R766="",M766,0)</f>
        <v>500</v>
      </c>
    </row>
    <row r="767" customFormat="false" ht="15" hidden="false" customHeight="false" outlineLevel="0" collapsed="false">
      <c r="A767" s="25" t="s">
        <v>60</v>
      </c>
      <c r="B767" s="25" t="s">
        <v>62</v>
      </c>
      <c r="C767" s="25" t="s">
        <v>49</v>
      </c>
      <c r="D767" s="25" t="n">
        <v>10</v>
      </c>
      <c r="E767" s="25" t="s">
        <v>563</v>
      </c>
      <c r="F767" s="25" t="s">
        <v>323</v>
      </c>
      <c r="G767" s="25" t="n">
        <v>1607</v>
      </c>
      <c r="H767" s="25" t="s">
        <v>696</v>
      </c>
      <c r="I767" s="25" t="n">
        <v>1</v>
      </c>
      <c r="J767" s="26" t="n">
        <v>2500</v>
      </c>
      <c r="K767" s="25" t="s">
        <v>546</v>
      </c>
      <c r="L767" s="25" t="s">
        <v>547</v>
      </c>
      <c r="M767" s="26" t="n">
        <f aca="false">IF(AND(L767="Oui",K767="Principal"),I767*J767,0)</f>
        <v>2500</v>
      </c>
      <c r="N767" s="25" t="s">
        <v>548</v>
      </c>
      <c r="O767" s="25"/>
      <c r="P767" s="25" t="s">
        <v>556</v>
      </c>
      <c r="Q767" s="25" t="s">
        <v>557</v>
      </c>
      <c r="R767" s="26" t="n">
        <v>2000</v>
      </c>
      <c r="S767" s="26" t="n">
        <f aca="false">IF(AND(L767="Oui",K767="Principal",R767&lt;&gt;""),I767*R767,0)</f>
        <v>2000</v>
      </c>
      <c r="T767" s="26" t="n">
        <f aca="false">IF(R767&lt;&gt;"",M767-S767,0)</f>
        <v>500</v>
      </c>
      <c r="U767" s="26" t="n">
        <f aca="false">IF(R767="",M767,0)</f>
        <v>0</v>
      </c>
    </row>
    <row r="768" customFormat="false" ht="15" hidden="false" customHeight="false" outlineLevel="0" collapsed="false">
      <c r="A768" s="25" t="s">
        <v>60</v>
      </c>
      <c r="B768" s="25" t="s">
        <v>62</v>
      </c>
      <c r="C768" s="25" t="s">
        <v>49</v>
      </c>
      <c r="D768" s="25" t="n">
        <v>11</v>
      </c>
      <c r="E768" s="25" t="s">
        <v>563</v>
      </c>
      <c r="F768" s="25" t="s">
        <v>325</v>
      </c>
      <c r="G768" s="25" t="n">
        <v>1248</v>
      </c>
      <c r="H768" s="25" t="s">
        <v>697</v>
      </c>
      <c r="I768" s="25" t="n">
        <v>1</v>
      </c>
      <c r="J768" s="26" t="n">
        <v>400</v>
      </c>
      <c r="K768" s="25" t="s">
        <v>546</v>
      </c>
      <c r="L768" s="25" t="s">
        <v>547</v>
      </c>
      <c r="M768" s="26" t="n">
        <f aca="false">IF(AND(L768="Oui",K768="Principal"),I768*J768,0)</f>
        <v>400</v>
      </c>
      <c r="N768" s="25" t="s">
        <v>548</v>
      </c>
      <c r="O768" s="25"/>
      <c r="P768" s="25" t="s">
        <v>550</v>
      </c>
      <c r="Q768" s="25" t="s">
        <v>557</v>
      </c>
      <c r="R768" s="26" t="n">
        <v>250</v>
      </c>
      <c r="S768" s="26" t="n">
        <f aca="false">IF(AND(L768="Oui",K768="Principal",R768&lt;&gt;""),I768*R768,0)</f>
        <v>250</v>
      </c>
      <c r="T768" s="26" t="n">
        <f aca="false">IF(R768&lt;&gt;"",M768-S768,0)</f>
        <v>150</v>
      </c>
      <c r="U768" s="26" t="n">
        <f aca="false">IF(R768="",M768,0)</f>
        <v>0</v>
      </c>
    </row>
    <row r="769" customFormat="false" ht="15" hidden="false" customHeight="false" outlineLevel="0" collapsed="false">
      <c r="A769" s="25" t="s">
        <v>60</v>
      </c>
      <c r="B769" s="25" t="s">
        <v>62</v>
      </c>
      <c r="C769" s="25" t="s">
        <v>49</v>
      </c>
      <c r="D769" s="25" t="n">
        <v>12</v>
      </c>
      <c r="E769" s="25" t="s">
        <v>565</v>
      </c>
      <c r="F769" s="25" t="s">
        <v>99</v>
      </c>
      <c r="G769" s="25" t="n">
        <v>1181</v>
      </c>
      <c r="H769" s="25" t="s">
        <v>581</v>
      </c>
      <c r="I769" s="25" t="n">
        <v>1</v>
      </c>
      <c r="J769" s="26" t="n">
        <v>250</v>
      </c>
      <c r="K769" s="25" t="s">
        <v>546</v>
      </c>
      <c r="L769" s="25" t="s">
        <v>547</v>
      </c>
      <c r="M769" s="26" t="n">
        <f aca="false">IF(AND(L769="Oui",K769="Principal"),I769*J769,0)</f>
        <v>250</v>
      </c>
      <c r="N769" s="25" t="s">
        <v>548</v>
      </c>
      <c r="O769" s="25"/>
      <c r="P769" s="25" t="s">
        <v>550</v>
      </c>
      <c r="Q769" s="25" t="s">
        <v>557</v>
      </c>
      <c r="R769" s="26" t="n">
        <v>110</v>
      </c>
      <c r="S769" s="26" t="n">
        <f aca="false">IF(AND(L769="Oui",K769="Principal",R769&lt;&gt;""),I769*R769,0)</f>
        <v>110</v>
      </c>
      <c r="T769" s="26" t="n">
        <f aca="false">IF(R769&lt;&gt;"",M769-S769,0)</f>
        <v>140</v>
      </c>
      <c r="U769" s="26" t="n">
        <f aca="false">IF(R769="",M769,0)</f>
        <v>0</v>
      </c>
    </row>
    <row r="770" customFormat="false" ht="15" hidden="false" customHeight="false" outlineLevel="0" collapsed="false">
      <c r="A770" s="25" t="s">
        <v>60</v>
      </c>
      <c r="B770" s="25" t="s">
        <v>62</v>
      </c>
      <c r="C770" s="25" t="s">
        <v>49</v>
      </c>
      <c r="D770" s="25" t="n">
        <v>13</v>
      </c>
      <c r="E770" s="25" t="s">
        <v>565</v>
      </c>
      <c r="F770" s="25" t="s">
        <v>164</v>
      </c>
      <c r="G770" s="25" t="n">
        <v>1587</v>
      </c>
      <c r="H770" s="25" t="s">
        <v>567</v>
      </c>
      <c r="I770" s="25" t="n">
        <v>1</v>
      </c>
      <c r="J770" s="26" t="n">
        <v>500</v>
      </c>
      <c r="K770" s="25" t="s">
        <v>546</v>
      </c>
      <c r="L770" s="25" t="s">
        <v>547</v>
      </c>
      <c r="M770" s="26" t="n">
        <f aca="false">IF(AND(L770="Oui",K770="Principal"),I770*J770,0)</f>
        <v>500</v>
      </c>
      <c r="N770" s="25" t="s">
        <v>548</v>
      </c>
      <c r="O770" s="25"/>
      <c r="P770" s="25" t="s">
        <v>556</v>
      </c>
      <c r="Q770" s="25" t="s">
        <v>557</v>
      </c>
      <c r="R770" s="26" t="n">
        <v>350</v>
      </c>
      <c r="S770" s="26" t="n">
        <f aca="false">IF(AND(L770="Oui",K770="Principal",R770&lt;&gt;""),I770*R770,0)</f>
        <v>350</v>
      </c>
      <c r="T770" s="26" t="n">
        <f aca="false">IF(R770&lt;&gt;"",M770-S770,0)</f>
        <v>150</v>
      </c>
      <c r="U770" s="26" t="n">
        <f aca="false">IF(R770="",M770,0)</f>
        <v>0</v>
      </c>
    </row>
    <row r="771" customFormat="false" ht="15" hidden="false" customHeight="false" outlineLevel="0" collapsed="false">
      <c r="A771" s="25" t="s">
        <v>60</v>
      </c>
      <c r="B771" s="25" t="s">
        <v>62</v>
      </c>
      <c r="C771" s="25" t="s">
        <v>49</v>
      </c>
      <c r="D771" s="25" t="n">
        <v>14</v>
      </c>
      <c r="E771" s="25" t="s">
        <v>565</v>
      </c>
      <c r="F771" s="25" t="s">
        <v>166</v>
      </c>
      <c r="G771" s="25" t="n">
        <v>1604</v>
      </c>
      <c r="H771" s="25" t="s">
        <v>582</v>
      </c>
      <c r="I771" s="25" t="n">
        <v>2</v>
      </c>
      <c r="J771" s="26" t="n">
        <v>700</v>
      </c>
      <c r="K771" s="25" t="s">
        <v>546</v>
      </c>
      <c r="L771" s="25" t="s">
        <v>547</v>
      </c>
      <c r="M771" s="26" t="n">
        <f aca="false">IF(AND(L771="Oui",K771="Principal"),I771*J771,0)</f>
        <v>1400</v>
      </c>
      <c r="N771" s="25" t="s">
        <v>548</v>
      </c>
      <c r="O771" s="25"/>
      <c r="P771" s="25" t="s">
        <v>556</v>
      </c>
      <c r="Q771" s="25" t="s">
        <v>557</v>
      </c>
      <c r="R771" s="26" t="n">
        <v>400</v>
      </c>
      <c r="S771" s="26" t="n">
        <f aca="false">IF(AND(L771="Oui",K771="Principal",R771&lt;&gt;""),I771*R771,0)</f>
        <v>800</v>
      </c>
      <c r="T771" s="26" t="n">
        <f aca="false">IF(R771&lt;&gt;"",M771-S771,0)</f>
        <v>600</v>
      </c>
      <c r="U771" s="26" t="n">
        <f aca="false">IF(R771="",M771,0)</f>
        <v>0</v>
      </c>
    </row>
    <row r="772" customFormat="false" ht="15" hidden="false" customHeight="false" outlineLevel="0" collapsed="false">
      <c r="A772" s="25" t="s">
        <v>60</v>
      </c>
      <c r="B772" s="25" t="s">
        <v>62</v>
      </c>
      <c r="C772" s="25" t="s">
        <v>49</v>
      </c>
      <c r="D772" s="25" t="n">
        <v>15</v>
      </c>
      <c r="E772" s="25" t="s">
        <v>565</v>
      </c>
      <c r="F772" s="25" t="s">
        <v>304</v>
      </c>
      <c r="G772" s="25" t="n">
        <v>1586</v>
      </c>
      <c r="H772" s="25" t="s">
        <v>583</v>
      </c>
      <c r="I772" s="25" t="n">
        <v>1</v>
      </c>
      <c r="J772" s="26" t="n">
        <v>900</v>
      </c>
      <c r="K772" s="25" t="s">
        <v>546</v>
      </c>
      <c r="L772" s="25" t="s">
        <v>547</v>
      </c>
      <c r="M772" s="26" t="n">
        <f aca="false">IF(AND(L772="Oui",K772="Principal"),I772*J772,0)</f>
        <v>900</v>
      </c>
      <c r="N772" s="25" t="s">
        <v>548</v>
      </c>
      <c r="O772" s="25"/>
      <c r="P772" s="25" t="s">
        <v>556</v>
      </c>
      <c r="Q772" s="25" t="s">
        <v>557</v>
      </c>
      <c r="R772" s="26" t="n">
        <v>650</v>
      </c>
      <c r="S772" s="26" t="n">
        <f aca="false">IF(AND(L772="Oui",K772="Principal",R772&lt;&gt;""),I772*R772,0)</f>
        <v>650</v>
      </c>
      <c r="T772" s="26" t="n">
        <f aca="false">IF(R772&lt;&gt;"",M772-S772,0)</f>
        <v>250</v>
      </c>
      <c r="U772" s="26" t="n">
        <f aca="false">IF(R772="",M772,0)</f>
        <v>0</v>
      </c>
    </row>
    <row r="773" customFormat="false" ht="15" hidden="false" customHeight="false" outlineLevel="0" collapsed="false">
      <c r="A773" s="33" t="s">
        <v>60</v>
      </c>
      <c r="B773" s="33" t="s">
        <v>62</v>
      </c>
      <c r="C773" s="33" t="s">
        <v>49</v>
      </c>
      <c r="D773" s="33" t="n">
        <v>16</v>
      </c>
      <c r="E773" s="33" t="s">
        <v>609</v>
      </c>
      <c r="F773" s="33" t="s">
        <v>199</v>
      </c>
      <c r="G773" s="33" t="n">
        <v>1229</v>
      </c>
      <c r="H773" s="33" t="s">
        <v>643</v>
      </c>
      <c r="I773" s="33" t="n">
        <v>1</v>
      </c>
      <c r="J773" s="34" t="n">
        <v>1800</v>
      </c>
      <c r="K773" s="33" t="s">
        <v>546</v>
      </c>
      <c r="L773" s="33" t="s">
        <v>547</v>
      </c>
      <c r="M773" s="34" t="n">
        <f aca="false">IF(AND(L773="Oui",K773="Principal"),I773*J773,0)</f>
        <v>1800</v>
      </c>
      <c r="N773" s="33" t="s">
        <v>182</v>
      </c>
      <c r="O773" s="33" t="s">
        <v>644</v>
      </c>
      <c r="P773" s="33" t="s">
        <v>550</v>
      </c>
      <c r="Q773" s="33" t="s">
        <v>557</v>
      </c>
      <c r="R773" s="34" t="n">
        <v>1500</v>
      </c>
      <c r="S773" s="34" t="n">
        <f aca="false">IF(AND(L773="Oui",K773="Principal",R773&lt;&gt;""),I773*R773,0)</f>
        <v>1500</v>
      </c>
      <c r="T773" s="34" t="n">
        <f aca="false">IF(R773&lt;&gt;"",M773-S773,0)</f>
        <v>300</v>
      </c>
      <c r="U773" s="34" t="n">
        <f aca="false">IF(R773="",M773,0)</f>
        <v>0</v>
      </c>
    </row>
    <row r="774" customFormat="false" ht="15" hidden="false" customHeight="false" outlineLevel="0" collapsed="false">
      <c r="A774" s="25" t="s">
        <v>60</v>
      </c>
      <c r="B774" s="25" t="s">
        <v>62</v>
      </c>
      <c r="C774" s="25" t="s">
        <v>49</v>
      </c>
      <c r="D774" s="25" t="n">
        <v>17</v>
      </c>
      <c r="E774" s="25" t="s">
        <v>609</v>
      </c>
      <c r="F774" s="25" t="s">
        <v>305</v>
      </c>
      <c r="G774" s="25" t="n">
        <v>1727</v>
      </c>
      <c r="H774" s="25" t="s">
        <v>698</v>
      </c>
      <c r="I774" s="25" t="n">
        <v>1</v>
      </c>
      <c r="J774" s="26" t="n">
        <v>4750</v>
      </c>
      <c r="K774" s="25" t="s">
        <v>546</v>
      </c>
      <c r="L774" s="25" t="s">
        <v>547</v>
      </c>
      <c r="M774" s="26" t="n">
        <f aca="false">IF(AND(L774="Oui",K774="Principal"),I774*J774,0)</f>
        <v>4750</v>
      </c>
      <c r="N774" s="25" t="s">
        <v>548</v>
      </c>
      <c r="O774" s="25"/>
      <c r="P774" s="25" t="s">
        <v>559</v>
      </c>
      <c r="Q774" s="25" t="s">
        <v>557</v>
      </c>
      <c r="R774" s="26" t="n">
        <v>3700</v>
      </c>
      <c r="S774" s="26" t="n">
        <f aca="false">IF(AND(L774="Oui",K774="Principal",R774&lt;&gt;""),I774*R774,0)</f>
        <v>3700</v>
      </c>
      <c r="T774" s="26" t="n">
        <f aca="false">IF(R774&lt;&gt;"",M774-S774,0)</f>
        <v>1050</v>
      </c>
      <c r="U774" s="26" t="n">
        <f aca="false">IF(R774="",M774,0)</f>
        <v>0</v>
      </c>
    </row>
    <row r="775" customFormat="false" ht="15" hidden="false" customHeight="false" outlineLevel="0" collapsed="false">
      <c r="A775" s="25" t="s">
        <v>60</v>
      </c>
      <c r="B775" s="25" t="s">
        <v>62</v>
      </c>
      <c r="C775" s="25" t="s">
        <v>49</v>
      </c>
      <c r="D775" s="25" t="n">
        <v>18</v>
      </c>
      <c r="E775" s="25" t="s">
        <v>554</v>
      </c>
      <c r="F775" s="25" t="s">
        <v>104</v>
      </c>
      <c r="G775" s="25" t="n">
        <v>1589</v>
      </c>
      <c r="H775" s="25" t="s">
        <v>568</v>
      </c>
      <c r="I775" s="25" t="n">
        <v>1</v>
      </c>
      <c r="J775" s="26" t="n">
        <v>900</v>
      </c>
      <c r="K775" s="25" t="s">
        <v>546</v>
      </c>
      <c r="L775" s="25" t="s">
        <v>547</v>
      </c>
      <c r="M775" s="26" t="n">
        <f aca="false">IF(AND(L775="Oui",K775="Principal"),I775*J775,0)</f>
        <v>900</v>
      </c>
      <c r="N775" s="25" t="s">
        <v>548</v>
      </c>
      <c r="O775" s="25"/>
      <c r="P775" s="25" t="s">
        <v>556</v>
      </c>
      <c r="Q775" s="25" t="s">
        <v>557</v>
      </c>
      <c r="R775" s="26" t="n">
        <v>650</v>
      </c>
      <c r="S775" s="26" t="n">
        <f aca="false">IF(AND(L775="Oui",K775="Principal",R775&lt;&gt;""),I775*R775,0)</f>
        <v>650</v>
      </c>
      <c r="T775" s="26" t="n">
        <f aca="false">IF(R775&lt;&gt;"",M775-S775,0)</f>
        <v>250</v>
      </c>
      <c r="U775" s="26" t="n">
        <f aca="false">IF(R775="",M775,0)</f>
        <v>0</v>
      </c>
    </row>
    <row r="776" customFormat="false" ht="15" hidden="false" customHeight="false" outlineLevel="0" collapsed="false">
      <c r="A776" s="29" t="s">
        <v>60</v>
      </c>
      <c r="B776" s="29" t="s">
        <v>62</v>
      </c>
      <c r="C776" s="29" t="s">
        <v>49</v>
      </c>
      <c r="D776" s="29" t="n">
        <v>19</v>
      </c>
      <c r="E776" s="29" t="s">
        <v>554</v>
      </c>
      <c r="F776" s="29" t="s">
        <v>328</v>
      </c>
      <c r="G776" s="29" t="n">
        <v>31</v>
      </c>
      <c r="H776" s="29" t="s">
        <v>595</v>
      </c>
      <c r="I776" s="29" t="n">
        <v>1</v>
      </c>
      <c r="J776" s="30" t="n">
        <v>1500</v>
      </c>
      <c r="K776" s="29" t="s">
        <v>546</v>
      </c>
      <c r="L776" s="29" t="s">
        <v>547</v>
      </c>
      <c r="M776" s="30" t="n">
        <f aca="false">IF(AND(L776="Oui",K776="Principal"),I776*J776,0)</f>
        <v>1500</v>
      </c>
      <c r="N776" s="29" t="s">
        <v>141</v>
      </c>
      <c r="O776" s="29" t="s">
        <v>699</v>
      </c>
      <c r="P776" s="29" t="s">
        <v>559</v>
      </c>
      <c r="Q776" s="29" t="s">
        <v>551</v>
      </c>
      <c r="R776" s="30"/>
      <c r="S776" s="30" t="n">
        <f aca="false">IF(AND(L776="Oui",K776="Principal",R776&lt;&gt;""),I776*R776,0)</f>
        <v>0</v>
      </c>
      <c r="T776" s="30" t="n">
        <f aca="false">IF(R776&lt;&gt;"",M776-S776,0)</f>
        <v>0</v>
      </c>
      <c r="U776" s="30" t="n">
        <f aca="false">IF(R776="",M776,0)</f>
        <v>1500</v>
      </c>
    </row>
    <row r="777" customFormat="false" ht="15" hidden="false" customHeight="false" outlineLevel="0" collapsed="false">
      <c r="A777" s="25" t="s">
        <v>60</v>
      </c>
      <c r="B777" s="25" t="s">
        <v>62</v>
      </c>
      <c r="C777" s="25" t="s">
        <v>49</v>
      </c>
      <c r="D777" s="25" t="n">
        <v>20</v>
      </c>
      <c r="E777" s="25" t="s">
        <v>700</v>
      </c>
      <c r="F777" s="25" t="s">
        <v>329</v>
      </c>
      <c r="G777" s="25" t="n">
        <v>1716</v>
      </c>
      <c r="H777" s="25" t="s">
        <v>701</v>
      </c>
      <c r="I777" s="25" t="n">
        <v>1</v>
      </c>
      <c r="J777" s="26" t="n">
        <v>1800</v>
      </c>
      <c r="K777" s="25" t="s">
        <v>546</v>
      </c>
      <c r="L777" s="25" t="s">
        <v>547</v>
      </c>
      <c r="M777" s="26" t="n">
        <f aca="false">IF(AND(L777="Oui",K777="Principal"),I777*J777,0)</f>
        <v>1800</v>
      </c>
      <c r="N777" s="25" t="s">
        <v>548</v>
      </c>
      <c r="O777" s="25"/>
      <c r="P777" s="25" t="s">
        <v>559</v>
      </c>
      <c r="Q777" s="25" t="s">
        <v>557</v>
      </c>
      <c r="R777" s="26" t="n">
        <v>1300</v>
      </c>
      <c r="S777" s="26" t="n">
        <f aca="false">IF(AND(L777="Oui",K777="Principal",R777&lt;&gt;""),I777*R777,0)</f>
        <v>1300</v>
      </c>
      <c r="T777" s="26" t="n">
        <f aca="false">IF(R777&lt;&gt;"",M777-S777,0)</f>
        <v>500</v>
      </c>
      <c r="U777" s="26" t="n">
        <f aca="false">IF(R777="",M777,0)</f>
        <v>0</v>
      </c>
    </row>
    <row r="778" customFormat="false" ht="15" hidden="false" customHeight="false" outlineLevel="0" collapsed="false">
      <c r="A778" s="25" t="s">
        <v>60</v>
      </c>
      <c r="B778" s="25" t="s">
        <v>62</v>
      </c>
      <c r="C778" s="25" t="s">
        <v>49</v>
      </c>
      <c r="D778" s="25" t="n">
        <v>21</v>
      </c>
      <c r="E778" s="25" t="s">
        <v>571</v>
      </c>
      <c r="F778" s="25" t="s">
        <v>331</v>
      </c>
      <c r="G778" s="25" t="n">
        <v>1625</v>
      </c>
      <c r="H778" s="25" t="s">
        <v>572</v>
      </c>
      <c r="I778" s="25" t="n">
        <v>1</v>
      </c>
      <c r="J778" s="26" t="n">
        <v>500</v>
      </c>
      <c r="K778" s="25" t="s">
        <v>546</v>
      </c>
      <c r="L778" s="25" t="s">
        <v>547</v>
      </c>
      <c r="M778" s="26" t="n">
        <f aca="false">IF(AND(L778="Oui",K778="Principal"),I778*J778,0)</f>
        <v>500</v>
      </c>
      <c r="N778" s="25" t="s">
        <v>548</v>
      </c>
      <c r="O778" s="25"/>
      <c r="P778" s="25" t="s">
        <v>556</v>
      </c>
      <c r="Q778" s="25" t="s">
        <v>557</v>
      </c>
      <c r="R778" s="26"/>
      <c r="S778" s="26" t="n">
        <f aca="false">IF(AND(L778="Oui",K778="Principal",R778&lt;&gt;""),I778*R778,0)</f>
        <v>0</v>
      </c>
      <c r="T778" s="26" t="n">
        <f aca="false">IF(R778&lt;&gt;"",M778-S778,0)</f>
        <v>0</v>
      </c>
      <c r="U778" s="26" t="n">
        <f aca="false">IF(R778="",M778,0)</f>
        <v>500</v>
      </c>
    </row>
    <row r="779" customFormat="false" ht="15" hidden="false" customHeight="false" outlineLevel="0" collapsed="false">
      <c r="A779" s="25" t="s">
        <v>60</v>
      </c>
      <c r="B779" s="25" t="s">
        <v>62</v>
      </c>
      <c r="C779" s="25" t="s">
        <v>49</v>
      </c>
      <c r="D779" s="25" t="n">
        <v>22</v>
      </c>
      <c r="E779" s="25" t="s">
        <v>573</v>
      </c>
      <c r="F779" s="25" t="s">
        <v>176</v>
      </c>
      <c r="G779" s="25" t="n">
        <v>19</v>
      </c>
      <c r="H779" s="25" t="s">
        <v>615</v>
      </c>
      <c r="I779" s="25" t="n">
        <v>1</v>
      </c>
      <c r="J779" s="26" t="n">
        <v>2500</v>
      </c>
      <c r="K779" s="25" t="s">
        <v>546</v>
      </c>
      <c r="L779" s="25" t="s">
        <v>547</v>
      </c>
      <c r="M779" s="26" t="n">
        <f aca="false">IF(AND(L779="Oui",K779="Principal"),I779*J779,0)</f>
        <v>2500</v>
      </c>
      <c r="N779" s="25" t="s">
        <v>548</v>
      </c>
      <c r="O779" s="25"/>
      <c r="P779" s="25" t="s">
        <v>559</v>
      </c>
      <c r="Q779" s="25" t="s">
        <v>551</v>
      </c>
      <c r="R779" s="26"/>
      <c r="S779" s="26" t="n">
        <f aca="false">IF(AND(L779="Oui",K779="Principal",R779&lt;&gt;""),I779*R779,0)</f>
        <v>0</v>
      </c>
      <c r="T779" s="26" t="n">
        <f aca="false">IF(R779&lt;&gt;"",M779-S779,0)</f>
        <v>0</v>
      </c>
      <c r="U779" s="26" t="n">
        <f aca="false">IF(R779="",M779,0)</f>
        <v>2500</v>
      </c>
    </row>
    <row r="780" customFormat="false" ht="15" hidden="false" customHeight="false" outlineLevel="0" collapsed="false">
      <c r="A780" s="25" t="s">
        <v>60</v>
      </c>
      <c r="B780" s="25" t="s">
        <v>62</v>
      </c>
      <c r="C780" s="25" t="s">
        <v>49</v>
      </c>
      <c r="D780" s="25" t="n">
        <v>23</v>
      </c>
      <c r="E780" s="25" t="s">
        <v>573</v>
      </c>
      <c r="F780" s="25" t="s">
        <v>117</v>
      </c>
      <c r="G780" s="25" t="n">
        <v>1288</v>
      </c>
      <c r="H780" s="25" t="s">
        <v>624</v>
      </c>
      <c r="I780" s="25" t="n">
        <v>1</v>
      </c>
      <c r="J780" s="26" t="n">
        <v>2500</v>
      </c>
      <c r="K780" s="25" t="s">
        <v>546</v>
      </c>
      <c r="L780" s="25" t="s">
        <v>547</v>
      </c>
      <c r="M780" s="26" t="n">
        <f aca="false">IF(AND(L780="Oui",K780="Principal"),I780*J780,0)</f>
        <v>2500</v>
      </c>
      <c r="N780" s="25" t="s">
        <v>548</v>
      </c>
      <c r="O780" s="25"/>
      <c r="P780" s="25" t="s">
        <v>550</v>
      </c>
      <c r="Q780" s="25" t="s">
        <v>557</v>
      </c>
      <c r="R780" s="26" t="n">
        <v>2000</v>
      </c>
      <c r="S780" s="26" t="n">
        <f aca="false">IF(AND(L780="Oui",K780="Principal",R780&lt;&gt;""),I780*R780,0)</f>
        <v>2000</v>
      </c>
      <c r="T780" s="26" t="n">
        <f aca="false">IF(R780&lt;&gt;"",M780-S780,0)</f>
        <v>500</v>
      </c>
      <c r="U780" s="26" t="n">
        <f aca="false">IF(R780="",M780,0)</f>
        <v>0</v>
      </c>
    </row>
    <row r="781" customFormat="false" ht="15" hidden="false" customHeight="false" outlineLevel="0" collapsed="false">
      <c r="A781" s="25" t="s">
        <v>60</v>
      </c>
      <c r="B781" s="25" t="s">
        <v>62</v>
      </c>
      <c r="C781" s="25" t="s">
        <v>49</v>
      </c>
      <c r="D781" s="25" t="n">
        <v>24</v>
      </c>
      <c r="E781" s="25" t="s">
        <v>573</v>
      </c>
      <c r="F781" s="25" t="s">
        <v>321</v>
      </c>
      <c r="G781" s="25" t="n">
        <v>1192</v>
      </c>
      <c r="H781" s="25" t="s">
        <v>694</v>
      </c>
      <c r="I781" s="25" t="n">
        <v>1</v>
      </c>
      <c r="J781" s="26" t="n">
        <v>7000</v>
      </c>
      <c r="K781" s="25" t="s">
        <v>546</v>
      </c>
      <c r="L781" s="25" t="s">
        <v>547</v>
      </c>
      <c r="M781" s="26" t="n">
        <f aca="false">IF(AND(L781="Oui",K781="Principal"),I781*J781,0)</f>
        <v>7000</v>
      </c>
      <c r="N781" s="25" t="s">
        <v>548</v>
      </c>
      <c r="O781" s="25"/>
      <c r="P781" s="25" t="s">
        <v>550</v>
      </c>
      <c r="Q781" s="25" t="s">
        <v>557</v>
      </c>
      <c r="R781" s="26" t="n">
        <v>5500</v>
      </c>
      <c r="S781" s="26" t="n">
        <f aca="false">IF(AND(L781="Oui",K781="Principal",R781&lt;&gt;""),I781*R781,0)</f>
        <v>5500</v>
      </c>
      <c r="T781" s="26" t="n">
        <f aca="false">IF(R781&lt;&gt;"",M781-S781,0)</f>
        <v>1500</v>
      </c>
      <c r="U781" s="26" t="n">
        <f aca="false">IF(R781="",M781,0)</f>
        <v>0</v>
      </c>
    </row>
    <row r="782" customFormat="false" ht="15" hidden="false" customHeight="false" outlineLevel="0" collapsed="false">
      <c r="A782" s="25" t="s">
        <v>60</v>
      </c>
      <c r="B782" s="25" t="s">
        <v>62</v>
      </c>
      <c r="C782" s="25" t="s">
        <v>49</v>
      </c>
      <c r="D782" s="25" t="n">
        <v>25</v>
      </c>
      <c r="E782" s="25" t="s">
        <v>686</v>
      </c>
      <c r="F782" s="25" t="s">
        <v>341</v>
      </c>
      <c r="G782" s="25" t="n">
        <v>1363</v>
      </c>
      <c r="H782" s="25" t="s">
        <v>706</v>
      </c>
      <c r="I782" s="25" t="n">
        <v>1</v>
      </c>
      <c r="J782" s="26" t="n">
        <v>4000</v>
      </c>
      <c r="K782" s="25" t="s">
        <v>546</v>
      </c>
      <c r="L782" s="25" t="s">
        <v>547</v>
      </c>
      <c r="M782" s="26" t="n">
        <f aca="false">IF(AND(L782="Oui",K782="Principal"),I782*J782,0)</f>
        <v>4000</v>
      </c>
      <c r="N782" s="25" t="s">
        <v>548</v>
      </c>
      <c r="O782" s="25"/>
      <c r="P782" s="25" t="s">
        <v>550</v>
      </c>
      <c r="Q782" s="25" t="s">
        <v>557</v>
      </c>
      <c r="R782" s="26" t="n">
        <v>3000</v>
      </c>
      <c r="S782" s="26" t="n">
        <f aca="false">IF(AND(L782="Oui",K782="Principal",R782&lt;&gt;""),I782*R782,0)</f>
        <v>3000</v>
      </c>
      <c r="T782" s="26" t="n">
        <f aca="false">IF(R782&lt;&gt;"",M782-S782,0)</f>
        <v>1000</v>
      </c>
      <c r="U782" s="26" t="n">
        <f aca="false">IF(R782="",M782,0)</f>
        <v>0</v>
      </c>
    </row>
    <row r="783" customFormat="false" ht="15" hidden="false" customHeight="false" outlineLevel="0" collapsed="false">
      <c r="A783" s="25" t="s">
        <v>60</v>
      </c>
      <c r="B783" s="25" t="s">
        <v>62</v>
      </c>
      <c r="C783" s="25" t="s">
        <v>49</v>
      </c>
      <c r="D783" s="25" t="n">
        <v>26</v>
      </c>
      <c r="E783" s="25" t="s">
        <v>686</v>
      </c>
      <c r="F783" s="25" t="s">
        <v>309</v>
      </c>
      <c r="G783" s="25" t="n">
        <v>1351</v>
      </c>
      <c r="H783" s="25" t="s">
        <v>688</v>
      </c>
      <c r="I783" s="25" t="n">
        <v>1</v>
      </c>
      <c r="J783" s="26" t="n">
        <v>4000</v>
      </c>
      <c r="K783" s="25" t="s">
        <v>546</v>
      </c>
      <c r="L783" s="25" t="s">
        <v>547</v>
      </c>
      <c r="M783" s="26" t="n">
        <f aca="false">IF(AND(L783="Oui",K783="Principal"),I783*J783,0)</f>
        <v>4000</v>
      </c>
      <c r="N783" s="25" t="s">
        <v>548</v>
      </c>
      <c r="O783" s="25"/>
      <c r="P783" s="25" t="s">
        <v>550</v>
      </c>
      <c r="Q783" s="25" t="s">
        <v>557</v>
      </c>
      <c r="R783" s="26" t="n">
        <v>3000</v>
      </c>
      <c r="S783" s="26" t="n">
        <f aca="false">IF(AND(L783="Oui",K783="Principal",R783&lt;&gt;""),I783*R783,0)</f>
        <v>3000</v>
      </c>
      <c r="T783" s="26" t="n">
        <f aca="false">IF(R783&lt;&gt;"",M783-S783,0)</f>
        <v>1000</v>
      </c>
      <c r="U783" s="26" t="n">
        <f aca="false">IF(R783="",M783,0)</f>
        <v>0</v>
      </c>
    </row>
    <row r="784" customFormat="false" ht="15" hidden="false" customHeight="false" outlineLevel="0" collapsed="false">
      <c r="A784" s="25" t="s">
        <v>60</v>
      </c>
      <c r="B784" s="25" t="s">
        <v>62</v>
      </c>
      <c r="C784" s="25" t="s">
        <v>49</v>
      </c>
      <c r="D784" s="25" t="n">
        <v>27</v>
      </c>
      <c r="E784" s="25" t="s">
        <v>689</v>
      </c>
      <c r="F784" s="25" t="s">
        <v>343</v>
      </c>
      <c r="G784" s="25" t="n">
        <v>1315</v>
      </c>
      <c r="H784" s="25" t="s">
        <v>707</v>
      </c>
      <c r="I784" s="25" t="n">
        <v>1</v>
      </c>
      <c r="J784" s="26" t="n">
        <v>3500</v>
      </c>
      <c r="K784" s="25" t="s">
        <v>546</v>
      </c>
      <c r="L784" s="25" t="s">
        <v>547</v>
      </c>
      <c r="M784" s="26" t="n">
        <f aca="false">IF(AND(L784="Oui",K784="Principal"),I784*J784,0)</f>
        <v>3500</v>
      </c>
      <c r="N784" s="25" t="s">
        <v>548</v>
      </c>
      <c r="O784" s="25"/>
      <c r="P784" s="25" t="s">
        <v>550</v>
      </c>
      <c r="Q784" s="25" t="s">
        <v>557</v>
      </c>
      <c r="R784" s="26" t="n">
        <v>2500</v>
      </c>
      <c r="S784" s="26" t="n">
        <f aca="false">IF(AND(L784="Oui",K784="Principal",R784&lt;&gt;""),I784*R784,0)</f>
        <v>2500</v>
      </c>
      <c r="T784" s="26" t="n">
        <f aca="false">IF(R784&lt;&gt;"",M784-S784,0)</f>
        <v>1000</v>
      </c>
      <c r="U784" s="26" t="n">
        <f aca="false">IF(R784="",M784,0)</f>
        <v>0</v>
      </c>
    </row>
    <row r="785" customFormat="false" ht="15" hidden="false" customHeight="false" outlineLevel="0" collapsed="false">
      <c r="A785" s="25" t="s">
        <v>60</v>
      </c>
      <c r="B785" s="25" t="s">
        <v>62</v>
      </c>
      <c r="C785" s="25" t="s">
        <v>49</v>
      </c>
      <c r="D785" s="25" t="n">
        <v>28</v>
      </c>
      <c r="E785" s="25" t="s">
        <v>689</v>
      </c>
      <c r="F785" s="25" t="s">
        <v>345</v>
      </c>
      <c r="G785" s="25" t="n">
        <v>1318</v>
      </c>
      <c r="H785" s="25" t="s">
        <v>708</v>
      </c>
      <c r="I785" s="25" t="n">
        <v>1</v>
      </c>
      <c r="J785" s="26" t="n">
        <v>2800</v>
      </c>
      <c r="K785" s="25" t="s">
        <v>546</v>
      </c>
      <c r="L785" s="25" t="s">
        <v>547</v>
      </c>
      <c r="M785" s="26" t="n">
        <f aca="false">IF(AND(L785="Oui",K785="Principal"),I785*J785,0)</f>
        <v>2800</v>
      </c>
      <c r="N785" s="25" t="s">
        <v>548</v>
      </c>
      <c r="O785" s="25"/>
      <c r="P785" s="25" t="s">
        <v>550</v>
      </c>
      <c r="Q785" s="25" t="s">
        <v>557</v>
      </c>
      <c r="R785" s="26" t="n">
        <v>1800</v>
      </c>
      <c r="S785" s="26" t="n">
        <f aca="false">IF(AND(L785="Oui",K785="Principal",R785&lt;&gt;""),I785*R785,0)</f>
        <v>1800</v>
      </c>
      <c r="T785" s="26" t="n">
        <f aca="false">IF(R785&lt;&gt;"",M785-S785,0)</f>
        <v>1000</v>
      </c>
      <c r="U785" s="26" t="n">
        <f aca="false">IF(R785="",M785,0)</f>
        <v>0</v>
      </c>
    </row>
    <row r="786" customFormat="false" ht="15" hidden="false" customHeight="false" outlineLevel="0" collapsed="false">
      <c r="A786" s="25" t="s">
        <v>60</v>
      </c>
      <c r="B786" s="25" t="s">
        <v>62</v>
      </c>
      <c r="C786" s="25" t="s">
        <v>49</v>
      </c>
      <c r="D786" s="25" t="n">
        <v>29</v>
      </c>
      <c r="E786" s="25" t="s">
        <v>686</v>
      </c>
      <c r="F786" s="25" t="s">
        <v>347</v>
      </c>
      <c r="G786" s="25" t="n">
        <v>1559</v>
      </c>
      <c r="H786" s="25" t="s">
        <v>709</v>
      </c>
      <c r="I786" s="25" t="n">
        <v>1</v>
      </c>
      <c r="J786" s="26" t="n">
        <v>3960</v>
      </c>
      <c r="K786" s="25" t="s">
        <v>546</v>
      </c>
      <c r="L786" s="25" t="s">
        <v>547</v>
      </c>
      <c r="M786" s="26" t="n">
        <f aca="false">IF(AND(L786="Oui",K786="Principal"),I786*J786,0)</f>
        <v>3960</v>
      </c>
      <c r="N786" s="25" t="s">
        <v>548</v>
      </c>
      <c r="O786" s="25"/>
      <c r="P786" s="25" t="s">
        <v>550</v>
      </c>
      <c r="Q786" s="25" t="s">
        <v>557</v>
      </c>
      <c r="R786" s="26" t="n">
        <v>2960</v>
      </c>
      <c r="S786" s="26" t="n">
        <f aca="false">IF(AND(L786="Oui",K786="Principal",R786&lt;&gt;""),I786*R786,0)</f>
        <v>2960</v>
      </c>
      <c r="T786" s="26" t="n">
        <f aca="false">IF(R786&lt;&gt;"",M786-S786,0)</f>
        <v>1000</v>
      </c>
      <c r="U786" s="26" t="n">
        <f aca="false">IF(R786="",M786,0)</f>
        <v>0</v>
      </c>
    </row>
    <row r="787" customFormat="false" ht="15" hidden="false" customHeight="false" outlineLevel="0" collapsed="false">
      <c r="A787" s="25" t="s">
        <v>60</v>
      </c>
      <c r="B787" s="25" t="s">
        <v>62</v>
      </c>
      <c r="C787" s="25" t="s">
        <v>49</v>
      </c>
      <c r="D787" s="25" t="n">
        <v>30</v>
      </c>
      <c r="E787" s="25" t="s">
        <v>686</v>
      </c>
      <c r="F787" s="25" t="s">
        <v>349</v>
      </c>
      <c r="G787" s="25" t="n">
        <v>1565</v>
      </c>
      <c r="H787" s="25" t="s">
        <v>710</v>
      </c>
      <c r="I787" s="25" t="n">
        <v>1</v>
      </c>
      <c r="J787" s="26" t="n">
        <v>3960</v>
      </c>
      <c r="K787" s="25" t="s">
        <v>546</v>
      </c>
      <c r="L787" s="25" t="s">
        <v>547</v>
      </c>
      <c r="M787" s="26" t="n">
        <f aca="false">IF(AND(L787="Oui",K787="Principal"),I787*J787,0)</f>
        <v>3960</v>
      </c>
      <c r="N787" s="25" t="s">
        <v>548</v>
      </c>
      <c r="O787" s="25"/>
      <c r="P787" s="25" t="s">
        <v>550</v>
      </c>
      <c r="Q787" s="25" t="s">
        <v>557</v>
      </c>
      <c r="R787" s="26" t="n">
        <v>2960</v>
      </c>
      <c r="S787" s="26" t="n">
        <f aca="false">IF(AND(L787="Oui",K787="Principal",R787&lt;&gt;""),I787*R787,0)</f>
        <v>2960</v>
      </c>
      <c r="T787" s="26" t="n">
        <f aca="false">IF(R787&lt;&gt;"",M787-S787,0)</f>
        <v>1000</v>
      </c>
      <c r="U787" s="26" t="n">
        <f aca="false">IF(R787="",M787,0)</f>
        <v>0</v>
      </c>
    </row>
    <row r="788" customFormat="false" ht="15" hidden="false" customHeight="false" outlineLevel="0" collapsed="false">
      <c r="A788" s="25" t="s">
        <v>60</v>
      </c>
      <c r="B788" s="25" t="s">
        <v>62</v>
      </c>
      <c r="C788" s="25" t="s">
        <v>49</v>
      </c>
      <c r="D788" s="25" t="n">
        <v>31</v>
      </c>
      <c r="E788" s="25" t="s">
        <v>686</v>
      </c>
      <c r="F788" s="25" t="s">
        <v>351</v>
      </c>
      <c r="G788" s="25" t="n">
        <v>1438</v>
      </c>
      <c r="H788" s="25" t="s">
        <v>711</v>
      </c>
      <c r="I788" s="25" t="n">
        <v>1</v>
      </c>
      <c r="J788" s="26" t="n">
        <v>3960</v>
      </c>
      <c r="K788" s="25" t="s">
        <v>546</v>
      </c>
      <c r="L788" s="25" t="s">
        <v>547</v>
      </c>
      <c r="M788" s="26" t="n">
        <f aca="false">IF(AND(L788="Oui",K788="Principal"),I788*J788,0)</f>
        <v>3960</v>
      </c>
      <c r="N788" s="25" t="s">
        <v>548</v>
      </c>
      <c r="O788" s="25"/>
      <c r="P788" s="25" t="s">
        <v>550</v>
      </c>
      <c r="Q788" s="25" t="s">
        <v>557</v>
      </c>
      <c r="R788" s="26" t="n">
        <v>2960</v>
      </c>
      <c r="S788" s="26" t="n">
        <f aca="false">IF(AND(L788="Oui",K788="Principal",R788&lt;&gt;""),I788*R788,0)</f>
        <v>2960</v>
      </c>
      <c r="T788" s="26" t="n">
        <f aca="false">IF(R788&lt;&gt;"",M788-S788,0)</f>
        <v>1000</v>
      </c>
      <c r="U788" s="26" t="n">
        <f aca="false">IF(R788="",M788,0)</f>
        <v>0</v>
      </c>
    </row>
    <row r="789" customFormat="false" ht="15" hidden="false" customHeight="false" outlineLevel="0" collapsed="false">
      <c r="A789" s="27" t="s">
        <v>60</v>
      </c>
      <c r="B789" s="27" t="s">
        <v>62</v>
      </c>
      <c r="C789" s="27" t="s">
        <v>49</v>
      </c>
      <c r="D789" s="27" t="n">
        <v>32</v>
      </c>
      <c r="E789" s="27" t="s">
        <v>686</v>
      </c>
      <c r="F789" s="27" t="s">
        <v>353</v>
      </c>
      <c r="G789" s="27"/>
      <c r="H789" s="27" t="s">
        <v>585</v>
      </c>
      <c r="I789" s="27" t="n">
        <v>1</v>
      </c>
      <c r="J789" s="28" t="n">
        <v>0</v>
      </c>
      <c r="K789" s="27" t="s">
        <v>546</v>
      </c>
      <c r="L789" s="27" t="s">
        <v>579</v>
      </c>
      <c r="M789" s="28" t="n">
        <f aca="false">IF(AND(L789="Oui",K789="Principal"),I789*J789,0)</f>
        <v>0</v>
      </c>
      <c r="N789" s="27" t="s">
        <v>128</v>
      </c>
      <c r="O789" s="27" t="s">
        <v>712</v>
      </c>
      <c r="P789" s="27"/>
      <c r="Q789" s="27"/>
      <c r="R789" s="28"/>
      <c r="S789" s="28" t="n">
        <f aca="false">IF(AND(L789="Oui",K789="Principal",R789&lt;&gt;""),I789*R789,0)</f>
        <v>0</v>
      </c>
      <c r="T789" s="28" t="n">
        <f aca="false">IF(R789&lt;&gt;"",M789-S789,0)</f>
        <v>0</v>
      </c>
      <c r="U789" s="28" t="n">
        <f aca="false">IF(R789="",M789,0)</f>
        <v>0</v>
      </c>
    </row>
    <row r="790" customFormat="false" ht="15" hidden="false" customHeight="false" outlineLevel="0" collapsed="false">
      <c r="A790" s="25" t="s">
        <v>60</v>
      </c>
      <c r="B790" s="25" t="s">
        <v>62</v>
      </c>
      <c r="C790" s="25" t="s">
        <v>50</v>
      </c>
      <c r="D790" s="25" t="n">
        <v>1</v>
      </c>
      <c r="E790" s="25" t="s">
        <v>544</v>
      </c>
      <c r="F790" s="25" t="s">
        <v>295</v>
      </c>
      <c r="G790" s="25" t="n">
        <v>1618</v>
      </c>
      <c r="H790" s="25" t="s">
        <v>600</v>
      </c>
      <c r="I790" s="25" t="n">
        <v>2</v>
      </c>
      <c r="J790" s="26" t="n">
        <v>450</v>
      </c>
      <c r="K790" s="25" t="s">
        <v>546</v>
      </c>
      <c r="L790" s="25" t="s">
        <v>547</v>
      </c>
      <c r="M790" s="26" t="n">
        <f aca="false">IF(AND(L790="Oui",K790="Principal"),I790*J790,0)</f>
        <v>900</v>
      </c>
      <c r="N790" s="25" t="s">
        <v>548</v>
      </c>
      <c r="O790" s="25"/>
      <c r="P790" s="25" t="s">
        <v>556</v>
      </c>
      <c r="Q790" s="25" t="s">
        <v>557</v>
      </c>
      <c r="R790" s="26" t="n">
        <v>350</v>
      </c>
      <c r="S790" s="26" t="n">
        <f aca="false">IF(AND(L790="Oui",K790="Principal",R790&lt;&gt;""),I790*R790,0)</f>
        <v>700</v>
      </c>
      <c r="T790" s="26" t="n">
        <f aca="false">IF(R790&lt;&gt;"",M790-S790,0)</f>
        <v>200</v>
      </c>
      <c r="U790" s="26" t="n">
        <f aca="false">IF(R790="",M790,0)</f>
        <v>0</v>
      </c>
    </row>
    <row r="791" customFormat="false" ht="15" hidden="false" customHeight="false" outlineLevel="0" collapsed="false">
      <c r="A791" s="25" t="s">
        <v>60</v>
      </c>
      <c r="B791" s="25" t="s">
        <v>62</v>
      </c>
      <c r="C791" s="25" t="s">
        <v>50</v>
      </c>
      <c r="D791" s="25" t="n">
        <v>2</v>
      </c>
      <c r="E791" s="25" t="s">
        <v>544</v>
      </c>
      <c r="F791" s="25" t="s">
        <v>296</v>
      </c>
      <c r="G791" s="25" t="n">
        <v>1</v>
      </c>
      <c r="H791" s="25" t="s">
        <v>681</v>
      </c>
      <c r="I791" s="25" t="n">
        <v>4</v>
      </c>
      <c r="J791" s="26" t="n">
        <v>500</v>
      </c>
      <c r="K791" s="25" t="s">
        <v>546</v>
      </c>
      <c r="L791" s="25" t="s">
        <v>547</v>
      </c>
      <c r="M791" s="26" t="n">
        <f aca="false">IF(AND(L791="Oui",K791="Principal"),I791*J791,0)</f>
        <v>2000</v>
      </c>
      <c r="N791" s="25" t="s">
        <v>548</v>
      </c>
      <c r="O791" s="25"/>
      <c r="P791" s="25" t="s">
        <v>559</v>
      </c>
      <c r="Q791" s="25" t="s">
        <v>551</v>
      </c>
      <c r="R791" s="26"/>
      <c r="S791" s="26" t="n">
        <f aca="false">IF(AND(L791="Oui",K791="Principal",R791&lt;&gt;""),I791*R791,0)</f>
        <v>0</v>
      </c>
      <c r="T791" s="26" t="n">
        <f aca="false">IF(R791&lt;&gt;"",M791-S791,0)</f>
        <v>0</v>
      </c>
      <c r="U791" s="26" t="n">
        <f aca="false">IF(R791="",M791,0)</f>
        <v>2000</v>
      </c>
    </row>
    <row r="792" customFormat="false" ht="15" hidden="false" customHeight="false" outlineLevel="0" collapsed="false">
      <c r="A792" s="25" t="s">
        <v>60</v>
      </c>
      <c r="B792" s="25" t="s">
        <v>62</v>
      </c>
      <c r="C792" s="25" t="s">
        <v>50</v>
      </c>
      <c r="D792" s="25" t="n">
        <v>3</v>
      </c>
      <c r="E792" s="25" t="s">
        <v>544</v>
      </c>
      <c r="F792" s="25" t="s">
        <v>298</v>
      </c>
      <c r="G792" s="25" t="n">
        <v>1616</v>
      </c>
      <c r="H792" s="25" t="s">
        <v>695</v>
      </c>
      <c r="I792" s="25" t="n">
        <v>1</v>
      </c>
      <c r="J792" s="26" t="n">
        <v>900</v>
      </c>
      <c r="K792" s="25" t="s">
        <v>546</v>
      </c>
      <c r="L792" s="25" t="s">
        <v>547</v>
      </c>
      <c r="M792" s="26" t="n">
        <f aca="false">IF(AND(L792="Oui",K792="Principal"),I792*J792,0)</f>
        <v>900</v>
      </c>
      <c r="N792" s="25" t="s">
        <v>548</v>
      </c>
      <c r="O792" s="25"/>
      <c r="P792" s="25" t="s">
        <v>556</v>
      </c>
      <c r="Q792" s="25" t="s">
        <v>557</v>
      </c>
      <c r="R792" s="26" t="n">
        <v>800</v>
      </c>
      <c r="S792" s="26" t="n">
        <f aca="false">IF(AND(L792="Oui",K792="Principal",R792&lt;&gt;""),I792*R792,0)</f>
        <v>800</v>
      </c>
      <c r="T792" s="26" t="n">
        <f aca="false">IF(R792&lt;&gt;"",M792-S792,0)</f>
        <v>100</v>
      </c>
      <c r="U792" s="26" t="n">
        <f aca="false">IF(R792="",M792,0)</f>
        <v>0</v>
      </c>
    </row>
    <row r="793" customFormat="false" ht="15" hidden="false" customHeight="false" outlineLevel="0" collapsed="false">
      <c r="A793" s="25" t="s">
        <v>60</v>
      </c>
      <c r="B793" s="25" t="s">
        <v>62</v>
      </c>
      <c r="C793" s="25" t="s">
        <v>50</v>
      </c>
      <c r="D793" s="25" t="n">
        <v>4</v>
      </c>
      <c r="E793" s="25" t="s">
        <v>544</v>
      </c>
      <c r="F793" s="25" t="s">
        <v>338</v>
      </c>
      <c r="G793" s="25" t="n">
        <v>1715</v>
      </c>
      <c r="H793" s="25" t="s">
        <v>713</v>
      </c>
      <c r="I793" s="25" t="n">
        <v>2</v>
      </c>
      <c r="J793" s="26" t="n">
        <v>1600</v>
      </c>
      <c r="K793" s="25" t="s">
        <v>546</v>
      </c>
      <c r="L793" s="25" t="s">
        <v>547</v>
      </c>
      <c r="M793" s="26" t="n">
        <f aca="false">IF(AND(L793="Oui",K793="Principal"),I793*J793,0)</f>
        <v>3200</v>
      </c>
      <c r="N793" s="25" t="s">
        <v>548</v>
      </c>
      <c r="O793" s="25"/>
      <c r="P793" s="25" t="s">
        <v>550</v>
      </c>
      <c r="Q793" s="25" t="s">
        <v>557</v>
      </c>
      <c r="R793" s="26" t="n">
        <v>1300</v>
      </c>
      <c r="S793" s="26" t="n">
        <f aca="false">IF(AND(L793="Oui",K793="Principal",R793&lt;&gt;""),I793*R793,0)</f>
        <v>2600</v>
      </c>
      <c r="T793" s="26" t="n">
        <f aca="false">IF(R793&lt;&gt;"",M793-S793,0)</f>
        <v>600</v>
      </c>
      <c r="U793" s="26" t="n">
        <f aca="false">IF(R793="",M793,0)</f>
        <v>0</v>
      </c>
    </row>
    <row r="794" customFormat="false" ht="15" hidden="false" customHeight="false" outlineLevel="0" collapsed="false">
      <c r="A794" s="25" t="s">
        <v>60</v>
      </c>
      <c r="B794" s="25" t="s">
        <v>62</v>
      </c>
      <c r="C794" s="25" t="s">
        <v>50</v>
      </c>
      <c r="D794" s="25" t="n">
        <v>5</v>
      </c>
      <c r="E794" s="25" t="s">
        <v>544</v>
      </c>
      <c r="F794" s="25" t="s">
        <v>301</v>
      </c>
      <c r="G794" s="25" t="n">
        <v>1728</v>
      </c>
      <c r="H794" s="25" t="s">
        <v>545</v>
      </c>
      <c r="I794" s="25" t="n">
        <v>1</v>
      </c>
      <c r="J794" s="26" t="n">
        <v>900</v>
      </c>
      <c r="K794" s="25" t="s">
        <v>546</v>
      </c>
      <c r="L794" s="25" t="s">
        <v>547</v>
      </c>
      <c r="M794" s="26" t="n">
        <f aca="false">IF(AND(L794="Oui",K794="Principal"),I794*J794,0)</f>
        <v>900</v>
      </c>
      <c r="N794" s="25" t="s">
        <v>548</v>
      </c>
      <c r="O794" s="25"/>
      <c r="P794" s="25" t="s">
        <v>550</v>
      </c>
      <c r="Q794" s="25" t="s">
        <v>551</v>
      </c>
      <c r="R794" s="26"/>
      <c r="S794" s="26" t="n">
        <f aca="false">IF(AND(L794="Oui",K794="Principal",R794&lt;&gt;""),I794*R794,0)</f>
        <v>0</v>
      </c>
      <c r="T794" s="26" t="n">
        <f aca="false">IF(R794&lt;&gt;"",M794-S794,0)</f>
        <v>0</v>
      </c>
      <c r="U794" s="26" t="n">
        <f aca="false">IF(R794="",M794,0)</f>
        <v>900</v>
      </c>
    </row>
    <row r="795" customFormat="false" ht="15" hidden="false" customHeight="false" outlineLevel="0" collapsed="false">
      <c r="A795" s="33" t="s">
        <v>60</v>
      </c>
      <c r="B795" s="33" t="s">
        <v>62</v>
      </c>
      <c r="C795" s="33" t="s">
        <v>50</v>
      </c>
      <c r="D795" s="33" t="n">
        <v>6</v>
      </c>
      <c r="E795" s="33" t="s">
        <v>544</v>
      </c>
      <c r="F795" s="33" t="s">
        <v>302</v>
      </c>
      <c r="G795" s="33" t="n">
        <v>1271</v>
      </c>
      <c r="H795" s="33" t="s">
        <v>683</v>
      </c>
      <c r="I795" s="33" t="n">
        <v>1</v>
      </c>
      <c r="J795" s="34" t="n">
        <v>1150</v>
      </c>
      <c r="K795" s="33" t="s">
        <v>546</v>
      </c>
      <c r="L795" s="33" t="s">
        <v>547</v>
      </c>
      <c r="M795" s="34" t="n">
        <f aca="false">IF(AND(L795="Oui",K795="Principal"),I795*J795,0)</f>
        <v>1150</v>
      </c>
      <c r="N795" s="33" t="s">
        <v>182</v>
      </c>
      <c r="O795" s="33" t="s">
        <v>684</v>
      </c>
      <c r="P795" s="33" t="s">
        <v>550</v>
      </c>
      <c r="Q795" s="33" t="s">
        <v>557</v>
      </c>
      <c r="R795" s="34" t="n">
        <v>850</v>
      </c>
      <c r="S795" s="34" t="n">
        <f aca="false">IF(AND(L795="Oui",K795="Principal",R795&lt;&gt;""),I795*R795,0)</f>
        <v>850</v>
      </c>
      <c r="T795" s="34" t="n">
        <f aca="false">IF(R795&lt;&gt;"",M795-S795,0)</f>
        <v>300</v>
      </c>
      <c r="U795" s="34" t="n">
        <f aca="false">IF(R795="",M795,0)</f>
        <v>0</v>
      </c>
    </row>
    <row r="796" customFormat="false" ht="15" hidden="false" customHeight="false" outlineLevel="0" collapsed="false">
      <c r="A796" s="25" t="s">
        <v>60</v>
      </c>
      <c r="B796" s="25" t="s">
        <v>62</v>
      </c>
      <c r="C796" s="25" t="s">
        <v>50</v>
      </c>
      <c r="D796" s="25" t="n">
        <v>7</v>
      </c>
      <c r="E796" s="25" t="s">
        <v>563</v>
      </c>
      <c r="F796" s="25" t="s">
        <v>255</v>
      </c>
      <c r="G796" s="25" t="n">
        <v>1636</v>
      </c>
      <c r="H796" s="25" t="s">
        <v>661</v>
      </c>
      <c r="I796" s="25" t="n">
        <v>1</v>
      </c>
      <c r="J796" s="26" t="n">
        <v>400</v>
      </c>
      <c r="K796" s="25" t="s">
        <v>546</v>
      </c>
      <c r="L796" s="25" t="s">
        <v>547</v>
      </c>
      <c r="M796" s="26" t="n">
        <f aca="false">IF(AND(L796="Oui",K796="Principal"),I796*J796,0)</f>
        <v>400</v>
      </c>
      <c r="N796" s="25" t="s">
        <v>548</v>
      </c>
      <c r="O796" s="25"/>
      <c r="P796" s="25" t="s">
        <v>556</v>
      </c>
      <c r="Q796" s="25" t="s">
        <v>557</v>
      </c>
      <c r="R796" s="26" t="n">
        <v>320</v>
      </c>
      <c r="S796" s="26" t="n">
        <f aca="false">IF(AND(L796="Oui",K796="Principal",R796&lt;&gt;""),I796*R796,0)</f>
        <v>320</v>
      </c>
      <c r="T796" s="26" t="n">
        <f aca="false">IF(R796&lt;&gt;"",M796-S796,0)</f>
        <v>80</v>
      </c>
      <c r="U796" s="26" t="n">
        <f aca="false">IF(R796="",M796,0)</f>
        <v>0</v>
      </c>
    </row>
    <row r="797" customFormat="false" ht="15" hidden="false" customHeight="false" outlineLevel="0" collapsed="false">
      <c r="A797" s="25" t="s">
        <v>60</v>
      </c>
      <c r="B797" s="25" t="s">
        <v>62</v>
      </c>
      <c r="C797" s="25" t="s">
        <v>50</v>
      </c>
      <c r="D797" s="25" t="n">
        <v>8</v>
      </c>
      <c r="E797" s="25" t="s">
        <v>563</v>
      </c>
      <c r="F797" s="25" t="s">
        <v>257</v>
      </c>
      <c r="G797" s="25" t="n">
        <v>1635</v>
      </c>
      <c r="H797" s="25" t="s">
        <v>607</v>
      </c>
      <c r="I797" s="25" t="n">
        <v>1</v>
      </c>
      <c r="J797" s="26" t="n">
        <v>100</v>
      </c>
      <c r="K797" s="25" t="s">
        <v>546</v>
      </c>
      <c r="L797" s="25" t="s">
        <v>547</v>
      </c>
      <c r="M797" s="26" t="n">
        <f aca="false">IF(AND(L797="Oui",K797="Principal"),I797*J797,0)</f>
        <v>100</v>
      </c>
      <c r="N797" s="25" t="s">
        <v>548</v>
      </c>
      <c r="O797" s="25"/>
      <c r="P797" s="25" t="s">
        <v>556</v>
      </c>
      <c r="Q797" s="25" t="s">
        <v>557</v>
      </c>
      <c r="R797" s="26" t="n">
        <v>80</v>
      </c>
      <c r="S797" s="26" t="n">
        <f aca="false">IF(AND(L797="Oui",K797="Principal",R797&lt;&gt;""),I797*R797,0)</f>
        <v>80</v>
      </c>
      <c r="T797" s="26" t="n">
        <f aca="false">IF(R797&lt;&gt;"",M797-S797,0)</f>
        <v>20</v>
      </c>
      <c r="U797" s="26" t="n">
        <f aca="false">IF(R797="",M797,0)</f>
        <v>0</v>
      </c>
    </row>
    <row r="798" customFormat="false" ht="15" hidden="false" customHeight="false" outlineLevel="0" collapsed="false">
      <c r="A798" s="25" t="s">
        <v>60</v>
      </c>
      <c r="B798" s="25" t="s">
        <v>62</v>
      </c>
      <c r="C798" s="25" t="s">
        <v>50</v>
      </c>
      <c r="D798" s="25" t="n">
        <v>9</v>
      </c>
      <c r="E798" s="25" t="s">
        <v>563</v>
      </c>
      <c r="F798" s="25" t="s">
        <v>188</v>
      </c>
      <c r="G798" s="25" t="n">
        <v>8</v>
      </c>
      <c r="H798" s="25" t="s">
        <v>188</v>
      </c>
      <c r="I798" s="25" t="n">
        <v>1</v>
      </c>
      <c r="J798" s="26" t="n">
        <v>500</v>
      </c>
      <c r="K798" s="25" t="s">
        <v>546</v>
      </c>
      <c r="L798" s="25" t="s">
        <v>547</v>
      </c>
      <c r="M798" s="26" t="n">
        <f aca="false">IF(AND(L798="Oui",K798="Principal"),I798*J798,0)</f>
        <v>500</v>
      </c>
      <c r="N798" s="25" t="s">
        <v>548</v>
      </c>
      <c r="O798" s="25"/>
      <c r="P798" s="25" t="s">
        <v>559</v>
      </c>
      <c r="Q798" s="25" t="s">
        <v>551</v>
      </c>
      <c r="R798" s="26"/>
      <c r="S798" s="26" t="n">
        <f aca="false">IF(AND(L798="Oui",K798="Principal",R798&lt;&gt;""),I798*R798,0)</f>
        <v>0</v>
      </c>
      <c r="T798" s="26" t="n">
        <f aca="false">IF(R798&lt;&gt;"",M798-S798,0)</f>
        <v>0</v>
      </c>
      <c r="U798" s="26" t="n">
        <f aca="false">IF(R798="",M798,0)</f>
        <v>500</v>
      </c>
    </row>
    <row r="799" customFormat="false" ht="15" hidden="false" customHeight="false" outlineLevel="0" collapsed="false">
      <c r="A799" s="25" t="s">
        <v>60</v>
      </c>
      <c r="B799" s="25" t="s">
        <v>62</v>
      </c>
      <c r="C799" s="25" t="s">
        <v>50</v>
      </c>
      <c r="D799" s="25" t="n">
        <v>10</v>
      </c>
      <c r="E799" s="25" t="s">
        <v>563</v>
      </c>
      <c r="F799" s="25" t="s">
        <v>323</v>
      </c>
      <c r="G799" s="25" t="n">
        <v>1607</v>
      </c>
      <c r="H799" s="25" t="s">
        <v>696</v>
      </c>
      <c r="I799" s="25" t="n">
        <v>1</v>
      </c>
      <c r="J799" s="26" t="n">
        <v>2500</v>
      </c>
      <c r="K799" s="25" t="s">
        <v>546</v>
      </c>
      <c r="L799" s="25" t="s">
        <v>547</v>
      </c>
      <c r="M799" s="26" t="n">
        <f aca="false">IF(AND(L799="Oui",K799="Principal"),I799*J799,0)</f>
        <v>2500</v>
      </c>
      <c r="N799" s="25" t="s">
        <v>548</v>
      </c>
      <c r="O799" s="25"/>
      <c r="P799" s="25" t="s">
        <v>556</v>
      </c>
      <c r="Q799" s="25" t="s">
        <v>557</v>
      </c>
      <c r="R799" s="26" t="n">
        <v>2000</v>
      </c>
      <c r="S799" s="26" t="n">
        <f aca="false">IF(AND(L799="Oui",K799="Principal",R799&lt;&gt;""),I799*R799,0)</f>
        <v>2000</v>
      </c>
      <c r="T799" s="26" t="n">
        <f aca="false">IF(R799&lt;&gt;"",M799-S799,0)</f>
        <v>500</v>
      </c>
      <c r="U799" s="26" t="n">
        <f aca="false">IF(R799="",M799,0)</f>
        <v>0</v>
      </c>
    </row>
    <row r="800" customFormat="false" ht="15" hidden="false" customHeight="false" outlineLevel="0" collapsed="false">
      <c r="A800" s="25" t="s">
        <v>60</v>
      </c>
      <c r="B800" s="25" t="s">
        <v>62</v>
      </c>
      <c r="C800" s="25" t="s">
        <v>50</v>
      </c>
      <c r="D800" s="25" t="n">
        <v>11</v>
      </c>
      <c r="E800" s="25" t="s">
        <v>563</v>
      </c>
      <c r="F800" s="25" t="s">
        <v>325</v>
      </c>
      <c r="G800" s="25" t="n">
        <v>1639</v>
      </c>
      <c r="H800" s="25" t="s">
        <v>702</v>
      </c>
      <c r="I800" s="25" t="n">
        <v>1</v>
      </c>
      <c r="J800" s="26" t="n">
        <v>1000</v>
      </c>
      <c r="K800" s="25" t="s">
        <v>546</v>
      </c>
      <c r="L800" s="25" t="s">
        <v>547</v>
      </c>
      <c r="M800" s="26" t="n">
        <f aca="false">IF(AND(L800="Oui",K800="Principal"),I800*J800,0)</f>
        <v>1000</v>
      </c>
      <c r="N800" s="25" t="s">
        <v>548</v>
      </c>
      <c r="O800" s="25"/>
      <c r="P800" s="25" t="s">
        <v>556</v>
      </c>
      <c r="Q800" s="25" t="s">
        <v>557</v>
      </c>
      <c r="R800" s="26" t="n">
        <v>700</v>
      </c>
      <c r="S800" s="26" t="n">
        <f aca="false">IF(AND(L800="Oui",K800="Principal",R800&lt;&gt;""),I800*R800,0)</f>
        <v>700</v>
      </c>
      <c r="T800" s="26" t="n">
        <f aca="false">IF(R800&lt;&gt;"",M800-S800,0)</f>
        <v>300</v>
      </c>
      <c r="U800" s="26" t="n">
        <f aca="false">IF(R800="",M800,0)</f>
        <v>0</v>
      </c>
    </row>
    <row r="801" customFormat="false" ht="15" hidden="false" customHeight="false" outlineLevel="0" collapsed="false">
      <c r="A801" s="25" t="s">
        <v>60</v>
      </c>
      <c r="B801" s="25" t="s">
        <v>62</v>
      </c>
      <c r="C801" s="25" t="s">
        <v>50</v>
      </c>
      <c r="D801" s="25" t="n">
        <v>12</v>
      </c>
      <c r="E801" s="25" t="s">
        <v>565</v>
      </c>
      <c r="F801" s="25" t="s">
        <v>99</v>
      </c>
      <c r="G801" s="25" t="n">
        <v>1181</v>
      </c>
      <c r="H801" s="25" t="s">
        <v>581</v>
      </c>
      <c r="I801" s="25" t="n">
        <v>1</v>
      </c>
      <c r="J801" s="26" t="n">
        <v>250</v>
      </c>
      <c r="K801" s="25" t="s">
        <v>546</v>
      </c>
      <c r="L801" s="25" t="s">
        <v>547</v>
      </c>
      <c r="M801" s="26" t="n">
        <f aca="false">IF(AND(L801="Oui",K801="Principal"),I801*J801,0)</f>
        <v>250</v>
      </c>
      <c r="N801" s="25" t="s">
        <v>548</v>
      </c>
      <c r="O801" s="25"/>
      <c r="P801" s="25" t="s">
        <v>550</v>
      </c>
      <c r="Q801" s="25" t="s">
        <v>557</v>
      </c>
      <c r="R801" s="26" t="n">
        <v>110</v>
      </c>
      <c r="S801" s="26" t="n">
        <f aca="false">IF(AND(L801="Oui",K801="Principal",R801&lt;&gt;""),I801*R801,0)</f>
        <v>110</v>
      </c>
      <c r="T801" s="26" t="n">
        <f aca="false">IF(R801&lt;&gt;"",M801-S801,0)</f>
        <v>140</v>
      </c>
      <c r="U801" s="26" t="n">
        <f aca="false">IF(R801="",M801,0)</f>
        <v>0</v>
      </c>
    </row>
    <row r="802" customFormat="false" ht="15" hidden="false" customHeight="false" outlineLevel="0" collapsed="false">
      <c r="A802" s="25" t="s">
        <v>60</v>
      </c>
      <c r="B802" s="25" t="s">
        <v>62</v>
      </c>
      <c r="C802" s="25" t="s">
        <v>50</v>
      </c>
      <c r="D802" s="25" t="n">
        <v>13</v>
      </c>
      <c r="E802" s="25" t="s">
        <v>565</v>
      </c>
      <c r="F802" s="25" t="s">
        <v>164</v>
      </c>
      <c r="G802" s="25" t="n">
        <v>1587</v>
      </c>
      <c r="H802" s="25" t="s">
        <v>567</v>
      </c>
      <c r="I802" s="25" t="n">
        <v>1</v>
      </c>
      <c r="J802" s="26" t="n">
        <v>500</v>
      </c>
      <c r="K802" s="25" t="s">
        <v>546</v>
      </c>
      <c r="L802" s="25" t="s">
        <v>547</v>
      </c>
      <c r="M802" s="26" t="n">
        <f aca="false">IF(AND(L802="Oui",K802="Principal"),I802*J802,0)</f>
        <v>500</v>
      </c>
      <c r="N802" s="25" t="s">
        <v>548</v>
      </c>
      <c r="O802" s="25"/>
      <c r="P802" s="25" t="s">
        <v>556</v>
      </c>
      <c r="Q802" s="25" t="s">
        <v>557</v>
      </c>
      <c r="R802" s="26" t="n">
        <v>350</v>
      </c>
      <c r="S802" s="26" t="n">
        <f aca="false">IF(AND(L802="Oui",K802="Principal",R802&lt;&gt;""),I802*R802,0)</f>
        <v>350</v>
      </c>
      <c r="T802" s="26" t="n">
        <f aca="false">IF(R802&lt;&gt;"",M802-S802,0)</f>
        <v>150</v>
      </c>
      <c r="U802" s="26" t="n">
        <f aca="false">IF(R802="",M802,0)</f>
        <v>0</v>
      </c>
    </row>
    <row r="803" customFormat="false" ht="15" hidden="false" customHeight="false" outlineLevel="0" collapsed="false">
      <c r="A803" s="25" t="s">
        <v>60</v>
      </c>
      <c r="B803" s="25" t="s">
        <v>62</v>
      </c>
      <c r="C803" s="25" t="s">
        <v>50</v>
      </c>
      <c r="D803" s="25" t="n">
        <v>14</v>
      </c>
      <c r="E803" s="25" t="s">
        <v>565</v>
      </c>
      <c r="F803" s="25" t="s">
        <v>166</v>
      </c>
      <c r="G803" s="25" t="n">
        <v>1604</v>
      </c>
      <c r="H803" s="25" t="s">
        <v>582</v>
      </c>
      <c r="I803" s="25" t="n">
        <v>2</v>
      </c>
      <c r="J803" s="26" t="n">
        <v>700</v>
      </c>
      <c r="K803" s="25" t="s">
        <v>546</v>
      </c>
      <c r="L803" s="25" t="s">
        <v>547</v>
      </c>
      <c r="M803" s="26" t="n">
        <f aca="false">IF(AND(L803="Oui",K803="Principal"),I803*J803,0)</f>
        <v>1400</v>
      </c>
      <c r="N803" s="25" t="s">
        <v>548</v>
      </c>
      <c r="O803" s="25"/>
      <c r="P803" s="25" t="s">
        <v>556</v>
      </c>
      <c r="Q803" s="25" t="s">
        <v>557</v>
      </c>
      <c r="R803" s="26" t="n">
        <v>400</v>
      </c>
      <c r="S803" s="26" t="n">
        <f aca="false">IF(AND(L803="Oui",K803="Principal",R803&lt;&gt;""),I803*R803,0)</f>
        <v>800</v>
      </c>
      <c r="T803" s="26" t="n">
        <f aca="false">IF(R803&lt;&gt;"",M803-S803,0)</f>
        <v>600</v>
      </c>
      <c r="U803" s="26" t="n">
        <f aca="false">IF(R803="",M803,0)</f>
        <v>0</v>
      </c>
    </row>
    <row r="804" customFormat="false" ht="15" hidden="false" customHeight="false" outlineLevel="0" collapsed="false">
      <c r="A804" s="25" t="s">
        <v>60</v>
      </c>
      <c r="B804" s="25" t="s">
        <v>62</v>
      </c>
      <c r="C804" s="25" t="s">
        <v>50</v>
      </c>
      <c r="D804" s="25" t="n">
        <v>15</v>
      </c>
      <c r="E804" s="25" t="s">
        <v>565</v>
      </c>
      <c r="F804" s="25" t="s">
        <v>304</v>
      </c>
      <c r="G804" s="25" t="n">
        <v>1586</v>
      </c>
      <c r="H804" s="25" t="s">
        <v>583</v>
      </c>
      <c r="I804" s="25" t="n">
        <v>1</v>
      </c>
      <c r="J804" s="26" t="n">
        <v>900</v>
      </c>
      <c r="K804" s="25" t="s">
        <v>546</v>
      </c>
      <c r="L804" s="25" t="s">
        <v>547</v>
      </c>
      <c r="M804" s="26" t="n">
        <f aca="false">IF(AND(L804="Oui",K804="Principal"),I804*J804,0)</f>
        <v>900</v>
      </c>
      <c r="N804" s="25" t="s">
        <v>548</v>
      </c>
      <c r="O804" s="25"/>
      <c r="P804" s="25" t="s">
        <v>556</v>
      </c>
      <c r="Q804" s="25" t="s">
        <v>557</v>
      </c>
      <c r="R804" s="26" t="n">
        <v>650</v>
      </c>
      <c r="S804" s="26" t="n">
        <f aca="false">IF(AND(L804="Oui",K804="Principal",R804&lt;&gt;""),I804*R804,0)</f>
        <v>650</v>
      </c>
      <c r="T804" s="26" t="n">
        <f aca="false">IF(R804&lt;&gt;"",M804-S804,0)</f>
        <v>250</v>
      </c>
      <c r="U804" s="26" t="n">
        <f aca="false">IF(R804="",M804,0)</f>
        <v>0</v>
      </c>
    </row>
    <row r="805" customFormat="false" ht="15" hidden="false" customHeight="false" outlineLevel="0" collapsed="false">
      <c r="A805" s="33" t="s">
        <v>60</v>
      </c>
      <c r="B805" s="33" t="s">
        <v>62</v>
      </c>
      <c r="C805" s="33" t="s">
        <v>50</v>
      </c>
      <c r="D805" s="33" t="n">
        <v>16</v>
      </c>
      <c r="E805" s="33" t="s">
        <v>609</v>
      </c>
      <c r="F805" s="33" t="s">
        <v>199</v>
      </c>
      <c r="G805" s="33" t="n">
        <v>1229</v>
      </c>
      <c r="H805" s="33" t="s">
        <v>643</v>
      </c>
      <c r="I805" s="33" t="n">
        <v>1</v>
      </c>
      <c r="J805" s="34" t="n">
        <v>1800</v>
      </c>
      <c r="K805" s="33" t="s">
        <v>546</v>
      </c>
      <c r="L805" s="33" t="s">
        <v>547</v>
      </c>
      <c r="M805" s="34" t="n">
        <f aca="false">IF(AND(L805="Oui",K805="Principal"),I805*J805,0)</f>
        <v>1800</v>
      </c>
      <c r="N805" s="33" t="s">
        <v>182</v>
      </c>
      <c r="O805" s="33" t="s">
        <v>644</v>
      </c>
      <c r="P805" s="33" t="s">
        <v>550</v>
      </c>
      <c r="Q805" s="33" t="s">
        <v>557</v>
      </c>
      <c r="R805" s="34" t="n">
        <v>1500</v>
      </c>
      <c r="S805" s="34" t="n">
        <f aca="false">IF(AND(L805="Oui",K805="Principal",R805&lt;&gt;""),I805*R805,0)</f>
        <v>1500</v>
      </c>
      <c r="T805" s="34" t="n">
        <f aca="false">IF(R805&lt;&gt;"",M805-S805,0)</f>
        <v>300</v>
      </c>
      <c r="U805" s="34" t="n">
        <f aca="false">IF(R805="",M805,0)</f>
        <v>0</v>
      </c>
    </row>
    <row r="806" customFormat="false" ht="15" hidden="false" customHeight="false" outlineLevel="0" collapsed="false">
      <c r="A806" s="25" t="s">
        <v>60</v>
      </c>
      <c r="B806" s="25" t="s">
        <v>62</v>
      </c>
      <c r="C806" s="25" t="s">
        <v>50</v>
      </c>
      <c r="D806" s="25" t="n">
        <v>17</v>
      </c>
      <c r="E806" s="25" t="s">
        <v>609</v>
      </c>
      <c r="F806" s="25" t="s">
        <v>305</v>
      </c>
      <c r="G806" s="25" t="n">
        <v>1727</v>
      </c>
      <c r="H806" s="25" t="s">
        <v>698</v>
      </c>
      <c r="I806" s="25" t="n">
        <v>1</v>
      </c>
      <c r="J806" s="26" t="n">
        <v>4750</v>
      </c>
      <c r="K806" s="25" t="s">
        <v>546</v>
      </c>
      <c r="L806" s="25" t="s">
        <v>547</v>
      </c>
      <c r="M806" s="26" t="n">
        <f aca="false">IF(AND(L806="Oui",K806="Principal"),I806*J806,0)</f>
        <v>4750</v>
      </c>
      <c r="N806" s="25" t="s">
        <v>548</v>
      </c>
      <c r="O806" s="25"/>
      <c r="P806" s="25" t="s">
        <v>559</v>
      </c>
      <c r="Q806" s="25" t="s">
        <v>557</v>
      </c>
      <c r="R806" s="26" t="n">
        <v>3700</v>
      </c>
      <c r="S806" s="26" t="n">
        <f aca="false">IF(AND(L806="Oui",K806="Principal",R806&lt;&gt;""),I806*R806,0)</f>
        <v>3700</v>
      </c>
      <c r="T806" s="26" t="n">
        <f aca="false">IF(R806&lt;&gt;"",M806-S806,0)</f>
        <v>1050</v>
      </c>
      <c r="U806" s="26" t="n">
        <f aca="false">IF(R806="",M806,0)</f>
        <v>0</v>
      </c>
    </row>
    <row r="807" customFormat="false" ht="15" hidden="false" customHeight="false" outlineLevel="0" collapsed="false">
      <c r="A807" s="25" t="s">
        <v>60</v>
      </c>
      <c r="B807" s="25" t="s">
        <v>62</v>
      </c>
      <c r="C807" s="25" t="s">
        <v>50</v>
      </c>
      <c r="D807" s="25" t="n">
        <v>18</v>
      </c>
      <c r="E807" s="25" t="s">
        <v>554</v>
      </c>
      <c r="F807" s="25" t="s">
        <v>104</v>
      </c>
      <c r="G807" s="25" t="n">
        <v>1594</v>
      </c>
      <c r="H807" s="25" t="s">
        <v>593</v>
      </c>
      <c r="I807" s="25" t="n">
        <v>1</v>
      </c>
      <c r="J807" s="26" t="n">
        <v>1600</v>
      </c>
      <c r="K807" s="25" t="s">
        <v>546</v>
      </c>
      <c r="L807" s="25" t="s">
        <v>547</v>
      </c>
      <c r="M807" s="26" t="n">
        <f aca="false">IF(AND(L807="Oui",K807="Principal"),I807*J807,0)</f>
        <v>1600</v>
      </c>
      <c r="N807" s="25" t="s">
        <v>548</v>
      </c>
      <c r="O807" s="25"/>
      <c r="P807" s="25" t="s">
        <v>556</v>
      </c>
      <c r="Q807" s="25" t="s">
        <v>557</v>
      </c>
      <c r="R807" s="26" t="n">
        <v>1300</v>
      </c>
      <c r="S807" s="26" t="n">
        <f aca="false">IF(AND(L807="Oui",K807="Principal",R807&lt;&gt;""),I807*R807,0)</f>
        <v>1300</v>
      </c>
      <c r="T807" s="26" t="n">
        <f aca="false">IF(R807&lt;&gt;"",M807-S807,0)</f>
        <v>300</v>
      </c>
      <c r="U807" s="26" t="n">
        <f aca="false">IF(R807="",M807,0)</f>
        <v>0</v>
      </c>
    </row>
    <row r="808" customFormat="false" ht="15" hidden="false" customHeight="false" outlineLevel="0" collapsed="false">
      <c r="A808" s="29" t="s">
        <v>60</v>
      </c>
      <c r="B808" s="29" t="s">
        <v>62</v>
      </c>
      <c r="C808" s="29" t="s">
        <v>50</v>
      </c>
      <c r="D808" s="29" t="n">
        <v>19</v>
      </c>
      <c r="E808" s="29" t="s">
        <v>554</v>
      </c>
      <c r="F808" s="29" t="s">
        <v>328</v>
      </c>
      <c r="G808" s="29" t="n">
        <v>31</v>
      </c>
      <c r="H808" s="29" t="s">
        <v>595</v>
      </c>
      <c r="I808" s="29" t="n">
        <v>1</v>
      </c>
      <c r="J808" s="30" t="n">
        <v>1500</v>
      </c>
      <c r="K808" s="29" t="s">
        <v>546</v>
      </c>
      <c r="L808" s="29" t="s">
        <v>547</v>
      </c>
      <c r="M808" s="30" t="n">
        <f aca="false">IF(AND(L808="Oui",K808="Principal"),I808*J808,0)</f>
        <v>1500</v>
      </c>
      <c r="N808" s="29" t="s">
        <v>141</v>
      </c>
      <c r="O808" s="29" t="s">
        <v>699</v>
      </c>
      <c r="P808" s="29" t="s">
        <v>559</v>
      </c>
      <c r="Q808" s="29" t="s">
        <v>551</v>
      </c>
      <c r="R808" s="30"/>
      <c r="S808" s="30" t="n">
        <f aca="false">IF(AND(L808="Oui",K808="Principal",R808&lt;&gt;""),I808*R808,0)</f>
        <v>0</v>
      </c>
      <c r="T808" s="30" t="n">
        <f aca="false">IF(R808&lt;&gt;"",M808-S808,0)</f>
        <v>0</v>
      </c>
      <c r="U808" s="30" t="n">
        <f aca="false">IF(R808="",M808,0)</f>
        <v>1500</v>
      </c>
    </row>
    <row r="809" customFormat="false" ht="15" hidden="false" customHeight="false" outlineLevel="0" collapsed="false">
      <c r="A809" s="25" t="s">
        <v>60</v>
      </c>
      <c r="B809" s="25" t="s">
        <v>62</v>
      </c>
      <c r="C809" s="25" t="s">
        <v>50</v>
      </c>
      <c r="D809" s="25" t="n">
        <v>20</v>
      </c>
      <c r="E809" s="25" t="s">
        <v>700</v>
      </c>
      <c r="F809" s="25" t="s">
        <v>329</v>
      </c>
      <c r="G809" s="25" t="n">
        <v>1716</v>
      </c>
      <c r="H809" s="25" t="s">
        <v>701</v>
      </c>
      <c r="I809" s="25" t="n">
        <v>1</v>
      </c>
      <c r="J809" s="26" t="n">
        <v>1800</v>
      </c>
      <c r="K809" s="25" t="s">
        <v>546</v>
      </c>
      <c r="L809" s="25" t="s">
        <v>547</v>
      </c>
      <c r="M809" s="26" t="n">
        <f aca="false">IF(AND(L809="Oui",K809="Principal"),I809*J809,0)</f>
        <v>1800</v>
      </c>
      <c r="N809" s="25" t="s">
        <v>548</v>
      </c>
      <c r="O809" s="25"/>
      <c r="P809" s="25" t="s">
        <v>559</v>
      </c>
      <c r="Q809" s="25" t="s">
        <v>557</v>
      </c>
      <c r="R809" s="26" t="n">
        <v>1300</v>
      </c>
      <c r="S809" s="26" t="n">
        <f aca="false">IF(AND(L809="Oui",K809="Principal",R809&lt;&gt;""),I809*R809,0)</f>
        <v>1300</v>
      </c>
      <c r="T809" s="26" t="n">
        <f aca="false">IF(R809&lt;&gt;"",M809-S809,0)</f>
        <v>500</v>
      </c>
      <c r="U809" s="26" t="n">
        <f aca="false">IF(R809="",M809,0)</f>
        <v>0</v>
      </c>
    </row>
    <row r="810" customFormat="false" ht="15" hidden="false" customHeight="false" outlineLevel="0" collapsed="false">
      <c r="A810" s="25" t="s">
        <v>60</v>
      </c>
      <c r="B810" s="25" t="s">
        <v>62</v>
      </c>
      <c r="C810" s="25" t="s">
        <v>50</v>
      </c>
      <c r="D810" s="25" t="n">
        <v>21</v>
      </c>
      <c r="E810" s="25" t="s">
        <v>571</v>
      </c>
      <c r="F810" s="25" t="s">
        <v>331</v>
      </c>
      <c r="G810" s="25" t="n">
        <v>1625</v>
      </c>
      <c r="H810" s="25" t="s">
        <v>572</v>
      </c>
      <c r="I810" s="25" t="n">
        <v>1</v>
      </c>
      <c r="J810" s="26" t="n">
        <v>500</v>
      </c>
      <c r="K810" s="25" t="s">
        <v>546</v>
      </c>
      <c r="L810" s="25" t="s">
        <v>547</v>
      </c>
      <c r="M810" s="26" t="n">
        <f aca="false">IF(AND(L810="Oui",K810="Principal"),I810*J810,0)</f>
        <v>500</v>
      </c>
      <c r="N810" s="25" t="s">
        <v>548</v>
      </c>
      <c r="O810" s="25"/>
      <c r="P810" s="25" t="s">
        <v>556</v>
      </c>
      <c r="Q810" s="25" t="s">
        <v>557</v>
      </c>
      <c r="R810" s="26"/>
      <c r="S810" s="26" t="n">
        <f aca="false">IF(AND(L810="Oui",K810="Principal",R810&lt;&gt;""),I810*R810,0)</f>
        <v>0</v>
      </c>
      <c r="T810" s="26" t="n">
        <f aca="false">IF(R810&lt;&gt;"",M810-S810,0)</f>
        <v>0</v>
      </c>
      <c r="U810" s="26" t="n">
        <f aca="false">IF(R810="",M810,0)</f>
        <v>500</v>
      </c>
    </row>
    <row r="811" customFormat="false" ht="15" hidden="false" customHeight="false" outlineLevel="0" collapsed="false">
      <c r="A811" s="25" t="s">
        <v>60</v>
      </c>
      <c r="B811" s="25" t="s">
        <v>62</v>
      </c>
      <c r="C811" s="25" t="s">
        <v>50</v>
      </c>
      <c r="D811" s="25" t="n">
        <v>22</v>
      </c>
      <c r="E811" s="25" t="s">
        <v>573</v>
      </c>
      <c r="F811" s="25" t="s">
        <v>176</v>
      </c>
      <c r="G811" s="25" t="n">
        <v>19</v>
      </c>
      <c r="H811" s="25" t="s">
        <v>615</v>
      </c>
      <c r="I811" s="25" t="n">
        <v>1</v>
      </c>
      <c r="J811" s="26" t="n">
        <v>2500</v>
      </c>
      <c r="K811" s="25" t="s">
        <v>546</v>
      </c>
      <c r="L811" s="25" t="s">
        <v>547</v>
      </c>
      <c r="M811" s="26" t="n">
        <f aca="false">IF(AND(L811="Oui",K811="Principal"),I811*J811,0)</f>
        <v>2500</v>
      </c>
      <c r="N811" s="25" t="s">
        <v>548</v>
      </c>
      <c r="O811" s="25"/>
      <c r="P811" s="25" t="s">
        <v>559</v>
      </c>
      <c r="Q811" s="25" t="s">
        <v>551</v>
      </c>
      <c r="R811" s="26"/>
      <c r="S811" s="26" t="n">
        <f aca="false">IF(AND(L811="Oui",K811="Principal",R811&lt;&gt;""),I811*R811,0)</f>
        <v>0</v>
      </c>
      <c r="T811" s="26" t="n">
        <f aca="false">IF(R811&lt;&gt;"",M811-S811,0)</f>
        <v>0</v>
      </c>
      <c r="U811" s="26" t="n">
        <f aca="false">IF(R811="",M811,0)</f>
        <v>2500</v>
      </c>
    </row>
    <row r="812" customFormat="false" ht="15" hidden="false" customHeight="false" outlineLevel="0" collapsed="false">
      <c r="A812" s="25" t="s">
        <v>60</v>
      </c>
      <c r="B812" s="25" t="s">
        <v>62</v>
      </c>
      <c r="C812" s="25" t="s">
        <v>50</v>
      </c>
      <c r="D812" s="25" t="n">
        <v>23</v>
      </c>
      <c r="E812" s="25" t="s">
        <v>573</v>
      </c>
      <c r="F812" s="25" t="s">
        <v>117</v>
      </c>
      <c r="G812" s="25" t="n">
        <v>1288</v>
      </c>
      <c r="H812" s="25" t="s">
        <v>624</v>
      </c>
      <c r="I812" s="25" t="n">
        <v>1</v>
      </c>
      <c r="J812" s="26" t="n">
        <v>2500</v>
      </c>
      <c r="K812" s="25" t="s">
        <v>546</v>
      </c>
      <c r="L812" s="25" t="s">
        <v>547</v>
      </c>
      <c r="M812" s="26" t="n">
        <f aca="false">IF(AND(L812="Oui",K812="Principal"),I812*J812,0)</f>
        <v>2500</v>
      </c>
      <c r="N812" s="25" t="s">
        <v>548</v>
      </c>
      <c r="O812" s="25"/>
      <c r="P812" s="25" t="s">
        <v>550</v>
      </c>
      <c r="Q812" s="25" t="s">
        <v>557</v>
      </c>
      <c r="R812" s="26" t="n">
        <v>2000</v>
      </c>
      <c r="S812" s="26" t="n">
        <f aca="false">IF(AND(L812="Oui",K812="Principal",R812&lt;&gt;""),I812*R812,0)</f>
        <v>2000</v>
      </c>
      <c r="T812" s="26" t="n">
        <f aca="false">IF(R812&lt;&gt;"",M812-S812,0)</f>
        <v>500</v>
      </c>
      <c r="U812" s="26" t="n">
        <f aca="false">IF(R812="",M812,0)</f>
        <v>0</v>
      </c>
    </row>
    <row r="813" customFormat="false" ht="15" hidden="false" customHeight="false" outlineLevel="0" collapsed="false">
      <c r="A813" s="25" t="s">
        <v>60</v>
      </c>
      <c r="B813" s="25" t="s">
        <v>62</v>
      </c>
      <c r="C813" s="25" t="s">
        <v>50</v>
      </c>
      <c r="D813" s="25" t="n">
        <v>24</v>
      </c>
      <c r="E813" s="25" t="s">
        <v>573</v>
      </c>
      <c r="F813" s="25" t="s">
        <v>321</v>
      </c>
      <c r="G813" s="25" t="n">
        <v>1192</v>
      </c>
      <c r="H813" s="25" t="s">
        <v>694</v>
      </c>
      <c r="I813" s="25" t="n">
        <v>1</v>
      </c>
      <c r="J813" s="26" t="n">
        <v>7000</v>
      </c>
      <c r="K813" s="25" t="s">
        <v>546</v>
      </c>
      <c r="L813" s="25" t="s">
        <v>547</v>
      </c>
      <c r="M813" s="26" t="n">
        <f aca="false">IF(AND(L813="Oui",K813="Principal"),I813*J813,0)</f>
        <v>7000</v>
      </c>
      <c r="N813" s="25" t="s">
        <v>548</v>
      </c>
      <c r="O813" s="25"/>
      <c r="P813" s="25" t="s">
        <v>550</v>
      </c>
      <c r="Q813" s="25" t="s">
        <v>557</v>
      </c>
      <c r="R813" s="26" t="n">
        <v>5500</v>
      </c>
      <c r="S813" s="26" t="n">
        <f aca="false">IF(AND(L813="Oui",K813="Principal",R813&lt;&gt;""),I813*R813,0)</f>
        <v>5500</v>
      </c>
      <c r="T813" s="26" t="n">
        <f aca="false">IF(R813&lt;&gt;"",M813-S813,0)</f>
        <v>1500</v>
      </c>
      <c r="U813" s="26" t="n">
        <f aca="false">IF(R813="",M813,0)</f>
        <v>0</v>
      </c>
    </row>
    <row r="814" customFormat="false" ht="15" hidden="false" customHeight="false" outlineLevel="0" collapsed="false">
      <c r="A814" s="25" t="s">
        <v>60</v>
      </c>
      <c r="B814" s="25" t="s">
        <v>62</v>
      </c>
      <c r="C814" s="25" t="s">
        <v>50</v>
      </c>
      <c r="D814" s="25" t="n">
        <v>25</v>
      </c>
      <c r="E814" s="25" t="s">
        <v>686</v>
      </c>
      <c r="F814" s="25" t="s">
        <v>341</v>
      </c>
      <c r="G814" s="25" t="n">
        <v>1363</v>
      </c>
      <c r="H814" s="25" t="s">
        <v>706</v>
      </c>
      <c r="I814" s="25" t="n">
        <v>1</v>
      </c>
      <c r="J814" s="26" t="n">
        <v>4000</v>
      </c>
      <c r="K814" s="25" t="s">
        <v>546</v>
      </c>
      <c r="L814" s="25" t="s">
        <v>547</v>
      </c>
      <c r="M814" s="26" t="n">
        <f aca="false">IF(AND(L814="Oui",K814="Principal"),I814*J814,0)</f>
        <v>4000</v>
      </c>
      <c r="N814" s="25" t="s">
        <v>548</v>
      </c>
      <c r="O814" s="25"/>
      <c r="P814" s="25" t="s">
        <v>550</v>
      </c>
      <c r="Q814" s="25" t="s">
        <v>557</v>
      </c>
      <c r="R814" s="26" t="n">
        <v>3000</v>
      </c>
      <c r="S814" s="26" t="n">
        <f aca="false">IF(AND(L814="Oui",K814="Principal",R814&lt;&gt;""),I814*R814,0)</f>
        <v>3000</v>
      </c>
      <c r="T814" s="26" t="n">
        <f aca="false">IF(R814&lt;&gt;"",M814-S814,0)</f>
        <v>1000</v>
      </c>
      <c r="U814" s="26" t="n">
        <f aca="false">IF(R814="",M814,0)</f>
        <v>0</v>
      </c>
    </row>
    <row r="815" customFormat="false" ht="15" hidden="false" customHeight="false" outlineLevel="0" collapsed="false">
      <c r="A815" s="25" t="s">
        <v>60</v>
      </c>
      <c r="B815" s="25" t="s">
        <v>62</v>
      </c>
      <c r="C815" s="25" t="s">
        <v>50</v>
      </c>
      <c r="D815" s="25" t="n">
        <v>26</v>
      </c>
      <c r="E815" s="25" t="s">
        <v>686</v>
      </c>
      <c r="F815" s="25" t="s">
        <v>309</v>
      </c>
      <c r="G815" s="25" t="n">
        <v>1351</v>
      </c>
      <c r="H815" s="25" t="s">
        <v>688</v>
      </c>
      <c r="I815" s="25" t="n">
        <v>1</v>
      </c>
      <c r="J815" s="26" t="n">
        <v>4000</v>
      </c>
      <c r="K815" s="25" t="s">
        <v>546</v>
      </c>
      <c r="L815" s="25" t="s">
        <v>547</v>
      </c>
      <c r="M815" s="26" t="n">
        <f aca="false">IF(AND(L815="Oui",K815="Principal"),I815*J815,0)</f>
        <v>4000</v>
      </c>
      <c r="N815" s="25" t="s">
        <v>548</v>
      </c>
      <c r="O815" s="25"/>
      <c r="P815" s="25" t="s">
        <v>550</v>
      </c>
      <c r="Q815" s="25" t="s">
        <v>557</v>
      </c>
      <c r="R815" s="26" t="n">
        <v>3000</v>
      </c>
      <c r="S815" s="26" t="n">
        <f aca="false">IF(AND(L815="Oui",K815="Principal",R815&lt;&gt;""),I815*R815,0)</f>
        <v>3000</v>
      </c>
      <c r="T815" s="26" t="n">
        <f aca="false">IF(R815&lt;&gt;"",M815-S815,0)</f>
        <v>1000</v>
      </c>
      <c r="U815" s="26" t="n">
        <f aca="false">IF(R815="",M815,0)</f>
        <v>0</v>
      </c>
    </row>
    <row r="816" customFormat="false" ht="15" hidden="false" customHeight="false" outlineLevel="0" collapsed="false">
      <c r="A816" s="25" t="s">
        <v>60</v>
      </c>
      <c r="B816" s="25" t="s">
        <v>62</v>
      </c>
      <c r="C816" s="25" t="s">
        <v>50</v>
      </c>
      <c r="D816" s="25" t="n">
        <v>27</v>
      </c>
      <c r="E816" s="25" t="s">
        <v>689</v>
      </c>
      <c r="F816" s="25" t="s">
        <v>343</v>
      </c>
      <c r="G816" s="25" t="n">
        <v>1315</v>
      </c>
      <c r="H816" s="25" t="s">
        <v>707</v>
      </c>
      <c r="I816" s="25" t="n">
        <v>1</v>
      </c>
      <c r="J816" s="26" t="n">
        <v>3500</v>
      </c>
      <c r="K816" s="25" t="s">
        <v>546</v>
      </c>
      <c r="L816" s="25" t="s">
        <v>547</v>
      </c>
      <c r="M816" s="26" t="n">
        <f aca="false">IF(AND(L816="Oui",K816="Principal"),I816*J816,0)</f>
        <v>3500</v>
      </c>
      <c r="N816" s="25" t="s">
        <v>548</v>
      </c>
      <c r="O816" s="25"/>
      <c r="P816" s="25" t="s">
        <v>550</v>
      </c>
      <c r="Q816" s="25" t="s">
        <v>557</v>
      </c>
      <c r="R816" s="26" t="n">
        <v>2500</v>
      </c>
      <c r="S816" s="26" t="n">
        <f aca="false">IF(AND(L816="Oui",K816="Principal",R816&lt;&gt;""),I816*R816,0)</f>
        <v>2500</v>
      </c>
      <c r="T816" s="26" t="n">
        <f aca="false">IF(R816&lt;&gt;"",M816-S816,0)</f>
        <v>1000</v>
      </c>
      <c r="U816" s="26" t="n">
        <f aca="false">IF(R816="",M816,0)</f>
        <v>0</v>
      </c>
    </row>
    <row r="817" customFormat="false" ht="15" hidden="false" customHeight="false" outlineLevel="0" collapsed="false">
      <c r="A817" s="25" t="s">
        <v>60</v>
      </c>
      <c r="B817" s="25" t="s">
        <v>62</v>
      </c>
      <c r="C817" s="25" t="s">
        <v>50</v>
      </c>
      <c r="D817" s="25" t="n">
        <v>28</v>
      </c>
      <c r="E817" s="25" t="s">
        <v>689</v>
      </c>
      <c r="F817" s="25" t="s">
        <v>345</v>
      </c>
      <c r="G817" s="25" t="n">
        <v>1318</v>
      </c>
      <c r="H817" s="25" t="s">
        <v>708</v>
      </c>
      <c r="I817" s="25" t="n">
        <v>1</v>
      </c>
      <c r="J817" s="26" t="n">
        <v>2800</v>
      </c>
      <c r="K817" s="25" t="s">
        <v>546</v>
      </c>
      <c r="L817" s="25" t="s">
        <v>547</v>
      </c>
      <c r="M817" s="26" t="n">
        <f aca="false">IF(AND(L817="Oui",K817="Principal"),I817*J817,0)</f>
        <v>2800</v>
      </c>
      <c r="N817" s="25" t="s">
        <v>548</v>
      </c>
      <c r="O817" s="25"/>
      <c r="P817" s="25" t="s">
        <v>550</v>
      </c>
      <c r="Q817" s="25" t="s">
        <v>557</v>
      </c>
      <c r="R817" s="26" t="n">
        <v>1800</v>
      </c>
      <c r="S817" s="26" t="n">
        <f aca="false">IF(AND(L817="Oui",K817="Principal",R817&lt;&gt;""),I817*R817,0)</f>
        <v>1800</v>
      </c>
      <c r="T817" s="26" t="n">
        <f aca="false">IF(R817&lt;&gt;"",M817-S817,0)</f>
        <v>1000</v>
      </c>
      <c r="U817" s="26" t="n">
        <f aca="false">IF(R817="",M817,0)</f>
        <v>0</v>
      </c>
    </row>
    <row r="818" customFormat="false" ht="15" hidden="false" customHeight="false" outlineLevel="0" collapsed="false">
      <c r="A818" s="25" t="s">
        <v>60</v>
      </c>
      <c r="B818" s="25" t="s">
        <v>62</v>
      </c>
      <c r="C818" s="25" t="s">
        <v>50</v>
      </c>
      <c r="D818" s="25" t="n">
        <v>29</v>
      </c>
      <c r="E818" s="25" t="s">
        <v>689</v>
      </c>
      <c r="F818" s="25" t="s">
        <v>354</v>
      </c>
      <c r="G818" s="25" t="n">
        <v>1323</v>
      </c>
      <c r="H818" s="25" t="s">
        <v>714</v>
      </c>
      <c r="I818" s="25" t="n">
        <v>1</v>
      </c>
      <c r="J818" s="26" t="n">
        <v>3500</v>
      </c>
      <c r="K818" s="25" t="s">
        <v>546</v>
      </c>
      <c r="L818" s="25" t="s">
        <v>547</v>
      </c>
      <c r="M818" s="26" t="n">
        <f aca="false">IF(AND(L818="Oui",K818="Principal"),I818*J818,0)</f>
        <v>3500</v>
      </c>
      <c r="N818" s="25" t="s">
        <v>548</v>
      </c>
      <c r="O818" s="25"/>
      <c r="P818" s="25" t="s">
        <v>550</v>
      </c>
      <c r="Q818" s="25" t="s">
        <v>557</v>
      </c>
      <c r="R818" s="26" t="n">
        <v>2500</v>
      </c>
      <c r="S818" s="26" t="n">
        <f aca="false">IF(AND(L818="Oui",K818="Principal",R818&lt;&gt;""),I818*R818,0)</f>
        <v>2500</v>
      </c>
      <c r="T818" s="26" t="n">
        <f aca="false">IF(R818&lt;&gt;"",M818-S818,0)</f>
        <v>1000</v>
      </c>
      <c r="U818" s="26" t="n">
        <f aca="false">IF(R818="",M818,0)</f>
        <v>0</v>
      </c>
    </row>
    <row r="819" customFormat="false" ht="15" hidden="false" customHeight="false" outlineLevel="0" collapsed="false">
      <c r="A819" s="25" t="s">
        <v>60</v>
      </c>
      <c r="B819" s="25" t="s">
        <v>62</v>
      </c>
      <c r="C819" s="25" t="s">
        <v>50</v>
      </c>
      <c r="D819" s="25" t="n">
        <v>30</v>
      </c>
      <c r="E819" s="25" t="s">
        <v>689</v>
      </c>
      <c r="F819" s="25" t="s">
        <v>356</v>
      </c>
      <c r="G819" s="25" t="n">
        <v>1314</v>
      </c>
      <c r="H819" s="25" t="s">
        <v>715</v>
      </c>
      <c r="I819" s="25" t="n">
        <v>1</v>
      </c>
      <c r="J819" s="26" t="n">
        <v>3500</v>
      </c>
      <c r="K819" s="25" t="s">
        <v>546</v>
      </c>
      <c r="L819" s="25" t="s">
        <v>547</v>
      </c>
      <c r="M819" s="26" t="n">
        <f aca="false">IF(AND(L819="Oui",K819="Principal"),I819*J819,0)</f>
        <v>3500</v>
      </c>
      <c r="N819" s="25" t="s">
        <v>548</v>
      </c>
      <c r="O819" s="25"/>
      <c r="P819" s="25" t="s">
        <v>550</v>
      </c>
      <c r="Q819" s="25" t="s">
        <v>557</v>
      </c>
      <c r="R819" s="26" t="n">
        <v>2500</v>
      </c>
      <c r="S819" s="26" t="n">
        <f aca="false">IF(AND(L819="Oui",K819="Principal",R819&lt;&gt;""),I819*R819,0)</f>
        <v>2500</v>
      </c>
      <c r="T819" s="26" t="n">
        <f aca="false">IF(R819&lt;&gt;"",M819-S819,0)</f>
        <v>1000</v>
      </c>
      <c r="U819" s="26" t="n">
        <f aca="false">IF(R819="",M819,0)</f>
        <v>0</v>
      </c>
    </row>
    <row r="820" customFormat="false" ht="15" hidden="false" customHeight="false" outlineLevel="0" collapsed="false">
      <c r="A820" s="25" t="s">
        <v>60</v>
      </c>
      <c r="B820" s="25" t="s">
        <v>62</v>
      </c>
      <c r="C820" s="25" t="s">
        <v>50</v>
      </c>
      <c r="D820" s="25" t="n">
        <v>31</v>
      </c>
      <c r="E820" s="25" t="s">
        <v>686</v>
      </c>
      <c r="F820" s="25" t="s">
        <v>347</v>
      </c>
      <c r="G820" s="25" t="n">
        <v>1559</v>
      </c>
      <c r="H820" s="25" t="s">
        <v>709</v>
      </c>
      <c r="I820" s="25" t="n">
        <v>1</v>
      </c>
      <c r="J820" s="26" t="n">
        <v>3960</v>
      </c>
      <c r="K820" s="25" t="s">
        <v>546</v>
      </c>
      <c r="L820" s="25" t="s">
        <v>547</v>
      </c>
      <c r="M820" s="26" t="n">
        <f aca="false">IF(AND(L820="Oui",K820="Principal"),I820*J820,0)</f>
        <v>3960</v>
      </c>
      <c r="N820" s="25" t="s">
        <v>548</v>
      </c>
      <c r="O820" s="25"/>
      <c r="P820" s="25" t="s">
        <v>550</v>
      </c>
      <c r="Q820" s="25" t="s">
        <v>557</v>
      </c>
      <c r="R820" s="26" t="n">
        <v>2960</v>
      </c>
      <c r="S820" s="26" t="n">
        <f aca="false">IF(AND(L820="Oui",K820="Principal",R820&lt;&gt;""),I820*R820,0)</f>
        <v>2960</v>
      </c>
      <c r="T820" s="26" t="n">
        <f aca="false">IF(R820&lt;&gt;"",M820-S820,0)</f>
        <v>1000</v>
      </c>
      <c r="U820" s="26" t="n">
        <f aca="false">IF(R820="",M820,0)</f>
        <v>0</v>
      </c>
    </row>
    <row r="821" customFormat="false" ht="15" hidden="false" customHeight="false" outlineLevel="0" collapsed="false">
      <c r="A821" s="25" t="s">
        <v>60</v>
      </c>
      <c r="B821" s="25" t="s">
        <v>62</v>
      </c>
      <c r="C821" s="25" t="s">
        <v>50</v>
      </c>
      <c r="D821" s="25" t="n">
        <v>32</v>
      </c>
      <c r="E821" s="25" t="s">
        <v>588</v>
      </c>
      <c r="F821" s="25" t="s">
        <v>358</v>
      </c>
      <c r="G821" s="25" t="n">
        <v>1546</v>
      </c>
      <c r="H821" s="25" t="s">
        <v>716</v>
      </c>
      <c r="I821" s="25" t="n">
        <v>1</v>
      </c>
      <c r="J821" s="26" t="n">
        <v>3130</v>
      </c>
      <c r="K821" s="25" t="s">
        <v>546</v>
      </c>
      <c r="L821" s="25" t="s">
        <v>547</v>
      </c>
      <c r="M821" s="26" t="n">
        <f aca="false">IF(AND(L821="Oui",K821="Principal"),I821*J821,0)</f>
        <v>3130</v>
      </c>
      <c r="N821" s="25" t="s">
        <v>548</v>
      </c>
      <c r="O821" s="25"/>
      <c r="P821" s="25" t="s">
        <v>550</v>
      </c>
      <c r="Q821" s="25" t="s">
        <v>557</v>
      </c>
      <c r="R821" s="26" t="n">
        <v>2130</v>
      </c>
      <c r="S821" s="26" t="n">
        <f aca="false">IF(AND(L821="Oui",K821="Principal",R821&lt;&gt;""),I821*R821,0)</f>
        <v>2130</v>
      </c>
      <c r="T821" s="26" t="n">
        <f aca="false">IF(R821&lt;&gt;"",M821-S821,0)</f>
        <v>1000</v>
      </c>
      <c r="U821" s="26" t="n">
        <f aca="false">IF(R821="",M821,0)</f>
        <v>0</v>
      </c>
    </row>
    <row r="822" customFormat="false" ht="15" hidden="false" customHeight="false" outlineLevel="0" collapsed="false">
      <c r="A822" s="25" t="s">
        <v>60</v>
      </c>
      <c r="B822" s="25" t="s">
        <v>62</v>
      </c>
      <c r="C822" s="25" t="s">
        <v>50</v>
      </c>
      <c r="D822" s="25" t="n">
        <v>33</v>
      </c>
      <c r="E822" s="25" t="s">
        <v>686</v>
      </c>
      <c r="F822" s="25" t="s">
        <v>349</v>
      </c>
      <c r="G822" s="25" t="n">
        <v>1565</v>
      </c>
      <c r="H822" s="25" t="s">
        <v>710</v>
      </c>
      <c r="I822" s="25" t="n">
        <v>1</v>
      </c>
      <c r="J822" s="26" t="n">
        <v>3960</v>
      </c>
      <c r="K822" s="25" t="s">
        <v>546</v>
      </c>
      <c r="L822" s="25" t="s">
        <v>547</v>
      </c>
      <c r="M822" s="26" t="n">
        <f aca="false">IF(AND(L822="Oui",K822="Principal"),I822*J822,0)</f>
        <v>3960</v>
      </c>
      <c r="N822" s="25" t="s">
        <v>548</v>
      </c>
      <c r="O822" s="25"/>
      <c r="P822" s="25" t="s">
        <v>550</v>
      </c>
      <c r="Q822" s="25" t="s">
        <v>557</v>
      </c>
      <c r="R822" s="26" t="n">
        <v>2960</v>
      </c>
      <c r="S822" s="26" t="n">
        <f aca="false">IF(AND(L822="Oui",K822="Principal",R822&lt;&gt;""),I822*R822,0)</f>
        <v>2960</v>
      </c>
      <c r="T822" s="26" t="n">
        <f aca="false">IF(R822&lt;&gt;"",M822-S822,0)</f>
        <v>1000</v>
      </c>
      <c r="U822" s="26" t="n">
        <f aca="false">IF(R822="",M822,0)</f>
        <v>0</v>
      </c>
    </row>
    <row r="823" customFormat="false" ht="15" hidden="false" customHeight="false" outlineLevel="0" collapsed="false">
      <c r="A823" s="25" t="s">
        <v>60</v>
      </c>
      <c r="B823" s="25" t="s">
        <v>62</v>
      </c>
      <c r="C823" s="25" t="s">
        <v>50</v>
      </c>
      <c r="D823" s="25" t="n">
        <v>34</v>
      </c>
      <c r="E823" s="25" t="s">
        <v>588</v>
      </c>
      <c r="F823" s="25" t="s">
        <v>360</v>
      </c>
      <c r="G823" s="25" t="n">
        <v>1545</v>
      </c>
      <c r="H823" s="25" t="s">
        <v>717</v>
      </c>
      <c r="I823" s="25" t="n">
        <v>1</v>
      </c>
      <c r="J823" s="26" t="n">
        <v>3430</v>
      </c>
      <c r="K823" s="25" t="s">
        <v>546</v>
      </c>
      <c r="L823" s="25" t="s">
        <v>547</v>
      </c>
      <c r="M823" s="26" t="n">
        <f aca="false">IF(AND(L823="Oui",K823="Principal"),I823*J823,0)</f>
        <v>3430</v>
      </c>
      <c r="N823" s="25" t="s">
        <v>548</v>
      </c>
      <c r="O823" s="25"/>
      <c r="P823" s="25" t="s">
        <v>550</v>
      </c>
      <c r="Q823" s="25" t="s">
        <v>557</v>
      </c>
      <c r="R823" s="26" t="n">
        <v>2430</v>
      </c>
      <c r="S823" s="26" t="n">
        <f aca="false">IF(AND(L823="Oui",K823="Principal",R823&lt;&gt;""),I823*R823,0)</f>
        <v>2430</v>
      </c>
      <c r="T823" s="26" t="n">
        <f aca="false">IF(R823&lt;&gt;"",M823-S823,0)</f>
        <v>1000</v>
      </c>
      <c r="U823" s="26" t="n">
        <f aca="false">IF(R823="",M823,0)</f>
        <v>0</v>
      </c>
    </row>
    <row r="824" customFormat="false" ht="15" hidden="false" customHeight="false" outlineLevel="0" collapsed="false">
      <c r="A824" s="25" t="s">
        <v>60</v>
      </c>
      <c r="B824" s="25" t="s">
        <v>62</v>
      </c>
      <c r="C824" s="25" t="s">
        <v>50</v>
      </c>
      <c r="D824" s="25" t="n">
        <v>35</v>
      </c>
      <c r="E824" s="25" t="s">
        <v>686</v>
      </c>
      <c r="F824" s="25" t="s">
        <v>351</v>
      </c>
      <c r="G824" s="25" t="n">
        <v>1438</v>
      </c>
      <c r="H824" s="25" t="s">
        <v>711</v>
      </c>
      <c r="I824" s="25" t="n">
        <v>1</v>
      </c>
      <c r="J824" s="26" t="n">
        <v>3960</v>
      </c>
      <c r="K824" s="25" t="s">
        <v>546</v>
      </c>
      <c r="L824" s="25" t="s">
        <v>547</v>
      </c>
      <c r="M824" s="26" t="n">
        <f aca="false">IF(AND(L824="Oui",K824="Principal"),I824*J824,0)</f>
        <v>3960</v>
      </c>
      <c r="N824" s="25" t="s">
        <v>548</v>
      </c>
      <c r="O824" s="25"/>
      <c r="P824" s="25" t="s">
        <v>550</v>
      </c>
      <c r="Q824" s="25" t="s">
        <v>557</v>
      </c>
      <c r="R824" s="26" t="n">
        <v>2960</v>
      </c>
      <c r="S824" s="26" t="n">
        <f aca="false">IF(AND(L824="Oui",K824="Principal",R824&lt;&gt;""),I824*R824,0)</f>
        <v>2960</v>
      </c>
      <c r="T824" s="26" t="n">
        <f aca="false">IF(R824&lt;&gt;"",M824-S824,0)</f>
        <v>1000</v>
      </c>
      <c r="U824" s="26" t="n">
        <f aca="false">IF(R824="",M824,0)</f>
        <v>0</v>
      </c>
    </row>
    <row r="825" customFormat="false" ht="15" hidden="false" customHeight="false" outlineLevel="0" collapsed="false">
      <c r="A825" s="27" t="s">
        <v>60</v>
      </c>
      <c r="B825" s="27" t="s">
        <v>62</v>
      </c>
      <c r="C825" s="27" t="s">
        <v>50</v>
      </c>
      <c r="D825" s="27" t="n">
        <v>36</v>
      </c>
      <c r="E825" s="27" t="s">
        <v>686</v>
      </c>
      <c r="F825" s="27" t="s">
        <v>353</v>
      </c>
      <c r="G825" s="27"/>
      <c r="H825" s="27" t="s">
        <v>585</v>
      </c>
      <c r="I825" s="27" t="n">
        <v>1</v>
      </c>
      <c r="J825" s="28" t="n">
        <v>0</v>
      </c>
      <c r="K825" s="27" t="s">
        <v>546</v>
      </c>
      <c r="L825" s="27" t="s">
        <v>579</v>
      </c>
      <c r="M825" s="28" t="n">
        <f aca="false">IF(AND(L825="Oui",K825="Principal"),I825*J825,0)</f>
        <v>0</v>
      </c>
      <c r="N825" s="27" t="s">
        <v>128</v>
      </c>
      <c r="O825" s="27" t="s">
        <v>712</v>
      </c>
      <c r="P825" s="27"/>
      <c r="Q825" s="27"/>
      <c r="R825" s="28"/>
      <c r="S825" s="28" t="n">
        <f aca="false">IF(AND(L825="Oui",K825="Principal",R825&lt;&gt;""),I825*R825,0)</f>
        <v>0</v>
      </c>
      <c r="T825" s="28" t="n">
        <f aca="false">IF(R825&lt;&gt;"",M825-S825,0)</f>
        <v>0</v>
      </c>
      <c r="U825" s="28" t="n">
        <f aca="false">IF(R825="",M825,0)</f>
        <v>0</v>
      </c>
    </row>
    <row r="826" customFormat="false" ht="15" hidden="false" customHeight="false" outlineLevel="0" collapsed="false">
      <c r="A826" s="27" t="s">
        <v>60</v>
      </c>
      <c r="B826" s="27" t="s">
        <v>62</v>
      </c>
      <c r="C826" s="27" t="s">
        <v>50</v>
      </c>
      <c r="D826" s="27" t="n">
        <v>37</v>
      </c>
      <c r="E826" s="27" t="s">
        <v>588</v>
      </c>
      <c r="F826" s="27" t="s">
        <v>336</v>
      </c>
      <c r="G826" s="27"/>
      <c r="H826" s="27" t="s">
        <v>585</v>
      </c>
      <c r="I826" s="27" t="n">
        <v>1</v>
      </c>
      <c r="J826" s="28" t="n">
        <v>0</v>
      </c>
      <c r="K826" s="27" t="s">
        <v>546</v>
      </c>
      <c r="L826" s="27" t="s">
        <v>579</v>
      </c>
      <c r="M826" s="28" t="n">
        <f aca="false">IF(AND(L826="Oui",K826="Principal"),I826*J826,0)</f>
        <v>0</v>
      </c>
      <c r="N826" s="27" t="s">
        <v>128</v>
      </c>
      <c r="O826" s="27" t="s">
        <v>586</v>
      </c>
      <c r="P826" s="27"/>
      <c r="Q826" s="27"/>
      <c r="R826" s="28"/>
      <c r="S826" s="28" t="n">
        <f aca="false">IF(AND(L826="Oui",K826="Principal",R826&lt;&gt;""),I826*R826,0)</f>
        <v>0</v>
      </c>
      <c r="T826" s="28" t="n">
        <f aca="false">IF(R826&lt;&gt;"",M826-S826,0)</f>
        <v>0</v>
      </c>
      <c r="U826" s="28" t="n">
        <f aca="false">IF(R826="",M826,0)</f>
        <v>0</v>
      </c>
    </row>
    <row r="827" customFormat="false" ht="15" hidden="false" customHeight="false" outlineLevel="0" collapsed="false">
      <c r="A827" s="25" t="s">
        <v>60</v>
      </c>
      <c r="B827" s="25" t="s">
        <v>63</v>
      </c>
      <c r="C827" s="25" t="s">
        <v>48</v>
      </c>
      <c r="D827" s="25" t="n">
        <v>1</v>
      </c>
      <c r="E827" s="25" t="s">
        <v>544</v>
      </c>
      <c r="F827" s="25" t="s">
        <v>295</v>
      </c>
      <c r="G827" s="25" t="n">
        <v>1618</v>
      </c>
      <c r="H827" s="25" t="s">
        <v>600</v>
      </c>
      <c r="I827" s="25" t="n">
        <v>3</v>
      </c>
      <c r="J827" s="26" t="n">
        <v>450</v>
      </c>
      <c r="K827" s="25" t="s">
        <v>546</v>
      </c>
      <c r="L827" s="25" t="s">
        <v>547</v>
      </c>
      <c r="M827" s="26" t="n">
        <f aca="false">IF(AND(L827="Oui",K827="Principal"),I827*J827,0)</f>
        <v>1350</v>
      </c>
      <c r="N827" s="25" t="s">
        <v>548</v>
      </c>
      <c r="O827" s="25"/>
      <c r="P827" s="25" t="s">
        <v>556</v>
      </c>
      <c r="Q827" s="25" t="s">
        <v>557</v>
      </c>
      <c r="R827" s="26" t="n">
        <v>350</v>
      </c>
      <c r="S827" s="26" t="n">
        <f aca="false">IF(AND(L827="Oui",K827="Principal",R827&lt;&gt;""),I827*R827,0)</f>
        <v>1050</v>
      </c>
      <c r="T827" s="26" t="n">
        <f aca="false">IF(R827&lt;&gt;"",M827-S827,0)</f>
        <v>300</v>
      </c>
      <c r="U827" s="26" t="n">
        <f aca="false">IF(R827="",M827,0)</f>
        <v>0</v>
      </c>
    </row>
    <row r="828" customFormat="false" ht="15" hidden="false" customHeight="false" outlineLevel="0" collapsed="false">
      <c r="A828" s="25" t="s">
        <v>60</v>
      </c>
      <c r="B828" s="25" t="s">
        <v>63</v>
      </c>
      <c r="C828" s="25" t="s">
        <v>48</v>
      </c>
      <c r="D828" s="25" t="n">
        <v>2</v>
      </c>
      <c r="E828" s="25" t="s">
        <v>544</v>
      </c>
      <c r="F828" s="25" t="s">
        <v>296</v>
      </c>
      <c r="G828" s="25" t="n">
        <v>1</v>
      </c>
      <c r="H828" s="25" t="s">
        <v>681</v>
      </c>
      <c r="I828" s="25" t="n">
        <v>3</v>
      </c>
      <c r="J828" s="26" t="n">
        <v>500</v>
      </c>
      <c r="K828" s="25" t="s">
        <v>546</v>
      </c>
      <c r="L828" s="25" t="s">
        <v>547</v>
      </c>
      <c r="M828" s="26" t="n">
        <f aca="false">IF(AND(L828="Oui",K828="Principal"),I828*J828,0)</f>
        <v>1500</v>
      </c>
      <c r="N828" s="25" t="s">
        <v>548</v>
      </c>
      <c r="O828" s="25"/>
      <c r="P828" s="25" t="s">
        <v>559</v>
      </c>
      <c r="Q828" s="25" t="s">
        <v>551</v>
      </c>
      <c r="R828" s="26"/>
      <c r="S828" s="26" t="n">
        <f aca="false">IF(AND(L828="Oui",K828="Principal",R828&lt;&gt;""),I828*R828,0)</f>
        <v>0</v>
      </c>
      <c r="T828" s="26" t="n">
        <f aca="false">IF(R828&lt;&gt;"",M828-S828,0)</f>
        <v>0</v>
      </c>
      <c r="U828" s="26" t="n">
        <f aca="false">IF(R828="",M828,0)</f>
        <v>1500</v>
      </c>
    </row>
    <row r="829" customFormat="false" ht="15" hidden="false" customHeight="false" outlineLevel="0" collapsed="false">
      <c r="A829" s="25" t="s">
        <v>60</v>
      </c>
      <c r="B829" s="25" t="s">
        <v>63</v>
      </c>
      <c r="C829" s="25" t="s">
        <v>48</v>
      </c>
      <c r="D829" s="25" t="n">
        <v>3</v>
      </c>
      <c r="E829" s="25" t="s">
        <v>544</v>
      </c>
      <c r="F829" s="25" t="s">
        <v>298</v>
      </c>
      <c r="G829" s="25" t="n">
        <v>1576</v>
      </c>
      <c r="H829" s="25" t="s">
        <v>682</v>
      </c>
      <c r="I829" s="25" t="n">
        <v>4</v>
      </c>
      <c r="J829" s="26" t="n">
        <v>500</v>
      </c>
      <c r="K829" s="25" t="s">
        <v>546</v>
      </c>
      <c r="L829" s="25" t="s">
        <v>547</v>
      </c>
      <c r="M829" s="26" t="n">
        <f aca="false">IF(AND(L829="Oui",K829="Principal"),I829*J829,0)</f>
        <v>2000</v>
      </c>
      <c r="N829" s="25" t="s">
        <v>548</v>
      </c>
      <c r="O829" s="25"/>
      <c r="P829" s="25" t="s">
        <v>556</v>
      </c>
      <c r="Q829" s="25" t="s">
        <v>557</v>
      </c>
      <c r="R829" s="26" t="n">
        <v>400</v>
      </c>
      <c r="S829" s="26" t="n">
        <f aca="false">IF(AND(L829="Oui",K829="Principal",R829&lt;&gt;""),I829*R829,0)</f>
        <v>1600</v>
      </c>
      <c r="T829" s="26" t="n">
        <f aca="false">IF(R829&lt;&gt;"",M829-S829,0)</f>
        <v>400</v>
      </c>
      <c r="U829" s="26" t="n">
        <f aca="false">IF(R829="",M829,0)</f>
        <v>0</v>
      </c>
    </row>
    <row r="830" customFormat="false" ht="15" hidden="false" customHeight="false" outlineLevel="0" collapsed="false">
      <c r="A830" s="25" t="s">
        <v>60</v>
      </c>
      <c r="B830" s="25" t="s">
        <v>63</v>
      </c>
      <c r="C830" s="25" t="s">
        <v>48</v>
      </c>
      <c r="D830" s="25" t="n">
        <v>4</v>
      </c>
      <c r="E830" s="25" t="s">
        <v>544</v>
      </c>
      <c r="F830" s="25" t="s">
        <v>338</v>
      </c>
      <c r="G830" s="25" t="n">
        <v>2</v>
      </c>
      <c r="H830" s="25" t="s">
        <v>705</v>
      </c>
      <c r="I830" s="25" t="n">
        <v>1</v>
      </c>
      <c r="J830" s="26" t="n">
        <v>900</v>
      </c>
      <c r="K830" s="25" t="s">
        <v>546</v>
      </c>
      <c r="L830" s="25" t="s">
        <v>547</v>
      </c>
      <c r="M830" s="26" t="n">
        <f aca="false">IF(AND(L830="Oui",K830="Principal"),I830*J830,0)</f>
        <v>900</v>
      </c>
      <c r="N830" s="25" t="s">
        <v>548</v>
      </c>
      <c r="O830" s="25"/>
      <c r="P830" s="25" t="s">
        <v>559</v>
      </c>
      <c r="Q830" s="25" t="s">
        <v>551</v>
      </c>
      <c r="R830" s="26"/>
      <c r="S830" s="26" t="n">
        <f aca="false">IF(AND(L830="Oui",K830="Principal",R830&lt;&gt;""),I830*R830,0)</f>
        <v>0</v>
      </c>
      <c r="T830" s="26" t="n">
        <f aca="false">IF(R830&lt;&gt;"",M830-S830,0)</f>
        <v>0</v>
      </c>
      <c r="U830" s="26" t="n">
        <f aca="false">IF(R830="",M830,0)</f>
        <v>900</v>
      </c>
    </row>
    <row r="831" customFormat="false" ht="15" hidden="false" customHeight="false" outlineLevel="0" collapsed="false">
      <c r="A831" s="25" t="s">
        <v>60</v>
      </c>
      <c r="B831" s="25" t="s">
        <v>63</v>
      </c>
      <c r="C831" s="25" t="s">
        <v>48</v>
      </c>
      <c r="D831" s="25" t="n">
        <v>5</v>
      </c>
      <c r="E831" s="25" t="s">
        <v>544</v>
      </c>
      <c r="F831" s="25" t="s">
        <v>301</v>
      </c>
      <c r="G831" s="25" t="n">
        <v>1728</v>
      </c>
      <c r="H831" s="25" t="s">
        <v>545</v>
      </c>
      <c r="I831" s="25" t="n">
        <v>1</v>
      </c>
      <c r="J831" s="26" t="n">
        <v>900</v>
      </c>
      <c r="K831" s="25" t="s">
        <v>546</v>
      </c>
      <c r="L831" s="25" t="s">
        <v>547</v>
      </c>
      <c r="M831" s="26" t="n">
        <f aca="false">IF(AND(L831="Oui",K831="Principal"),I831*J831,0)</f>
        <v>900</v>
      </c>
      <c r="N831" s="25" t="s">
        <v>548</v>
      </c>
      <c r="O831" s="25"/>
      <c r="P831" s="25" t="s">
        <v>550</v>
      </c>
      <c r="Q831" s="25" t="s">
        <v>551</v>
      </c>
      <c r="R831" s="26"/>
      <c r="S831" s="26" t="n">
        <f aca="false">IF(AND(L831="Oui",K831="Principal",R831&lt;&gt;""),I831*R831,0)</f>
        <v>0</v>
      </c>
      <c r="T831" s="26" t="n">
        <f aca="false">IF(R831&lt;&gt;"",M831-S831,0)</f>
        <v>0</v>
      </c>
      <c r="U831" s="26" t="n">
        <f aca="false">IF(R831="",M831,0)</f>
        <v>900</v>
      </c>
    </row>
    <row r="832" customFormat="false" ht="15" hidden="false" customHeight="false" outlineLevel="0" collapsed="false">
      <c r="A832" s="33" t="s">
        <v>60</v>
      </c>
      <c r="B832" s="33" t="s">
        <v>63</v>
      </c>
      <c r="C832" s="33" t="s">
        <v>48</v>
      </c>
      <c r="D832" s="33" t="n">
        <v>6</v>
      </c>
      <c r="E832" s="33" t="s">
        <v>544</v>
      </c>
      <c r="F832" s="33" t="s">
        <v>302</v>
      </c>
      <c r="G832" s="33" t="n">
        <v>1271</v>
      </c>
      <c r="H832" s="33" t="s">
        <v>683</v>
      </c>
      <c r="I832" s="33" t="n">
        <v>1</v>
      </c>
      <c r="J832" s="34" t="n">
        <v>1150</v>
      </c>
      <c r="K832" s="33" t="s">
        <v>546</v>
      </c>
      <c r="L832" s="33" t="s">
        <v>547</v>
      </c>
      <c r="M832" s="34" t="n">
        <f aca="false">IF(AND(L832="Oui",K832="Principal"),I832*J832,0)</f>
        <v>1150</v>
      </c>
      <c r="N832" s="33" t="s">
        <v>182</v>
      </c>
      <c r="O832" s="33" t="s">
        <v>684</v>
      </c>
      <c r="P832" s="33" t="s">
        <v>550</v>
      </c>
      <c r="Q832" s="33" t="s">
        <v>557</v>
      </c>
      <c r="R832" s="34" t="n">
        <v>850</v>
      </c>
      <c r="S832" s="34" t="n">
        <f aca="false">IF(AND(L832="Oui",K832="Principal",R832&lt;&gt;""),I832*R832,0)</f>
        <v>850</v>
      </c>
      <c r="T832" s="34" t="n">
        <f aca="false">IF(R832&lt;&gt;"",M832-S832,0)</f>
        <v>300</v>
      </c>
      <c r="U832" s="34" t="n">
        <f aca="false">IF(R832="",M832,0)</f>
        <v>0</v>
      </c>
    </row>
    <row r="833" customFormat="false" ht="15" hidden="false" customHeight="false" outlineLevel="0" collapsed="false">
      <c r="A833" s="25" t="s">
        <v>60</v>
      </c>
      <c r="B833" s="25" t="s">
        <v>63</v>
      </c>
      <c r="C833" s="25" t="s">
        <v>48</v>
      </c>
      <c r="D833" s="25" t="n">
        <v>7</v>
      </c>
      <c r="E833" s="25" t="s">
        <v>563</v>
      </c>
      <c r="F833" s="25" t="s">
        <v>255</v>
      </c>
      <c r="G833" s="25" t="n">
        <v>1636</v>
      </c>
      <c r="H833" s="25" t="s">
        <v>661</v>
      </c>
      <c r="I833" s="25" t="n">
        <v>1</v>
      </c>
      <c r="J833" s="26" t="n">
        <v>400</v>
      </c>
      <c r="K833" s="25" t="s">
        <v>546</v>
      </c>
      <c r="L833" s="25" t="s">
        <v>547</v>
      </c>
      <c r="M833" s="26" t="n">
        <f aca="false">IF(AND(L833="Oui",K833="Principal"),I833*J833,0)</f>
        <v>400</v>
      </c>
      <c r="N833" s="25" t="s">
        <v>548</v>
      </c>
      <c r="O833" s="25"/>
      <c r="P833" s="25" t="s">
        <v>556</v>
      </c>
      <c r="Q833" s="25" t="s">
        <v>557</v>
      </c>
      <c r="R833" s="26" t="n">
        <v>320</v>
      </c>
      <c r="S833" s="26" t="n">
        <f aca="false">IF(AND(L833="Oui",K833="Principal",R833&lt;&gt;""),I833*R833,0)</f>
        <v>320</v>
      </c>
      <c r="T833" s="26" t="n">
        <f aca="false">IF(R833&lt;&gt;"",M833-S833,0)</f>
        <v>80</v>
      </c>
      <c r="U833" s="26" t="n">
        <f aca="false">IF(R833="",M833,0)</f>
        <v>0</v>
      </c>
    </row>
    <row r="834" customFormat="false" ht="15" hidden="false" customHeight="false" outlineLevel="0" collapsed="false">
      <c r="A834" s="25" t="s">
        <v>60</v>
      </c>
      <c r="B834" s="25" t="s">
        <v>63</v>
      </c>
      <c r="C834" s="25" t="s">
        <v>48</v>
      </c>
      <c r="D834" s="25" t="n">
        <v>8</v>
      </c>
      <c r="E834" s="25" t="s">
        <v>563</v>
      </c>
      <c r="F834" s="25" t="s">
        <v>257</v>
      </c>
      <c r="G834" s="25" t="n">
        <v>1635</v>
      </c>
      <c r="H834" s="25" t="s">
        <v>607</v>
      </c>
      <c r="I834" s="25" t="n">
        <v>1</v>
      </c>
      <c r="J834" s="26" t="n">
        <v>100</v>
      </c>
      <c r="K834" s="25" t="s">
        <v>546</v>
      </c>
      <c r="L834" s="25" t="s">
        <v>547</v>
      </c>
      <c r="M834" s="26" t="n">
        <f aca="false">IF(AND(L834="Oui",K834="Principal"),I834*J834,0)</f>
        <v>100</v>
      </c>
      <c r="N834" s="25" t="s">
        <v>548</v>
      </c>
      <c r="O834" s="25"/>
      <c r="P834" s="25" t="s">
        <v>556</v>
      </c>
      <c r="Q834" s="25" t="s">
        <v>557</v>
      </c>
      <c r="R834" s="26" t="n">
        <v>80</v>
      </c>
      <c r="S834" s="26" t="n">
        <f aca="false">IF(AND(L834="Oui",K834="Principal",R834&lt;&gt;""),I834*R834,0)</f>
        <v>80</v>
      </c>
      <c r="T834" s="26" t="n">
        <f aca="false">IF(R834&lt;&gt;"",M834-S834,0)</f>
        <v>20</v>
      </c>
      <c r="U834" s="26" t="n">
        <f aca="false">IF(R834="",M834,0)</f>
        <v>0</v>
      </c>
    </row>
    <row r="835" customFormat="false" ht="15" hidden="false" customHeight="false" outlineLevel="0" collapsed="false">
      <c r="A835" s="25" t="s">
        <v>60</v>
      </c>
      <c r="B835" s="25" t="s">
        <v>63</v>
      </c>
      <c r="C835" s="25" t="s">
        <v>48</v>
      </c>
      <c r="D835" s="25" t="n">
        <v>9</v>
      </c>
      <c r="E835" s="25" t="s">
        <v>563</v>
      </c>
      <c r="F835" s="25" t="s">
        <v>97</v>
      </c>
      <c r="G835" s="25" t="n">
        <v>1571</v>
      </c>
      <c r="H835" s="25" t="s">
        <v>564</v>
      </c>
      <c r="I835" s="25" t="n">
        <v>2</v>
      </c>
      <c r="J835" s="26" t="n">
        <v>75</v>
      </c>
      <c r="K835" s="25" t="s">
        <v>546</v>
      </c>
      <c r="L835" s="25" t="s">
        <v>547</v>
      </c>
      <c r="M835" s="26" t="n">
        <f aca="false">IF(AND(L835="Oui",K835="Principal"),I835*J835,0)</f>
        <v>150</v>
      </c>
      <c r="N835" s="25" t="s">
        <v>548</v>
      </c>
      <c r="O835" s="25"/>
      <c r="P835" s="25" t="s">
        <v>550</v>
      </c>
      <c r="Q835" s="25" t="s">
        <v>557</v>
      </c>
      <c r="R835" s="26"/>
      <c r="S835" s="26" t="n">
        <f aca="false">IF(AND(L835="Oui",K835="Principal",R835&lt;&gt;""),I835*R835,0)</f>
        <v>0</v>
      </c>
      <c r="T835" s="26" t="n">
        <f aca="false">IF(R835&lt;&gt;"",M835-S835,0)</f>
        <v>0</v>
      </c>
      <c r="U835" s="26" t="n">
        <f aca="false">IF(R835="",M835,0)</f>
        <v>150</v>
      </c>
    </row>
    <row r="836" customFormat="false" ht="15" hidden="false" customHeight="false" outlineLevel="0" collapsed="false">
      <c r="A836" s="25" t="s">
        <v>60</v>
      </c>
      <c r="B836" s="25" t="s">
        <v>63</v>
      </c>
      <c r="C836" s="25" t="s">
        <v>48</v>
      </c>
      <c r="D836" s="25" t="n">
        <v>10</v>
      </c>
      <c r="E836" s="25" t="s">
        <v>565</v>
      </c>
      <c r="F836" s="25" t="s">
        <v>99</v>
      </c>
      <c r="G836" s="25" t="n">
        <v>9</v>
      </c>
      <c r="H836" s="25" t="s">
        <v>566</v>
      </c>
      <c r="I836" s="25" t="n">
        <v>1</v>
      </c>
      <c r="J836" s="26" t="n">
        <v>150</v>
      </c>
      <c r="K836" s="25" t="s">
        <v>546</v>
      </c>
      <c r="L836" s="25" t="s">
        <v>547</v>
      </c>
      <c r="M836" s="26" t="n">
        <f aca="false">IF(AND(L836="Oui",K836="Principal"),I836*J836,0)</f>
        <v>150</v>
      </c>
      <c r="N836" s="25" t="s">
        <v>548</v>
      </c>
      <c r="O836" s="25"/>
      <c r="P836" s="25" t="s">
        <v>559</v>
      </c>
      <c r="Q836" s="25" t="s">
        <v>551</v>
      </c>
      <c r="R836" s="26"/>
      <c r="S836" s="26" t="n">
        <f aca="false">IF(AND(L836="Oui",K836="Principal",R836&lt;&gt;""),I836*R836,0)</f>
        <v>0</v>
      </c>
      <c r="T836" s="26" t="n">
        <f aca="false">IF(R836&lt;&gt;"",M836-S836,0)</f>
        <v>0</v>
      </c>
      <c r="U836" s="26" t="n">
        <f aca="false">IF(R836="",M836,0)</f>
        <v>150</v>
      </c>
    </row>
    <row r="837" customFormat="false" ht="15" hidden="false" customHeight="false" outlineLevel="0" collapsed="false">
      <c r="A837" s="25" t="s">
        <v>60</v>
      </c>
      <c r="B837" s="25" t="s">
        <v>63</v>
      </c>
      <c r="C837" s="25" t="s">
        <v>48</v>
      </c>
      <c r="D837" s="25" t="n">
        <v>11</v>
      </c>
      <c r="E837" s="25" t="s">
        <v>565</v>
      </c>
      <c r="F837" s="25" t="s">
        <v>164</v>
      </c>
      <c r="G837" s="25" t="n">
        <v>10</v>
      </c>
      <c r="H837" s="25" t="s">
        <v>608</v>
      </c>
      <c r="I837" s="25" t="n">
        <v>1</v>
      </c>
      <c r="J837" s="26" t="n">
        <v>200</v>
      </c>
      <c r="K837" s="25" t="s">
        <v>546</v>
      </c>
      <c r="L837" s="25" t="s">
        <v>547</v>
      </c>
      <c r="M837" s="26" t="n">
        <f aca="false">IF(AND(L837="Oui",K837="Principal"),I837*J837,0)</f>
        <v>200</v>
      </c>
      <c r="N837" s="25" t="s">
        <v>548</v>
      </c>
      <c r="O837" s="25"/>
      <c r="P837" s="25" t="s">
        <v>559</v>
      </c>
      <c r="Q837" s="25" t="s">
        <v>551</v>
      </c>
      <c r="R837" s="26"/>
      <c r="S837" s="26" t="n">
        <f aca="false">IF(AND(L837="Oui",K837="Principal",R837&lt;&gt;""),I837*R837,0)</f>
        <v>0</v>
      </c>
      <c r="T837" s="26" t="n">
        <f aca="false">IF(R837&lt;&gt;"",M837-S837,0)</f>
        <v>0</v>
      </c>
      <c r="U837" s="26" t="n">
        <f aca="false">IF(R837="",M837,0)</f>
        <v>200</v>
      </c>
    </row>
    <row r="838" customFormat="false" ht="15" hidden="false" customHeight="false" outlineLevel="0" collapsed="false">
      <c r="A838" s="25" t="s">
        <v>60</v>
      </c>
      <c r="B838" s="25" t="s">
        <v>63</v>
      </c>
      <c r="C838" s="25" t="s">
        <v>48</v>
      </c>
      <c r="D838" s="25" t="n">
        <v>12</v>
      </c>
      <c r="E838" s="25" t="s">
        <v>565</v>
      </c>
      <c r="F838" s="25" t="s">
        <v>166</v>
      </c>
      <c r="G838" s="25" t="n">
        <v>1173</v>
      </c>
      <c r="H838" s="25" t="s">
        <v>569</v>
      </c>
      <c r="I838" s="25" t="n">
        <v>1</v>
      </c>
      <c r="J838" s="26" t="n">
        <v>570</v>
      </c>
      <c r="K838" s="25" t="s">
        <v>546</v>
      </c>
      <c r="L838" s="25" t="s">
        <v>547</v>
      </c>
      <c r="M838" s="26" t="n">
        <f aca="false">IF(AND(L838="Oui",K838="Principal"),I838*J838,0)</f>
        <v>570</v>
      </c>
      <c r="N838" s="25" t="s">
        <v>548</v>
      </c>
      <c r="O838" s="25"/>
      <c r="P838" s="25" t="s">
        <v>550</v>
      </c>
      <c r="Q838" s="25" t="s">
        <v>557</v>
      </c>
      <c r="R838" s="26" t="n">
        <v>420</v>
      </c>
      <c r="S838" s="26" t="n">
        <f aca="false">IF(AND(L838="Oui",K838="Principal",R838&lt;&gt;""),I838*R838,0)</f>
        <v>420</v>
      </c>
      <c r="T838" s="26" t="n">
        <f aca="false">IF(R838&lt;&gt;"",M838-S838,0)</f>
        <v>150</v>
      </c>
      <c r="U838" s="26" t="n">
        <f aca="false">IF(R838="",M838,0)</f>
        <v>0</v>
      </c>
    </row>
    <row r="839" customFormat="false" ht="15" hidden="false" customHeight="false" outlineLevel="0" collapsed="false">
      <c r="A839" s="25" t="s">
        <v>60</v>
      </c>
      <c r="B839" s="25" t="s">
        <v>63</v>
      </c>
      <c r="C839" s="25" t="s">
        <v>48</v>
      </c>
      <c r="D839" s="25" t="n">
        <v>13</v>
      </c>
      <c r="E839" s="25" t="s">
        <v>565</v>
      </c>
      <c r="F839" s="25" t="s">
        <v>304</v>
      </c>
      <c r="G839" s="25" t="n">
        <v>1250</v>
      </c>
      <c r="H839" s="25" t="s">
        <v>570</v>
      </c>
      <c r="I839" s="25" t="n">
        <v>1</v>
      </c>
      <c r="J839" s="26" t="n">
        <v>250</v>
      </c>
      <c r="K839" s="25" t="s">
        <v>546</v>
      </c>
      <c r="L839" s="25" t="s">
        <v>547</v>
      </c>
      <c r="M839" s="26" t="n">
        <f aca="false">IF(AND(L839="Oui",K839="Principal"),I839*J839,0)</f>
        <v>250</v>
      </c>
      <c r="N839" s="25" t="s">
        <v>548</v>
      </c>
      <c r="O839" s="25"/>
      <c r="P839" s="25" t="s">
        <v>550</v>
      </c>
      <c r="Q839" s="25" t="s">
        <v>557</v>
      </c>
      <c r="R839" s="26" t="n">
        <v>100</v>
      </c>
      <c r="S839" s="26" t="n">
        <f aca="false">IF(AND(L839="Oui",K839="Principal",R839&lt;&gt;""),I839*R839,0)</f>
        <v>100</v>
      </c>
      <c r="T839" s="26" t="n">
        <f aca="false">IF(R839&lt;&gt;"",M839-S839,0)</f>
        <v>150</v>
      </c>
      <c r="U839" s="26" t="n">
        <f aca="false">IF(R839="",M839,0)</f>
        <v>0</v>
      </c>
    </row>
    <row r="840" customFormat="false" ht="15" hidden="false" customHeight="false" outlineLevel="0" collapsed="false">
      <c r="A840" s="33" t="s">
        <v>60</v>
      </c>
      <c r="B840" s="33" t="s">
        <v>63</v>
      </c>
      <c r="C840" s="33" t="s">
        <v>48</v>
      </c>
      <c r="D840" s="33" t="n">
        <v>14</v>
      </c>
      <c r="E840" s="33" t="s">
        <v>609</v>
      </c>
      <c r="F840" s="33" t="s">
        <v>199</v>
      </c>
      <c r="G840" s="33" t="n">
        <v>1229</v>
      </c>
      <c r="H840" s="33" t="s">
        <v>643</v>
      </c>
      <c r="I840" s="33" t="n">
        <v>1</v>
      </c>
      <c r="J840" s="34" t="n">
        <v>1800</v>
      </c>
      <c r="K840" s="33" t="s">
        <v>546</v>
      </c>
      <c r="L840" s="33" t="s">
        <v>547</v>
      </c>
      <c r="M840" s="34" t="n">
        <f aca="false">IF(AND(L840="Oui",K840="Principal"),I840*J840,0)</f>
        <v>1800</v>
      </c>
      <c r="N840" s="33" t="s">
        <v>182</v>
      </c>
      <c r="O840" s="33" t="s">
        <v>644</v>
      </c>
      <c r="P840" s="33" t="s">
        <v>550</v>
      </c>
      <c r="Q840" s="33" t="s">
        <v>557</v>
      </c>
      <c r="R840" s="34" t="n">
        <v>1500</v>
      </c>
      <c r="S840" s="34" t="n">
        <f aca="false">IF(AND(L840="Oui",K840="Principal",R840&lt;&gt;""),I840*R840,0)</f>
        <v>1500</v>
      </c>
      <c r="T840" s="34" t="n">
        <f aca="false">IF(R840&lt;&gt;"",M840-S840,0)</f>
        <v>300</v>
      </c>
      <c r="U840" s="34" t="n">
        <f aca="false">IF(R840="",M840,0)</f>
        <v>0</v>
      </c>
    </row>
    <row r="841" customFormat="false" ht="15" hidden="false" customHeight="false" outlineLevel="0" collapsed="false">
      <c r="A841" s="25" t="s">
        <v>60</v>
      </c>
      <c r="B841" s="25" t="s">
        <v>63</v>
      </c>
      <c r="C841" s="25" t="s">
        <v>48</v>
      </c>
      <c r="D841" s="25" t="n">
        <v>15</v>
      </c>
      <c r="E841" s="25" t="s">
        <v>609</v>
      </c>
      <c r="F841" s="25" t="s">
        <v>305</v>
      </c>
      <c r="G841" s="25" t="n">
        <v>1187</v>
      </c>
      <c r="H841" s="25" t="s">
        <v>685</v>
      </c>
      <c r="I841" s="25" t="n">
        <v>1</v>
      </c>
      <c r="J841" s="26" t="n">
        <v>2800</v>
      </c>
      <c r="K841" s="25" t="s">
        <v>546</v>
      </c>
      <c r="L841" s="25" t="s">
        <v>547</v>
      </c>
      <c r="M841" s="26" t="n">
        <f aca="false">IF(AND(L841="Oui",K841="Principal"),I841*J841,0)</f>
        <v>2800</v>
      </c>
      <c r="N841" s="25" t="s">
        <v>548</v>
      </c>
      <c r="O841" s="25"/>
      <c r="P841" s="25" t="s">
        <v>550</v>
      </c>
      <c r="Q841" s="25" t="s">
        <v>557</v>
      </c>
      <c r="R841" s="26" t="n">
        <v>1100</v>
      </c>
      <c r="S841" s="26" t="n">
        <f aca="false">IF(AND(L841="Oui",K841="Principal",R841&lt;&gt;""),I841*R841,0)</f>
        <v>1100</v>
      </c>
      <c r="T841" s="26" t="n">
        <f aca="false">IF(R841&lt;&gt;"",M841-S841,0)</f>
        <v>1700</v>
      </c>
      <c r="U841" s="26" t="n">
        <f aca="false">IF(R841="",M841,0)</f>
        <v>0</v>
      </c>
    </row>
    <row r="842" customFormat="false" ht="15" hidden="false" customHeight="false" outlineLevel="0" collapsed="false">
      <c r="A842" s="25" t="s">
        <v>60</v>
      </c>
      <c r="B842" s="25" t="s">
        <v>63</v>
      </c>
      <c r="C842" s="25" t="s">
        <v>48</v>
      </c>
      <c r="D842" s="25" t="n">
        <v>16</v>
      </c>
      <c r="E842" s="25" t="s">
        <v>573</v>
      </c>
      <c r="F842" s="25" t="s">
        <v>176</v>
      </c>
      <c r="G842" s="25" t="n">
        <v>19</v>
      </c>
      <c r="H842" s="25" t="s">
        <v>615</v>
      </c>
      <c r="I842" s="25" t="n">
        <v>1</v>
      </c>
      <c r="J842" s="26" t="n">
        <v>2500</v>
      </c>
      <c r="K842" s="25" t="s">
        <v>546</v>
      </c>
      <c r="L842" s="25" t="s">
        <v>547</v>
      </c>
      <c r="M842" s="26" t="n">
        <f aca="false">IF(AND(L842="Oui",K842="Principal"),I842*J842,0)</f>
        <v>2500</v>
      </c>
      <c r="N842" s="25" t="s">
        <v>548</v>
      </c>
      <c r="O842" s="25"/>
      <c r="P842" s="25" t="s">
        <v>559</v>
      </c>
      <c r="Q842" s="25" t="s">
        <v>551</v>
      </c>
      <c r="R842" s="26"/>
      <c r="S842" s="26" t="n">
        <f aca="false">IF(AND(L842="Oui",K842="Principal",R842&lt;&gt;""),I842*R842,0)</f>
        <v>0</v>
      </c>
      <c r="T842" s="26" t="n">
        <f aca="false">IF(R842&lt;&gt;"",M842-S842,0)</f>
        <v>0</v>
      </c>
      <c r="U842" s="26" t="n">
        <f aca="false">IF(R842="",M842,0)</f>
        <v>2500</v>
      </c>
    </row>
    <row r="843" customFormat="false" ht="15" hidden="false" customHeight="false" outlineLevel="0" collapsed="false">
      <c r="A843" s="27" t="s">
        <v>60</v>
      </c>
      <c r="B843" s="27" t="s">
        <v>63</v>
      </c>
      <c r="C843" s="27" t="s">
        <v>48</v>
      </c>
      <c r="D843" s="27" t="n">
        <v>17</v>
      </c>
      <c r="E843" s="27" t="s">
        <v>686</v>
      </c>
      <c r="F843" s="27" t="s">
        <v>363</v>
      </c>
      <c r="G843" s="27"/>
      <c r="H843" s="27" t="s">
        <v>585</v>
      </c>
      <c r="I843" s="27" t="n">
        <v>1</v>
      </c>
      <c r="J843" s="28" t="n">
        <v>0</v>
      </c>
      <c r="K843" s="27" t="s">
        <v>618</v>
      </c>
      <c r="L843" s="27" t="s">
        <v>579</v>
      </c>
      <c r="M843" s="28" t="n">
        <f aca="false">IF(AND(L843="Oui",K843="Principal"),I843*J843,0)</f>
        <v>0</v>
      </c>
      <c r="N843" s="27" t="s">
        <v>128</v>
      </c>
      <c r="O843" s="27" t="s">
        <v>718</v>
      </c>
      <c r="P843" s="27"/>
      <c r="Q843" s="27"/>
      <c r="R843" s="28"/>
      <c r="S843" s="28" t="n">
        <f aca="false">IF(AND(L843="Oui",K843="Principal",R843&lt;&gt;""),I843*R843,0)</f>
        <v>0</v>
      </c>
      <c r="T843" s="28" t="n">
        <f aca="false">IF(R843&lt;&gt;"",M843-S843,0)</f>
        <v>0</v>
      </c>
      <c r="U843" s="28" t="n">
        <f aca="false">IF(R843="",M843,0)</f>
        <v>0</v>
      </c>
    </row>
    <row r="844" customFormat="false" ht="15" hidden="false" customHeight="false" outlineLevel="0" collapsed="false">
      <c r="A844" s="25" t="s">
        <v>60</v>
      </c>
      <c r="B844" s="25" t="s">
        <v>63</v>
      </c>
      <c r="C844" s="25" t="s">
        <v>48</v>
      </c>
      <c r="D844" s="25" t="n">
        <v>18</v>
      </c>
      <c r="E844" s="25" t="s">
        <v>686</v>
      </c>
      <c r="F844" s="25" t="s">
        <v>364</v>
      </c>
      <c r="G844" s="25" t="n">
        <v>1350</v>
      </c>
      <c r="H844" s="25" t="s">
        <v>719</v>
      </c>
      <c r="I844" s="25" t="n">
        <v>1</v>
      </c>
      <c r="J844" s="26" t="n">
        <v>4000</v>
      </c>
      <c r="K844" s="25" t="s">
        <v>618</v>
      </c>
      <c r="L844" s="25" t="s">
        <v>579</v>
      </c>
      <c r="M844" s="26" t="n">
        <f aca="false">IF(AND(L844="Oui",K844="Principal"),I844*J844,0)</f>
        <v>0</v>
      </c>
      <c r="N844" s="25" t="s">
        <v>548</v>
      </c>
      <c r="O844" s="25"/>
      <c r="P844" s="25" t="s">
        <v>550</v>
      </c>
      <c r="Q844" s="25" t="s">
        <v>557</v>
      </c>
      <c r="R844" s="26" t="n">
        <v>3000</v>
      </c>
      <c r="S844" s="26" t="n">
        <f aca="false">IF(AND(L844="Oui",K844="Principal",R844&lt;&gt;""),I844*R844,0)</f>
        <v>0</v>
      </c>
      <c r="T844" s="26" t="n">
        <f aca="false">IF(R844&lt;&gt;"",M844-S844,0)</f>
        <v>0</v>
      </c>
      <c r="U844" s="26" t="n">
        <f aca="false">IF(R844="",M844,0)</f>
        <v>0</v>
      </c>
    </row>
    <row r="845" customFormat="false" ht="15" hidden="false" customHeight="false" outlineLevel="0" collapsed="false">
      <c r="A845" s="25" t="s">
        <v>60</v>
      </c>
      <c r="B845" s="25" t="s">
        <v>63</v>
      </c>
      <c r="C845" s="25" t="s">
        <v>48</v>
      </c>
      <c r="D845" s="25" t="n">
        <v>19</v>
      </c>
      <c r="E845" s="25" t="s">
        <v>689</v>
      </c>
      <c r="F845" s="25" t="s">
        <v>366</v>
      </c>
      <c r="G845" s="25" t="n">
        <v>1312</v>
      </c>
      <c r="H845" s="25" t="s">
        <v>720</v>
      </c>
      <c r="I845" s="25" t="n">
        <v>1</v>
      </c>
      <c r="J845" s="26" t="n">
        <v>3500</v>
      </c>
      <c r="K845" s="25" t="s">
        <v>618</v>
      </c>
      <c r="L845" s="25" t="s">
        <v>579</v>
      </c>
      <c r="M845" s="26" t="n">
        <f aca="false">IF(AND(L845="Oui",K845="Principal"),I845*J845,0)</f>
        <v>0</v>
      </c>
      <c r="N845" s="25" t="s">
        <v>548</v>
      </c>
      <c r="O845" s="25"/>
      <c r="P845" s="25" t="s">
        <v>550</v>
      </c>
      <c r="Q845" s="25" t="s">
        <v>557</v>
      </c>
      <c r="R845" s="26" t="n">
        <v>2500</v>
      </c>
      <c r="S845" s="26" t="n">
        <f aca="false">IF(AND(L845="Oui",K845="Principal",R845&lt;&gt;""),I845*R845,0)</f>
        <v>0</v>
      </c>
      <c r="T845" s="26" t="n">
        <f aca="false">IF(R845&lt;&gt;"",M845-S845,0)</f>
        <v>0</v>
      </c>
      <c r="U845" s="26" t="n">
        <f aca="false">IF(R845="",M845,0)</f>
        <v>0</v>
      </c>
    </row>
    <row r="846" customFormat="false" ht="15" hidden="false" customHeight="false" outlineLevel="0" collapsed="false">
      <c r="A846" s="25" t="s">
        <v>60</v>
      </c>
      <c r="B846" s="25" t="s">
        <v>63</v>
      </c>
      <c r="C846" s="25" t="s">
        <v>48</v>
      </c>
      <c r="D846" s="25" t="n">
        <v>20</v>
      </c>
      <c r="E846" s="25" t="s">
        <v>689</v>
      </c>
      <c r="F846" s="25" t="s">
        <v>368</v>
      </c>
      <c r="G846" s="25" t="n">
        <v>1313</v>
      </c>
      <c r="H846" s="25" t="s">
        <v>721</v>
      </c>
      <c r="I846" s="25" t="n">
        <v>1</v>
      </c>
      <c r="J846" s="26" t="n">
        <v>3500</v>
      </c>
      <c r="K846" s="25" t="s">
        <v>618</v>
      </c>
      <c r="L846" s="25" t="s">
        <v>579</v>
      </c>
      <c r="M846" s="26" t="n">
        <f aca="false">IF(AND(L846="Oui",K846="Principal"),I846*J846,0)</f>
        <v>0</v>
      </c>
      <c r="N846" s="25" t="s">
        <v>548</v>
      </c>
      <c r="O846" s="25"/>
      <c r="P846" s="25" t="s">
        <v>550</v>
      </c>
      <c r="Q846" s="25" t="s">
        <v>557</v>
      </c>
      <c r="R846" s="26" t="n">
        <v>2500</v>
      </c>
      <c r="S846" s="26" t="n">
        <f aca="false">IF(AND(L846="Oui",K846="Principal",R846&lt;&gt;""),I846*R846,0)</f>
        <v>0</v>
      </c>
      <c r="T846" s="26" t="n">
        <f aca="false">IF(R846&lt;&gt;"",M846-S846,0)</f>
        <v>0</v>
      </c>
      <c r="U846" s="26" t="n">
        <f aca="false">IF(R846="",M846,0)</f>
        <v>0</v>
      </c>
    </row>
    <row r="847" customFormat="false" ht="15" hidden="false" customHeight="false" outlineLevel="0" collapsed="false">
      <c r="A847" s="25" t="s">
        <v>60</v>
      </c>
      <c r="B847" s="25" t="s">
        <v>63</v>
      </c>
      <c r="C847" s="25" t="s">
        <v>48</v>
      </c>
      <c r="D847" s="25" t="n">
        <v>21</v>
      </c>
      <c r="E847" s="25" t="s">
        <v>686</v>
      </c>
      <c r="F847" s="25" t="s">
        <v>370</v>
      </c>
      <c r="G847" s="25" t="n">
        <v>1445</v>
      </c>
      <c r="H847" s="25" t="s">
        <v>722</v>
      </c>
      <c r="I847" s="25" t="n">
        <v>1</v>
      </c>
      <c r="J847" s="26" t="n">
        <v>3960</v>
      </c>
      <c r="K847" s="25" t="s">
        <v>618</v>
      </c>
      <c r="L847" s="25" t="s">
        <v>579</v>
      </c>
      <c r="M847" s="26" t="n">
        <f aca="false">IF(AND(L847="Oui",K847="Principal"),I847*J847,0)</f>
        <v>0</v>
      </c>
      <c r="N847" s="25" t="s">
        <v>548</v>
      </c>
      <c r="O847" s="25"/>
      <c r="P847" s="25" t="s">
        <v>550</v>
      </c>
      <c r="Q847" s="25" t="s">
        <v>557</v>
      </c>
      <c r="R847" s="26" t="n">
        <v>2960</v>
      </c>
      <c r="S847" s="26" t="n">
        <f aca="false">IF(AND(L847="Oui",K847="Principal",R847&lt;&gt;""),I847*R847,0)</f>
        <v>0</v>
      </c>
      <c r="T847" s="26" t="n">
        <f aca="false">IF(R847&lt;&gt;"",M847-S847,0)</f>
        <v>0</v>
      </c>
      <c r="U847" s="26" t="n">
        <f aca="false">IF(R847="",M847,0)</f>
        <v>0</v>
      </c>
    </row>
    <row r="848" customFormat="false" ht="15" hidden="false" customHeight="false" outlineLevel="0" collapsed="false">
      <c r="A848" s="25" t="s">
        <v>60</v>
      </c>
      <c r="B848" s="25" t="s">
        <v>63</v>
      </c>
      <c r="C848" s="25" t="s">
        <v>48</v>
      </c>
      <c r="D848" s="25" t="n">
        <v>22</v>
      </c>
      <c r="E848" s="25" t="s">
        <v>686</v>
      </c>
      <c r="F848" s="25" t="s">
        <v>372</v>
      </c>
      <c r="G848" s="25" t="n">
        <v>1564</v>
      </c>
      <c r="H848" s="25" t="s">
        <v>723</v>
      </c>
      <c r="I848" s="25" t="n">
        <v>1</v>
      </c>
      <c r="J848" s="26" t="n">
        <v>3960</v>
      </c>
      <c r="K848" s="25" t="s">
        <v>618</v>
      </c>
      <c r="L848" s="25" t="s">
        <v>579</v>
      </c>
      <c r="M848" s="26" t="n">
        <f aca="false">IF(AND(L848="Oui",K848="Principal"),I848*J848,0)</f>
        <v>0</v>
      </c>
      <c r="N848" s="25" t="s">
        <v>548</v>
      </c>
      <c r="O848" s="25"/>
      <c r="P848" s="25" t="s">
        <v>550</v>
      </c>
      <c r="Q848" s="25" t="s">
        <v>557</v>
      </c>
      <c r="R848" s="26" t="n">
        <v>2960</v>
      </c>
      <c r="S848" s="26" t="n">
        <f aca="false">IF(AND(L848="Oui",K848="Principal",R848&lt;&gt;""),I848*R848,0)</f>
        <v>0</v>
      </c>
      <c r="T848" s="26" t="n">
        <f aca="false">IF(R848&lt;&gt;"",M848-S848,0)</f>
        <v>0</v>
      </c>
      <c r="U848" s="26" t="n">
        <f aca="false">IF(R848="",M848,0)</f>
        <v>0</v>
      </c>
    </row>
    <row r="849" customFormat="false" ht="15" hidden="false" customHeight="false" outlineLevel="0" collapsed="false">
      <c r="A849" s="25" t="s">
        <v>60</v>
      </c>
      <c r="B849" s="25" t="s">
        <v>63</v>
      </c>
      <c r="C849" s="25" t="s">
        <v>48</v>
      </c>
      <c r="D849" s="25" t="n">
        <v>23</v>
      </c>
      <c r="E849" s="25" t="s">
        <v>686</v>
      </c>
      <c r="F849" s="25" t="s">
        <v>374</v>
      </c>
      <c r="G849" s="25" t="n">
        <v>1567</v>
      </c>
      <c r="H849" s="25" t="s">
        <v>724</v>
      </c>
      <c r="I849" s="25" t="n">
        <v>1</v>
      </c>
      <c r="J849" s="26" t="n">
        <v>3960</v>
      </c>
      <c r="K849" s="25" t="s">
        <v>618</v>
      </c>
      <c r="L849" s="25" t="s">
        <v>579</v>
      </c>
      <c r="M849" s="26" t="n">
        <f aca="false">IF(AND(L849="Oui",K849="Principal"),I849*J849,0)</f>
        <v>0</v>
      </c>
      <c r="N849" s="25" t="s">
        <v>548</v>
      </c>
      <c r="O849" s="25"/>
      <c r="P849" s="25" t="s">
        <v>550</v>
      </c>
      <c r="Q849" s="25" t="s">
        <v>557</v>
      </c>
      <c r="R849" s="26" t="n">
        <v>2960</v>
      </c>
      <c r="S849" s="26" t="n">
        <f aca="false">IF(AND(L849="Oui",K849="Principal",R849&lt;&gt;""),I849*R849,0)</f>
        <v>0</v>
      </c>
      <c r="T849" s="26" t="n">
        <f aca="false">IF(R849&lt;&gt;"",M849-S849,0)</f>
        <v>0</v>
      </c>
      <c r="U849" s="26" t="n">
        <f aca="false">IF(R849="",M849,0)</f>
        <v>0</v>
      </c>
    </row>
    <row r="850" customFormat="false" ht="15" hidden="false" customHeight="false" outlineLevel="0" collapsed="false">
      <c r="A850" s="25" t="s">
        <v>60</v>
      </c>
      <c r="B850" s="25" t="s">
        <v>63</v>
      </c>
      <c r="C850" s="25" t="s">
        <v>48</v>
      </c>
      <c r="D850" s="25" t="n">
        <v>24</v>
      </c>
      <c r="E850" s="25" t="s">
        <v>686</v>
      </c>
      <c r="F850" s="25" t="s">
        <v>376</v>
      </c>
      <c r="G850" s="25" t="n">
        <v>1356</v>
      </c>
      <c r="H850" s="25" t="s">
        <v>725</v>
      </c>
      <c r="I850" s="25" t="n">
        <v>1</v>
      </c>
      <c r="J850" s="26" t="n">
        <v>4000</v>
      </c>
      <c r="K850" s="25" t="s">
        <v>618</v>
      </c>
      <c r="L850" s="25" t="s">
        <v>579</v>
      </c>
      <c r="M850" s="26" t="n">
        <f aca="false">IF(AND(L850="Oui",K850="Principal"),I850*J850,0)</f>
        <v>0</v>
      </c>
      <c r="N850" s="25" t="s">
        <v>548</v>
      </c>
      <c r="O850" s="25"/>
      <c r="P850" s="25" t="s">
        <v>550</v>
      </c>
      <c r="Q850" s="25" t="s">
        <v>557</v>
      </c>
      <c r="R850" s="26" t="n">
        <v>3000</v>
      </c>
      <c r="S850" s="26" t="n">
        <f aca="false">IF(AND(L850="Oui",K850="Principal",R850&lt;&gt;""),I850*R850,0)</f>
        <v>0</v>
      </c>
      <c r="T850" s="26" t="n">
        <f aca="false">IF(R850&lt;&gt;"",M850-S850,0)</f>
        <v>0</v>
      </c>
      <c r="U850" s="26" t="n">
        <f aca="false">IF(R850="",M850,0)</f>
        <v>0</v>
      </c>
    </row>
    <row r="851" customFormat="false" ht="15" hidden="false" customHeight="false" outlineLevel="0" collapsed="false">
      <c r="A851" s="25" t="s">
        <v>60</v>
      </c>
      <c r="B851" s="25" t="s">
        <v>63</v>
      </c>
      <c r="C851" s="25" t="s">
        <v>48</v>
      </c>
      <c r="D851" s="25" t="n">
        <v>25</v>
      </c>
      <c r="E851" s="25" t="s">
        <v>686</v>
      </c>
      <c r="F851" s="25" t="s">
        <v>378</v>
      </c>
      <c r="G851" s="25" t="n">
        <v>1357</v>
      </c>
      <c r="H851" s="25" t="s">
        <v>726</v>
      </c>
      <c r="I851" s="25" t="n">
        <v>1</v>
      </c>
      <c r="J851" s="26" t="n">
        <v>4000</v>
      </c>
      <c r="K851" s="25" t="s">
        <v>618</v>
      </c>
      <c r="L851" s="25" t="s">
        <v>579</v>
      </c>
      <c r="M851" s="26" t="n">
        <f aca="false">IF(AND(L851="Oui",K851="Principal"),I851*J851,0)</f>
        <v>0</v>
      </c>
      <c r="N851" s="25" t="s">
        <v>548</v>
      </c>
      <c r="O851" s="25"/>
      <c r="P851" s="25" t="s">
        <v>550</v>
      </c>
      <c r="Q851" s="25" t="s">
        <v>557</v>
      </c>
      <c r="R851" s="26" t="n">
        <v>3000</v>
      </c>
      <c r="S851" s="26" t="n">
        <f aca="false">IF(AND(L851="Oui",K851="Principal",R851&lt;&gt;""),I851*R851,0)</f>
        <v>0</v>
      </c>
      <c r="T851" s="26" t="n">
        <f aca="false">IF(R851&lt;&gt;"",M851-S851,0)</f>
        <v>0</v>
      </c>
      <c r="U851" s="26" t="n">
        <f aca="false">IF(R851="",M851,0)</f>
        <v>0</v>
      </c>
    </row>
    <row r="852" customFormat="false" ht="15" hidden="false" customHeight="false" outlineLevel="0" collapsed="false">
      <c r="A852" s="25" t="s">
        <v>60</v>
      </c>
      <c r="B852" s="25" t="s">
        <v>63</v>
      </c>
      <c r="C852" s="25" t="s">
        <v>48</v>
      </c>
      <c r="D852" s="25" t="n">
        <v>26</v>
      </c>
      <c r="E852" s="25" t="s">
        <v>686</v>
      </c>
      <c r="F852" s="25" t="s">
        <v>380</v>
      </c>
      <c r="G852" s="25" t="n">
        <v>1331</v>
      </c>
      <c r="H852" s="25" t="s">
        <v>727</v>
      </c>
      <c r="I852" s="25" t="n">
        <v>1</v>
      </c>
      <c r="J852" s="26" t="n">
        <v>3550</v>
      </c>
      <c r="K852" s="25" t="s">
        <v>618</v>
      </c>
      <c r="L852" s="25" t="s">
        <v>579</v>
      </c>
      <c r="M852" s="26" t="n">
        <f aca="false">IF(AND(L852="Oui",K852="Principal"),I852*J852,0)</f>
        <v>0</v>
      </c>
      <c r="N852" s="25" t="s">
        <v>548</v>
      </c>
      <c r="O852" s="25"/>
      <c r="P852" s="25" t="s">
        <v>550</v>
      </c>
      <c r="Q852" s="25" t="s">
        <v>557</v>
      </c>
      <c r="R852" s="26" t="n">
        <v>2550</v>
      </c>
      <c r="S852" s="26" t="n">
        <f aca="false">IF(AND(L852="Oui",K852="Principal",R852&lt;&gt;""),I852*R852,0)</f>
        <v>0</v>
      </c>
      <c r="T852" s="26" t="n">
        <f aca="false">IF(R852&lt;&gt;"",M852-S852,0)</f>
        <v>0</v>
      </c>
      <c r="U852" s="26" t="n">
        <f aca="false">IF(R852="",M852,0)</f>
        <v>0</v>
      </c>
    </row>
    <row r="853" customFormat="false" ht="15" hidden="false" customHeight="false" outlineLevel="0" collapsed="false">
      <c r="A853" s="25" t="s">
        <v>60</v>
      </c>
      <c r="B853" s="25" t="s">
        <v>63</v>
      </c>
      <c r="C853" s="25" t="s">
        <v>48</v>
      </c>
      <c r="D853" s="25" t="n">
        <v>27</v>
      </c>
      <c r="E853" s="25" t="s">
        <v>577</v>
      </c>
      <c r="F853" s="25" t="s">
        <v>321</v>
      </c>
      <c r="G853" s="25" t="n">
        <v>1192</v>
      </c>
      <c r="H853" s="25" t="s">
        <v>694</v>
      </c>
      <c r="I853" s="25" t="n">
        <v>1</v>
      </c>
      <c r="J853" s="26" t="n">
        <v>7000</v>
      </c>
      <c r="K853" s="25" t="s">
        <v>577</v>
      </c>
      <c r="L853" s="25" t="s">
        <v>579</v>
      </c>
      <c r="M853" s="26" t="n">
        <f aca="false">IF(AND(L853="Oui",K853="Principal"),I853*J853,0)</f>
        <v>0</v>
      </c>
      <c r="N853" s="25" t="s">
        <v>548</v>
      </c>
      <c r="O853" s="25"/>
      <c r="P853" s="25" t="s">
        <v>550</v>
      </c>
      <c r="Q853" s="25" t="s">
        <v>557</v>
      </c>
      <c r="R853" s="26" t="n">
        <v>5500</v>
      </c>
      <c r="S853" s="26" t="n">
        <f aca="false">IF(AND(L853="Oui",K853="Principal",R853&lt;&gt;""),I853*R853,0)</f>
        <v>0</v>
      </c>
      <c r="T853" s="26" t="n">
        <f aca="false">IF(R853&lt;&gt;"",M853-S853,0)</f>
        <v>0</v>
      </c>
      <c r="U853" s="26" t="n">
        <f aca="false">IF(R853="",M853,0)</f>
        <v>0</v>
      </c>
    </row>
    <row r="854" customFormat="false" ht="15" hidden="false" customHeight="false" outlineLevel="0" collapsed="false">
      <c r="A854" s="25" t="s">
        <v>60</v>
      </c>
      <c r="B854" s="25" t="s">
        <v>63</v>
      </c>
      <c r="C854" s="25" t="s">
        <v>49</v>
      </c>
      <c r="D854" s="25" t="n">
        <v>1</v>
      </c>
      <c r="E854" s="25" t="s">
        <v>544</v>
      </c>
      <c r="F854" s="25" t="s">
        <v>295</v>
      </c>
      <c r="G854" s="25" t="n">
        <v>1618</v>
      </c>
      <c r="H854" s="25" t="s">
        <v>600</v>
      </c>
      <c r="I854" s="25" t="n">
        <v>3</v>
      </c>
      <c r="J854" s="26" t="n">
        <v>450</v>
      </c>
      <c r="K854" s="25" t="s">
        <v>546</v>
      </c>
      <c r="L854" s="25" t="s">
        <v>547</v>
      </c>
      <c r="M854" s="26" t="n">
        <f aca="false">IF(AND(L854="Oui",K854="Principal"),I854*J854,0)</f>
        <v>1350</v>
      </c>
      <c r="N854" s="25" t="s">
        <v>548</v>
      </c>
      <c r="O854" s="25"/>
      <c r="P854" s="25" t="s">
        <v>556</v>
      </c>
      <c r="Q854" s="25" t="s">
        <v>557</v>
      </c>
      <c r="R854" s="26" t="n">
        <v>350</v>
      </c>
      <c r="S854" s="26" t="n">
        <f aca="false">IF(AND(L854="Oui",K854="Principal",R854&lt;&gt;""),I854*R854,0)</f>
        <v>1050</v>
      </c>
      <c r="T854" s="26" t="n">
        <f aca="false">IF(R854&lt;&gt;"",M854-S854,0)</f>
        <v>300</v>
      </c>
      <c r="U854" s="26" t="n">
        <f aca="false">IF(R854="",M854,0)</f>
        <v>0</v>
      </c>
    </row>
    <row r="855" customFormat="false" ht="15" hidden="false" customHeight="false" outlineLevel="0" collapsed="false">
      <c r="A855" s="25" t="s">
        <v>60</v>
      </c>
      <c r="B855" s="25" t="s">
        <v>63</v>
      </c>
      <c r="C855" s="25" t="s">
        <v>49</v>
      </c>
      <c r="D855" s="25" t="n">
        <v>2</v>
      </c>
      <c r="E855" s="25" t="s">
        <v>544</v>
      </c>
      <c r="F855" s="25" t="s">
        <v>296</v>
      </c>
      <c r="G855" s="25" t="n">
        <v>1</v>
      </c>
      <c r="H855" s="25" t="s">
        <v>681</v>
      </c>
      <c r="I855" s="25" t="n">
        <v>3</v>
      </c>
      <c r="J855" s="26" t="n">
        <v>500</v>
      </c>
      <c r="K855" s="25" t="s">
        <v>546</v>
      </c>
      <c r="L855" s="25" t="s">
        <v>547</v>
      </c>
      <c r="M855" s="26" t="n">
        <f aca="false">IF(AND(L855="Oui",K855="Principal"),I855*J855,0)</f>
        <v>1500</v>
      </c>
      <c r="N855" s="25" t="s">
        <v>548</v>
      </c>
      <c r="O855" s="25"/>
      <c r="P855" s="25" t="s">
        <v>559</v>
      </c>
      <c r="Q855" s="25" t="s">
        <v>551</v>
      </c>
      <c r="R855" s="26"/>
      <c r="S855" s="26" t="n">
        <f aca="false">IF(AND(L855="Oui",K855="Principal",R855&lt;&gt;""),I855*R855,0)</f>
        <v>0</v>
      </c>
      <c r="T855" s="26" t="n">
        <f aca="false">IF(R855&lt;&gt;"",M855-S855,0)</f>
        <v>0</v>
      </c>
      <c r="U855" s="26" t="n">
        <f aca="false">IF(R855="",M855,0)</f>
        <v>1500</v>
      </c>
    </row>
    <row r="856" customFormat="false" ht="15" hidden="false" customHeight="false" outlineLevel="0" collapsed="false">
      <c r="A856" s="25" t="s">
        <v>60</v>
      </c>
      <c r="B856" s="25" t="s">
        <v>63</v>
      </c>
      <c r="C856" s="25" t="s">
        <v>49</v>
      </c>
      <c r="D856" s="25" t="n">
        <v>3</v>
      </c>
      <c r="E856" s="25" t="s">
        <v>544</v>
      </c>
      <c r="F856" s="25" t="s">
        <v>298</v>
      </c>
      <c r="G856" s="25" t="n">
        <v>1616</v>
      </c>
      <c r="H856" s="25" t="s">
        <v>695</v>
      </c>
      <c r="I856" s="25" t="n">
        <v>4</v>
      </c>
      <c r="J856" s="26" t="n">
        <v>900</v>
      </c>
      <c r="K856" s="25" t="s">
        <v>546</v>
      </c>
      <c r="L856" s="25" t="s">
        <v>547</v>
      </c>
      <c r="M856" s="26" t="n">
        <f aca="false">IF(AND(L856="Oui",K856="Principal"),I856*J856,0)</f>
        <v>3600</v>
      </c>
      <c r="N856" s="25" t="s">
        <v>548</v>
      </c>
      <c r="O856" s="25"/>
      <c r="P856" s="25" t="s">
        <v>556</v>
      </c>
      <c r="Q856" s="25" t="s">
        <v>557</v>
      </c>
      <c r="R856" s="26" t="n">
        <v>800</v>
      </c>
      <c r="S856" s="26" t="n">
        <f aca="false">IF(AND(L856="Oui",K856="Principal",R856&lt;&gt;""),I856*R856,0)</f>
        <v>3200</v>
      </c>
      <c r="T856" s="26" t="n">
        <f aca="false">IF(R856&lt;&gt;"",M856-S856,0)</f>
        <v>400</v>
      </c>
      <c r="U856" s="26" t="n">
        <f aca="false">IF(R856="",M856,0)</f>
        <v>0</v>
      </c>
    </row>
    <row r="857" customFormat="false" ht="15" hidden="false" customHeight="false" outlineLevel="0" collapsed="false">
      <c r="A857" s="25" t="s">
        <v>60</v>
      </c>
      <c r="B857" s="25" t="s">
        <v>63</v>
      </c>
      <c r="C857" s="25" t="s">
        <v>49</v>
      </c>
      <c r="D857" s="25" t="n">
        <v>4</v>
      </c>
      <c r="E857" s="25" t="s">
        <v>544</v>
      </c>
      <c r="F857" s="25" t="s">
        <v>338</v>
      </c>
      <c r="G857" s="25" t="n">
        <v>1715</v>
      </c>
      <c r="H857" s="25" t="s">
        <v>713</v>
      </c>
      <c r="I857" s="25" t="n">
        <v>1</v>
      </c>
      <c r="J857" s="26" t="n">
        <v>1600</v>
      </c>
      <c r="K857" s="25" t="s">
        <v>546</v>
      </c>
      <c r="L857" s="25" t="s">
        <v>547</v>
      </c>
      <c r="M857" s="26" t="n">
        <f aca="false">IF(AND(L857="Oui",K857="Principal"),I857*J857,0)</f>
        <v>1600</v>
      </c>
      <c r="N857" s="25" t="s">
        <v>548</v>
      </c>
      <c r="O857" s="25"/>
      <c r="P857" s="25" t="s">
        <v>550</v>
      </c>
      <c r="Q857" s="25" t="s">
        <v>557</v>
      </c>
      <c r="R857" s="26" t="n">
        <v>1300</v>
      </c>
      <c r="S857" s="26" t="n">
        <f aca="false">IF(AND(L857="Oui",K857="Principal",R857&lt;&gt;""),I857*R857,0)</f>
        <v>1300</v>
      </c>
      <c r="T857" s="26" t="n">
        <f aca="false">IF(R857&lt;&gt;"",M857-S857,0)</f>
        <v>300</v>
      </c>
      <c r="U857" s="26" t="n">
        <f aca="false">IF(R857="",M857,0)</f>
        <v>0</v>
      </c>
    </row>
    <row r="858" customFormat="false" ht="15" hidden="false" customHeight="false" outlineLevel="0" collapsed="false">
      <c r="A858" s="25" t="s">
        <v>60</v>
      </c>
      <c r="B858" s="25" t="s">
        <v>63</v>
      </c>
      <c r="C858" s="25" t="s">
        <v>49</v>
      </c>
      <c r="D858" s="25" t="n">
        <v>5</v>
      </c>
      <c r="E858" s="25" t="s">
        <v>544</v>
      </c>
      <c r="F858" s="25" t="s">
        <v>301</v>
      </c>
      <c r="G858" s="25" t="n">
        <v>1728</v>
      </c>
      <c r="H858" s="25" t="s">
        <v>545</v>
      </c>
      <c r="I858" s="25" t="n">
        <v>1</v>
      </c>
      <c r="J858" s="26" t="n">
        <v>900</v>
      </c>
      <c r="K858" s="25" t="s">
        <v>546</v>
      </c>
      <c r="L858" s="25" t="s">
        <v>547</v>
      </c>
      <c r="M858" s="26" t="n">
        <f aca="false">IF(AND(L858="Oui",K858="Principal"),I858*J858,0)</f>
        <v>900</v>
      </c>
      <c r="N858" s="25" t="s">
        <v>548</v>
      </c>
      <c r="O858" s="25"/>
      <c r="P858" s="25" t="s">
        <v>550</v>
      </c>
      <c r="Q858" s="25" t="s">
        <v>551</v>
      </c>
      <c r="R858" s="26"/>
      <c r="S858" s="26" t="n">
        <f aca="false">IF(AND(L858="Oui",K858="Principal",R858&lt;&gt;""),I858*R858,0)</f>
        <v>0</v>
      </c>
      <c r="T858" s="26" t="n">
        <f aca="false">IF(R858&lt;&gt;"",M858-S858,0)</f>
        <v>0</v>
      </c>
      <c r="U858" s="26" t="n">
        <f aca="false">IF(R858="",M858,0)</f>
        <v>900</v>
      </c>
    </row>
    <row r="859" customFormat="false" ht="15" hidden="false" customHeight="false" outlineLevel="0" collapsed="false">
      <c r="A859" s="33" t="s">
        <v>60</v>
      </c>
      <c r="B859" s="33" t="s">
        <v>63</v>
      </c>
      <c r="C859" s="33" t="s">
        <v>49</v>
      </c>
      <c r="D859" s="33" t="n">
        <v>6</v>
      </c>
      <c r="E859" s="33" t="s">
        <v>544</v>
      </c>
      <c r="F859" s="33" t="s">
        <v>302</v>
      </c>
      <c r="G859" s="33" t="n">
        <v>1271</v>
      </c>
      <c r="H859" s="33" t="s">
        <v>683</v>
      </c>
      <c r="I859" s="33" t="n">
        <v>1</v>
      </c>
      <c r="J859" s="34" t="n">
        <v>1150</v>
      </c>
      <c r="K859" s="33" t="s">
        <v>546</v>
      </c>
      <c r="L859" s="33" t="s">
        <v>547</v>
      </c>
      <c r="M859" s="34" t="n">
        <f aca="false">IF(AND(L859="Oui",K859="Principal"),I859*J859,0)</f>
        <v>1150</v>
      </c>
      <c r="N859" s="33" t="s">
        <v>182</v>
      </c>
      <c r="O859" s="33" t="s">
        <v>684</v>
      </c>
      <c r="P859" s="33" t="s">
        <v>550</v>
      </c>
      <c r="Q859" s="33" t="s">
        <v>557</v>
      </c>
      <c r="R859" s="34" t="n">
        <v>850</v>
      </c>
      <c r="S859" s="34" t="n">
        <f aca="false">IF(AND(L859="Oui",K859="Principal",R859&lt;&gt;""),I859*R859,0)</f>
        <v>850</v>
      </c>
      <c r="T859" s="34" t="n">
        <f aca="false">IF(R859&lt;&gt;"",M859-S859,0)</f>
        <v>300</v>
      </c>
      <c r="U859" s="34" t="n">
        <f aca="false">IF(R859="",M859,0)</f>
        <v>0</v>
      </c>
    </row>
    <row r="860" customFormat="false" ht="15" hidden="false" customHeight="false" outlineLevel="0" collapsed="false">
      <c r="A860" s="25" t="s">
        <v>60</v>
      </c>
      <c r="B860" s="25" t="s">
        <v>63</v>
      </c>
      <c r="C860" s="25" t="s">
        <v>49</v>
      </c>
      <c r="D860" s="25" t="n">
        <v>7</v>
      </c>
      <c r="E860" s="25" t="s">
        <v>563</v>
      </c>
      <c r="F860" s="25" t="s">
        <v>255</v>
      </c>
      <c r="G860" s="25" t="n">
        <v>1636</v>
      </c>
      <c r="H860" s="25" t="s">
        <v>661</v>
      </c>
      <c r="I860" s="25" t="n">
        <v>1</v>
      </c>
      <c r="J860" s="26" t="n">
        <v>400</v>
      </c>
      <c r="K860" s="25" t="s">
        <v>546</v>
      </c>
      <c r="L860" s="25" t="s">
        <v>547</v>
      </c>
      <c r="M860" s="26" t="n">
        <f aca="false">IF(AND(L860="Oui",K860="Principal"),I860*J860,0)</f>
        <v>400</v>
      </c>
      <c r="N860" s="25" t="s">
        <v>548</v>
      </c>
      <c r="O860" s="25"/>
      <c r="P860" s="25" t="s">
        <v>556</v>
      </c>
      <c r="Q860" s="25" t="s">
        <v>557</v>
      </c>
      <c r="R860" s="26" t="n">
        <v>320</v>
      </c>
      <c r="S860" s="26" t="n">
        <f aca="false">IF(AND(L860="Oui",K860="Principal",R860&lt;&gt;""),I860*R860,0)</f>
        <v>320</v>
      </c>
      <c r="T860" s="26" t="n">
        <f aca="false">IF(R860&lt;&gt;"",M860-S860,0)</f>
        <v>80</v>
      </c>
      <c r="U860" s="26" t="n">
        <f aca="false">IF(R860="",M860,0)</f>
        <v>0</v>
      </c>
    </row>
    <row r="861" customFormat="false" ht="15" hidden="false" customHeight="false" outlineLevel="0" collapsed="false">
      <c r="A861" s="25" t="s">
        <v>60</v>
      </c>
      <c r="B861" s="25" t="s">
        <v>63</v>
      </c>
      <c r="C861" s="25" t="s">
        <v>49</v>
      </c>
      <c r="D861" s="25" t="n">
        <v>8</v>
      </c>
      <c r="E861" s="25" t="s">
        <v>563</v>
      </c>
      <c r="F861" s="25" t="s">
        <v>257</v>
      </c>
      <c r="G861" s="25" t="n">
        <v>1635</v>
      </c>
      <c r="H861" s="25" t="s">
        <v>607</v>
      </c>
      <c r="I861" s="25" t="n">
        <v>1</v>
      </c>
      <c r="J861" s="26" t="n">
        <v>100</v>
      </c>
      <c r="K861" s="25" t="s">
        <v>546</v>
      </c>
      <c r="L861" s="25" t="s">
        <v>547</v>
      </c>
      <c r="M861" s="26" t="n">
        <f aca="false">IF(AND(L861="Oui",K861="Principal"),I861*J861,0)</f>
        <v>100</v>
      </c>
      <c r="N861" s="25" t="s">
        <v>548</v>
      </c>
      <c r="O861" s="25"/>
      <c r="P861" s="25" t="s">
        <v>556</v>
      </c>
      <c r="Q861" s="25" t="s">
        <v>557</v>
      </c>
      <c r="R861" s="26" t="n">
        <v>80</v>
      </c>
      <c r="S861" s="26" t="n">
        <f aca="false">IF(AND(L861="Oui",K861="Principal",R861&lt;&gt;""),I861*R861,0)</f>
        <v>80</v>
      </c>
      <c r="T861" s="26" t="n">
        <f aca="false">IF(R861&lt;&gt;"",M861-S861,0)</f>
        <v>20</v>
      </c>
      <c r="U861" s="26" t="n">
        <f aca="false">IF(R861="",M861,0)</f>
        <v>0</v>
      </c>
    </row>
    <row r="862" customFormat="false" ht="15" hidden="false" customHeight="false" outlineLevel="0" collapsed="false">
      <c r="A862" s="25" t="s">
        <v>60</v>
      </c>
      <c r="B862" s="25" t="s">
        <v>63</v>
      </c>
      <c r="C862" s="25" t="s">
        <v>49</v>
      </c>
      <c r="D862" s="25" t="n">
        <v>9</v>
      </c>
      <c r="E862" s="25" t="s">
        <v>563</v>
      </c>
      <c r="F862" s="25" t="s">
        <v>188</v>
      </c>
      <c r="G862" s="25" t="n">
        <v>8</v>
      </c>
      <c r="H862" s="25" t="s">
        <v>188</v>
      </c>
      <c r="I862" s="25" t="n">
        <v>1</v>
      </c>
      <c r="J862" s="26" t="n">
        <v>500</v>
      </c>
      <c r="K862" s="25" t="s">
        <v>546</v>
      </c>
      <c r="L862" s="25" t="s">
        <v>547</v>
      </c>
      <c r="M862" s="26" t="n">
        <f aca="false">IF(AND(L862="Oui",K862="Principal"),I862*J862,0)</f>
        <v>500</v>
      </c>
      <c r="N862" s="25" t="s">
        <v>548</v>
      </c>
      <c r="O862" s="25"/>
      <c r="P862" s="25" t="s">
        <v>559</v>
      </c>
      <c r="Q862" s="25" t="s">
        <v>551</v>
      </c>
      <c r="R862" s="26"/>
      <c r="S862" s="26" t="n">
        <f aca="false">IF(AND(L862="Oui",K862="Principal",R862&lt;&gt;""),I862*R862,0)</f>
        <v>0</v>
      </c>
      <c r="T862" s="26" t="n">
        <f aca="false">IF(R862&lt;&gt;"",M862-S862,0)</f>
        <v>0</v>
      </c>
      <c r="U862" s="26" t="n">
        <f aca="false">IF(R862="",M862,0)</f>
        <v>500</v>
      </c>
    </row>
    <row r="863" customFormat="false" ht="15" hidden="false" customHeight="false" outlineLevel="0" collapsed="false">
      <c r="A863" s="25" t="s">
        <v>60</v>
      </c>
      <c r="B863" s="25" t="s">
        <v>63</v>
      </c>
      <c r="C863" s="25" t="s">
        <v>49</v>
      </c>
      <c r="D863" s="25" t="n">
        <v>10</v>
      </c>
      <c r="E863" s="25" t="s">
        <v>563</v>
      </c>
      <c r="F863" s="25" t="s">
        <v>323</v>
      </c>
      <c r="G863" s="25" t="n">
        <v>1607</v>
      </c>
      <c r="H863" s="25" t="s">
        <v>696</v>
      </c>
      <c r="I863" s="25" t="n">
        <v>1</v>
      </c>
      <c r="J863" s="26" t="n">
        <v>2500</v>
      </c>
      <c r="K863" s="25" t="s">
        <v>546</v>
      </c>
      <c r="L863" s="25" t="s">
        <v>547</v>
      </c>
      <c r="M863" s="26" t="n">
        <f aca="false">IF(AND(L863="Oui",K863="Principal"),I863*J863,0)</f>
        <v>2500</v>
      </c>
      <c r="N863" s="25" t="s">
        <v>548</v>
      </c>
      <c r="O863" s="25"/>
      <c r="P863" s="25" t="s">
        <v>556</v>
      </c>
      <c r="Q863" s="25" t="s">
        <v>557</v>
      </c>
      <c r="R863" s="26" t="n">
        <v>2000</v>
      </c>
      <c r="S863" s="26" t="n">
        <f aca="false">IF(AND(L863="Oui",K863="Principal",R863&lt;&gt;""),I863*R863,0)</f>
        <v>2000</v>
      </c>
      <c r="T863" s="26" t="n">
        <f aca="false">IF(R863&lt;&gt;"",M863-S863,0)</f>
        <v>500</v>
      </c>
      <c r="U863" s="26" t="n">
        <f aca="false">IF(R863="",M863,0)</f>
        <v>0</v>
      </c>
    </row>
    <row r="864" customFormat="false" ht="15" hidden="false" customHeight="false" outlineLevel="0" collapsed="false">
      <c r="A864" s="25" t="s">
        <v>60</v>
      </c>
      <c r="B864" s="25" t="s">
        <v>63</v>
      </c>
      <c r="C864" s="25" t="s">
        <v>49</v>
      </c>
      <c r="D864" s="25" t="n">
        <v>11</v>
      </c>
      <c r="E864" s="25" t="s">
        <v>563</v>
      </c>
      <c r="F864" s="25" t="s">
        <v>325</v>
      </c>
      <c r="G864" s="25" t="n">
        <v>1248</v>
      </c>
      <c r="H864" s="25" t="s">
        <v>697</v>
      </c>
      <c r="I864" s="25" t="n">
        <v>1</v>
      </c>
      <c r="J864" s="26" t="n">
        <v>400</v>
      </c>
      <c r="K864" s="25" t="s">
        <v>546</v>
      </c>
      <c r="L864" s="25" t="s">
        <v>547</v>
      </c>
      <c r="M864" s="26" t="n">
        <f aca="false">IF(AND(L864="Oui",K864="Principal"),I864*J864,0)</f>
        <v>400</v>
      </c>
      <c r="N864" s="25" t="s">
        <v>548</v>
      </c>
      <c r="O864" s="25"/>
      <c r="P864" s="25" t="s">
        <v>550</v>
      </c>
      <c r="Q864" s="25" t="s">
        <v>557</v>
      </c>
      <c r="R864" s="26" t="n">
        <v>250</v>
      </c>
      <c r="S864" s="26" t="n">
        <f aca="false">IF(AND(L864="Oui",K864="Principal",R864&lt;&gt;""),I864*R864,0)</f>
        <v>250</v>
      </c>
      <c r="T864" s="26" t="n">
        <f aca="false">IF(R864&lt;&gt;"",M864-S864,0)</f>
        <v>150</v>
      </c>
      <c r="U864" s="26" t="n">
        <f aca="false">IF(R864="",M864,0)</f>
        <v>0</v>
      </c>
    </row>
    <row r="865" customFormat="false" ht="15" hidden="false" customHeight="false" outlineLevel="0" collapsed="false">
      <c r="A865" s="25" t="s">
        <v>60</v>
      </c>
      <c r="B865" s="25" t="s">
        <v>63</v>
      </c>
      <c r="C865" s="25" t="s">
        <v>49</v>
      </c>
      <c r="D865" s="25" t="n">
        <v>12</v>
      </c>
      <c r="E865" s="25" t="s">
        <v>565</v>
      </c>
      <c r="F865" s="25" t="s">
        <v>99</v>
      </c>
      <c r="G865" s="25" t="n">
        <v>1181</v>
      </c>
      <c r="H865" s="25" t="s">
        <v>581</v>
      </c>
      <c r="I865" s="25" t="n">
        <v>1</v>
      </c>
      <c r="J865" s="26" t="n">
        <v>250</v>
      </c>
      <c r="K865" s="25" t="s">
        <v>546</v>
      </c>
      <c r="L865" s="25" t="s">
        <v>547</v>
      </c>
      <c r="M865" s="26" t="n">
        <f aca="false">IF(AND(L865="Oui",K865="Principal"),I865*J865,0)</f>
        <v>250</v>
      </c>
      <c r="N865" s="25" t="s">
        <v>548</v>
      </c>
      <c r="O865" s="25"/>
      <c r="P865" s="25" t="s">
        <v>550</v>
      </c>
      <c r="Q865" s="25" t="s">
        <v>557</v>
      </c>
      <c r="R865" s="26" t="n">
        <v>110</v>
      </c>
      <c r="S865" s="26" t="n">
        <f aca="false">IF(AND(L865="Oui",K865="Principal",R865&lt;&gt;""),I865*R865,0)</f>
        <v>110</v>
      </c>
      <c r="T865" s="26" t="n">
        <f aca="false">IF(R865&lt;&gt;"",M865-S865,0)</f>
        <v>140</v>
      </c>
      <c r="U865" s="26" t="n">
        <f aca="false">IF(R865="",M865,0)</f>
        <v>0</v>
      </c>
    </row>
    <row r="866" customFormat="false" ht="15" hidden="false" customHeight="false" outlineLevel="0" collapsed="false">
      <c r="A866" s="25" t="s">
        <v>60</v>
      </c>
      <c r="B866" s="25" t="s">
        <v>63</v>
      </c>
      <c r="C866" s="25" t="s">
        <v>49</v>
      </c>
      <c r="D866" s="25" t="n">
        <v>13</v>
      </c>
      <c r="E866" s="25" t="s">
        <v>565</v>
      </c>
      <c r="F866" s="25" t="s">
        <v>164</v>
      </c>
      <c r="G866" s="25" t="n">
        <v>1587</v>
      </c>
      <c r="H866" s="25" t="s">
        <v>567</v>
      </c>
      <c r="I866" s="25" t="n">
        <v>1</v>
      </c>
      <c r="J866" s="26" t="n">
        <v>500</v>
      </c>
      <c r="K866" s="25" t="s">
        <v>546</v>
      </c>
      <c r="L866" s="25" t="s">
        <v>547</v>
      </c>
      <c r="M866" s="26" t="n">
        <f aca="false">IF(AND(L866="Oui",K866="Principal"),I866*J866,0)</f>
        <v>500</v>
      </c>
      <c r="N866" s="25" t="s">
        <v>548</v>
      </c>
      <c r="O866" s="25"/>
      <c r="P866" s="25" t="s">
        <v>556</v>
      </c>
      <c r="Q866" s="25" t="s">
        <v>557</v>
      </c>
      <c r="R866" s="26" t="n">
        <v>350</v>
      </c>
      <c r="S866" s="26" t="n">
        <f aca="false">IF(AND(L866="Oui",K866="Principal",R866&lt;&gt;""),I866*R866,0)</f>
        <v>350</v>
      </c>
      <c r="T866" s="26" t="n">
        <f aca="false">IF(R866&lt;&gt;"",M866-S866,0)</f>
        <v>150</v>
      </c>
      <c r="U866" s="26" t="n">
        <f aca="false">IF(R866="",M866,0)</f>
        <v>0</v>
      </c>
    </row>
    <row r="867" customFormat="false" ht="15" hidden="false" customHeight="false" outlineLevel="0" collapsed="false">
      <c r="A867" s="25" t="s">
        <v>60</v>
      </c>
      <c r="B867" s="25" t="s">
        <v>63</v>
      </c>
      <c r="C867" s="25" t="s">
        <v>49</v>
      </c>
      <c r="D867" s="25" t="n">
        <v>14</v>
      </c>
      <c r="E867" s="25" t="s">
        <v>565</v>
      </c>
      <c r="F867" s="25" t="s">
        <v>166</v>
      </c>
      <c r="G867" s="25" t="n">
        <v>1604</v>
      </c>
      <c r="H867" s="25" t="s">
        <v>582</v>
      </c>
      <c r="I867" s="25" t="n">
        <v>2</v>
      </c>
      <c r="J867" s="26" t="n">
        <v>700</v>
      </c>
      <c r="K867" s="25" t="s">
        <v>546</v>
      </c>
      <c r="L867" s="25" t="s">
        <v>547</v>
      </c>
      <c r="M867" s="26" t="n">
        <f aca="false">IF(AND(L867="Oui",K867="Principal"),I867*J867,0)</f>
        <v>1400</v>
      </c>
      <c r="N867" s="25" t="s">
        <v>548</v>
      </c>
      <c r="O867" s="25"/>
      <c r="P867" s="25" t="s">
        <v>556</v>
      </c>
      <c r="Q867" s="25" t="s">
        <v>557</v>
      </c>
      <c r="R867" s="26" t="n">
        <v>400</v>
      </c>
      <c r="S867" s="26" t="n">
        <f aca="false">IF(AND(L867="Oui",K867="Principal",R867&lt;&gt;""),I867*R867,0)</f>
        <v>800</v>
      </c>
      <c r="T867" s="26" t="n">
        <f aca="false">IF(R867&lt;&gt;"",M867-S867,0)</f>
        <v>600</v>
      </c>
      <c r="U867" s="26" t="n">
        <f aca="false">IF(R867="",M867,0)</f>
        <v>0</v>
      </c>
    </row>
    <row r="868" customFormat="false" ht="15" hidden="false" customHeight="false" outlineLevel="0" collapsed="false">
      <c r="A868" s="25" t="s">
        <v>60</v>
      </c>
      <c r="B868" s="25" t="s">
        <v>63</v>
      </c>
      <c r="C868" s="25" t="s">
        <v>49</v>
      </c>
      <c r="D868" s="25" t="n">
        <v>15</v>
      </c>
      <c r="E868" s="25" t="s">
        <v>565</v>
      </c>
      <c r="F868" s="25" t="s">
        <v>304</v>
      </c>
      <c r="G868" s="25" t="n">
        <v>1586</v>
      </c>
      <c r="H868" s="25" t="s">
        <v>583</v>
      </c>
      <c r="I868" s="25" t="n">
        <v>1</v>
      </c>
      <c r="J868" s="26" t="n">
        <v>900</v>
      </c>
      <c r="K868" s="25" t="s">
        <v>546</v>
      </c>
      <c r="L868" s="25" t="s">
        <v>547</v>
      </c>
      <c r="M868" s="26" t="n">
        <f aca="false">IF(AND(L868="Oui",K868="Principal"),I868*J868,0)</f>
        <v>900</v>
      </c>
      <c r="N868" s="25" t="s">
        <v>548</v>
      </c>
      <c r="O868" s="25"/>
      <c r="P868" s="25" t="s">
        <v>556</v>
      </c>
      <c r="Q868" s="25" t="s">
        <v>557</v>
      </c>
      <c r="R868" s="26" t="n">
        <v>650</v>
      </c>
      <c r="S868" s="26" t="n">
        <f aca="false">IF(AND(L868="Oui",K868="Principal",R868&lt;&gt;""),I868*R868,0)</f>
        <v>650</v>
      </c>
      <c r="T868" s="26" t="n">
        <f aca="false">IF(R868&lt;&gt;"",M868-S868,0)</f>
        <v>250</v>
      </c>
      <c r="U868" s="26" t="n">
        <f aca="false">IF(R868="",M868,0)</f>
        <v>0</v>
      </c>
    </row>
    <row r="869" customFormat="false" ht="15" hidden="false" customHeight="false" outlineLevel="0" collapsed="false">
      <c r="A869" s="33" t="s">
        <v>60</v>
      </c>
      <c r="B869" s="33" t="s">
        <v>63</v>
      </c>
      <c r="C869" s="33" t="s">
        <v>49</v>
      </c>
      <c r="D869" s="33" t="n">
        <v>16</v>
      </c>
      <c r="E869" s="33" t="s">
        <v>609</v>
      </c>
      <c r="F869" s="33" t="s">
        <v>199</v>
      </c>
      <c r="G869" s="33" t="n">
        <v>1229</v>
      </c>
      <c r="H869" s="33" t="s">
        <v>643</v>
      </c>
      <c r="I869" s="33" t="n">
        <v>1</v>
      </c>
      <c r="J869" s="34" t="n">
        <v>1800</v>
      </c>
      <c r="K869" s="33" t="s">
        <v>546</v>
      </c>
      <c r="L869" s="33" t="s">
        <v>547</v>
      </c>
      <c r="M869" s="34" t="n">
        <f aca="false">IF(AND(L869="Oui",K869="Principal"),I869*J869,0)</f>
        <v>1800</v>
      </c>
      <c r="N869" s="33" t="s">
        <v>182</v>
      </c>
      <c r="O869" s="33" t="s">
        <v>644</v>
      </c>
      <c r="P869" s="33" t="s">
        <v>550</v>
      </c>
      <c r="Q869" s="33" t="s">
        <v>557</v>
      </c>
      <c r="R869" s="34" t="n">
        <v>1500</v>
      </c>
      <c r="S869" s="34" t="n">
        <f aca="false">IF(AND(L869="Oui",K869="Principal",R869&lt;&gt;""),I869*R869,0)</f>
        <v>1500</v>
      </c>
      <c r="T869" s="34" t="n">
        <f aca="false">IF(R869&lt;&gt;"",M869-S869,0)</f>
        <v>300</v>
      </c>
      <c r="U869" s="34" t="n">
        <f aca="false">IF(R869="",M869,0)</f>
        <v>0</v>
      </c>
    </row>
    <row r="870" customFormat="false" ht="15" hidden="false" customHeight="false" outlineLevel="0" collapsed="false">
      <c r="A870" s="25" t="s">
        <v>60</v>
      </c>
      <c r="B870" s="25" t="s">
        <v>63</v>
      </c>
      <c r="C870" s="25" t="s">
        <v>49</v>
      </c>
      <c r="D870" s="25" t="n">
        <v>17</v>
      </c>
      <c r="E870" s="25" t="s">
        <v>609</v>
      </c>
      <c r="F870" s="25" t="s">
        <v>305</v>
      </c>
      <c r="G870" s="25" t="n">
        <v>1727</v>
      </c>
      <c r="H870" s="25" t="s">
        <v>698</v>
      </c>
      <c r="I870" s="25" t="n">
        <v>1</v>
      </c>
      <c r="J870" s="26" t="n">
        <v>4750</v>
      </c>
      <c r="K870" s="25" t="s">
        <v>546</v>
      </c>
      <c r="L870" s="25" t="s">
        <v>547</v>
      </c>
      <c r="M870" s="26" t="n">
        <f aca="false">IF(AND(L870="Oui",K870="Principal"),I870*J870,0)</f>
        <v>4750</v>
      </c>
      <c r="N870" s="25" t="s">
        <v>548</v>
      </c>
      <c r="O870" s="25"/>
      <c r="P870" s="25" t="s">
        <v>559</v>
      </c>
      <c r="Q870" s="25" t="s">
        <v>557</v>
      </c>
      <c r="R870" s="26" t="n">
        <v>3700</v>
      </c>
      <c r="S870" s="26" t="n">
        <f aca="false">IF(AND(L870="Oui",K870="Principal",R870&lt;&gt;""),I870*R870,0)</f>
        <v>3700</v>
      </c>
      <c r="T870" s="26" t="n">
        <f aca="false">IF(R870&lt;&gt;"",M870-S870,0)</f>
        <v>1050</v>
      </c>
      <c r="U870" s="26" t="n">
        <f aca="false">IF(R870="",M870,0)</f>
        <v>0</v>
      </c>
    </row>
    <row r="871" customFormat="false" ht="15" hidden="false" customHeight="false" outlineLevel="0" collapsed="false">
      <c r="A871" s="25" t="s">
        <v>60</v>
      </c>
      <c r="B871" s="25" t="s">
        <v>63</v>
      </c>
      <c r="C871" s="25" t="s">
        <v>49</v>
      </c>
      <c r="D871" s="25" t="n">
        <v>18</v>
      </c>
      <c r="E871" s="25" t="s">
        <v>554</v>
      </c>
      <c r="F871" s="25" t="s">
        <v>104</v>
      </c>
      <c r="G871" s="25" t="n">
        <v>1589</v>
      </c>
      <c r="H871" s="25" t="s">
        <v>568</v>
      </c>
      <c r="I871" s="25" t="n">
        <v>1</v>
      </c>
      <c r="J871" s="26" t="n">
        <v>900</v>
      </c>
      <c r="K871" s="25" t="s">
        <v>546</v>
      </c>
      <c r="L871" s="25" t="s">
        <v>547</v>
      </c>
      <c r="M871" s="26" t="n">
        <f aca="false">IF(AND(L871="Oui",K871="Principal"),I871*J871,0)</f>
        <v>900</v>
      </c>
      <c r="N871" s="25" t="s">
        <v>548</v>
      </c>
      <c r="O871" s="25"/>
      <c r="P871" s="25" t="s">
        <v>556</v>
      </c>
      <c r="Q871" s="25" t="s">
        <v>557</v>
      </c>
      <c r="R871" s="26" t="n">
        <v>650</v>
      </c>
      <c r="S871" s="26" t="n">
        <f aca="false">IF(AND(L871="Oui",K871="Principal",R871&lt;&gt;""),I871*R871,0)</f>
        <v>650</v>
      </c>
      <c r="T871" s="26" t="n">
        <f aca="false">IF(R871&lt;&gt;"",M871-S871,0)</f>
        <v>250</v>
      </c>
      <c r="U871" s="26" t="n">
        <f aca="false">IF(R871="",M871,0)</f>
        <v>0</v>
      </c>
    </row>
    <row r="872" customFormat="false" ht="15" hidden="false" customHeight="false" outlineLevel="0" collapsed="false">
      <c r="A872" s="29" t="s">
        <v>60</v>
      </c>
      <c r="B872" s="29" t="s">
        <v>63</v>
      </c>
      <c r="C872" s="29" t="s">
        <v>49</v>
      </c>
      <c r="D872" s="29" t="n">
        <v>19</v>
      </c>
      <c r="E872" s="29" t="s">
        <v>554</v>
      </c>
      <c r="F872" s="29" t="s">
        <v>328</v>
      </c>
      <c r="G872" s="29" t="n">
        <v>31</v>
      </c>
      <c r="H872" s="29" t="s">
        <v>595</v>
      </c>
      <c r="I872" s="29" t="n">
        <v>1</v>
      </c>
      <c r="J872" s="30" t="n">
        <v>1500</v>
      </c>
      <c r="K872" s="29" t="s">
        <v>546</v>
      </c>
      <c r="L872" s="29" t="s">
        <v>547</v>
      </c>
      <c r="M872" s="30" t="n">
        <f aca="false">IF(AND(L872="Oui",K872="Principal"),I872*J872,0)</f>
        <v>1500</v>
      </c>
      <c r="N872" s="29" t="s">
        <v>141</v>
      </c>
      <c r="O872" s="29" t="s">
        <v>699</v>
      </c>
      <c r="P872" s="29" t="s">
        <v>559</v>
      </c>
      <c r="Q872" s="29" t="s">
        <v>551</v>
      </c>
      <c r="R872" s="30"/>
      <c r="S872" s="30" t="n">
        <f aca="false">IF(AND(L872="Oui",K872="Principal",R872&lt;&gt;""),I872*R872,0)</f>
        <v>0</v>
      </c>
      <c r="T872" s="30" t="n">
        <f aca="false">IF(R872&lt;&gt;"",M872-S872,0)</f>
        <v>0</v>
      </c>
      <c r="U872" s="30" t="n">
        <f aca="false">IF(R872="",M872,0)</f>
        <v>1500</v>
      </c>
    </row>
    <row r="873" customFormat="false" ht="15" hidden="false" customHeight="false" outlineLevel="0" collapsed="false">
      <c r="A873" s="25" t="s">
        <v>60</v>
      </c>
      <c r="B873" s="25" t="s">
        <v>63</v>
      </c>
      <c r="C873" s="25" t="s">
        <v>49</v>
      </c>
      <c r="D873" s="25" t="n">
        <v>20</v>
      </c>
      <c r="E873" s="25" t="s">
        <v>700</v>
      </c>
      <c r="F873" s="25" t="s">
        <v>329</v>
      </c>
      <c r="G873" s="25" t="n">
        <v>1716</v>
      </c>
      <c r="H873" s="25" t="s">
        <v>701</v>
      </c>
      <c r="I873" s="25" t="n">
        <v>1</v>
      </c>
      <c r="J873" s="26" t="n">
        <v>1800</v>
      </c>
      <c r="K873" s="25" t="s">
        <v>546</v>
      </c>
      <c r="L873" s="25" t="s">
        <v>547</v>
      </c>
      <c r="M873" s="26" t="n">
        <f aca="false">IF(AND(L873="Oui",K873="Principal"),I873*J873,0)</f>
        <v>1800</v>
      </c>
      <c r="N873" s="25" t="s">
        <v>548</v>
      </c>
      <c r="O873" s="25"/>
      <c r="P873" s="25" t="s">
        <v>559</v>
      </c>
      <c r="Q873" s="25" t="s">
        <v>557</v>
      </c>
      <c r="R873" s="26" t="n">
        <v>1300</v>
      </c>
      <c r="S873" s="26" t="n">
        <f aca="false">IF(AND(L873="Oui",K873="Principal",R873&lt;&gt;""),I873*R873,0)</f>
        <v>1300</v>
      </c>
      <c r="T873" s="26" t="n">
        <f aca="false">IF(R873&lt;&gt;"",M873-S873,0)</f>
        <v>500</v>
      </c>
      <c r="U873" s="26" t="n">
        <f aca="false">IF(R873="",M873,0)</f>
        <v>0</v>
      </c>
    </row>
    <row r="874" customFormat="false" ht="15" hidden="false" customHeight="false" outlineLevel="0" collapsed="false">
      <c r="A874" s="27" t="s">
        <v>60</v>
      </c>
      <c r="B874" s="27" t="s">
        <v>63</v>
      </c>
      <c r="C874" s="27" t="s">
        <v>49</v>
      </c>
      <c r="D874" s="27" t="n">
        <v>21</v>
      </c>
      <c r="E874" s="27" t="s">
        <v>700</v>
      </c>
      <c r="F874" s="27" t="s">
        <v>382</v>
      </c>
      <c r="G874" s="27"/>
      <c r="H874" s="27" t="s">
        <v>585</v>
      </c>
      <c r="I874" s="27" t="n">
        <v>1</v>
      </c>
      <c r="J874" s="28" t="n">
        <v>0</v>
      </c>
      <c r="K874" s="27" t="s">
        <v>546</v>
      </c>
      <c r="L874" s="27" t="s">
        <v>579</v>
      </c>
      <c r="M874" s="28" t="n">
        <f aca="false">IF(AND(L874="Oui",K874="Principal"),I874*J874,0)</f>
        <v>0</v>
      </c>
      <c r="N874" s="27" t="s">
        <v>128</v>
      </c>
      <c r="O874" s="27" t="s">
        <v>586</v>
      </c>
      <c r="P874" s="27"/>
      <c r="Q874" s="27"/>
      <c r="R874" s="28"/>
      <c r="S874" s="28" t="n">
        <f aca="false">IF(AND(L874="Oui",K874="Principal",R874&lt;&gt;""),I874*R874,0)</f>
        <v>0</v>
      </c>
      <c r="T874" s="28" t="n">
        <f aca="false">IF(R874&lt;&gt;"",M874-S874,0)</f>
        <v>0</v>
      </c>
      <c r="U874" s="28" t="n">
        <f aca="false">IF(R874="",M874,0)</f>
        <v>0</v>
      </c>
    </row>
    <row r="875" customFormat="false" ht="15" hidden="false" customHeight="false" outlineLevel="0" collapsed="false">
      <c r="A875" s="25" t="s">
        <v>60</v>
      </c>
      <c r="B875" s="25" t="s">
        <v>63</v>
      </c>
      <c r="C875" s="25" t="s">
        <v>49</v>
      </c>
      <c r="D875" s="25" t="n">
        <v>22</v>
      </c>
      <c r="E875" s="25" t="s">
        <v>571</v>
      </c>
      <c r="F875" s="25" t="s">
        <v>331</v>
      </c>
      <c r="G875" s="25" t="n">
        <v>1625</v>
      </c>
      <c r="H875" s="25" t="s">
        <v>572</v>
      </c>
      <c r="I875" s="25" t="n">
        <v>1</v>
      </c>
      <c r="J875" s="26" t="n">
        <v>500</v>
      </c>
      <c r="K875" s="25" t="s">
        <v>546</v>
      </c>
      <c r="L875" s="25" t="s">
        <v>547</v>
      </c>
      <c r="M875" s="26" t="n">
        <f aca="false">IF(AND(L875="Oui",K875="Principal"),I875*J875,0)</f>
        <v>500</v>
      </c>
      <c r="N875" s="25" t="s">
        <v>548</v>
      </c>
      <c r="O875" s="25"/>
      <c r="P875" s="25" t="s">
        <v>556</v>
      </c>
      <c r="Q875" s="25" t="s">
        <v>557</v>
      </c>
      <c r="R875" s="26"/>
      <c r="S875" s="26" t="n">
        <f aca="false">IF(AND(L875="Oui",K875="Principal",R875&lt;&gt;""),I875*R875,0)</f>
        <v>0</v>
      </c>
      <c r="T875" s="26" t="n">
        <f aca="false">IF(R875&lt;&gt;"",M875-S875,0)</f>
        <v>0</v>
      </c>
      <c r="U875" s="26" t="n">
        <f aca="false">IF(R875="",M875,0)</f>
        <v>500</v>
      </c>
    </row>
    <row r="876" customFormat="false" ht="15" hidden="false" customHeight="false" outlineLevel="0" collapsed="false">
      <c r="A876" s="25" t="s">
        <v>60</v>
      </c>
      <c r="B876" s="25" t="s">
        <v>63</v>
      </c>
      <c r="C876" s="25" t="s">
        <v>49</v>
      </c>
      <c r="D876" s="25" t="n">
        <v>23</v>
      </c>
      <c r="E876" s="25" t="s">
        <v>573</v>
      </c>
      <c r="F876" s="25" t="s">
        <v>176</v>
      </c>
      <c r="G876" s="25" t="n">
        <v>19</v>
      </c>
      <c r="H876" s="25" t="s">
        <v>615</v>
      </c>
      <c r="I876" s="25" t="n">
        <v>1</v>
      </c>
      <c r="J876" s="26" t="n">
        <v>2500</v>
      </c>
      <c r="K876" s="25" t="s">
        <v>546</v>
      </c>
      <c r="L876" s="25" t="s">
        <v>547</v>
      </c>
      <c r="M876" s="26" t="n">
        <f aca="false">IF(AND(L876="Oui",K876="Principal"),I876*J876,0)</f>
        <v>2500</v>
      </c>
      <c r="N876" s="25" t="s">
        <v>548</v>
      </c>
      <c r="O876" s="25"/>
      <c r="P876" s="25" t="s">
        <v>559</v>
      </c>
      <c r="Q876" s="25" t="s">
        <v>551</v>
      </c>
      <c r="R876" s="26"/>
      <c r="S876" s="26" t="n">
        <f aca="false">IF(AND(L876="Oui",K876="Principal",R876&lt;&gt;""),I876*R876,0)</f>
        <v>0</v>
      </c>
      <c r="T876" s="26" t="n">
        <f aca="false">IF(R876&lt;&gt;"",M876-S876,0)</f>
        <v>0</v>
      </c>
      <c r="U876" s="26" t="n">
        <f aca="false">IF(R876="",M876,0)</f>
        <v>2500</v>
      </c>
    </row>
    <row r="877" customFormat="false" ht="15" hidden="false" customHeight="false" outlineLevel="0" collapsed="false">
      <c r="A877" s="25" t="s">
        <v>60</v>
      </c>
      <c r="B877" s="25" t="s">
        <v>63</v>
      </c>
      <c r="C877" s="25" t="s">
        <v>49</v>
      </c>
      <c r="D877" s="25" t="n">
        <v>24</v>
      </c>
      <c r="E877" s="25" t="s">
        <v>573</v>
      </c>
      <c r="F877" s="25" t="s">
        <v>117</v>
      </c>
      <c r="G877" s="25" t="n">
        <v>1288</v>
      </c>
      <c r="H877" s="25" t="s">
        <v>624</v>
      </c>
      <c r="I877" s="25" t="n">
        <v>1</v>
      </c>
      <c r="J877" s="26" t="n">
        <v>2500</v>
      </c>
      <c r="K877" s="25" t="s">
        <v>546</v>
      </c>
      <c r="L877" s="25" t="s">
        <v>547</v>
      </c>
      <c r="M877" s="26" t="n">
        <f aca="false">IF(AND(L877="Oui",K877="Principal"),I877*J877,0)</f>
        <v>2500</v>
      </c>
      <c r="N877" s="25" t="s">
        <v>548</v>
      </c>
      <c r="O877" s="25"/>
      <c r="P877" s="25" t="s">
        <v>550</v>
      </c>
      <c r="Q877" s="25" t="s">
        <v>557</v>
      </c>
      <c r="R877" s="26" t="n">
        <v>2000</v>
      </c>
      <c r="S877" s="26" t="n">
        <f aca="false">IF(AND(L877="Oui",K877="Principal",R877&lt;&gt;""),I877*R877,0)</f>
        <v>2000</v>
      </c>
      <c r="T877" s="26" t="n">
        <f aca="false">IF(R877&lt;&gt;"",M877-S877,0)</f>
        <v>500</v>
      </c>
      <c r="U877" s="26" t="n">
        <f aca="false">IF(R877="",M877,0)</f>
        <v>0</v>
      </c>
    </row>
    <row r="878" customFormat="false" ht="15" hidden="false" customHeight="false" outlineLevel="0" collapsed="false">
      <c r="A878" s="25" t="s">
        <v>60</v>
      </c>
      <c r="B878" s="25" t="s">
        <v>63</v>
      </c>
      <c r="C878" s="25" t="s">
        <v>49</v>
      </c>
      <c r="D878" s="25" t="n">
        <v>25</v>
      </c>
      <c r="E878" s="25" t="s">
        <v>573</v>
      </c>
      <c r="F878" s="25" t="s">
        <v>321</v>
      </c>
      <c r="G878" s="25" t="n">
        <v>1192</v>
      </c>
      <c r="H878" s="25" t="s">
        <v>694</v>
      </c>
      <c r="I878" s="25" t="n">
        <v>1</v>
      </c>
      <c r="J878" s="26" t="n">
        <v>7000</v>
      </c>
      <c r="K878" s="25" t="s">
        <v>546</v>
      </c>
      <c r="L878" s="25" t="s">
        <v>547</v>
      </c>
      <c r="M878" s="26" t="n">
        <f aca="false">IF(AND(L878="Oui",K878="Principal"),I878*J878,0)</f>
        <v>7000</v>
      </c>
      <c r="N878" s="25" t="s">
        <v>548</v>
      </c>
      <c r="O878" s="25"/>
      <c r="P878" s="25" t="s">
        <v>550</v>
      </c>
      <c r="Q878" s="25" t="s">
        <v>557</v>
      </c>
      <c r="R878" s="26" t="n">
        <v>5500</v>
      </c>
      <c r="S878" s="26" t="n">
        <f aca="false">IF(AND(L878="Oui",K878="Principal",R878&lt;&gt;""),I878*R878,0)</f>
        <v>5500</v>
      </c>
      <c r="T878" s="26" t="n">
        <f aca="false">IF(R878&lt;&gt;"",M878-S878,0)</f>
        <v>1500</v>
      </c>
      <c r="U878" s="26" t="n">
        <f aca="false">IF(R878="",M878,0)</f>
        <v>0</v>
      </c>
    </row>
    <row r="879" customFormat="false" ht="15" hidden="false" customHeight="false" outlineLevel="0" collapsed="false">
      <c r="A879" s="27" t="s">
        <v>60</v>
      </c>
      <c r="B879" s="27" t="s">
        <v>63</v>
      </c>
      <c r="C879" s="27" t="s">
        <v>49</v>
      </c>
      <c r="D879" s="27" t="n">
        <v>26</v>
      </c>
      <c r="E879" s="27" t="s">
        <v>686</v>
      </c>
      <c r="F879" s="27" t="s">
        <v>363</v>
      </c>
      <c r="G879" s="27"/>
      <c r="H879" s="27" t="s">
        <v>585</v>
      </c>
      <c r="I879" s="27" t="n">
        <v>1</v>
      </c>
      <c r="J879" s="28" t="n">
        <v>0</v>
      </c>
      <c r="K879" s="27" t="s">
        <v>546</v>
      </c>
      <c r="L879" s="27" t="s">
        <v>579</v>
      </c>
      <c r="M879" s="28" t="n">
        <f aca="false">IF(AND(L879="Oui",K879="Principal"),I879*J879,0)</f>
        <v>0</v>
      </c>
      <c r="N879" s="27" t="s">
        <v>128</v>
      </c>
      <c r="O879" s="27" t="s">
        <v>718</v>
      </c>
      <c r="P879" s="27"/>
      <c r="Q879" s="27"/>
      <c r="R879" s="28"/>
      <c r="S879" s="28" t="n">
        <f aca="false">IF(AND(L879="Oui",K879="Principal",R879&lt;&gt;""),I879*R879,0)</f>
        <v>0</v>
      </c>
      <c r="T879" s="28" t="n">
        <f aca="false">IF(R879&lt;&gt;"",M879-S879,0)</f>
        <v>0</v>
      </c>
      <c r="U879" s="28" t="n">
        <f aca="false">IF(R879="",M879,0)</f>
        <v>0</v>
      </c>
    </row>
    <row r="880" customFormat="false" ht="15" hidden="false" customHeight="false" outlineLevel="0" collapsed="false">
      <c r="A880" s="25" t="s">
        <v>60</v>
      </c>
      <c r="B880" s="25" t="s">
        <v>63</v>
      </c>
      <c r="C880" s="25" t="s">
        <v>49</v>
      </c>
      <c r="D880" s="25" t="n">
        <v>27</v>
      </c>
      <c r="E880" s="25" t="s">
        <v>686</v>
      </c>
      <c r="F880" s="25" t="s">
        <v>364</v>
      </c>
      <c r="G880" s="25" t="n">
        <v>1350</v>
      </c>
      <c r="H880" s="25" t="s">
        <v>719</v>
      </c>
      <c r="I880" s="25" t="n">
        <v>1</v>
      </c>
      <c r="J880" s="26" t="n">
        <v>4000</v>
      </c>
      <c r="K880" s="25" t="s">
        <v>546</v>
      </c>
      <c r="L880" s="25" t="s">
        <v>547</v>
      </c>
      <c r="M880" s="26" t="n">
        <f aca="false">IF(AND(L880="Oui",K880="Principal"),I880*J880,0)</f>
        <v>4000</v>
      </c>
      <c r="N880" s="25" t="s">
        <v>548</v>
      </c>
      <c r="O880" s="25"/>
      <c r="P880" s="25" t="s">
        <v>550</v>
      </c>
      <c r="Q880" s="25" t="s">
        <v>557</v>
      </c>
      <c r="R880" s="26" t="n">
        <v>3000</v>
      </c>
      <c r="S880" s="26" t="n">
        <f aca="false">IF(AND(L880="Oui",K880="Principal",R880&lt;&gt;""),I880*R880,0)</f>
        <v>3000</v>
      </c>
      <c r="T880" s="26" t="n">
        <f aca="false">IF(R880&lt;&gt;"",M880-S880,0)</f>
        <v>1000</v>
      </c>
      <c r="U880" s="26" t="n">
        <f aca="false">IF(R880="",M880,0)</f>
        <v>0</v>
      </c>
    </row>
    <row r="881" customFormat="false" ht="15" hidden="false" customHeight="false" outlineLevel="0" collapsed="false">
      <c r="A881" s="25" t="s">
        <v>60</v>
      </c>
      <c r="B881" s="25" t="s">
        <v>63</v>
      </c>
      <c r="C881" s="25" t="s">
        <v>49</v>
      </c>
      <c r="D881" s="25" t="n">
        <v>28</v>
      </c>
      <c r="E881" s="25" t="s">
        <v>689</v>
      </c>
      <c r="F881" s="25" t="s">
        <v>366</v>
      </c>
      <c r="G881" s="25" t="n">
        <v>1312</v>
      </c>
      <c r="H881" s="25" t="s">
        <v>720</v>
      </c>
      <c r="I881" s="25" t="n">
        <v>1</v>
      </c>
      <c r="J881" s="26" t="n">
        <v>3500</v>
      </c>
      <c r="K881" s="25" t="s">
        <v>546</v>
      </c>
      <c r="L881" s="25" t="s">
        <v>547</v>
      </c>
      <c r="M881" s="26" t="n">
        <f aca="false">IF(AND(L881="Oui",K881="Principal"),I881*J881,0)</f>
        <v>3500</v>
      </c>
      <c r="N881" s="25" t="s">
        <v>548</v>
      </c>
      <c r="O881" s="25"/>
      <c r="P881" s="25" t="s">
        <v>550</v>
      </c>
      <c r="Q881" s="25" t="s">
        <v>557</v>
      </c>
      <c r="R881" s="26" t="n">
        <v>2500</v>
      </c>
      <c r="S881" s="26" t="n">
        <f aca="false">IF(AND(L881="Oui",K881="Principal",R881&lt;&gt;""),I881*R881,0)</f>
        <v>2500</v>
      </c>
      <c r="T881" s="26" t="n">
        <f aca="false">IF(R881&lt;&gt;"",M881-S881,0)</f>
        <v>1000</v>
      </c>
      <c r="U881" s="26" t="n">
        <f aca="false">IF(R881="",M881,0)</f>
        <v>0</v>
      </c>
    </row>
    <row r="882" customFormat="false" ht="15" hidden="false" customHeight="false" outlineLevel="0" collapsed="false">
      <c r="A882" s="25" t="s">
        <v>60</v>
      </c>
      <c r="B882" s="25" t="s">
        <v>63</v>
      </c>
      <c r="C882" s="25" t="s">
        <v>49</v>
      </c>
      <c r="D882" s="25" t="n">
        <v>29</v>
      </c>
      <c r="E882" s="25" t="s">
        <v>689</v>
      </c>
      <c r="F882" s="25" t="s">
        <v>368</v>
      </c>
      <c r="G882" s="25" t="n">
        <v>1313</v>
      </c>
      <c r="H882" s="25" t="s">
        <v>721</v>
      </c>
      <c r="I882" s="25" t="n">
        <v>1</v>
      </c>
      <c r="J882" s="26" t="n">
        <v>3500</v>
      </c>
      <c r="K882" s="25" t="s">
        <v>546</v>
      </c>
      <c r="L882" s="25" t="s">
        <v>547</v>
      </c>
      <c r="M882" s="26" t="n">
        <f aca="false">IF(AND(L882="Oui",K882="Principal"),I882*J882,0)</f>
        <v>3500</v>
      </c>
      <c r="N882" s="25" t="s">
        <v>548</v>
      </c>
      <c r="O882" s="25"/>
      <c r="P882" s="25" t="s">
        <v>550</v>
      </c>
      <c r="Q882" s="25" t="s">
        <v>557</v>
      </c>
      <c r="R882" s="26" t="n">
        <v>2500</v>
      </c>
      <c r="S882" s="26" t="n">
        <f aca="false">IF(AND(L882="Oui",K882="Principal",R882&lt;&gt;""),I882*R882,0)</f>
        <v>2500</v>
      </c>
      <c r="T882" s="26" t="n">
        <f aca="false">IF(R882&lt;&gt;"",M882-S882,0)</f>
        <v>1000</v>
      </c>
      <c r="U882" s="26" t="n">
        <f aca="false">IF(R882="",M882,0)</f>
        <v>0</v>
      </c>
    </row>
    <row r="883" customFormat="false" ht="15" hidden="false" customHeight="false" outlineLevel="0" collapsed="false">
      <c r="A883" s="25" t="s">
        <v>60</v>
      </c>
      <c r="B883" s="25" t="s">
        <v>63</v>
      </c>
      <c r="C883" s="25" t="s">
        <v>49</v>
      </c>
      <c r="D883" s="25" t="n">
        <v>30</v>
      </c>
      <c r="E883" s="25" t="s">
        <v>686</v>
      </c>
      <c r="F883" s="25" t="s">
        <v>370</v>
      </c>
      <c r="G883" s="25" t="n">
        <v>1445</v>
      </c>
      <c r="H883" s="25" t="s">
        <v>722</v>
      </c>
      <c r="I883" s="25" t="n">
        <v>1</v>
      </c>
      <c r="J883" s="26" t="n">
        <v>3960</v>
      </c>
      <c r="K883" s="25" t="s">
        <v>546</v>
      </c>
      <c r="L883" s="25" t="s">
        <v>547</v>
      </c>
      <c r="M883" s="26" t="n">
        <f aca="false">IF(AND(L883="Oui",K883="Principal"),I883*J883,0)</f>
        <v>3960</v>
      </c>
      <c r="N883" s="25" t="s">
        <v>548</v>
      </c>
      <c r="O883" s="25"/>
      <c r="P883" s="25" t="s">
        <v>550</v>
      </c>
      <c r="Q883" s="25" t="s">
        <v>557</v>
      </c>
      <c r="R883" s="26" t="n">
        <v>2960</v>
      </c>
      <c r="S883" s="26" t="n">
        <f aca="false">IF(AND(L883="Oui",K883="Principal",R883&lt;&gt;""),I883*R883,0)</f>
        <v>2960</v>
      </c>
      <c r="T883" s="26" t="n">
        <f aca="false">IF(R883&lt;&gt;"",M883-S883,0)</f>
        <v>1000</v>
      </c>
      <c r="U883" s="26" t="n">
        <f aca="false">IF(R883="",M883,0)</f>
        <v>0</v>
      </c>
    </row>
    <row r="884" customFormat="false" ht="15" hidden="false" customHeight="false" outlineLevel="0" collapsed="false">
      <c r="A884" s="25" t="s">
        <v>60</v>
      </c>
      <c r="B884" s="25" t="s">
        <v>63</v>
      </c>
      <c r="C884" s="25" t="s">
        <v>49</v>
      </c>
      <c r="D884" s="25" t="n">
        <v>31</v>
      </c>
      <c r="E884" s="25" t="s">
        <v>686</v>
      </c>
      <c r="F884" s="25" t="s">
        <v>372</v>
      </c>
      <c r="G884" s="25" t="n">
        <v>1564</v>
      </c>
      <c r="H884" s="25" t="s">
        <v>723</v>
      </c>
      <c r="I884" s="25" t="n">
        <v>1</v>
      </c>
      <c r="J884" s="26" t="n">
        <v>3960</v>
      </c>
      <c r="K884" s="25" t="s">
        <v>546</v>
      </c>
      <c r="L884" s="25" t="s">
        <v>547</v>
      </c>
      <c r="M884" s="26" t="n">
        <f aca="false">IF(AND(L884="Oui",K884="Principal"),I884*J884,0)</f>
        <v>3960</v>
      </c>
      <c r="N884" s="25" t="s">
        <v>548</v>
      </c>
      <c r="O884" s="25"/>
      <c r="P884" s="25" t="s">
        <v>550</v>
      </c>
      <c r="Q884" s="25" t="s">
        <v>557</v>
      </c>
      <c r="R884" s="26" t="n">
        <v>2960</v>
      </c>
      <c r="S884" s="26" t="n">
        <f aca="false">IF(AND(L884="Oui",K884="Principal",R884&lt;&gt;""),I884*R884,0)</f>
        <v>2960</v>
      </c>
      <c r="T884" s="26" t="n">
        <f aca="false">IF(R884&lt;&gt;"",M884-S884,0)</f>
        <v>1000</v>
      </c>
      <c r="U884" s="26" t="n">
        <f aca="false">IF(R884="",M884,0)</f>
        <v>0</v>
      </c>
    </row>
    <row r="885" customFormat="false" ht="15" hidden="false" customHeight="false" outlineLevel="0" collapsed="false">
      <c r="A885" s="25" t="s">
        <v>60</v>
      </c>
      <c r="B885" s="25" t="s">
        <v>63</v>
      </c>
      <c r="C885" s="25" t="s">
        <v>49</v>
      </c>
      <c r="D885" s="25" t="n">
        <v>32</v>
      </c>
      <c r="E885" s="25" t="s">
        <v>686</v>
      </c>
      <c r="F885" s="25" t="s">
        <v>374</v>
      </c>
      <c r="G885" s="25" t="n">
        <v>1567</v>
      </c>
      <c r="H885" s="25" t="s">
        <v>724</v>
      </c>
      <c r="I885" s="25" t="n">
        <v>1</v>
      </c>
      <c r="J885" s="26" t="n">
        <v>3960</v>
      </c>
      <c r="K885" s="25" t="s">
        <v>546</v>
      </c>
      <c r="L885" s="25" t="s">
        <v>547</v>
      </c>
      <c r="M885" s="26" t="n">
        <f aca="false">IF(AND(L885="Oui",K885="Principal"),I885*J885,0)</f>
        <v>3960</v>
      </c>
      <c r="N885" s="25" t="s">
        <v>548</v>
      </c>
      <c r="O885" s="25"/>
      <c r="P885" s="25" t="s">
        <v>550</v>
      </c>
      <c r="Q885" s="25" t="s">
        <v>557</v>
      </c>
      <c r="R885" s="26" t="n">
        <v>2960</v>
      </c>
      <c r="S885" s="26" t="n">
        <f aca="false">IF(AND(L885="Oui",K885="Principal",R885&lt;&gt;""),I885*R885,0)</f>
        <v>2960</v>
      </c>
      <c r="T885" s="26" t="n">
        <f aca="false">IF(R885&lt;&gt;"",M885-S885,0)</f>
        <v>1000</v>
      </c>
      <c r="U885" s="26" t="n">
        <f aca="false">IF(R885="",M885,0)</f>
        <v>0</v>
      </c>
    </row>
    <row r="886" customFormat="false" ht="15" hidden="false" customHeight="false" outlineLevel="0" collapsed="false">
      <c r="A886" s="25" t="s">
        <v>60</v>
      </c>
      <c r="B886" s="25" t="s">
        <v>63</v>
      </c>
      <c r="C886" s="25" t="s">
        <v>49</v>
      </c>
      <c r="D886" s="25" t="n">
        <v>33</v>
      </c>
      <c r="E886" s="25" t="s">
        <v>686</v>
      </c>
      <c r="F886" s="25" t="s">
        <v>376</v>
      </c>
      <c r="G886" s="25" t="n">
        <v>1356</v>
      </c>
      <c r="H886" s="25" t="s">
        <v>725</v>
      </c>
      <c r="I886" s="25" t="n">
        <v>1</v>
      </c>
      <c r="J886" s="26" t="n">
        <v>4000</v>
      </c>
      <c r="K886" s="25" t="s">
        <v>546</v>
      </c>
      <c r="L886" s="25" t="s">
        <v>547</v>
      </c>
      <c r="M886" s="26" t="n">
        <f aca="false">IF(AND(L886="Oui",K886="Principal"),I886*J886,0)</f>
        <v>4000</v>
      </c>
      <c r="N886" s="25" t="s">
        <v>548</v>
      </c>
      <c r="O886" s="25"/>
      <c r="P886" s="25" t="s">
        <v>550</v>
      </c>
      <c r="Q886" s="25" t="s">
        <v>557</v>
      </c>
      <c r="R886" s="26" t="n">
        <v>3000</v>
      </c>
      <c r="S886" s="26" t="n">
        <f aca="false">IF(AND(L886="Oui",K886="Principal",R886&lt;&gt;""),I886*R886,0)</f>
        <v>3000</v>
      </c>
      <c r="T886" s="26" t="n">
        <f aca="false">IF(R886&lt;&gt;"",M886-S886,0)</f>
        <v>1000</v>
      </c>
      <c r="U886" s="26" t="n">
        <f aca="false">IF(R886="",M886,0)</f>
        <v>0</v>
      </c>
    </row>
    <row r="887" customFormat="false" ht="15" hidden="false" customHeight="false" outlineLevel="0" collapsed="false">
      <c r="A887" s="25" t="s">
        <v>60</v>
      </c>
      <c r="B887" s="25" t="s">
        <v>63</v>
      </c>
      <c r="C887" s="25" t="s">
        <v>49</v>
      </c>
      <c r="D887" s="25" t="n">
        <v>34</v>
      </c>
      <c r="E887" s="25" t="s">
        <v>686</v>
      </c>
      <c r="F887" s="25" t="s">
        <v>378</v>
      </c>
      <c r="G887" s="25" t="n">
        <v>1357</v>
      </c>
      <c r="H887" s="25" t="s">
        <v>726</v>
      </c>
      <c r="I887" s="25" t="n">
        <v>1</v>
      </c>
      <c r="J887" s="26" t="n">
        <v>4000</v>
      </c>
      <c r="K887" s="25" t="s">
        <v>546</v>
      </c>
      <c r="L887" s="25" t="s">
        <v>547</v>
      </c>
      <c r="M887" s="26" t="n">
        <f aca="false">IF(AND(L887="Oui",K887="Principal"),I887*J887,0)</f>
        <v>4000</v>
      </c>
      <c r="N887" s="25" t="s">
        <v>548</v>
      </c>
      <c r="O887" s="25"/>
      <c r="P887" s="25" t="s">
        <v>550</v>
      </c>
      <c r="Q887" s="25" t="s">
        <v>557</v>
      </c>
      <c r="R887" s="26" t="n">
        <v>3000</v>
      </c>
      <c r="S887" s="26" t="n">
        <f aca="false">IF(AND(L887="Oui",K887="Principal",R887&lt;&gt;""),I887*R887,0)</f>
        <v>3000</v>
      </c>
      <c r="T887" s="26" t="n">
        <f aca="false">IF(R887&lt;&gt;"",M887-S887,0)</f>
        <v>1000</v>
      </c>
      <c r="U887" s="26" t="n">
        <f aca="false">IF(R887="",M887,0)</f>
        <v>0</v>
      </c>
    </row>
    <row r="888" customFormat="false" ht="15" hidden="false" customHeight="false" outlineLevel="0" collapsed="false">
      <c r="A888" s="25" t="s">
        <v>60</v>
      </c>
      <c r="B888" s="25" t="s">
        <v>63</v>
      </c>
      <c r="C888" s="25" t="s">
        <v>49</v>
      </c>
      <c r="D888" s="25" t="n">
        <v>35</v>
      </c>
      <c r="E888" s="25" t="s">
        <v>686</v>
      </c>
      <c r="F888" s="25" t="s">
        <v>380</v>
      </c>
      <c r="G888" s="25" t="n">
        <v>1331</v>
      </c>
      <c r="H888" s="25" t="s">
        <v>727</v>
      </c>
      <c r="I888" s="25" t="n">
        <v>1</v>
      </c>
      <c r="J888" s="26" t="n">
        <v>3550</v>
      </c>
      <c r="K888" s="25" t="s">
        <v>546</v>
      </c>
      <c r="L888" s="25" t="s">
        <v>547</v>
      </c>
      <c r="M888" s="26" t="n">
        <f aca="false">IF(AND(L888="Oui",K888="Principal"),I888*J888,0)</f>
        <v>3550</v>
      </c>
      <c r="N888" s="25" t="s">
        <v>548</v>
      </c>
      <c r="O888" s="25"/>
      <c r="P888" s="25" t="s">
        <v>550</v>
      </c>
      <c r="Q888" s="25" t="s">
        <v>557</v>
      </c>
      <c r="R888" s="26" t="n">
        <v>2550</v>
      </c>
      <c r="S888" s="26" t="n">
        <f aca="false">IF(AND(L888="Oui",K888="Principal",R888&lt;&gt;""),I888*R888,0)</f>
        <v>2550</v>
      </c>
      <c r="T888" s="26" t="n">
        <f aca="false">IF(R888&lt;&gt;"",M888-S888,0)</f>
        <v>1000</v>
      </c>
      <c r="U888" s="26" t="n">
        <f aca="false">IF(R888="",M888,0)</f>
        <v>0</v>
      </c>
    </row>
    <row r="889" customFormat="false" ht="15" hidden="false" customHeight="false" outlineLevel="0" collapsed="false">
      <c r="A889" s="25" t="s">
        <v>60</v>
      </c>
      <c r="B889" s="25" t="s">
        <v>63</v>
      </c>
      <c r="C889" s="25" t="s">
        <v>50</v>
      </c>
      <c r="D889" s="25" t="n">
        <v>1</v>
      </c>
      <c r="E889" s="25" t="s">
        <v>544</v>
      </c>
      <c r="F889" s="25" t="s">
        <v>295</v>
      </c>
      <c r="G889" s="25" t="n">
        <v>1618</v>
      </c>
      <c r="H889" s="25" t="s">
        <v>600</v>
      </c>
      <c r="I889" s="25" t="n">
        <v>3</v>
      </c>
      <c r="J889" s="26" t="n">
        <v>450</v>
      </c>
      <c r="K889" s="25" t="s">
        <v>546</v>
      </c>
      <c r="L889" s="25" t="s">
        <v>547</v>
      </c>
      <c r="M889" s="26" t="n">
        <f aca="false">IF(AND(L889="Oui",K889="Principal"),I889*J889,0)</f>
        <v>1350</v>
      </c>
      <c r="N889" s="25" t="s">
        <v>548</v>
      </c>
      <c r="O889" s="25"/>
      <c r="P889" s="25" t="s">
        <v>556</v>
      </c>
      <c r="Q889" s="25" t="s">
        <v>557</v>
      </c>
      <c r="R889" s="26" t="n">
        <v>350</v>
      </c>
      <c r="S889" s="26" t="n">
        <f aca="false">IF(AND(L889="Oui",K889="Principal",R889&lt;&gt;""),I889*R889,0)</f>
        <v>1050</v>
      </c>
      <c r="T889" s="26" t="n">
        <f aca="false">IF(R889&lt;&gt;"",M889-S889,0)</f>
        <v>300</v>
      </c>
      <c r="U889" s="26" t="n">
        <f aca="false">IF(R889="",M889,0)</f>
        <v>0</v>
      </c>
    </row>
    <row r="890" customFormat="false" ht="15" hidden="false" customHeight="false" outlineLevel="0" collapsed="false">
      <c r="A890" s="25" t="s">
        <v>60</v>
      </c>
      <c r="B890" s="25" t="s">
        <v>63</v>
      </c>
      <c r="C890" s="25" t="s">
        <v>50</v>
      </c>
      <c r="D890" s="25" t="n">
        <v>2</v>
      </c>
      <c r="E890" s="25" t="s">
        <v>544</v>
      </c>
      <c r="F890" s="25" t="s">
        <v>296</v>
      </c>
      <c r="G890" s="25" t="n">
        <v>1</v>
      </c>
      <c r="H890" s="25" t="s">
        <v>681</v>
      </c>
      <c r="I890" s="25" t="n">
        <v>3</v>
      </c>
      <c r="J890" s="26" t="n">
        <v>500</v>
      </c>
      <c r="K890" s="25" t="s">
        <v>546</v>
      </c>
      <c r="L890" s="25" t="s">
        <v>547</v>
      </c>
      <c r="M890" s="26" t="n">
        <f aca="false">IF(AND(L890="Oui",K890="Principal"),I890*J890,0)</f>
        <v>1500</v>
      </c>
      <c r="N890" s="25" t="s">
        <v>548</v>
      </c>
      <c r="O890" s="25"/>
      <c r="P890" s="25" t="s">
        <v>559</v>
      </c>
      <c r="Q890" s="25" t="s">
        <v>551</v>
      </c>
      <c r="R890" s="26"/>
      <c r="S890" s="26" t="n">
        <f aca="false">IF(AND(L890="Oui",K890="Principal",R890&lt;&gt;""),I890*R890,0)</f>
        <v>0</v>
      </c>
      <c r="T890" s="26" t="n">
        <f aca="false">IF(R890&lt;&gt;"",M890-S890,0)</f>
        <v>0</v>
      </c>
      <c r="U890" s="26" t="n">
        <f aca="false">IF(R890="",M890,0)</f>
        <v>1500</v>
      </c>
    </row>
    <row r="891" customFormat="false" ht="15" hidden="false" customHeight="false" outlineLevel="0" collapsed="false">
      <c r="A891" s="25" t="s">
        <v>60</v>
      </c>
      <c r="B891" s="25" t="s">
        <v>63</v>
      </c>
      <c r="C891" s="25" t="s">
        <v>50</v>
      </c>
      <c r="D891" s="25" t="n">
        <v>3</v>
      </c>
      <c r="E891" s="25" t="s">
        <v>544</v>
      </c>
      <c r="F891" s="25" t="s">
        <v>298</v>
      </c>
      <c r="G891" s="25" t="n">
        <v>1616</v>
      </c>
      <c r="H891" s="25" t="s">
        <v>695</v>
      </c>
      <c r="I891" s="25" t="n">
        <v>4</v>
      </c>
      <c r="J891" s="26" t="n">
        <v>900</v>
      </c>
      <c r="K891" s="25" t="s">
        <v>546</v>
      </c>
      <c r="L891" s="25" t="s">
        <v>547</v>
      </c>
      <c r="M891" s="26" t="n">
        <f aca="false">IF(AND(L891="Oui",K891="Principal"),I891*J891,0)</f>
        <v>3600</v>
      </c>
      <c r="N891" s="25" t="s">
        <v>548</v>
      </c>
      <c r="O891" s="25"/>
      <c r="P891" s="25" t="s">
        <v>556</v>
      </c>
      <c r="Q891" s="25" t="s">
        <v>557</v>
      </c>
      <c r="R891" s="26" t="n">
        <v>800</v>
      </c>
      <c r="S891" s="26" t="n">
        <f aca="false">IF(AND(L891="Oui",K891="Principal",R891&lt;&gt;""),I891*R891,0)</f>
        <v>3200</v>
      </c>
      <c r="T891" s="26" t="n">
        <f aca="false">IF(R891&lt;&gt;"",M891-S891,0)</f>
        <v>400</v>
      </c>
      <c r="U891" s="26" t="n">
        <f aca="false">IF(R891="",M891,0)</f>
        <v>0</v>
      </c>
    </row>
    <row r="892" customFormat="false" ht="15" hidden="false" customHeight="false" outlineLevel="0" collapsed="false">
      <c r="A892" s="25" t="s">
        <v>60</v>
      </c>
      <c r="B892" s="25" t="s">
        <v>63</v>
      </c>
      <c r="C892" s="25" t="s">
        <v>50</v>
      </c>
      <c r="D892" s="25" t="n">
        <v>4</v>
      </c>
      <c r="E892" s="25" t="s">
        <v>544</v>
      </c>
      <c r="F892" s="25" t="s">
        <v>338</v>
      </c>
      <c r="G892" s="25" t="n">
        <v>1715</v>
      </c>
      <c r="H892" s="25" t="s">
        <v>713</v>
      </c>
      <c r="I892" s="25" t="n">
        <v>1</v>
      </c>
      <c r="J892" s="26" t="n">
        <v>1600</v>
      </c>
      <c r="K892" s="25" t="s">
        <v>546</v>
      </c>
      <c r="L892" s="25" t="s">
        <v>547</v>
      </c>
      <c r="M892" s="26" t="n">
        <f aca="false">IF(AND(L892="Oui",K892="Principal"),I892*J892,0)</f>
        <v>1600</v>
      </c>
      <c r="N892" s="25" t="s">
        <v>548</v>
      </c>
      <c r="O892" s="25"/>
      <c r="P892" s="25" t="s">
        <v>550</v>
      </c>
      <c r="Q892" s="25" t="s">
        <v>557</v>
      </c>
      <c r="R892" s="26" t="n">
        <v>1300</v>
      </c>
      <c r="S892" s="26" t="n">
        <f aca="false">IF(AND(L892="Oui",K892="Principal",R892&lt;&gt;""),I892*R892,0)</f>
        <v>1300</v>
      </c>
      <c r="T892" s="26" t="n">
        <f aca="false">IF(R892&lt;&gt;"",M892-S892,0)</f>
        <v>300</v>
      </c>
      <c r="U892" s="26" t="n">
        <f aca="false">IF(R892="",M892,0)</f>
        <v>0</v>
      </c>
    </row>
    <row r="893" customFormat="false" ht="15" hidden="false" customHeight="false" outlineLevel="0" collapsed="false">
      <c r="A893" s="25" t="s">
        <v>60</v>
      </c>
      <c r="B893" s="25" t="s">
        <v>63</v>
      </c>
      <c r="C893" s="25" t="s">
        <v>50</v>
      </c>
      <c r="D893" s="25" t="n">
        <v>5</v>
      </c>
      <c r="E893" s="25" t="s">
        <v>544</v>
      </c>
      <c r="F893" s="25" t="s">
        <v>301</v>
      </c>
      <c r="G893" s="25" t="n">
        <v>1728</v>
      </c>
      <c r="H893" s="25" t="s">
        <v>545</v>
      </c>
      <c r="I893" s="25" t="n">
        <v>1</v>
      </c>
      <c r="J893" s="26" t="n">
        <v>900</v>
      </c>
      <c r="K893" s="25" t="s">
        <v>546</v>
      </c>
      <c r="L893" s="25" t="s">
        <v>547</v>
      </c>
      <c r="M893" s="26" t="n">
        <f aca="false">IF(AND(L893="Oui",K893="Principal"),I893*J893,0)</f>
        <v>900</v>
      </c>
      <c r="N893" s="25" t="s">
        <v>548</v>
      </c>
      <c r="O893" s="25"/>
      <c r="P893" s="25" t="s">
        <v>550</v>
      </c>
      <c r="Q893" s="25" t="s">
        <v>551</v>
      </c>
      <c r="R893" s="26"/>
      <c r="S893" s="26" t="n">
        <f aca="false">IF(AND(L893="Oui",K893="Principal",R893&lt;&gt;""),I893*R893,0)</f>
        <v>0</v>
      </c>
      <c r="T893" s="26" t="n">
        <f aca="false">IF(R893&lt;&gt;"",M893-S893,0)</f>
        <v>0</v>
      </c>
      <c r="U893" s="26" t="n">
        <f aca="false">IF(R893="",M893,0)</f>
        <v>900</v>
      </c>
    </row>
    <row r="894" customFormat="false" ht="15" hidden="false" customHeight="false" outlineLevel="0" collapsed="false">
      <c r="A894" s="33" t="s">
        <v>60</v>
      </c>
      <c r="B894" s="33" t="s">
        <v>63</v>
      </c>
      <c r="C894" s="33" t="s">
        <v>50</v>
      </c>
      <c r="D894" s="33" t="n">
        <v>6</v>
      </c>
      <c r="E894" s="33" t="s">
        <v>544</v>
      </c>
      <c r="F894" s="33" t="s">
        <v>302</v>
      </c>
      <c r="G894" s="33" t="n">
        <v>1271</v>
      </c>
      <c r="H894" s="33" t="s">
        <v>683</v>
      </c>
      <c r="I894" s="33" t="n">
        <v>1</v>
      </c>
      <c r="J894" s="34" t="n">
        <v>1150</v>
      </c>
      <c r="K894" s="33" t="s">
        <v>546</v>
      </c>
      <c r="L894" s="33" t="s">
        <v>547</v>
      </c>
      <c r="M894" s="34" t="n">
        <f aca="false">IF(AND(L894="Oui",K894="Principal"),I894*J894,0)</f>
        <v>1150</v>
      </c>
      <c r="N894" s="33" t="s">
        <v>182</v>
      </c>
      <c r="O894" s="33" t="s">
        <v>684</v>
      </c>
      <c r="P894" s="33" t="s">
        <v>550</v>
      </c>
      <c r="Q894" s="33" t="s">
        <v>557</v>
      </c>
      <c r="R894" s="34" t="n">
        <v>850</v>
      </c>
      <c r="S894" s="34" t="n">
        <f aca="false">IF(AND(L894="Oui",K894="Principal",R894&lt;&gt;""),I894*R894,0)</f>
        <v>850</v>
      </c>
      <c r="T894" s="34" t="n">
        <f aca="false">IF(R894&lt;&gt;"",M894-S894,0)</f>
        <v>300</v>
      </c>
      <c r="U894" s="34" t="n">
        <f aca="false">IF(R894="",M894,0)</f>
        <v>0</v>
      </c>
    </row>
    <row r="895" customFormat="false" ht="15" hidden="false" customHeight="false" outlineLevel="0" collapsed="false">
      <c r="A895" s="25" t="s">
        <v>60</v>
      </c>
      <c r="B895" s="25" t="s">
        <v>63</v>
      </c>
      <c r="C895" s="25" t="s">
        <v>50</v>
      </c>
      <c r="D895" s="25" t="n">
        <v>7</v>
      </c>
      <c r="E895" s="25" t="s">
        <v>563</v>
      </c>
      <c r="F895" s="25" t="s">
        <v>255</v>
      </c>
      <c r="G895" s="25" t="n">
        <v>1636</v>
      </c>
      <c r="H895" s="25" t="s">
        <v>661</v>
      </c>
      <c r="I895" s="25" t="n">
        <v>1</v>
      </c>
      <c r="J895" s="26" t="n">
        <v>400</v>
      </c>
      <c r="K895" s="25" t="s">
        <v>546</v>
      </c>
      <c r="L895" s="25" t="s">
        <v>547</v>
      </c>
      <c r="M895" s="26" t="n">
        <f aca="false">IF(AND(L895="Oui",K895="Principal"),I895*J895,0)</f>
        <v>400</v>
      </c>
      <c r="N895" s="25" t="s">
        <v>548</v>
      </c>
      <c r="O895" s="25"/>
      <c r="P895" s="25" t="s">
        <v>556</v>
      </c>
      <c r="Q895" s="25" t="s">
        <v>557</v>
      </c>
      <c r="R895" s="26" t="n">
        <v>320</v>
      </c>
      <c r="S895" s="26" t="n">
        <f aca="false">IF(AND(L895="Oui",K895="Principal",R895&lt;&gt;""),I895*R895,0)</f>
        <v>320</v>
      </c>
      <c r="T895" s="26" t="n">
        <f aca="false">IF(R895&lt;&gt;"",M895-S895,0)</f>
        <v>80</v>
      </c>
      <c r="U895" s="26" t="n">
        <f aca="false">IF(R895="",M895,0)</f>
        <v>0</v>
      </c>
    </row>
    <row r="896" customFormat="false" ht="15" hidden="false" customHeight="false" outlineLevel="0" collapsed="false">
      <c r="A896" s="25" t="s">
        <v>60</v>
      </c>
      <c r="B896" s="25" t="s">
        <v>63</v>
      </c>
      <c r="C896" s="25" t="s">
        <v>50</v>
      </c>
      <c r="D896" s="25" t="n">
        <v>8</v>
      </c>
      <c r="E896" s="25" t="s">
        <v>563</v>
      </c>
      <c r="F896" s="25" t="s">
        <v>257</v>
      </c>
      <c r="G896" s="25" t="n">
        <v>1635</v>
      </c>
      <c r="H896" s="25" t="s">
        <v>607</v>
      </c>
      <c r="I896" s="25" t="n">
        <v>1</v>
      </c>
      <c r="J896" s="26" t="n">
        <v>100</v>
      </c>
      <c r="K896" s="25" t="s">
        <v>546</v>
      </c>
      <c r="L896" s="25" t="s">
        <v>547</v>
      </c>
      <c r="M896" s="26" t="n">
        <f aca="false">IF(AND(L896="Oui",K896="Principal"),I896*J896,0)</f>
        <v>100</v>
      </c>
      <c r="N896" s="25" t="s">
        <v>548</v>
      </c>
      <c r="O896" s="25"/>
      <c r="P896" s="25" t="s">
        <v>556</v>
      </c>
      <c r="Q896" s="25" t="s">
        <v>557</v>
      </c>
      <c r="R896" s="26" t="n">
        <v>80</v>
      </c>
      <c r="S896" s="26" t="n">
        <f aca="false">IF(AND(L896="Oui",K896="Principal",R896&lt;&gt;""),I896*R896,0)</f>
        <v>80</v>
      </c>
      <c r="T896" s="26" t="n">
        <f aca="false">IF(R896&lt;&gt;"",M896-S896,0)</f>
        <v>20</v>
      </c>
      <c r="U896" s="26" t="n">
        <f aca="false">IF(R896="",M896,0)</f>
        <v>0</v>
      </c>
    </row>
    <row r="897" customFormat="false" ht="15" hidden="false" customHeight="false" outlineLevel="0" collapsed="false">
      <c r="A897" s="25" t="s">
        <v>60</v>
      </c>
      <c r="B897" s="25" t="s">
        <v>63</v>
      </c>
      <c r="C897" s="25" t="s">
        <v>50</v>
      </c>
      <c r="D897" s="25" t="n">
        <v>9</v>
      </c>
      <c r="E897" s="25" t="s">
        <v>563</v>
      </c>
      <c r="F897" s="25" t="s">
        <v>188</v>
      </c>
      <c r="G897" s="25" t="n">
        <v>8</v>
      </c>
      <c r="H897" s="25" t="s">
        <v>188</v>
      </c>
      <c r="I897" s="25" t="n">
        <v>1</v>
      </c>
      <c r="J897" s="26" t="n">
        <v>500</v>
      </c>
      <c r="K897" s="25" t="s">
        <v>546</v>
      </c>
      <c r="L897" s="25" t="s">
        <v>547</v>
      </c>
      <c r="M897" s="26" t="n">
        <f aca="false">IF(AND(L897="Oui",K897="Principal"),I897*J897,0)</f>
        <v>500</v>
      </c>
      <c r="N897" s="25" t="s">
        <v>548</v>
      </c>
      <c r="O897" s="25"/>
      <c r="P897" s="25" t="s">
        <v>559</v>
      </c>
      <c r="Q897" s="25" t="s">
        <v>551</v>
      </c>
      <c r="R897" s="26"/>
      <c r="S897" s="26" t="n">
        <f aca="false">IF(AND(L897="Oui",K897="Principal",R897&lt;&gt;""),I897*R897,0)</f>
        <v>0</v>
      </c>
      <c r="T897" s="26" t="n">
        <f aca="false">IF(R897&lt;&gt;"",M897-S897,0)</f>
        <v>0</v>
      </c>
      <c r="U897" s="26" t="n">
        <f aca="false">IF(R897="",M897,0)</f>
        <v>500</v>
      </c>
    </row>
    <row r="898" customFormat="false" ht="15" hidden="false" customHeight="false" outlineLevel="0" collapsed="false">
      <c r="A898" s="25" t="s">
        <v>60</v>
      </c>
      <c r="B898" s="25" t="s">
        <v>63</v>
      </c>
      <c r="C898" s="25" t="s">
        <v>50</v>
      </c>
      <c r="D898" s="25" t="n">
        <v>10</v>
      </c>
      <c r="E898" s="25" t="s">
        <v>563</v>
      </c>
      <c r="F898" s="25" t="s">
        <v>323</v>
      </c>
      <c r="G898" s="25" t="n">
        <v>1607</v>
      </c>
      <c r="H898" s="25" t="s">
        <v>696</v>
      </c>
      <c r="I898" s="25" t="n">
        <v>1</v>
      </c>
      <c r="J898" s="26" t="n">
        <v>2500</v>
      </c>
      <c r="K898" s="25" t="s">
        <v>546</v>
      </c>
      <c r="L898" s="25" t="s">
        <v>547</v>
      </c>
      <c r="M898" s="26" t="n">
        <f aca="false">IF(AND(L898="Oui",K898="Principal"),I898*J898,0)</f>
        <v>2500</v>
      </c>
      <c r="N898" s="25" t="s">
        <v>548</v>
      </c>
      <c r="O898" s="25"/>
      <c r="P898" s="25" t="s">
        <v>556</v>
      </c>
      <c r="Q898" s="25" t="s">
        <v>557</v>
      </c>
      <c r="R898" s="26" t="n">
        <v>2000</v>
      </c>
      <c r="S898" s="26" t="n">
        <f aca="false">IF(AND(L898="Oui",K898="Principal",R898&lt;&gt;""),I898*R898,0)</f>
        <v>2000</v>
      </c>
      <c r="T898" s="26" t="n">
        <f aca="false">IF(R898&lt;&gt;"",M898-S898,0)</f>
        <v>500</v>
      </c>
      <c r="U898" s="26" t="n">
        <f aca="false">IF(R898="",M898,0)</f>
        <v>0</v>
      </c>
    </row>
    <row r="899" customFormat="false" ht="15" hidden="false" customHeight="false" outlineLevel="0" collapsed="false">
      <c r="A899" s="25" t="s">
        <v>60</v>
      </c>
      <c r="B899" s="25" t="s">
        <v>63</v>
      </c>
      <c r="C899" s="25" t="s">
        <v>50</v>
      </c>
      <c r="D899" s="25" t="n">
        <v>11</v>
      </c>
      <c r="E899" s="25" t="s">
        <v>563</v>
      </c>
      <c r="F899" s="25" t="s">
        <v>325</v>
      </c>
      <c r="G899" s="25" t="n">
        <v>1639</v>
      </c>
      <c r="H899" s="25" t="s">
        <v>702</v>
      </c>
      <c r="I899" s="25" t="n">
        <v>1</v>
      </c>
      <c r="J899" s="26" t="n">
        <v>1000</v>
      </c>
      <c r="K899" s="25" t="s">
        <v>546</v>
      </c>
      <c r="L899" s="25" t="s">
        <v>547</v>
      </c>
      <c r="M899" s="26" t="n">
        <f aca="false">IF(AND(L899="Oui",K899="Principal"),I899*J899,0)</f>
        <v>1000</v>
      </c>
      <c r="N899" s="25" t="s">
        <v>548</v>
      </c>
      <c r="O899" s="25"/>
      <c r="P899" s="25" t="s">
        <v>556</v>
      </c>
      <c r="Q899" s="25" t="s">
        <v>557</v>
      </c>
      <c r="R899" s="26" t="n">
        <v>700</v>
      </c>
      <c r="S899" s="26" t="n">
        <f aca="false">IF(AND(L899="Oui",K899="Principal",R899&lt;&gt;""),I899*R899,0)</f>
        <v>700</v>
      </c>
      <c r="T899" s="26" t="n">
        <f aca="false">IF(R899&lt;&gt;"",M899-S899,0)</f>
        <v>300</v>
      </c>
      <c r="U899" s="26" t="n">
        <f aca="false">IF(R899="",M899,0)</f>
        <v>0</v>
      </c>
    </row>
    <row r="900" customFormat="false" ht="15" hidden="false" customHeight="false" outlineLevel="0" collapsed="false">
      <c r="A900" s="25" t="s">
        <v>60</v>
      </c>
      <c r="B900" s="25" t="s">
        <v>63</v>
      </c>
      <c r="C900" s="25" t="s">
        <v>50</v>
      </c>
      <c r="D900" s="25" t="n">
        <v>12</v>
      </c>
      <c r="E900" s="25" t="s">
        <v>565</v>
      </c>
      <c r="F900" s="25" t="s">
        <v>99</v>
      </c>
      <c r="G900" s="25" t="n">
        <v>1181</v>
      </c>
      <c r="H900" s="25" t="s">
        <v>581</v>
      </c>
      <c r="I900" s="25" t="n">
        <v>1</v>
      </c>
      <c r="J900" s="26" t="n">
        <v>250</v>
      </c>
      <c r="K900" s="25" t="s">
        <v>546</v>
      </c>
      <c r="L900" s="25" t="s">
        <v>547</v>
      </c>
      <c r="M900" s="26" t="n">
        <f aca="false">IF(AND(L900="Oui",K900="Principal"),I900*J900,0)</f>
        <v>250</v>
      </c>
      <c r="N900" s="25" t="s">
        <v>548</v>
      </c>
      <c r="O900" s="25"/>
      <c r="P900" s="25" t="s">
        <v>550</v>
      </c>
      <c r="Q900" s="25" t="s">
        <v>557</v>
      </c>
      <c r="R900" s="26" t="n">
        <v>110</v>
      </c>
      <c r="S900" s="26" t="n">
        <f aca="false">IF(AND(L900="Oui",K900="Principal",R900&lt;&gt;""),I900*R900,0)</f>
        <v>110</v>
      </c>
      <c r="T900" s="26" t="n">
        <f aca="false">IF(R900&lt;&gt;"",M900-S900,0)</f>
        <v>140</v>
      </c>
      <c r="U900" s="26" t="n">
        <f aca="false">IF(R900="",M900,0)</f>
        <v>0</v>
      </c>
    </row>
    <row r="901" customFormat="false" ht="15" hidden="false" customHeight="false" outlineLevel="0" collapsed="false">
      <c r="A901" s="25" t="s">
        <v>60</v>
      </c>
      <c r="B901" s="25" t="s">
        <v>63</v>
      </c>
      <c r="C901" s="25" t="s">
        <v>50</v>
      </c>
      <c r="D901" s="25" t="n">
        <v>13</v>
      </c>
      <c r="E901" s="25" t="s">
        <v>565</v>
      </c>
      <c r="F901" s="25" t="s">
        <v>164</v>
      </c>
      <c r="G901" s="25" t="n">
        <v>1587</v>
      </c>
      <c r="H901" s="25" t="s">
        <v>567</v>
      </c>
      <c r="I901" s="25" t="n">
        <v>1</v>
      </c>
      <c r="J901" s="26" t="n">
        <v>500</v>
      </c>
      <c r="K901" s="25" t="s">
        <v>546</v>
      </c>
      <c r="L901" s="25" t="s">
        <v>547</v>
      </c>
      <c r="M901" s="26" t="n">
        <f aca="false">IF(AND(L901="Oui",K901="Principal"),I901*J901,0)</f>
        <v>500</v>
      </c>
      <c r="N901" s="25" t="s">
        <v>548</v>
      </c>
      <c r="O901" s="25"/>
      <c r="P901" s="25" t="s">
        <v>556</v>
      </c>
      <c r="Q901" s="25" t="s">
        <v>557</v>
      </c>
      <c r="R901" s="26" t="n">
        <v>350</v>
      </c>
      <c r="S901" s="26" t="n">
        <f aca="false">IF(AND(L901="Oui",K901="Principal",R901&lt;&gt;""),I901*R901,0)</f>
        <v>350</v>
      </c>
      <c r="T901" s="26" t="n">
        <f aca="false">IF(R901&lt;&gt;"",M901-S901,0)</f>
        <v>150</v>
      </c>
      <c r="U901" s="26" t="n">
        <f aca="false">IF(R901="",M901,0)</f>
        <v>0</v>
      </c>
    </row>
    <row r="902" customFormat="false" ht="15" hidden="false" customHeight="false" outlineLevel="0" collapsed="false">
      <c r="A902" s="25" t="s">
        <v>60</v>
      </c>
      <c r="B902" s="25" t="s">
        <v>63</v>
      </c>
      <c r="C902" s="25" t="s">
        <v>50</v>
      </c>
      <c r="D902" s="25" t="n">
        <v>14</v>
      </c>
      <c r="E902" s="25" t="s">
        <v>565</v>
      </c>
      <c r="F902" s="25" t="s">
        <v>166</v>
      </c>
      <c r="G902" s="25" t="n">
        <v>1604</v>
      </c>
      <c r="H902" s="25" t="s">
        <v>582</v>
      </c>
      <c r="I902" s="25" t="n">
        <v>2</v>
      </c>
      <c r="J902" s="26" t="n">
        <v>700</v>
      </c>
      <c r="K902" s="25" t="s">
        <v>546</v>
      </c>
      <c r="L902" s="25" t="s">
        <v>547</v>
      </c>
      <c r="M902" s="26" t="n">
        <f aca="false">IF(AND(L902="Oui",K902="Principal"),I902*J902,0)</f>
        <v>1400</v>
      </c>
      <c r="N902" s="25" t="s">
        <v>548</v>
      </c>
      <c r="O902" s="25"/>
      <c r="P902" s="25" t="s">
        <v>556</v>
      </c>
      <c r="Q902" s="25" t="s">
        <v>557</v>
      </c>
      <c r="R902" s="26" t="n">
        <v>400</v>
      </c>
      <c r="S902" s="26" t="n">
        <f aca="false">IF(AND(L902="Oui",K902="Principal",R902&lt;&gt;""),I902*R902,0)</f>
        <v>800</v>
      </c>
      <c r="T902" s="26" t="n">
        <f aca="false">IF(R902&lt;&gt;"",M902-S902,0)</f>
        <v>600</v>
      </c>
      <c r="U902" s="26" t="n">
        <f aca="false">IF(R902="",M902,0)</f>
        <v>0</v>
      </c>
    </row>
    <row r="903" customFormat="false" ht="15" hidden="false" customHeight="false" outlineLevel="0" collapsed="false">
      <c r="A903" s="25" t="s">
        <v>60</v>
      </c>
      <c r="B903" s="25" t="s">
        <v>63</v>
      </c>
      <c r="C903" s="25" t="s">
        <v>50</v>
      </c>
      <c r="D903" s="25" t="n">
        <v>15</v>
      </c>
      <c r="E903" s="25" t="s">
        <v>565</v>
      </c>
      <c r="F903" s="25" t="s">
        <v>304</v>
      </c>
      <c r="G903" s="25" t="n">
        <v>1586</v>
      </c>
      <c r="H903" s="25" t="s">
        <v>583</v>
      </c>
      <c r="I903" s="25" t="n">
        <v>1</v>
      </c>
      <c r="J903" s="26" t="n">
        <v>900</v>
      </c>
      <c r="K903" s="25" t="s">
        <v>546</v>
      </c>
      <c r="L903" s="25" t="s">
        <v>547</v>
      </c>
      <c r="M903" s="26" t="n">
        <f aca="false">IF(AND(L903="Oui",K903="Principal"),I903*J903,0)</f>
        <v>900</v>
      </c>
      <c r="N903" s="25" t="s">
        <v>548</v>
      </c>
      <c r="O903" s="25"/>
      <c r="P903" s="25" t="s">
        <v>556</v>
      </c>
      <c r="Q903" s="25" t="s">
        <v>557</v>
      </c>
      <c r="R903" s="26" t="n">
        <v>650</v>
      </c>
      <c r="S903" s="26" t="n">
        <f aca="false">IF(AND(L903="Oui",K903="Principal",R903&lt;&gt;""),I903*R903,0)</f>
        <v>650</v>
      </c>
      <c r="T903" s="26" t="n">
        <f aca="false">IF(R903&lt;&gt;"",M903-S903,0)</f>
        <v>250</v>
      </c>
      <c r="U903" s="26" t="n">
        <f aca="false">IF(R903="",M903,0)</f>
        <v>0</v>
      </c>
    </row>
    <row r="904" customFormat="false" ht="15" hidden="false" customHeight="false" outlineLevel="0" collapsed="false">
      <c r="A904" s="33" t="s">
        <v>60</v>
      </c>
      <c r="B904" s="33" t="s">
        <v>63</v>
      </c>
      <c r="C904" s="33" t="s">
        <v>50</v>
      </c>
      <c r="D904" s="33" t="n">
        <v>16</v>
      </c>
      <c r="E904" s="33" t="s">
        <v>609</v>
      </c>
      <c r="F904" s="33" t="s">
        <v>199</v>
      </c>
      <c r="G904" s="33" t="n">
        <v>1229</v>
      </c>
      <c r="H904" s="33" t="s">
        <v>643</v>
      </c>
      <c r="I904" s="33" t="n">
        <v>1</v>
      </c>
      <c r="J904" s="34" t="n">
        <v>1800</v>
      </c>
      <c r="K904" s="33" t="s">
        <v>546</v>
      </c>
      <c r="L904" s="33" t="s">
        <v>547</v>
      </c>
      <c r="M904" s="34" t="n">
        <f aca="false">IF(AND(L904="Oui",K904="Principal"),I904*J904,0)</f>
        <v>1800</v>
      </c>
      <c r="N904" s="33" t="s">
        <v>182</v>
      </c>
      <c r="O904" s="33" t="s">
        <v>644</v>
      </c>
      <c r="P904" s="33" t="s">
        <v>550</v>
      </c>
      <c r="Q904" s="33" t="s">
        <v>557</v>
      </c>
      <c r="R904" s="34" t="n">
        <v>1500</v>
      </c>
      <c r="S904" s="34" t="n">
        <f aca="false">IF(AND(L904="Oui",K904="Principal",R904&lt;&gt;""),I904*R904,0)</f>
        <v>1500</v>
      </c>
      <c r="T904" s="34" t="n">
        <f aca="false">IF(R904&lt;&gt;"",M904-S904,0)</f>
        <v>300</v>
      </c>
      <c r="U904" s="34" t="n">
        <f aca="false">IF(R904="",M904,0)</f>
        <v>0</v>
      </c>
    </row>
    <row r="905" customFormat="false" ht="15" hidden="false" customHeight="false" outlineLevel="0" collapsed="false">
      <c r="A905" s="25" t="s">
        <v>60</v>
      </c>
      <c r="B905" s="25" t="s">
        <v>63</v>
      </c>
      <c r="C905" s="25" t="s">
        <v>50</v>
      </c>
      <c r="D905" s="25" t="n">
        <v>17</v>
      </c>
      <c r="E905" s="25" t="s">
        <v>609</v>
      </c>
      <c r="F905" s="25" t="s">
        <v>305</v>
      </c>
      <c r="G905" s="25" t="n">
        <v>1727</v>
      </c>
      <c r="H905" s="25" t="s">
        <v>698</v>
      </c>
      <c r="I905" s="25" t="n">
        <v>1</v>
      </c>
      <c r="J905" s="26" t="n">
        <v>4750</v>
      </c>
      <c r="K905" s="25" t="s">
        <v>546</v>
      </c>
      <c r="L905" s="25" t="s">
        <v>547</v>
      </c>
      <c r="M905" s="26" t="n">
        <f aca="false">IF(AND(L905="Oui",K905="Principal"),I905*J905,0)</f>
        <v>4750</v>
      </c>
      <c r="N905" s="25" t="s">
        <v>548</v>
      </c>
      <c r="O905" s="25"/>
      <c r="P905" s="25" t="s">
        <v>559</v>
      </c>
      <c r="Q905" s="25" t="s">
        <v>557</v>
      </c>
      <c r="R905" s="26" t="n">
        <v>3700</v>
      </c>
      <c r="S905" s="26" t="n">
        <f aca="false">IF(AND(L905="Oui",K905="Principal",R905&lt;&gt;""),I905*R905,0)</f>
        <v>3700</v>
      </c>
      <c r="T905" s="26" t="n">
        <f aca="false">IF(R905&lt;&gt;"",M905-S905,0)</f>
        <v>1050</v>
      </c>
      <c r="U905" s="26" t="n">
        <f aca="false">IF(R905="",M905,0)</f>
        <v>0</v>
      </c>
    </row>
    <row r="906" customFormat="false" ht="15" hidden="false" customHeight="false" outlineLevel="0" collapsed="false">
      <c r="A906" s="25" t="s">
        <v>60</v>
      </c>
      <c r="B906" s="25" t="s">
        <v>63</v>
      </c>
      <c r="C906" s="25" t="s">
        <v>50</v>
      </c>
      <c r="D906" s="25" t="n">
        <v>18</v>
      </c>
      <c r="E906" s="25" t="s">
        <v>554</v>
      </c>
      <c r="F906" s="25" t="s">
        <v>104</v>
      </c>
      <c r="G906" s="25" t="n">
        <v>1594</v>
      </c>
      <c r="H906" s="25" t="s">
        <v>593</v>
      </c>
      <c r="I906" s="25" t="n">
        <v>1</v>
      </c>
      <c r="J906" s="26" t="n">
        <v>1600</v>
      </c>
      <c r="K906" s="25" t="s">
        <v>546</v>
      </c>
      <c r="L906" s="25" t="s">
        <v>547</v>
      </c>
      <c r="M906" s="26" t="n">
        <f aca="false">IF(AND(L906="Oui",K906="Principal"),I906*J906,0)</f>
        <v>1600</v>
      </c>
      <c r="N906" s="25" t="s">
        <v>548</v>
      </c>
      <c r="O906" s="25"/>
      <c r="P906" s="25" t="s">
        <v>556</v>
      </c>
      <c r="Q906" s="25" t="s">
        <v>557</v>
      </c>
      <c r="R906" s="26" t="n">
        <v>1300</v>
      </c>
      <c r="S906" s="26" t="n">
        <f aca="false">IF(AND(L906="Oui",K906="Principal",R906&lt;&gt;""),I906*R906,0)</f>
        <v>1300</v>
      </c>
      <c r="T906" s="26" t="n">
        <f aca="false">IF(R906&lt;&gt;"",M906-S906,0)</f>
        <v>300</v>
      </c>
      <c r="U906" s="26" t="n">
        <f aca="false">IF(R906="",M906,0)</f>
        <v>0</v>
      </c>
    </row>
    <row r="907" customFormat="false" ht="15" hidden="false" customHeight="false" outlineLevel="0" collapsed="false">
      <c r="A907" s="29" t="s">
        <v>60</v>
      </c>
      <c r="B907" s="29" t="s">
        <v>63</v>
      </c>
      <c r="C907" s="29" t="s">
        <v>50</v>
      </c>
      <c r="D907" s="29" t="n">
        <v>19</v>
      </c>
      <c r="E907" s="29" t="s">
        <v>554</v>
      </c>
      <c r="F907" s="29" t="s">
        <v>328</v>
      </c>
      <c r="G907" s="29" t="n">
        <v>31</v>
      </c>
      <c r="H907" s="29" t="s">
        <v>595</v>
      </c>
      <c r="I907" s="29" t="n">
        <v>1</v>
      </c>
      <c r="J907" s="30" t="n">
        <v>1500</v>
      </c>
      <c r="K907" s="29" t="s">
        <v>546</v>
      </c>
      <c r="L907" s="29" t="s">
        <v>547</v>
      </c>
      <c r="M907" s="30" t="n">
        <f aca="false">IF(AND(L907="Oui",K907="Principal"),I907*J907,0)</f>
        <v>1500</v>
      </c>
      <c r="N907" s="29" t="s">
        <v>141</v>
      </c>
      <c r="O907" s="29" t="s">
        <v>699</v>
      </c>
      <c r="P907" s="29" t="s">
        <v>559</v>
      </c>
      <c r="Q907" s="29" t="s">
        <v>551</v>
      </c>
      <c r="R907" s="30"/>
      <c r="S907" s="30" t="n">
        <f aca="false">IF(AND(L907="Oui",K907="Principal",R907&lt;&gt;""),I907*R907,0)</f>
        <v>0</v>
      </c>
      <c r="T907" s="30" t="n">
        <f aca="false">IF(R907&lt;&gt;"",M907-S907,0)</f>
        <v>0</v>
      </c>
      <c r="U907" s="30" t="n">
        <f aca="false">IF(R907="",M907,0)</f>
        <v>1500</v>
      </c>
    </row>
    <row r="908" customFormat="false" ht="15" hidden="false" customHeight="false" outlineLevel="0" collapsed="false">
      <c r="A908" s="25" t="s">
        <v>60</v>
      </c>
      <c r="B908" s="25" t="s">
        <v>63</v>
      </c>
      <c r="C908" s="25" t="s">
        <v>50</v>
      </c>
      <c r="D908" s="25" t="n">
        <v>20</v>
      </c>
      <c r="E908" s="25" t="s">
        <v>700</v>
      </c>
      <c r="F908" s="25" t="s">
        <v>329</v>
      </c>
      <c r="G908" s="25" t="n">
        <v>1716</v>
      </c>
      <c r="H908" s="25" t="s">
        <v>701</v>
      </c>
      <c r="I908" s="25" t="n">
        <v>1</v>
      </c>
      <c r="J908" s="26" t="n">
        <v>1800</v>
      </c>
      <c r="K908" s="25" t="s">
        <v>546</v>
      </c>
      <c r="L908" s="25" t="s">
        <v>547</v>
      </c>
      <c r="M908" s="26" t="n">
        <f aca="false">IF(AND(L908="Oui",K908="Principal"),I908*J908,0)</f>
        <v>1800</v>
      </c>
      <c r="N908" s="25" t="s">
        <v>548</v>
      </c>
      <c r="O908" s="25"/>
      <c r="P908" s="25" t="s">
        <v>559</v>
      </c>
      <c r="Q908" s="25" t="s">
        <v>557</v>
      </c>
      <c r="R908" s="26" t="n">
        <v>1300</v>
      </c>
      <c r="S908" s="26" t="n">
        <f aca="false">IF(AND(L908="Oui",K908="Principal",R908&lt;&gt;""),I908*R908,0)</f>
        <v>1300</v>
      </c>
      <c r="T908" s="26" t="n">
        <f aca="false">IF(R908&lt;&gt;"",M908-S908,0)</f>
        <v>500</v>
      </c>
      <c r="U908" s="26" t="n">
        <f aca="false">IF(R908="",M908,0)</f>
        <v>0</v>
      </c>
    </row>
    <row r="909" customFormat="false" ht="15" hidden="false" customHeight="false" outlineLevel="0" collapsed="false">
      <c r="A909" s="27" t="s">
        <v>60</v>
      </c>
      <c r="B909" s="27" t="s">
        <v>63</v>
      </c>
      <c r="C909" s="27" t="s">
        <v>50</v>
      </c>
      <c r="D909" s="27" t="n">
        <v>21</v>
      </c>
      <c r="E909" s="27" t="s">
        <v>700</v>
      </c>
      <c r="F909" s="27" t="s">
        <v>382</v>
      </c>
      <c r="G909" s="27"/>
      <c r="H909" s="27" t="s">
        <v>585</v>
      </c>
      <c r="I909" s="27" t="n">
        <v>1</v>
      </c>
      <c r="J909" s="28" t="n">
        <v>0</v>
      </c>
      <c r="K909" s="27" t="s">
        <v>546</v>
      </c>
      <c r="L909" s="27" t="s">
        <v>579</v>
      </c>
      <c r="M909" s="28" t="n">
        <f aca="false">IF(AND(L909="Oui",K909="Principal"),I909*J909,0)</f>
        <v>0</v>
      </c>
      <c r="N909" s="27" t="s">
        <v>128</v>
      </c>
      <c r="O909" s="27" t="s">
        <v>586</v>
      </c>
      <c r="P909" s="27"/>
      <c r="Q909" s="27"/>
      <c r="R909" s="28"/>
      <c r="S909" s="28" t="n">
        <f aca="false">IF(AND(L909="Oui",K909="Principal",R909&lt;&gt;""),I909*R909,0)</f>
        <v>0</v>
      </c>
      <c r="T909" s="28" t="n">
        <f aca="false">IF(R909&lt;&gt;"",M909-S909,0)</f>
        <v>0</v>
      </c>
      <c r="U909" s="28" t="n">
        <f aca="false">IF(R909="",M909,0)</f>
        <v>0</v>
      </c>
    </row>
    <row r="910" customFormat="false" ht="15" hidden="false" customHeight="false" outlineLevel="0" collapsed="false">
      <c r="A910" s="25" t="s">
        <v>60</v>
      </c>
      <c r="B910" s="25" t="s">
        <v>63</v>
      </c>
      <c r="C910" s="25" t="s">
        <v>50</v>
      </c>
      <c r="D910" s="25" t="n">
        <v>22</v>
      </c>
      <c r="E910" s="25" t="s">
        <v>571</v>
      </c>
      <c r="F910" s="25" t="s">
        <v>331</v>
      </c>
      <c r="G910" s="25" t="n">
        <v>1625</v>
      </c>
      <c r="H910" s="25" t="s">
        <v>572</v>
      </c>
      <c r="I910" s="25" t="n">
        <v>1</v>
      </c>
      <c r="J910" s="26" t="n">
        <v>500</v>
      </c>
      <c r="K910" s="25" t="s">
        <v>546</v>
      </c>
      <c r="L910" s="25" t="s">
        <v>547</v>
      </c>
      <c r="M910" s="26" t="n">
        <f aca="false">IF(AND(L910="Oui",K910="Principal"),I910*J910,0)</f>
        <v>500</v>
      </c>
      <c r="N910" s="25" t="s">
        <v>548</v>
      </c>
      <c r="O910" s="25"/>
      <c r="P910" s="25" t="s">
        <v>556</v>
      </c>
      <c r="Q910" s="25" t="s">
        <v>557</v>
      </c>
      <c r="R910" s="26"/>
      <c r="S910" s="26" t="n">
        <f aca="false">IF(AND(L910="Oui",K910="Principal",R910&lt;&gt;""),I910*R910,0)</f>
        <v>0</v>
      </c>
      <c r="T910" s="26" t="n">
        <f aca="false">IF(R910&lt;&gt;"",M910-S910,0)</f>
        <v>0</v>
      </c>
      <c r="U910" s="26" t="n">
        <f aca="false">IF(R910="",M910,0)</f>
        <v>500</v>
      </c>
    </row>
    <row r="911" customFormat="false" ht="15" hidden="false" customHeight="false" outlineLevel="0" collapsed="false">
      <c r="A911" s="25" t="s">
        <v>60</v>
      </c>
      <c r="B911" s="25" t="s">
        <v>63</v>
      </c>
      <c r="C911" s="25" t="s">
        <v>50</v>
      </c>
      <c r="D911" s="25" t="n">
        <v>23</v>
      </c>
      <c r="E911" s="25" t="s">
        <v>573</v>
      </c>
      <c r="F911" s="25" t="s">
        <v>176</v>
      </c>
      <c r="G911" s="25" t="n">
        <v>19</v>
      </c>
      <c r="H911" s="25" t="s">
        <v>615</v>
      </c>
      <c r="I911" s="25" t="n">
        <v>1</v>
      </c>
      <c r="J911" s="26" t="n">
        <v>2500</v>
      </c>
      <c r="K911" s="25" t="s">
        <v>546</v>
      </c>
      <c r="L911" s="25" t="s">
        <v>547</v>
      </c>
      <c r="M911" s="26" t="n">
        <f aca="false">IF(AND(L911="Oui",K911="Principal"),I911*J911,0)</f>
        <v>2500</v>
      </c>
      <c r="N911" s="25" t="s">
        <v>548</v>
      </c>
      <c r="O911" s="25"/>
      <c r="P911" s="25" t="s">
        <v>559</v>
      </c>
      <c r="Q911" s="25" t="s">
        <v>551</v>
      </c>
      <c r="R911" s="26"/>
      <c r="S911" s="26" t="n">
        <f aca="false">IF(AND(L911="Oui",K911="Principal",R911&lt;&gt;""),I911*R911,0)</f>
        <v>0</v>
      </c>
      <c r="T911" s="26" t="n">
        <f aca="false">IF(R911&lt;&gt;"",M911-S911,0)</f>
        <v>0</v>
      </c>
      <c r="U911" s="26" t="n">
        <f aca="false">IF(R911="",M911,0)</f>
        <v>2500</v>
      </c>
    </row>
    <row r="912" customFormat="false" ht="15" hidden="false" customHeight="false" outlineLevel="0" collapsed="false">
      <c r="A912" s="25" t="s">
        <v>60</v>
      </c>
      <c r="B912" s="25" t="s">
        <v>63</v>
      </c>
      <c r="C912" s="25" t="s">
        <v>50</v>
      </c>
      <c r="D912" s="25" t="n">
        <v>24</v>
      </c>
      <c r="E912" s="25" t="s">
        <v>573</v>
      </c>
      <c r="F912" s="25" t="s">
        <v>117</v>
      </c>
      <c r="G912" s="25" t="n">
        <v>1288</v>
      </c>
      <c r="H912" s="25" t="s">
        <v>624</v>
      </c>
      <c r="I912" s="25" t="n">
        <v>1</v>
      </c>
      <c r="J912" s="26" t="n">
        <v>2500</v>
      </c>
      <c r="K912" s="25" t="s">
        <v>546</v>
      </c>
      <c r="L912" s="25" t="s">
        <v>547</v>
      </c>
      <c r="M912" s="26" t="n">
        <f aca="false">IF(AND(L912="Oui",K912="Principal"),I912*J912,0)</f>
        <v>2500</v>
      </c>
      <c r="N912" s="25" t="s">
        <v>548</v>
      </c>
      <c r="O912" s="25"/>
      <c r="P912" s="25" t="s">
        <v>550</v>
      </c>
      <c r="Q912" s="25" t="s">
        <v>557</v>
      </c>
      <c r="R912" s="26" t="n">
        <v>2000</v>
      </c>
      <c r="S912" s="26" t="n">
        <f aca="false">IF(AND(L912="Oui",K912="Principal",R912&lt;&gt;""),I912*R912,0)</f>
        <v>2000</v>
      </c>
      <c r="T912" s="26" t="n">
        <f aca="false">IF(R912&lt;&gt;"",M912-S912,0)</f>
        <v>500</v>
      </c>
      <c r="U912" s="26" t="n">
        <f aca="false">IF(R912="",M912,0)</f>
        <v>0</v>
      </c>
    </row>
    <row r="913" customFormat="false" ht="15" hidden="false" customHeight="false" outlineLevel="0" collapsed="false">
      <c r="A913" s="25" t="s">
        <v>60</v>
      </c>
      <c r="B913" s="25" t="s">
        <v>63</v>
      </c>
      <c r="C913" s="25" t="s">
        <v>50</v>
      </c>
      <c r="D913" s="25" t="n">
        <v>25</v>
      </c>
      <c r="E913" s="25" t="s">
        <v>573</v>
      </c>
      <c r="F913" s="25" t="s">
        <v>321</v>
      </c>
      <c r="G913" s="25" t="n">
        <v>1192</v>
      </c>
      <c r="H913" s="25" t="s">
        <v>694</v>
      </c>
      <c r="I913" s="25" t="n">
        <v>1</v>
      </c>
      <c r="J913" s="26" t="n">
        <v>7000</v>
      </c>
      <c r="K913" s="25" t="s">
        <v>546</v>
      </c>
      <c r="L913" s="25" t="s">
        <v>547</v>
      </c>
      <c r="M913" s="26" t="n">
        <f aca="false">IF(AND(L913="Oui",K913="Principal"),I913*J913,0)</f>
        <v>7000</v>
      </c>
      <c r="N913" s="25" t="s">
        <v>548</v>
      </c>
      <c r="O913" s="25"/>
      <c r="P913" s="25" t="s">
        <v>550</v>
      </c>
      <c r="Q913" s="25" t="s">
        <v>557</v>
      </c>
      <c r="R913" s="26" t="n">
        <v>5500</v>
      </c>
      <c r="S913" s="26" t="n">
        <f aca="false">IF(AND(L913="Oui",K913="Principal",R913&lt;&gt;""),I913*R913,0)</f>
        <v>5500</v>
      </c>
      <c r="T913" s="26" t="n">
        <f aca="false">IF(R913&lt;&gt;"",M913-S913,0)</f>
        <v>1500</v>
      </c>
      <c r="U913" s="26" t="n">
        <f aca="false">IF(R913="",M913,0)</f>
        <v>0</v>
      </c>
    </row>
    <row r="914" customFormat="false" ht="15" hidden="false" customHeight="false" outlineLevel="0" collapsed="false">
      <c r="A914" s="27" t="s">
        <v>60</v>
      </c>
      <c r="B914" s="27" t="s">
        <v>63</v>
      </c>
      <c r="C914" s="27" t="s">
        <v>50</v>
      </c>
      <c r="D914" s="27" t="n">
        <v>26</v>
      </c>
      <c r="E914" s="27" t="s">
        <v>686</v>
      </c>
      <c r="F914" s="27" t="s">
        <v>363</v>
      </c>
      <c r="G914" s="27"/>
      <c r="H914" s="27" t="s">
        <v>585</v>
      </c>
      <c r="I914" s="27" t="n">
        <v>1</v>
      </c>
      <c r="J914" s="28" t="n">
        <v>0</v>
      </c>
      <c r="K914" s="27" t="s">
        <v>546</v>
      </c>
      <c r="L914" s="27" t="s">
        <v>579</v>
      </c>
      <c r="M914" s="28" t="n">
        <f aca="false">IF(AND(L914="Oui",K914="Principal"),I914*J914,0)</f>
        <v>0</v>
      </c>
      <c r="N914" s="27" t="s">
        <v>128</v>
      </c>
      <c r="O914" s="27" t="s">
        <v>718</v>
      </c>
      <c r="P914" s="27"/>
      <c r="Q914" s="27"/>
      <c r="R914" s="28"/>
      <c r="S914" s="28" t="n">
        <f aca="false">IF(AND(L914="Oui",K914="Principal",R914&lt;&gt;""),I914*R914,0)</f>
        <v>0</v>
      </c>
      <c r="T914" s="28" t="n">
        <f aca="false">IF(R914&lt;&gt;"",M914-S914,0)</f>
        <v>0</v>
      </c>
      <c r="U914" s="28" t="n">
        <f aca="false">IF(R914="",M914,0)</f>
        <v>0</v>
      </c>
    </row>
    <row r="915" customFormat="false" ht="15" hidden="false" customHeight="false" outlineLevel="0" collapsed="false">
      <c r="A915" s="25" t="s">
        <v>60</v>
      </c>
      <c r="B915" s="25" t="s">
        <v>63</v>
      </c>
      <c r="C915" s="25" t="s">
        <v>50</v>
      </c>
      <c r="D915" s="25" t="n">
        <v>27</v>
      </c>
      <c r="E915" s="25" t="s">
        <v>686</v>
      </c>
      <c r="F915" s="25" t="s">
        <v>364</v>
      </c>
      <c r="G915" s="25" t="n">
        <v>1350</v>
      </c>
      <c r="H915" s="25" t="s">
        <v>719</v>
      </c>
      <c r="I915" s="25" t="n">
        <v>1</v>
      </c>
      <c r="J915" s="26" t="n">
        <v>4000</v>
      </c>
      <c r="K915" s="25" t="s">
        <v>546</v>
      </c>
      <c r="L915" s="25" t="s">
        <v>547</v>
      </c>
      <c r="M915" s="26" t="n">
        <f aca="false">IF(AND(L915="Oui",K915="Principal"),I915*J915,0)</f>
        <v>4000</v>
      </c>
      <c r="N915" s="25" t="s">
        <v>548</v>
      </c>
      <c r="O915" s="25"/>
      <c r="P915" s="25" t="s">
        <v>550</v>
      </c>
      <c r="Q915" s="25" t="s">
        <v>557</v>
      </c>
      <c r="R915" s="26" t="n">
        <v>3000</v>
      </c>
      <c r="S915" s="26" t="n">
        <f aca="false">IF(AND(L915="Oui",K915="Principal",R915&lt;&gt;""),I915*R915,0)</f>
        <v>3000</v>
      </c>
      <c r="T915" s="26" t="n">
        <f aca="false">IF(R915&lt;&gt;"",M915-S915,0)</f>
        <v>1000</v>
      </c>
      <c r="U915" s="26" t="n">
        <f aca="false">IF(R915="",M915,0)</f>
        <v>0</v>
      </c>
    </row>
    <row r="916" customFormat="false" ht="15" hidden="false" customHeight="false" outlineLevel="0" collapsed="false">
      <c r="A916" s="25" t="s">
        <v>60</v>
      </c>
      <c r="B916" s="25" t="s">
        <v>63</v>
      </c>
      <c r="C916" s="25" t="s">
        <v>50</v>
      </c>
      <c r="D916" s="25" t="n">
        <v>28</v>
      </c>
      <c r="E916" s="25" t="s">
        <v>689</v>
      </c>
      <c r="F916" s="25" t="s">
        <v>366</v>
      </c>
      <c r="G916" s="25" t="n">
        <v>1312</v>
      </c>
      <c r="H916" s="25" t="s">
        <v>720</v>
      </c>
      <c r="I916" s="25" t="n">
        <v>1</v>
      </c>
      <c r="J916" s="26" t="n">
        <v>3500</v>
      </c>
      <c r="K916" s="25" t="s">
        <v>546</v>
      </c>
      <c r="L916" s="25" t="s">
        <v>547</v>
      </c>
      <c r="M916" s="26" t="n">
        <f aca="false">IF(AND(L916="Oui",K916="Principal"),I916*J916,0)</f>
        <v>3500</v>
      </c>
      <c r="N916" s="25" t="s">
        <v>548</v>
      </c>
      <c r="O916" s="25"/>
      <c r="P916" s="25" t="s">
        <v>550</v>
      </c>
      <c r="Q916" s="25" t="s">
        <v>557</v>
      </c>
      <c r="R916" s="26" t="n">
        <v>2500</v>
      </c>
      <c r="S916" s="26" t="n">
        <f aca="false">IF(AND(L916="Oui",K916="Principal",R916&lt;&gt;""),I916*R916,0)</f>
        <v>2500</v>
      </c>
      <c r="T916" s="26" t="n">
        <f aca="false">IF(R916&lt;&gt;"",M916-S916,0)</f>
        <v>1000</v>
      </c>
      <c r="U916" s="26" t="n">
        <f aca="false">IF(R916="",M916,0)</f>
        <v>0</v>
      </c>
    </row>
    <row r="917" customFormat="false" ht="15" hidden="false" customHeight="false" outlineLevel="0" collapsed="false">
      <c r="A917" s="25" t="s">
        <v>60</v>
      </c>
      <c r="B917" s="25" t="s">
        <v>63</v>
      </c>
      <c r="C917" s="25" t="s">
        <v>50</v>
      </c>
      <c r="D917" s="25" t="n">
        <v>29</v>
      </c>
      <c r="E917" s="25" t="s">
        <v>689</v>
      </c>
      <c r="F917" s="25" t="s">
        <v>368</v>
      </c>
      <c r="G917" s="25" t="n">
        <v>1313</v>
      </c>
      <c r="H917" s="25" t="s">
        <v>721</v>
      </c>
      <c r="I917" s="25" t="n">
        <v>1</v>
      </c>
      <c r="J917" s="26" t="n">
        <v>3500</v>
      </c>
      <c r="K917" s="25" t="s">
        <v>546</v>
      </c>
      <c r="L917" s="25" t="s">
        <v>547</v>
      </c>
      <c r="M917" s="26" t="n">
        <f aca="false">IF(AND(L917="Oui",K917="Principal"),I917*J917,0)</f>
        <v>3500</v>
      </c>
      <c r="N917" s="25" t="s">
        <v>548</v>
      </c>
      <c r="O917" s="25"/>
      <c r="P917" s="25" t="s">
        <v>550</v>
      </c>
      <c r="Q917" s="25" t="s">
        <v>557</v>
      </c>
      <c r="R917" s="26" t="n">
        <v>2500</v>
      </c>
      <c r="S917" s="26" t="n">
        <f aca="false">IF(AND(L917="Oui",K917="Principal",R917&lt;&gt;""),I917*R917,0)</f>
        <v>2500</v>
      </c>
      <c r="T917" s="26" t="n">
        <f aca="false">IF(R917&lt;&gt;"",M917-S917,0)</f>
        <v>1000</v>
      </c>
      <c r="U917" s="26" t="n">
        <f aca="false">IF(R917="",M917,0)</f>
        <v>0</v>
      </c>
    </row>
    <row r="918" customFormat="false" ht="15" hidden="false" customHeight="false" outlineLevel="0" collapsed="false">
      <c r="A918" s="25" t="s">
        <v>60</v>
      </c>
      <c r="B918" s="25" t="s">
        <v>63</v>
      </c>
      <c r="C918" s="25" t="s">
        <v>50</v>
      </c>
      <c r="D918" s="25" t="n">
        <v>30</v>
      </c>
      <c r="E918" s="25" t="s">
        <v>689</v>
      </c>
      <c r="F918" s="25" t="s">
        <v>383</v>
      </c>
      <c r="G918" s="25" t="n">
        <v>1423</v>
      </c>
      <c r="H918" s="25" t="s">
        <v>728</v>
      </c>
      <c r="I918" s="25" t="n">
        <v>1</v>
      </c>
      <c r="J918" s="26" t="n">
        <v>3900</v>
      </c>
      <c r="K918" s="25" t="s">
        <v>546</v>
      </c>
      <c r="L918" s="25" t="s">
        <v>547</v>
      </c>
      <c r="M918" s="26" t="n">
        <f aca="false">IF(AND(L918="Oui",K918="Principal"),I918*J918,0)</f>
        <v>3900</v>
      </c>
      <c r="N918" s="25" t="s">
        <v>548</v>
      </c>
      <c r="O918" s="25" t="s">
        <v>729</v>
      </c>
      <c r="P918" s="25" t="s">
        <v>550</v>
      </c>
      <c r="Q918" s="25" t="s">
        <v>557</v>
      </c>
      <c r="R918" s="26" t="n">
        <v>2900</v>
      </c>
      <c r="S918" s="26" t="n">
        <f aca="false">IF(AND(L918="Oui",K918="Principal",R918&lt;&gt;""),I918*R918,0)</f>
        <v>2900</v>
      </c>
      <c r="T918" s="26" t="n">
        <f aca="false">IF(R918&lt;&gt;"",M918-S918,0)</f>
        <v>1000</v>
      </c>
      <c r="U918" s="26" t="n">
        <f aca="false">IF(R918="",M918,0)</f>
        <v>0</v>
      </c>
    </row>
    <row r="919" customFormat="false" ht="15" hidden="false" customHeight="false" outlineLevel="0" collapsed="false">
      <c r="A919" s="27" t="s">
        <v>60</v>
      </c>
      <c r="B919" s="27" t="s">
        <v>63</v>
      </c>
      <c r="C919" s="27" t="s">
        <v>50</v>
      </c>
      <c r="D919" s="27" t="n">
        <v>31</v>
      </c>
      <c r="E919" s="27" t="s">
        <v>588</v>
      </c>
      <c r="F919" s="27" t="s">
        <v>385</v>
      </c>
      <c r="G919" s="27"/>
      <c r="H919" s="27" t="s">
        <v>585</v>
      </c>
      <c r="I919" s="27" t="n">
        <v>1</v>
      </c>
      <c r="J919" s="28" t="n">
        <v>0</v>
      </c>
      <c r="K919" s="27" t="s">
        <v>546</v>
      </c>
      <c r="L919" s="27" t="s">
        <v>579</v>
      </c>
      <c r="M919" s="28" t="n">
        <f aca="false">IF(AND(L919="Oui",K919="Principal"),I919*J919,0)</f>
        <v>0</v>
      </c>
      <c r="N919" s="27" t="s">
        <v>128</v>
      </c>
      <c r="O919" s="27" t="s">
        <v>730</v>
      </c>
      <c r="P919" s="27"/>
      <c r="Q919" s="27"/>
      <c r="R919" s="28"/>
      <c r="S919" s="28" t="n">
        <f aca="false">IF(AND(L919="Oui",K919="Principal",R919&lt;&gt;""),I919*R919,0)</f>
        <v>0</v>
      </c>
      <c r="T919" s="28" t="n">
        <f aca="false">IF(R919&lt;&gt;"",M919-S919,0)</f>
        <v>0</v>
      </c>
      <c r="U919" s="28" t="n">
        <f aca="false">IF(R919="",M919,0)</f>
        <v>0</v>
      </c>
    </row>
    <row r="920" customFormat="false" ht="15" hidden="false" customHeight="false" outlineLevel="0" collapsed="false">
      <c r="A920" s="27" t="s">
        <v>60</v>
      </c>
      <c r="B920" s="27" t="s">
        <v>63</v>
      </c>
      <c r="C920" s="27" t="s">
        <v>50</v>
      </c>
      <c r="D920" s="27" t="n">
        <v>32</v>
      </c>
      <c r="E920" s="27" t="s">
        <v>588</v>
      </c>
      <c r="F920" s="27" t="s">
        <v>336</v>
      </c>
      <c r="G920" s="27"/>
      <c r="H920" s="27" t="s">
        <v>585</v>
      </c>
      <c r="I920" s="27" t="n">
        <v>1</v>
      </c>
      <c r="J920" s="28" t="n">
        <v>0</v>
      </c>
      <c r="K920" s="27" t="s">
        <v>546</v>
      </c>
      <c r="L920" s="27" t="s">
        <v>579</v>
      </c>
      <c r="M920" s="28" t="n">
        <f aca="false">IF(AND(L920="Oui",K920="Principal"),I920*J920,0)</f>
        <v>0</v>
      </c>
      <c r="N920" s="27" t="s">
        <v>128</v>
      </c>
      <c r="O920" s="27" t="s">
        <v>586</v>
      </c>
      <c r="P920" s="27"/>
      <c r="Q920" s="27"/>
      <c r="R920" s="28"/>
      <c r="S920" s="28" t="n">
        <f aca="false">IF(AND(L920="Oui",K920="Principal",R920&lt;&gt;""),I920*R920,0)</f>
        <v>0</v>
      </c>
      <c r="T920" s="28" t="n">
        <f aca="false">IF(R920&lt;&gt;"",M920-S920,0)</f>
        <v>0</v>
      </c>
      <c r="U920" s="28" t="n">
        <f aca="false">IF(R920="",M920,0)</f>
        <v>0</v>
      </c>
    </row>
    <row r="921" customFormat="false" ht="15" hidden="false" customHeight="false" outlineLevel="0" collapsed="false">
      <c r="A921" s="25" t="s">
        <v>60</v>
      </c>
      <c r="B921" s="25" t="s">
        <v>63</v>
      </c>
      <c r="C921" s="25" t="s">
        <v>50</v>
      </c>
      <c r="D921" s="25" t="n">
        <v>33</v>
      </c>
      <c r="E921" s="25" t="s">
        <v>686</v>
      </c>
      <c r="F921" s="25" t="s">
        <v>370</v>
      </c>
      <c r="G921" s="25" t="n">
        <v>1445</v>
      </c>
      <c r="H921" s="25" t="s">
        <v>722</v>
      </c>
      <c r="I921" s="25" t="n">
        <v>1</v>
      </c>
      <c r="J921" s="26" t="n">
        <v>3960</v>
      </c>
      <c r="K921" s="25" t="s">
        <v>546</v>
      </c>
      <c r="L921" s="25" t="s">
        <v>547</v>
      </c>
      <c r="M921" s="26" t="n">
        <f aca="false">IF(AND(L921="Oui",K921="Principal"),I921*J921,0)</f>
        <v>3960</v>
      </c>
      <c r="N921" s="25" t="s">
        <v>548</v>
      </c>
      <c r="O921" s="25"/>
      <c r="P921" s="25" t="s">
        <v>550</v>
      </c>
      <c r="Q921" s="25" t="s">
        <v>557</v>
      </c>
      <c r="R921" s="26" t="n">
        <v>2960</v>
      </c>
      <c r="S921" s="26" t="n">
        <f aca="false">IF(AND(L921="Oui",K921="Principal",R921&lt;&gt;""),I921*R921,0)</f>
        <v>2960</v>
      </c>
      <c r="T921" s="26" t="n">
        <f aca="false">IF(R921&lt;&gt;"",M921-S921,0)</f>
        <v>1000</v>
      </c>
      <c r="U921" s="26" t="n">
        <f aca="false">IF(R921="",M921,0)</f>
        <v>0</v>
      </c>
    </row>
    <row r="922" customFormat="false" ht="15" hidden="false" customHeight="false" outlineLevel="0" collapsed="false">
      <c r="A922" s="25" t="s">
        <v>60</v>
      </c>
      <c r="B922" s="25" t="s">
        <v>63</v>
      </c>
      <c r="C922" s="25" t="s">
        <v>50</v>
      </c>
      <c r="D922" s="25" t="n">
        <v>34</v>
      </c>
      <c r="E922" s="25" t="s">
        <v>588</v>
      </c>
      <c r="F922" s="25" t="s">
        <v>386</v>
      </c>
      <c r="G922" s="25" t="n">
        <v>1542</v>
      </c>
      <c r="H922" s="25" t="s">
        <v>731</v>
      </c>
      <c r="I922" s="25" t="n">
        <v>1</v>
      </c>
      <c r="J922" s="26" t="n">
        <v>3130</v>
      </c>
      <c r="K922" s="25" t="s">
        <v>546</v>
      </c>
      <c r="L922" s="25" t="s">
        <v>547</v>
      </c>
      <c r="M922" s="26" t="n">
        <f aca="false">IF(AND(L922="Oui",K922="Principal"),I922*J922,0)</f>
        <v>3130</v>
      </c>
      <c r="N922" s="25" t="s">
        <v>548</v>
      </c>
      <c r="O922" s="25"/>
      <c r="P922" s="25" t="s">
        <v>550</v>
      </c>
      <c r="Q922" s="25" t="s">
        <v>557</v>
      </c>
      <c r="R922" s="26" t="n">
        <v>2130</v>
      </c>
      <c r="S922" s="26" t="n">
        <f aca="false">IF(AND(L922="Oui",K922="Principal",R922&lt;&gt;""),I922*R922,0)</f>
        <v>2130</v>
      </c>
      <c r="T922" s="26" t="n">
        <f aca="false">IF(R922&lt;&gt;"",M922-S922,0)</f>
        <v>1000</v>
      </c>
      <c r="U922" s="26" t="n">
        <f aca="false">IF(R922="",M922,0)</f>
        <v>0</v>
      </c>
    </row>
    <row r="923" customFormat="false" ht="15" hidden="false" customHeight="false" outlineLevel="0" collapsed="false">
      <c r="A923" s="25" t="s">
        <v>60</v>
      </c>
      <c r="B923" s="25" t="s">
        <v>63</v>
      </c>
      <c r="C923" s="25" t="s">
        <v>50</v>
      </c>
      <c r="D923" s="25" t="n">
        <v>35</v>
      </c>
      <c r="E923" s="25" t="s">
        <v>686</v>
      </c>
      <c r="F923" s="25" t="s">
        <v>372</v>
      </c>
      <c r="G923" s="25" t="n">
        <v>1564</v>
      </c>
      <c r="H923" s="25" t="s">
        <v>723</v>
      </c>
      <c r="I923" s="25" t="n">
        <v>1</v>
      </c>
      <c r="J923" s="26" t="n">
        <v>3960</v>
      </c>
      <c r="K923" s="25" t="s">
        <v>546</v>
      </c>
      <c r="L923" s="25" t="s">
        <v>547</v>
      </c>
      <c r="M923" s="26" t="n">
        <f aca="false">IF(AND(L923="Oui",K923="Principal"),I923*J923,0)</f>
        <v>3960</v>
      </c>
      <c r="N923" s="25" t="s">
        <v>548</v>
      </c>
      <c r="O923" s="25"/>
      <c r="P923" s="25" t="s">
        <v>550</v>
      </c>
      <c r="Q923" s="25" t="s">
        <v>557</v>
      </c>
      <c r="R923" s="26" t="n">
        <v>2960</v>
      </c>
      <c r="S923" s="26" t="n">
        <f aca="false">IF(AND(L923="Oui",K923="Principal",R923&lt;&gt;""),I923*R923,0)</f>
        <v>2960</v>
      </c>
      <c r="T923" s="26" t="n">
        <f aca="false">IF(R923&lt;&gt;"",M923-S923,0)</f>
        <v>1000</v>
      </c>
      <c r="U923" s="26" t="n">
        <f aca="false">IF(R923="",M923,0)</f>
        <v>0</v>
      </c>
    </row>
    <row r="924" customFormat="false" ht="15" hidden="false" customHeight="false" outlineLevel="0" collapsed="false">
      <c r="A924" s="25" t="s">
        <v>60</v>
      </c>
      <c r="B924" s="25" t="s">
        <v>63</v>
      </c>
      <c r="C924" s="25" t="s">
        <v>50</v>
      </c>
      <c r="D924" s="25" t="n">
        <v>36</v>
      </c>
      <c r="E924" s="25" t="s">
        <v>588</v>
      </c>
      <c r="F924" s="25" t="s">
        <v>388</v>
      </c>
      <c r="G924" s="25" t="n">
        <v>1544</v>
      </c>
      <c r="H924" s="25" t="s">
        <v>732</v>
      </c>
      <c r="I924" s="25" t="n">
        <v>1</v>
      </c>
      <c r="J924" s="26" t="n">
        <v>3430</v>
      </c>
      <c r="K924" s="25" t="s">
        <v>546</v>
      </c>
      <c r="L924" s="25" t="s">
        <v>547</v>
      </c>
      <c r="M924" s="26" t="n">
        <f aca="false">IF(AND(L924="Oui",K924="Principal"),I924*J924,0)</f>
        <v>3430</v>
      </c>
      <c r="N924" s="25" t="s">
        <v>548</v>
      </c>
      <c r="O924" s="25"/>
      <c r="P924" s="25" t="s">
        <v>550</v>
      </c>
      <c r="Q924" s="25" t="s">
        <v>557</v>
      </c>
      <c r="R924" s="26" t="n">
        <v>2430</v>
      </c>
      <c r="S924" s="26" t="n">
        <f aca="false">IF(AND(L924="Oui",K924="Principal",R924&lt;&gt;""),I924*R924,0)</f>
        <v>2430</v>
      </c>
      <c r="T924" s="26" t="n">
        <f aca="false">IF(R924&lt;&gt;"",M924-S924,0)</f>
        <v>1000</v>
      </c>
      <c r="U924" s="26" t="n">
        <f aca="false">IF(R924="",M924,0)</f>
        <v>0</v>
      </c>
    </row>
    <row r="925" customFormat="false" ht="15" hidden="false" customHeight="false" outlineLevel="0" collapsed="false">
      <c r="A925" s="25" t="s">
        <v>60</v>
      </c>
      <c r="B925" s="25" t="s">
        <v>63</v>
      </c>
      <c r="C925" s="25" t="s">
        <v>50</v>
      </c>
      <c r="D925" s="25" t="n">
        <v>37</v>
      </c>
      <c r="E925" s="25" t="s">
        <v>686</v>
      </c>
      <c r="F925" s="25" t="s">
        <v>374</v>
      </c>
      <c r="G925" s="25" t="n">
        <v>1567</v>
      </c>
      <c r="H925" s="25" t="s">
        <v>724</v>
      </c>
      <c r="I925" s="25" t="n">
        <v>1</v>
      </c>
      <c r="J925" s="26" t="n">
        <v>3960</v>
      </c>
      <c r="K925" s="25" t="s">
        <v>546</v>
      </c>
      <c r="L925" s="25" t="s">
        <v>547</v>
      </c>
      <c r="M925" s="26" t="n">
        <f aca="false">IF(AND(L925="Oui",K925="Principal"),I925*J925,0)</f>
        <v>3960</v>
      </c>
      <c r="N925" s="25" t="s">
        <v>548</v>
      </c>
      <c r="O925" s="25"/>
      <c r="P925" s="25" t="s">
        <v>550</v>
      </c>
      <c r="Q925" s="25" t="s">
        <v>557</v>
      </c>
      <c r="R925" s="26" t="n">
        <v>2960</v>
      </c>
      <c r="S925" s="26" t="n">
        <f aca="false">IF(AND(L925="Oui",K925="Principal",R925&lt;&gt;""),I925*R925,0)</f>
        <v>2960</v>
      </c>
      <c r="T925" s="26" t="n">
        <f aca="false">IF(R925&lt;&gt;"",M925-S925,0)</f>
        <v>1000</v>
      </c>
      <c r="U925" s="26" t="n">
        <f aca="false">IF(R925="",M925,0)</f>
        <v>0</v>
      </c>
    </row>
    <row r="926" customFormat="false" ht="15" hidden="false" customHeight="false" outlineLevel="0" collapsed="false">
      <c r="A926" s="33" t="s">
        <v>60</v>
      </c>
      <c r="B926" s="33" t="s">
        <v>63</v>
      </c>
      <c r="C926" s="33" t="s">
        <v>50</v>
      </c>
      <c r="D926" s="33" t="n">
        <v>38</v>
      </c>
      <c r="E926" s="33" t="s">
        <v>588</v>
      </c>
      <c r="F926" s="33" t="s">
        <v>390</v>
      </c>
      <c r="G926" s="33" t="n">
        <v>1440</v>
      </c>
      <c r="H926" s="33" t="s">
        <v>733</v>
      </c>
      <c r="I926" s="33" t="n">
        <v>1</v>
      </c>
      <c r="J926" s="34" t="n">
        <v>3130</v>
      </c>
      <c r="K926" s="33" t="s">
        <v>546</v>
      </c>
      <c r="L926" s="33" t="s">
        <v>547</v>
      </c>
      <c r="M926" s="34" t="n">
        <f aca="false">IF(AND(L926="Oui",K926="Principal"),I926*J926,0)</f>
        <v>3130</v>
      </c>
      <c r="N926" s="33" t="s">
        <v>182</v>
      </c>
      <c r="O926" s="33" t="s">
        <v>734</v>
      </c>
      <c r="P926" s="33" t="s">
        <v>550</v>
      </c>
      <c r="Q926" s="33" t="s">
        <v>557</v>
      </c>
      <c r="R926" s="34" t="n">
        <v>2130</v>
      </c>
      <c r="S926" s="34" t="n">
        <f aca="false">IF(AND(L926="Oui",K926="Principal",R926&lt;&gt;""),I926*R926,0)</f>
        <v>2130</v>
      </c>
      <c r="T926" s="34" t="n">
        <f aca="false">IF(R926&lt;&gt;"",M926-S926,0)</f>
        <v>1000</v>
      </c>
      <c r="U926" s="34" t="n">
        <f aca="false">IF(R926="",M926,0)</f>
        <v>0</v>
      </c>
    </row>
    <row r="927" customFormat="false" ht="15" hidden="false" customHeight="false" outlineLevel="0" collapsed="false">
      <c r="A927" s="25" t="s">
        <v>60</v>
      </c>
      <c r="B927" s="25" t="s">
        <v>63</v>
      </c>
      <c r="C927" s="25" t="s">
        <v>50</v>
      </c>
      <c r="D927" s="25" t="n">
        <v>39</v>
      </c>
      <c r="E927" s="25" t="s">
        <v>686</v>
      </c>
      <c r="F927" s="25" t="s">
        <v>376</v>
      </c>
      <c r="G927" s="25" t="n">
        <v>1356</v>
      </c>
      <c r="H927" s="25" t="s">
        <v>725</v>
      </c>
      <c r="I927" s="25" t="n">
        <v>1</v>
      </c>
      <c r="J927" s="26" t="n">
        <v>4000</v>
      </c>
      <c r="K927" s="25" t="s">
        <v>546</v>
      </c>
      <c r="L927" s="25" t="s">
        <v>547</v>
      </c>
      <c r="M927" s="26" t="n">
        <f aca="false">IF(AND(L927="Oui",K927="Principal"),I927*J927,0)</f>
        <v>4000</v>
      </c>
      <c r="N927" s="25" t="s">
        <v>548</v>
      </c>
      <c r="O927" s="25"/>
      <c r="P927" s="25" t="s">
        <v>550</v>
      </c>
      <c r="Q927" s="25" t="s">
        <v>557</v>
      </c>
      <c r="R927" s="26" t="n">
        <v>3000</v>
      </c>
      <c r="S927" s="26" t="n">
        <f aca="false">IF(AND(L927="Oui",K927="Principal",R927&lt;&gt;""),I927*R927,0)</f>
        <v>3000</v>
      </c>
      <c r="T927" s="26" t="n">
        <f aca="false">IF(R927&lt;&gt;"",M927-S927,0)</f>
        <v>1000</v>
      </c>
      <c r="U927" s="26" t="n">
        <f aca="false">IF(R927="",M927,0)</f>
        <v>0</v>
      </c>
    </row>
    <row r="928" customFormat="false" ht="15" hidden="false" customHeight="false" outlineLevel="0" collapsed="false">
      <c r="A928" s="25" t="s">
        <v>60</v>
      </c>
      <c r="B928" s="25" t="s">
        <v>63</v>
      </c>
      <c r="C928" s="25" t="s">
        <v>50</v>
      </c>
      <c r="D928" s="25" t="n">
        <v>40</v>
      </c>
      <c r="E928" s="25" t="s">
        <v>686</v>
      </c>
      <c r="F928" s="25" t="s">
        <v>378</v>
      </c>
      <c r="G928" s="25" t="n">
        <v>1357</v>
      </c>
      <c r="H928" s="25" t="s">
        <v>726</v>
      </c>
      <c r="I928" s="25" t="n">
        <v>1</v>
      </c>
      <c r="J928" s="26" t="n">
        <v>4000</v>
      </c>
      <c r="K928" s="25" t="s">
        <v>546</v>
      </c>
      <c r="L928" s="25" t="s">
        <v>547</v>
      </c>
      <c r="M928" s="26" t="n">
        <f aca="false">IF(AND(L928="Oui",K928="Principal"),I928*J928,0)</f>
        <v>4000</v>
      </c>
      <c r="N928" s="25" t="s">
        <v>548</v>
      </c>
      <c r="O928" s="25"/>
      <c r="P928" s="25" t="s">
        <v>550</v>
      </c>
      <c r="Q928" s="25" t="s">
        <v>557</v>
      </c>
      <c r="R928" s="26" t="n">
        <v>3000</v>
      </c>
      <c r="S928" s="26" t="n">
        <f aca="false">IF(AND(L928="Oui",K928="Principal",R928&lt;&gt;""),I928*R928,0)</f>
        <v>3000</v>
      </c>
      <c r="T928" s="26" t="n">
        <f aca="false">IF(R928&lt;&gt;"",M928-S928,0)</f>
        <v>1000</v>
      </c>
      <c r="U928" s="26" t="n">
        <f aca="false">IF(R928="",M928,0)</f>
        <v>0</v>
      </c>
    </row>
    <row r="929" customFormat="false" ht="15" hidden="false" customHeight="false" outlineLevel="0" collapsed="false">
      <c r="A929" s="25" t="s">
        <v>60</v>
      </c>
      <c r="B929" s="25" t="s">
        <v>63</v>
      </c>
      <c r="C929" s="25" t="s">
        <v>50</v>
      </c>
      <c r="D929" s="25" t="n">
        <v>41</v>
      </c>
      <c r="E929" s="25" t="s">
        <v>686</v>
      </c>
      <c r="F929" s="25" t="s">
        <v>380</v>
      </c>
      <c r="G929" s="25" t="n">
        <v>1331</v>
      </c>
      <c r="H929" s="25" t="s">
        <v>727</v>
      </c>
      <c r="I929" s="25" t="n">
        <v>1</v>
      </c>
      <c r="J929" s="26" t="n">
        <v>3550</v>
      </c>
      <c r="K929" s="25" t="s">
        <v>546</v>
      </c>
      <c r="L929" s="25" t="s">
        <v>547</v>
      </c>
      <c r="M929" s="26" t="n">
        <f aca="false">IF(AND(L929="Oui",K929="Principal"),I929*J929,0)</f>
        <v>3550</v>
      </c>
      <c r="N929" s="25" t="s">
        <v>548</v>
      </c>
      <c r="O929" s="25"/>
      <c r="P929" s="25" t="s">
        <v>550</v>
      </c>
      <c r="Q929" s="25" t="s">
        <v>557</v>
      </c>
      <c r="R929" s="26" t="n">
        <v>2550</v>
      </c>
      <c r="S929" s="26" t="n">
        <f aca="false">IF(AND(L929="Oui",K929="Principal",R929&lt;&gt;""),I929*R929,0)</f>
        <v>2550</v>
      </c>
      <c r="T929" s="26" t="n">
        <f aca="false">IF(R929&lt;&gt;"",M929-S929,0)</f>
        <v>1000</v>
      </c>
      <c r="U929" s="26" t="n">
        <f aca="false">IF(R929="",M929,0)</f>
        <v>0</v>
      </c>
    </row>
    <row r="930" customFormat="false" ht="15" hidden="false" customHeight="false" outlineLevel="0" collapsed="false">
      <c r="A930" s="25" t="s">
        <v>60</v>
      </c>
      <c r="B930" s="25" t="s">
        <v>64</v>
      </c>
      <c r="C930" s="25" t="s">
        <v>48</v>
      </c>
      <c r="D930" s="25" t="n">
        <v>1</v>
      </c>
      <c r="E930" s="25" t="s">
        <v>544</v>
      </c>
      <c r="F930" s="25" t="s">
        <v>295</v>
      </c>
      <c r="G930" s="25" t="n">
        <v>1618</v>
      </c>
      <c r="H930" s="25" t="s">
        <v>600</v>
      </c>
      <c r="I930" s="25" t="n">
        <v>2</v>
      </c>
      <c r="J930" s="26" t="n">
        <v>450</v>
      </c>
      <c r="K930" s="25" t="s">
        <v>546</v>
      </c>
      <c r="L930" s="25" t="s">
        <v>547</v>
      </c>
      <c r="M930" s="26" t="n">
        <f aca="false">IF(AND(L930="Oui",K930="Principal"),I930*J930,0)</f>
        <v>900</v>
      </c>
      <c r="N930" s="25" t="s">
        <v>548</v>
      </c>
      <c r="O930" s="25"/>
      <c r="P930" s="25" t="s">
        <v>556</v>
      </c>
      <c r="Q930" s="25" t="s">
        <v>557</v>
      </c>
      <c r="R930" s="26" t="n">
        <v>350</v>
      </c>
      <c r="S930" s="26" t="n">
        <f aca="false">IF(AND(L930="Oui",K930="Principal",R930&lt;&gt;""),I930*R930,0)</f>
        <v>700</v>
      </c>
      <c r="T930" s="26" t="n">
        <f aca="false">IF(R930&lt;&gt;"",M930-S930,0)</f>
        <v>200</v>
      </c>
      <c r="U930" s="26" t="n">
        <f aca="false">IF(R930="",M930,0)</f>
        <v>0</v>
      </c>
    </row>
    <row r="931" customFormat="false" ht="15" hidden="false" customHeight="false" outlineLevel="0" collapsed="false">
      <c r="A931" s="25" t="s">
        <v>60</v>
      </c>
      <c r="B931" s="25" t="s">
        <v>64</v>
      </c>
      <c r="C931" s="25" t="s">
        <v>48</v>
      </c>
      <c r="D931" s="25" t="n">
        <v>2</v>
      </c>
      <c r="E931" s="25" t="s">
        <v>544</v>
      </c>
      <c r="F931" s="25" t="s">
        <v>296</v>
      </c>
      <c r="G931" s="25" t="n">
        <v>1</v>
      </c>
      <c r="H931" s="25" t="s">
        <v>681</v>
      </c>
      <c r="I931" s="25" t="n">
        <v>1</v>
      </c>
      <c r="J931" s="26" t="n">
        <v>500</v>
      </c>
      <c r="K931" s="25" t="s">
        <v>546</v>
      </c>
      <c r="L931" s="25" t="s">
        <v>547</v>
      </c>
      <c r="M931" s="26" t="n">
        <f aca="false">IF(AND(L931="Oui",K931="Principal"),I931*J931,0)</f>
        <v>500</v>
      </c>
      <c r="N931" s="25" t="s">
        <v>548</v>
      </c>
      <c r="O931" s="25"/>
      <c r="P931" s="25" t="s">
        <v>559</v>
      </c>
      <c r="Q931" s="25" t="s">
        <v>551</v>
      </c>
      <c r="R931" s="26"/>
      <c r="S931" s="26" t="n">
        <f aca="false">IF(AND(L931="Oui",K931="Principal",R931&lt;&gt;""),I931*R931,0)</f>
        <v>0</v>
      </c>
      <c r="T931" s="26" t="n">
        <f aca="false">IF(R931&lt;&gt;"",M931-S931,0)</f>
        <v>0</v>
      </c>
      <c r="U931" s="26" t="n">
        <f aca="false">IF(R931="",M931,0)</f>
        <v>500</v>
      </c>
    </row>
    <row r="932" customFormat="false" ht="15" hidden="false" customHeight="false" outlineLevel="0" collapsed="false">
      <c r="A932" s="25" t="s">
        <v>60</v>
      </c>
      <c r="B932" s="25" t="s">
        <v>64</v>
      </c>
      <c r="C932" s="25" t="s">
        <v>48</v>
      </c>
      <c r="D932" s="25" t="n">
        <v>3</v>
      </c>
      <c r="E932" s="25" t="s">
        <v>544</v>
      </c>
      <c r="F932" s="25" t="s">
        <v>298</v>
      </c>
      <c r="G932" s="25" t="n">
        <v>1576</v>
      </c>
      <c r="H932" s="25" t="s">
        <v>682</v>
      </c>
      <c r="I932" s="25" t="n">
        <v>5</v>
      </c>
      <c r="J932" s="26" t="n">
        <v>500</v>
      </c>
      <c r="K932" s="25" t="s">
        <v>546</v>
      </c>
      <c r="L932" s="25" t="s">
        <v>547</v>
      </c>
      <c r="M932" s="26" t="n">
        <f aca="false">IF(AND(L932="Oui",K932="Principal"),I932*J932,0)</f>
        <v>2500</v>
      </c>
      <c r="N932" s="25" t="s">
        <v>548</v>
      </c>
      <c r="O932" s="25"/>
      <c r="P932" s="25" t="s">
        <v>556</v>
      </c>
      <c r="Q932" s="25" t="s">
        <v>557</v>
      </c>
      <c r="R932" s="26" t="n">
        <v>400</v>
      </c>
      <c r="S932" s="26" t="n">
        <f aca="false">IF(AND(L932="Oui",K932="Principal",R932&lt;&gt;""),I932*R932,0)</f>
        <v>2000</v>
      </c>
      <c r="T932" s="26" t="n">
        <f aca="false">IF(R932&lt;&gt;"",M932-S932,0)</f>
        <v>500</v>
      </c>
      <c r="U932" s="26" t="n">
        <f aca="false">IF(R932="",M932,0)</f>
        <v>0</v>
      </c>
    </row>
    <row r="933" customFormat="false" ht="15" hidden="false" customHeight="false" outlineLevel="0" collapsed="false">
      <c r="A933" s="25" t="s">
        <v>60</v>
      </c>
      <c r="B933" s="25" t="s">
        <v>64</v>
      </c>
      <c r="C933" s="25" t="s">
        <v>48</v>
      </c>
      <c r="D933" s="25" t="n">
        <v>4</v>
      </c>
      <c r="E933" s="25" t="s">
        <v>544</v>
      </c>
      <c r="F933" s="25" t="s">
        <v>338</v>
      </c>
      <c r="G933" s="25" t="n">
        <v>2</v>
      </c>
      <c r="H933" s="25" t="s">
        <v>705</v>
      </c>
      <c r="I933" s="25" t="n">
        <v>3</v>
      </c>
      <c r="J933" s="26" t="n">
        <v>900</v>
      </c>
      <c r="K933" s="25" t="s">
        <v>546</v>
      </c>
      <c r="L933" s="25" t="s">
        <v>547</v>
      </c>
      <c r="M933" s="26" t="n">
        <f aca="false">IF(AND(L933="Oui",K933="Principal"),I933*J933,0)</f>
        <v>2700</v>
      </c>
      <c r="N933" s="25" t="s">
        <v>548</v>
      </c>
      <c r="O933" s="25"/>
      <c r="P933" s="25" t="s">
        <v>559</v>
      </c>
      <c r="Q933" s="25" t="s">
        <v>551</v>
      </c>
      <c r="R933" s="26"/>
      <c r="S933" s="26" t="n">
        <f aca="false">IF(AND(L933="Oui",K933="Principal",R933&lt;&gt;""),I933*R933,0)</f>
        <v>0</v>
      </c>
      <c r="T933" s="26" t="n">
        <f aca="false">IF(R933&lt;&gt;"",M933-S933,0)</f>
        <v>0</v>
      </c>
      <c r="U933" s="26" t="n">
        <f aca="false">IF(R933="",M933,0)</f>
        <v>2700</v>
      </c>
    </row>
    <row r="934" customFormat="false" ht="15" hidden="false" customHeight="false" outlineLevel="0" collapsed="false">
      <c r="A934" s="25" t="s">
        <v>60</v>
      </c>
      <c r="B934" s="25" t="s">
        <v>64</v>
      </c>
      <c r="C934" s="25" t="s">
        <v>48</v>
      </c>
      <c r="D934" s="25" t="n">
        <v>5</v>
      </c>
      <c r="E934" s="25" t="s">
        <v>544</v>
      </c>
      <c r="F934" s="25" t="s">
        <v>301</v>
      </c>
      <c r="G934" s="25" t="n">
        <v>1728</v>
      </c>
      <c r="H934" s="25" t="s">
        <v>545</v>
      </c>
      <c r="I934" s="25" t="n">
        <v>1</v>
      </c>
      <c r="J934" s="26" t="n">
        <v>900</v>
      </c>
      <c r="K934" s="25" t="s">
        <v>546</v>
      </c>
      <c r="L934" s="25" t="s">
        <v>547</v>
      </c>
      <c r="M934" s="26" t="n">
        <f aca="false">IF(AND(L934="Oui",K934="Principal"),I934*J934,0)</f>
        <v>900</v>
      </c>
      <c r="N934" s="25" t="s">
        <v>548</v>
      </c>
      <c r="O934" s="25"/>
      <c r="P934" s="25" t="s">
        <v>550</v>
      </c>
      <c r="Q934" s="25" t="s">
        <v>551</v>
      </c>
      <c r="R934" s="26"/>
      <c r="S934" s="26" t="n">
        <f aca="false">IF(AND(L934="Oui",K934="Principal",R934&lt;&gt;""),I934*R934,0)</f>
        <v>0</v>
      </c>
      <c r="T934" s="26" t="n">
        <f aca="false">IF(R934&lt;&gt;"",M934-S934,0)</f>
        <v>0</v>
      </c>
      <c r="U934" s="26" t="n">
        <f aca="false">IF(R934="",M934,0)</f>
        <v>900</v>
      </c>
    </row>
    <row r="935" customFormat="false" ht="15" hidden="false" customHeight="false" outlineLevel="0" collapsed="false">
      <c r="A935" s="33" t="s">
        <v>60</v>
      </c>
      <c r="B935" s="33" t="s">
        <v>64</v>
      </c>
      <c r="C935" s="33" t="s">
        <v>48</v>
      </c>
      <c r="D935" s="33" t="n">
        <v>6</v>
      </c>
      <c r="E935" s="33" t="s">
        <v>544</v>
      </c>
      <c r="F935" s="33" t="s">
        <v>302</v>
      </c>
      <c r="G935" s="33" t="n">
        <v>1271</v>
      </c>
      <c r="H935" s="33" t="s">
        <v>683</v>
      </c>
      <c r="I935" s="33" t="n">
        <v>1</v>
      </c>
      <c r="J935" s="34" t="n">
        <v>1150</v>
      </c>
      <c r="K935" s="33" t="s">
        <v>546</v>
      </c>
      <c r="L935" s="33" t="s">
        <v>547</v>
      </c>
      <c r="M935" s="34" t="n">
        <f aca="false">IF(AND(L935="Oui",K935="Principal"),I935*J935,0)</f>
        <v>1150</v>
      </c>
      <c r="N935" s="33" t="s">
        <v>182</v>
      </c>
      <c r="O935" s="33" t="s">
        <v>684</v>
      </c>
      <c r="P935" s="33" t="s">
        <v>550</v>
      </c>
      <c r="Q935" s="33" t="s">
        <v>557</v>
      </c>
      <c r="R935" s="34" t="n">
        <v>850</v>
      </c>
      <c r="S935" s="34" t="n">
        <f aca="false">IF(AND(L935="Oui",K935="Principal",R935&lt;&gt;""),I935*R935,0)</f>
        <v>850</v>
      </c>
      <c r="T935" s="34" t="n">
        <f aca="false">IF(R935&lt;&gt;"",M935-S935,0)</f>
        <v>300</v>
      </c>
      <c r="U935" s="34" t="n">
        <f aca="false">IF(R935="",M935,0)</f>
        <v>0</v>
      </c>
    </row>
    <row r="936" customFormat="false" ht="15" hidden="false" customHeight="false" outlineLevel="0" collapsed="false">
      <c r="A936" s="25" t="s">
        <v>60</v>
      </c>
      <c r="B936" s="25" t="s">
        <v>64</v>
      </c>
      <c r="C936" s="25" t="s">
        <v>48</v>
      </c>
      <c r="D936" s="25" t="n">
        <v>7</v>
      </c>
      <c r="E936" s="25" t="s">
        <v>563</v>
      </c>
      <c r="F936" s="25" t="s">
        <v>255</v>
      </c>
      <c r="G936" s="25" t="n">
        <v>1636</v>
      </c>
      <c r="H936" s="25" t="s">
        <v>661</v>
      </c>
      <c r="I936" s="25" t="n">
        <v>1</v>
      </c>
      <c r="J936" s="26" t="n">
        <v>400</v>
      </c>
      <c r="K936" s="25" t="s">
        <v>546</v>
      </c>
      <c r="L936" s="25" t="s">
        <v>547</v>
      </c>
      <c r="M936" s="26" t="n">
        <f aca="false">IF(AND(L936="Oui",K936="Principal"),I936*J936,0)</f>
        <v>400</v>
      </c>
      <c r="N936" s="25" t="s">
        <v>548</v>
      </c>
      <c r="O936" s="25"/>
      <c r="P936" s="25" t="s">
        <v>556</v>
      </c>
      <c r="Q936" s="25" t="s">
        <v>557</v>
      </c>
      <c r="R936" s="26" t="n">
        <v>320</v>
      </c>
      <c r="S936" s="26" t="n">
        <f aca="false">IF(AND(L936="Oui",K936="Principal",R936&lt;&gt;""),I936*R936,0)</f>
        <v>320</v>
      </c>
      <c r="T936" s="26" t="n">
        <f aca="false">IF(R936&lt;&gt;"",M936-S936,0)</f>
        <v>80</v>
      </c>
      <c r="U936" s="26" t="n">
        <f aca="false">IF(R936="",M936,0)</f>
        <v>0</v>
      </c>
    </row>
    <row r="937" customFormat="false" ht="15" hidden="false" customHeight="false" outlineLevel="0" collapsed="false">
      <c r="A937" s="25" t="s">
        <v>60</v>
      </c>
      <c r="B937" s="25" t="s">
        <v>64</v>
      </c>
      <c r="C937" s="25" t="s">
        <v>48</v>
      </c>
      <c r="D937" s="25" t="n">
        <v>8</v>
      </c>
      <c r="E937" s="25" t="s">
        <v>563</v>
      </c>
      <c r="F937" s="25" t="s">
        <v>257</v>
      </c>
      <c r="G937" s="25" t="n">
        <v>1635</v>
      </c>
      <c r="H937" s="25" t="s">
        <v>607</v>
      </c>
      <c r="I937" s="25" t="n">
        <v>1</v>
      </c>
      <c r="J937" s="26" t="n">
        <v>100</v>
      </c>
      <c r="K937" s="25" t="s">
        <v>546</v>
      </c>
      <c r="L937" s="25" t="s">
        <v>547</v>
      </c>
      <c r="M937" s="26" t="n">
        <f aca="false">IF(AND(L937="Oui",K937="Principal"),I937*J937,0)</f>
        <v>100</v>
      </c>
      <c r="N937" s="25" t="s">
        <v>548</v>
      </c>
      <c r="O937" s="25"/>
      <c r="P937" s="25" t="s">
        <v>556</v>
      </c>
      <c r="Q937" s="25" t="s">
        <v>557</v>
      </c>
      <c r="R937" s="26" t="n">
        <v>80</v>
      </c>
      <c r="S937" s="26" t="n">
        <f aca="false">IF(AND(L937="Oui",K937="Principal",R937&lt;&gt;""),I937*R937,0)</f>
        <v>80</v>
      </c>
      <c r="T937" s="26" t="n">
        <f aca="false">IF(R937&lt;&gt;"",M937-S937,0)</f>
        <v>20</v>
      </c>
      <c r="U937" s="26" t="n">
        <f aca="false">IF(R937="",M937,0)</f>
        <v>0</v>
      </c>
    </row>
    <row r="938" customFormat="false" ht="15" hidden="false" customHeight="false" outlineLevel="0" collapsed="false">
      <c r="A938" s="25" t="s">
        <v>60</v>
      </c>
      <c r="B938" s="25" t="s">
        <v>64</v>
      </c>
      <c r="C938" s="25" t="s">
        <v>48</v>
      </c>
      <c r="D938" s="25" t="n">
        <v>9</v>
      </c>
      <c r="E938" s="25" t="s">
        <v>563</v>
      </c>
      <c r="F938" s="25" t="s">
        <v>97</v>
      </c>
      <c r="G938" s="25" t="n">
        <v>1571</v>
      </c>
      <c r="H938" s="25" t="s">
        <v>564</v>
      </c>
      <c r="I938" s="25" t="n">
        <v>2</v>
      </c>
      <c r="J938" s="26" t="n">
        <v>75</v>
      </c>
      <c r="K938" s="25" t="s">
        <v>546</v>
      </c>
      <c r="L938" s="25" t="s">
        <v>547</v>
      </c>
      <c r="M938" s="26" t="n">
        <f aca="false">IF(AND(L938="Oui",K938="Principal"),I938*J938,0)</f>
        <v>150</v>
      </c>
      <c r="N938" s="25" t="s">
        <v>548</v>
      </c>
      <c r="O938" s="25"/>
      <c r="P938" s="25" t="s">
        <v>550</v>
      </c>
      <c r="Q938" s="25" t="s">
        <v>557</v>
      </c>
      <c r="R938" s="26"/>
      <c r="S938" s="26" t="n">
        <f aca="false">IF(AND(L938="Oui",K938="Principal",R938&lt;&gt;""),I938*R938,0)</f>
        <v>0</v>
      </c>
      <c r="T938" s="26" t="n">
        <f aca="false">IF(R938&lt;&gt;"",M938-S938,0)</f>
        <v>0</v>
      </c>
      <c r="U938" s="26" t="n">
        <f aca="false">IF(R938="",M938,0)</f>
        <v>150</v>
      </c>
    </row>
    <row r="939" customFormat="false" ht="15" hidden="false" customHeight="false" outlineLevel="0" collapsed="false">
      <c r="A939" s="25" t="s">
        <v>60</v>
      </c>
      <c r="B939" s="25" t="s">
        <v>64</v>
      </c>
      <c r="C939" s="25" t="s">
        <v>48</v>
      </c>
      <c r="D939" s="25" t="n">
        <v>10</v>
      </c>
      <c r="E939" s="25" t="s">
        <v>565</v>
      </c>
      <c r="F939" s="25" t="s">
        <v>99</v>
      </c>
      <c r="G939" s="25" t="n">
        <v>9</v>
      </c>
      <c r="H939" s="25" t="s">
        <v>566</v>
      </c>
      <c r="I939" s="25" t="n">
        <v>1</v>
      </c>
      <c r="J939" s="26" t="n">
        <v>150</v>
      </c>
      <c r="K939" s="25" t="s">
        <v>546</v>
      </c>
      <c r="L939" s="25" t="s">
        <v>547</v>
      </c>
      <c r="M939" s="26" t="n">
        <f aca="false">IF(AND(L939="Oui",K939="Principal"),I939*J939,0)</f>
        <v>150</v>
      </c>
      <c r="N939" s="25" t="s">
        <v>548</v>
      </c>
      <c r="O939" s="25"/>
      <c r="P939" s="25" t="s">
        <v>559</v>
      </c>
      <c r="Q939" s="25" t="s">
        <v>551</v>
      </c>
      <c r="R939" s="26"/>
      <c r="S939" s="26" t="n">
        <f aca="false">IF(AND(L939="Oui",K939="Principal",R939&lt;&gt;""),I939*R939,0)</f>
        <v>0</v>
      </c>
      <c r="T939" s="26" t="n">
        <f aca="false">IF(R939&lt;&gt;"",M939-S939,0)</f>
        <v>0</v>
      </c>
      <c r="U939" s="26" t="n">
        <f aca="false">IF(R939="",M939,0)</f>
        <v>150</v>
      </c>
    </row>
    <row r="940" customFormat="false" ht="15" hidden="false" customHeight="false" outlineLevel="0" collapsed="false">
      <c r="A940" s="25" t="s">
        <v>60</v>
      </c>
      <c r="B940" s="25" t="s">
        <v>64</v>
      </c>
      <c r="C940" s="25" t="s">
        <v>48</v>
      </c>
      <c r="D940" s="25" t="n">
        <v>11</v>
      </c>
      <c r="E940" s="25" t="s">
        <v>565</v>
      </c>
      <c r="F940" s="25" t="s">
        <v>164</v>
      </c>
      <c r="G940" s="25" t="n">
        <v>10</v>
      </c>
      <c r="H940" s="25" t="s">
        <v>608</v>
      </c>
      <c r="I940" s="25" t="n">
        <v>1</v>
      </c>
      <c r="J940" s="26" t="n">
        <v>200</v>
      </c>
      <c r="K940" s="25" t="s">
        <v>546</v>
      </c>
      <c r="L940" s="25" t="s">
        <v>547</v>
      </c>
      <c r="M940" s="26" t="n">
        <f aca="false">IF(AND(L940="Oui",K940="Principal"),I940*J940,0)</f>
        <v>200</v>
      </c>
      <c r="N940" s="25" t="s">
        <v>548</v>
      </c>
      <c r="O940" s="25"/>
      <c r="P940" s="25" t="s">
        <v>559</v>
      </c>
      <c r="Q940" s="25" t="s">
        <v>551</v>
      </c>
      <c r="R940" s="26"/>
      <c r="S940" s="26" t="n">
        <f aca="false">IF(AND(L940="Oui",K940="Principal",R940&lt;&gt;""),I940*R940,0)</f>
        <v>0</v>
      </c>
      <c r="T940" s="26" t="n">
        <f aca="false">IF(R940&lt;&gt;"",M940-S940,0)</f>
        <v>0</v>
      </c>
      <c r="U940" s="26" t="n">
        <f aca="false">IF(R940="",M940,0)</f>
        <v>200</v>
      </c>
    </row>
    <row r="941" customFormat="false" ht="15" hidden="false" customHeight="false" outlineLevel="0" collapsed="false">
      <c r="A941" s="25" t="s">
        <v>60</v>
      </c>
      <c r="B941" s="25" t="s">
        <v>64</v>
      </c>
      <c r="C941" s="25" t="s">
        <v>48</v>
      </c>
      <c r="D941" s="25" t="n">
        <v>12</v>
      </c>
      <c r="E941" s="25" t="s">
        <v>565</v>
      </c>
      <c r="F941" s="25" t="s">
        <v>166</v>
      </c>
      <c r="G941" s="25" t="n">
        <v>1173</v>
      </c>
      <c r="H941" s="25" t="s">
        <v>569</v>
      </c>
      <c r="I941" s="25" t="n">
        <v>1</v>
      </c>
      <c r="J941" s="26" t="n">
        <v>570</v>
      </c>
      <c r="K941" s="25" t="s">
        <v>546</v>
      </c>
      <c r="L941" s="25" t="s">
        <v>547</v>
      </c>
      <c r="M941" s="26" t="n">
        <f aca="false">IF(AND(L941="Oui",K941="Principal"),I941*J941,0)</f>
        <v>570</v>
      </c>
      <c r="N941" s="25" t="s">
        <v>548</v>
      </c>
      <c r="O941" s="25"/>
      <c r="P941" s="25" t="s">
        <v>550</v>
      </c>
      <c r="Q941" s="25" t="s">
        <v>557</v>
      </c>
      <c r="R941" s="26" t="n">
        <v>420</v>
      </c>
      <c r="S941" s="26" t="n">
        <f aca="false">IF(AND(L941="Oui",K941="Principal",R941&lt;&gt;""),I941*R941,0)</f>
        <v>420</v>
      </c>
      <c r="T941" s="26" t="n">
        <f aca="false">IF(R941&lt;&gt;"",M941-S941,0)</f>
        <v>150</v>
      </c>
      <c r="U941" s="26" t="n">
        <f aca="false">IF(R941="",M941,0)</f>
        <v>0</v>
      </c>
    </row>
    <row r="942" customFormat="false" ht="15" hidden="false" customHeight="false" outlineLevel="0" collapsed="false">
      <c r="A942" s="25" t="s">
        <v>60</v>
      </c>
      <c r="B942" s="25" t="s">
        <v>64</v>
      </c>
      <c r="C942" s="25" t="s">
        <v>48</v>
      </c>
      <c r="D942" s="25" t="n">
        <v>13</v>
      </c>
      <c r="E942" s="25" t="s">
        <v>565</v>
      </c>
      <c r="F942" s="25" t="s">
        <v>304</v>
      </c>
      <c r="G942" s="25" t="n">
        <v>1250</v>
      </c>
      <c r="H942" s="25" t="s">
        <v>570</v>
      </c>
      <c r="I942" s="25" t="n">
        <v>1</v>
      </c>
      <c r="J942" s="26" t="n">
        <v>250</v>
      </c>
      <c r="K942" s="25" t="s">
        <v>546</v>
      </c>
      <c r="L942" s="25" t="s">
        <v>547</v>
      </c>
      <c r="M942" s="26" t="n">
        <f aca="false">IF(AND(L942="Oui",K942="Principal"),I942*J942,0)</f>
        <v>250</v>
      </c>
      <c r="N942" s="25" t="s">
        <v>548</v>
      </c>
      <c r="O942" s="25"/>
      <c r="P942" s="25" t="s">
        <v>550</v>
      </c>
      <c r="Q942" s="25" t="s">
        <v>557</v>
      </c>
      <c r="R942" s="26" t="n">
        <v>100</v>
      </c>
      <c r="S942" s="26" t="n">
        <f aca="false">IF(AND(L942="Oui",K942="Principal",R942&lt;&gt;""),I942*R942,0)</f>
        <v>100</v>
      </c>
      <c r="T942" s="26" t="n">
        <f aca="false">IF(R942&lt;&gt;"",M942-S942,0)</f>
        <v>150</v>
      </c>
      <c r="U942" s="26" t="n">
        <f aca="false">IF(R942="",M942,0)</f>
        <v>0</v>
      </c>
    </row>
    <row r="943" customFormat="false" ht="15" hidden="false" customHeight="false" outlineLevel="0" collapsed="false">
      <c r="A943" s="33" t="s">
        <v>60</v>
      </c>
      <c r="B943" s="33" t="s">
        <v>64</v>
      </c>
      <c r="C943" s="33" t="s">
        <v>48</v>
      </c>
      <c r="D943" s="33" t="n">
        <v>14</v>
      </c>
      <c r="E943" s="33" t="s">
        <v>609</v>
      </c>
      <c r="F943" s="33" t="s">
        <v>199</v>
      </c>
      <c r="G943" s="33" t="n">
        <v>1229</v>
      </c>
      <c r="H943" s="33" t="s">
        <v>643</v>
      </c>
      <c r="I943" s="33" t="n">
        <v>1</v>
      </c>
      <c r="J943" s="34" t="n">
        <v>1800</v>
      </c>
      <c r="K943" s="33" t="s">
        <v>546</v>
      </c>
      <c r="L943" s="33" t="s">
        <v>547</v>
      </c>
      <c r="M943" s="34" t="n">
        <f aca="false">IF(AND(L943="Oui",K943="Principal"),I943*J943,0)</f>
        <v>1800</v>
      </c>
      <c r="N943" s="33" t="s">
        <v>182</v>
      </c>
      <c r="O943" s="33" t="s">
        <v>644</v>
      </c>
      <c r="P943" s="33" t="s">
        <v>550</v>
      </c>
      <c r="Q943" s="33" t="s">
        <v>557</v>
      </c>
      <c r="R943" s="34" t="n">
        <v>1500</v>
      </c>
      <c r="S943" s="34" t="n">
        <f aca="false">IF(AND(L943="Oui",K943="Principal",R943&lt;&gt;""),I943*R943,0)</f>
        <v>1500</v>
      </c>
      <c r="T943" s="34" t="n">
        <f aca="false">IF(R943&lt;&gt;"",M943-S943,0)</f>
        <v>300</v>
      </c>
      <c r="U943" s="34" t="n">
        <f aca="false">IF(R943="",M943,0)</f>
        <v>0</v>
      </c>
    </row>
    <row r="944" customFormat="false" ht="15" hidden="false" customHeight="false" outlineLevel="0" collapsed="false">
      <c r="A944" s="25" t="s">
        <v>60</v>
      </c>
      <c r="B944" s="25" t="s">
        <v>64</v>
      </c>
      <c r="C944" s="25" t="s">
        <v>48</v>
      </c>
      <c r="D944" s="25" t="n">
        <v>15</v>
      </c>
      <c r="E944" s="25" t="s">
        <v>609</v>
      </c>
      <c r="F944" s="25" t="s">
        <v>305</v>
      </c>
      <c r="G944" s="25" t="n">
        <v>1187</v>
      </c>
      <c r="H944" s="25" t="s">
        <v>685</v>
      </c>
      <c r="I944" s="25" t="n">
        <v>1</v>
      </c>
      <c r="J944" s="26" t="n">
        <v>2800</v>
      </c>
      <c r="K944" s="25" t="s">
        <v>546</v>
      </c>
      <c r="L944" s="25" t="s">
        <v>547</v>
      </c>
      <c r="M944" s="26" t="n">
        <f aca="false">IF(AND(L944="Oui",K944="Principal"),I944*J944,0)</f>
        <v>2800</v>
      </c>
      <c r="N944" s="25" t="s">
        <v>548</v>
      </c>
      <c r="O944" s="25"/>
      <c r="P944" s="25" t="s">
        <v>550</v>
      </c>
      <c r="Q944" s="25" t="s">
        <v>557</v>
      </c>
      <c r="R944" s="26" t="n">
        <v>1100</v>
      </c>
      <c r="S944" s="26" t="n">
        <f aca="false">IF(AND(L944="Oui",K944="Principal",R944&lt;&gt;""),I944*R944,0)</f>
        <v>1100</v>
      </c>
      <c r="T944" s="26" t="n">
        <f aca="false">IF(R944&lt;&gt;"",M944-S944,0)</f>
        <v>1700</v>
      </c>
      <c r="U944" s="26" t="n">
        <f aca="false">IF(R944="",M944,0)</f>
        <v>0</v>
      </c>
    </row>
    <row r="945" customFormat="false" ht="15" hidden="false" customHeight="false" outlineLevel="0" collapsed="false">
      <c r="A945" s="25" t="s">
        <v>60</v>
      </c>
      <c r="B945" s="25" t="s">
        <v>64</v>
      </c>
      <c r="C945" s="25" t="s">
        <v>48</v>
      </c>
      <c r="D945" s="25" t="n">
        <v>16</v>
      </c>
      <c r="E945" s="25" t="s">
        <v>573</v>
      </c>
      <c r="F945" s="25" t="s">
        <v>176</v>
      </c>
      <c r="G945" s="25" t="n">
        <v>19</v>
      </c>
      <c r="H945" s="25" t="s">
        <v>615</v>
      </c>
      <c r="I945" s="25" t="n">
        <v>1</v>
      </c>
      <c r="J945" s="26" t="n">
        <v>2500</v>
      </c>
      <c r="K945" s="25" t="s">
        <v>546</v>
      </c>
      <c r="L945" s="25" t="s">
        <v>547</v>
      </c>
      <c r="M945" s="26" t="n">
        <f aca="false">IF(AND(L945="Oui",K945="Principal"),I945*J945,0)</f>
        <v>2500</v>
      </c>
      <c r="N945" s="25" t="s">
        <v>548</v>
      </c>
      <c r="O945" s="25"/>
      <c r="P945" s="25" t="s">
        <v>559</v>
      </c>
      <c r="Q945" s="25" t="s">
        <v>551</v>
      </c>
      <c r="R945" s="26"/>
      <c r="S945" s="26" t="n">
        <f aca="false">IF(AND(L945="Oui",K945="Principal",R945&lt;&gt;""),I945*R945,0)</f>
        <v>0</v>
      </c>
      <c r="T945" s="26" t="n">
        <f aca="false">IF(R945&lt;&gt;"",M945-S945,0)</f>
        <v>0</v>
      </c>
      <c r="U945" s="26" t="n">
        <f aca="false">IF(R945="",M945,0)</f>
        <v>2500</v>
      </c>
    </row>
    <row r="946" customFormat="false" ht="15" hidden="false" customHeight="false" outlineLevel="0" collapsed="false">
      <c r="A946" s="25" t="s">
        <v>60</v>
      </c>
      <c r="B946" s="25" t="s">
        <v>64</v>
      </c>
      <c r="C946" s="25" t="s">
        <v>48</v>
      </c>
      <c r="D946" s="25" t="n">
        <v>17</v>
      </c>
      <c r="E946" s="25" t="s">
        <v>686</v>
      </c>
      <c r="F946" s="25" t="s">
        <v>393</v>
      </c>
      <c r="G946" s="25" t="n">
        <v>1362</v>
      </c>
      <c r="H946" s="25" t="s">
        <v>735</v>
      </c>
      <c r="I946" s="25" t="n">
        <v>1</v>
      </c>
      <c r="J946" s="26" t="n">
        <v>4000</v>
      </c>
      <c r="K946" s="25" t="s">
        <v>618</v>
      </c>
      <c r="L946" s="25" t="s">
        <v>579</v>
      </c>
      <c r="M946" s="26" t="n">
        <f aca="false">IF(AND(L946="Oui",K946="Principal"),I946*J946,0)</f>
        <v>0</v>
      </c>
      <c r="N946" s="25" t="s">
        <v>548</v>
      </c>
      <c r="O946" s="25"/>
      <c r="P946" s="25" t="s">
        <v>550</v>
      </c>
      <c r="Q946" s="25" t="s">
        <v>557</v>
      </c>
      <c r="R946" s="26" t="n">
        <v>3000</v>
      </c>
      <c r="S946" s="26" t="n">
        <f aca="false">IF(AND(L946="Oui",K946="Principal",R946&lt;&gt;""),I946*R946,0)</f>
        <v>0</v>
      </c>
      <c r="T946" s="26" t="n">
        <f aca="false">IF(R946&lt;&gt;"",M946-S946,0)</f>
        <v>0</v>
      </c>
      <c r="U946" s="26" t="n">
        <f aca="false">IF(R946="",M946,0)</f>
        <v>0</v>
      </c>
    </row>
    <row r="947" customFormat="false" ht="15" hidden="false" customHeight="false" outlineLevel="0" collapsed="false">
      <c r="A947" s="27" t="s">
        <v>60</v>
      </c>
      <c r="B947" s="27" t="s">
        <v>64</v>
      </c>
      <c r="C947" s="27" t="s">
        <v>48</v>
      </c>
      <c r="D947" s="27" t="n">
        <v>18</v>
      </c>
      <c r="E947" s="27" t="s">
        <v>588</v>
      </c>
      <c r="F947" s="27" t="s">
        <v>395</v>
      </c>
      <c r="G947" s="27"/>
      <c r="H947" s="27" t="s">
        <v>585</v>
      </c>
      <c r="I947" s="27" t="n">
        <v>1</v>
      </c>
      <c r="J947" s="28" t="n">
        <v>0</v>
      </c>
      <c r="K947" s="27" t="s">
        <v>618</v>
      </c>
      <c r="L947" s="27" t="s">
        <v>579</v>
      </c>
      <c r="M947" s="28" t="n">
        <f aca="false">IF(AND(L947="Oui",K947="Principal"),I947*J947,0)</f>
        <v>0</v>
      </c>
      <c r="N947" s="27" t="s">
        <v>128</v>
      </c>
      <c r="O947" s="27" t="s">
        <v>730</v>
      </c>
      <c r="P947" s="27"/>
      <c r="Q947" s="27"/>
      <c r="R947" s="28"/>
      <c r="S947" s="28" t="n">
        <f aca="false">IF(AND(L947="Oui",K947="Principal",R947&lt;&gt;""),I947*R947,0)</f>
        <v>0</v>
      </c>
      <c r="T947" s="28" t="n">
        <f aca="false">IF(R947&lt;&gt;"",M947-S947,0)</f>
        <v>0</v>
      </c>
      <c r="U947" s="28" t="n">
        <f aca="false">IF(R947="",M947,0)</f>
        <v>0</v>
      </c>
    </row>
    <row r="948" customFormat="false" ht="15" hidden="false" customHeight="false" outlineLevel="0" collapsed="false">
      <c r="A948" s="25" t="s">
        <v>60</v>
      </c>
      <c r="B948" s="25" t="s">
        <v>64</v>
      </c>
      <c r="C948" s="25" t="s">
        <v>48</v>
      </c>
      <c r="D948" s="25" t="n">
        <v>19</v>
      </c>
      <c r="E948" s="25" t="s">
        <v>689</v>
      </c>
      <c r="F948" s="25" t="s">
        <v>396</v>
      </c>
      <c r="G948" s="25" t="n">
        <v>1301</v>
      </c>
      <c r="H948" s="25" t="s">
        <v>736</v>
      </c>
      <c r="I948" s="25" t="n">
        <v>1</v>
      </c>
      <c r="J948" s="26" t="n">
        <v>3500</v>
      </c>
      <c r="K948" s="25" t="s">
        <v>618</v>
      </c>
      <c r="L948" s="25" t="s">
        <v>579</v>
      </c>
      <c r="M948" s="26" t="n">
        <f aca="false">IF(AND(L948="Oui",K948="Principal"),I948*J948,0)</f>
        <v>0</v>
      </c>
      <c r="N948" s="25" t="s">
        <v>548</v>
      </c>
      <c r="O948" s="25"/>
      <c r="P948" s="25" t="s">
        <v>550</v>
      </c>
      <c r="Q948" s="25" t="s">
        <v>557</v>
      </c>
      <c r="R948" s="26" t="n">
        <v>2500</v>
      </c>
      <c r="S948" s="26" t="n">
        <f aca="false">IF(AND(L948="Oui",K948="Principal",R948&lt;&gt;""),I948*R948,0)</f>
        <v>0</v>
      </c>
      <c r="T948" s="26" t="n">
        <f aca="false">IF(R948&lt;&gt;"",M948-S948,0)</f>
        <v>0</v>
      </c>
      <c r="U948" s="26" t="n">
        <f aca="false">IF(R948="",M948,0)</f>
        <v>0</v>
      </c>
    </row>
    <row r="949" customFormat="false" ht="15" hidden="false" customHeight="false" outlineLevel="0" collapsed="false">
      <c r="A949" s="25" t="s">
        <v>60</v>
      </c>
      <c r="B949" s="25" t="s">
        <v>64</v>
      </c>
      <c r="C949" s="25" t="s">
        <v>48</v>
      </c>
      <c r="D949" s="25" t="n">
        <v>20</v>
      </c>
      <c r="E949" s="25" t="s">
        <v>689</v>
      </c>
      <c r="F949" s="25" t="s">
        <v>398</v>
      </c>
      <c r="G949" s="25" t="n">
        <v>1319</v>
      </c>
      <c r="H949" s="25" t="s">
        <v>737</v>
      </c>
      <c r="I949" s="25" t="n">
        <v>1</v>
      </c>
      <c r="J949" s="26" t="n">
        <v>2800</v>
      </c>
      <c r="K949" s="25" t="s">
        <v>618</v>
      </c>
      <c r="L949" s="25" t="s">
        <v>579</v>
      </c>
      <c r="M949" s="26" t="n">
        <f aca="false">IF(AND(L949="Oui",K949="Principal"),I949*J949,0)</f>
        <v>0</v>
      </c>
      <c r="N949" s="25" t="s">
        <v>548</v>
      </c>
      <c r="O949" s="25"/>
      <c r="P949" s="25" t="s">
        <v>550</v>
      </c>
      <c r="Q949" s="25" t="s">
        <v>557</v>
      </c>
      <c r="R949" s="26" t="n">
        <v>1800</v>
      </c>
      <c r="S949" s="26" t="n">
        <f aca="false">IF(AND(L949="Oui",K949="Principal",R949&lt;&gt;""),I949*R949,0)</f>
        <v>0</v>
      </c>
      <c r="T949" s="26" t="n">
        <f aca="false">IF(R949&lt;&gt;"",M949-S949,0)</f>
        <v>0</v>
      </c>
      <c r="U949" s="26" t="n">
        <f aca="false">IF(R949="",M949,0)</f>
        <v>0</v>
      </c>
    </row>
    <row r="950" customFormat="false" ht="15" hidden="false" customHeight="false" outlineLevel="0" collapsed="false">
      <c r="A950" s="25" t="s">
        <v>60</v>
      </c>
      <c r="B950" s="25" t="s">
        <v>64</v>
      </c>
      <c r="C950" s="25" t="s">
        <v>48</v>
      </c>
      <c r="D950" s="25" t="n">
        <v>21</v>
      </c>
      <c r="E950" s="25" t="s">
        <v>686</v>
      </c>
      <c r="F950" s="25" t="s">
        <v>400</v>
      </c>
      <c r="G950" s="25" t="n">
        <v>1558</v>
      </c>
      <c r="H950" s="25" t="s">
        <v>738</v>
      </c>
      <c r="I950" s="25" t="n">
        <v>1</v>
      </c>
      <c r="J950" s="26" t="n">
        <v>3960</v>
      </c>
      <c r="K950" s="25" t="s">
        <v>618</v>
      </c>
      <c r="L950" s="25" t="s">
        <v>579</v>
      </c>
      <c r="M950" s="26" t="n">
        <f aca="false">IF(AND(L950="Oui",K950="Principal"),I950*J950,0)</f>
        <v>0</v>
      </c>
      <c r="N950" s="25" t="s">
        <v>548</v>
      </c>
      <c r="O950" s="25"/>
      <c r="P950" s="25" t="s">
        <v>550</v>
      </c>
      <c r="Q950" s="25" t="s">
        <v>557</v>
      </c>
      <c r="R950" s="26" t="n">
        <v>2960</v>
      </c>
      <c r="S950" s="26" t="n">
        <f aca="false">IF(AND(L950="Oui",K950="Principal",R950&lt;&gt;""),I950*R950,0)</f>
        <v>0</v>
      </c>
      <c r="T950" s="26" t="n">
        <f aca="false">IF(R950&lt;&gt;"",M950-S950,0)</f>
        <v>0</v>
      </c>
      <c r="U950" s="26" t="n">
        <f aca="false">IF(R950="",M950,0)</f>
        <v>0</v>
      </c>
    </row>
    <row r="951" customFormat="false" ht="15" hidden="false" customHeight="false" outlineLevel="0" collapsed="false">
      <c r="A951" s="25" t="s">
        <v>60</v>
      </c>
      <c r="B951" s="25" t="s">
        <v>64</v>
      </c>
      <c r="C951" s="25" t="s">
        <v>48</v>
      </c>
      <c r="D951" s="25" t="n">
        <v>22</v>
      </c>
      <c r="E951" s="25" t="s">
        <v>588</v>
      </c>
      <c r="F951" s="25" t="s">
        <v>402</v>
      </c>
      <c r="G951" s="25" t="n">
        <v>39</v>
      </c>
      <c r="H951" s="25" t="s">
        <v>739</v>
      </c>
      <c r="I951" s="25" t="n">
        <v>1</v>
      </c>
      <c r="J951" s="26" t="n">
        <v>10000</v>
      </c>
      <c r="K951" s="25" t="s">
        <v>618</v>
      </c>
      <c r="L951" s="25" t="s">
        <v>579</v>
      </c>
      <c r="M951" s="26" t="n">
        <f aca="false">IF(AND(L951="Oui",K951="Principal"),I951*J951,0)</f>
        <v>0</v>
      </c>
      <c r="N951" s="25" t="s">
        <v>548</v>
      </c>
      <c r="O951" s="25"/>
      <c r="P951" s="25" t="s">
        <v>559</v>
      </c>
      <c r="Q951" s="25" t="s">
        <v>557</v>
      </c>
      <c r="R951" s="26" t="n">
        <v>8000</v>
      </c>
      <c r="S951" s="26" t="n">
        <f aca="false">IF(AND(L951="Oui",K951="Principal",R951&lt;&gt;""),I951*R951,0)</f>
        <v>0</v>
      </c>
      <c r="T951" s="26" t="n">
        <f aca="false">IF(R951&lt;&gt;"",M951-S951,0)</f>
        <v>0</v>
      </c>
      <c r="U951" s="26" t="n">
        <f aca="false">IF(R951="",M951,0)</f>
        <v>0</v>
      </c>
    </row>
    <row r="952" customFormat="false" ht="15" hidden="false" customHeight="false" outlineLevel="0" collapsed="false">
      <c r="A952" s="25" t="s">
        <v>60</v>
      </c>
      <c r="B952" s="25" t="s">
        <v>64</v>
      </c>
      <c r="C952" s="25" t="s">
        <v>48</v>
      </c>
      <c r="D952" s="25" t="n">
        <v>23</v>
      </c>
      <c r="E952" s="25" t="s">
        <v>686</v>
      </c>
      <c r="F952" s="25" t="s">
        <v>404</v>
      </c>
      <c r="G952" s="25" t="n">
        <v>1563</v>
      </c>
      <c r="H952" s="25" t="s">
        <v>740</v>
      </c>
      <c r="I952" s="25" t="n">
        <v>1</v>
      </c>
      <c r="J952" s="26" t="n">
        <v>3960</v>
      </c>
      <c r="K952" s="25" t="s">
        <v>618</v>
      </c>
      <c r="L952" s="25" t="s">
        <v>579</v>
      </c>
      <c r="M952" s="26" t="n">
        <f aca="false">IF(AND(L952="Oui",K952="Principal"),I952*J952,0)</f>
        <v>0</v>
      </c>
      <c r="N952" s="25" t="s">
        <v>548</v>
      </c>
      <c r="O952" s="25"/>
      <c r="P952" s="25" t="s">
        <v>550</v>
      </c>
      <c r="Q952" s="25" t="s">
        <v>557</v>
      </c>
      <c r="R952" s="26" t="n">
        <v>2960</v>
      </c>
      <c r="S952" s="26" t="n">
        <f aca="false">IF(AND(L952="Oui",K952="Principal",R952&lt;&gt;""),I952*R952,0)</f>
        <v>0</v>
      </c>
      <c r="T952" s="26" t="n">
        <f aca="false">IF(R952&lt;&gt;"",M952-S952,0)</f>
        <v>0</v>
      </c>
      <c r="U952" s="26" t="n">
        <f aca="false">IF(R952="",M952,0)</f>
        <v>0</v>
      </c>
    </row>
    <row r="953" customFormat="false" ht="15" hidden="false" customHeight="false" outlineLevel="0" collapsed="false">
      <c r="A953" s="25" t="s">
        <v>60</v>
      </c>
      <c r="B953" s="25" t="s">
        <v>64</v>
      </c>
      <c r="C953" s="25" t="s">
        <v>48</v>
      </c>
      <c r="D953" s="25" t="n">
        <v>24</v>
      </c>
      <c r="E953" s="25" t="s">
        <v>686</v>
      </c>
      <c r="F953" s="25" t="s">
        <v>406</v>
      </c>
      <c r="G953" s="25" t="n">
        <v>1446</v>
      </c>
      <c r="H953" s="25" t="s">
        <v>741</v>
      </c>
      <c r="I953" s="25" t="n">
        <v>1</v>
      </c>
      <c r="J953" s="26" t="n">
        <v>3960</v>
      </c>
      <c r="K953" s="25" t="s">
        <v>618</v>
      </c>
      <c r="L953" s="25" t="s">
        <v>579</v>
      </c>
      <c r="M953" s="26" t="n">
        <f aca="false">IF(AND(L953="Oui",K953="Principal"),I953*J953,0)</f>
        <v>0</v>
      </c>
      <c r="N953" s="25" t="s">
        <v>548</v>
      </c>
      <c r="O953" s="25"/>
      <c r="P953" s="25" t="s">
        <v>550</v>
      </c>
      <c r="Q953" s="25" t="s">
        <v>557</v>
      </c>
      <c r="R953" s="26" t="n">
        <v>2960</v>
      </c>
      <c r="S953" s="26" t="n">
        <f aca="false">IF(AND(L953="Oui",K953="Principal",R953&lt;&gt;""),I953*R953,0)</f>
        <v>0</v>
      </c>
      <c r="T953" s="26" t="n">
        <f aca="false">IF(R953&lt;&gt;"",M953-S953,0)</f>
        <v>0</v>
      </c>
      <c r="U953" s="26" t="n">
        <f aca="false">IF(R953="",M953,0)</f>
        <v>0</v>
      </c>
    </row>
    <row r="954" customFormat="false" ht="15" hidden="false" customHeight="false" outlineLevel="0" collapsed="false">
      <c r="A954" s="25" t="s">
        <v>60</v>
      </c>
      <c r="B954" s="25" t="s">
        <v>64</v>
      </c>
      <c r="C954" s="25" t="s">
        <v>48</v>
      </c>
      <c r="D954" s="25" t="n">
        <v>25</v>
      </c>
      <c r="E954" s="25" t="s">
        <v>588</v>
      </c>
      <c r="F954" s="25" t="s">
        <v>408</v>
      </c>
      <c r="G954" s="25" t="n">
        <v>1538</v>
      </c>
      <c r="H954" s="25" t="s">
        <v>742</v>
      </c>
      <c r="I954" s="25" t="n">
        <v>1</v>
      </c>
      <c r="J954" s="26" t="n">
        <v>3130</v>
      </c>
      <c r="K954" s="25" t="s">
        <v>618</v>
      </c>
      <c r="L954" s="25" t="s">
        <v>579</v>
      </c>
      <c r="M954" s="26" t="n">
        <f aca="false">IF(AND(L954="Oui",K954="Principal"),I954*J954,0)</f>
        <v>0</v>
      </c>
      <c r="N954" s="25" t="s">
        <v>548</v>
      </c>
      <c r="O954" s="25"/>
      <c r="P954" s="25" t="s">
        <v>550</v>
      </c>
      <c r="Q954" s="25" t="s">
        <v>557</v>
      </c>
      <c r="R954" s="26" t="n">
        <v>2130</v>
      </c>
      <c r="S954" s="26" t="n">
        <f aca="false">IF(AND(L954="Oui",K954="Principal",R954&lt;&gt;""),I954*R954,0)</f>
        <v>0</v>
      </c>
      <c r="T954" s="26" t="n">
        <f aca="false">IF(R954&lt;&gt;"",M954-S954,0)</f>
        <v>0</v>
      </c>
      <c r="U954" s="26" t="n">
        <f aca="false">IF(R954="",M954,0)</f>
        <v>0</v>
      </c>
    </row>
    <row r="955" customFormat="false" ht="15" hidden="false" customHeight="false" outlineLevel="0" collapsed="false">
      <c r="A955" s="25" t="s">
        <v>60</v>
      </c>
      <c r="B955" s="25" t="s">
        <v>64</v>
      </c>
      <c r="C955" s="25" t="s">
        <v>48</v>
      </c>
      <c r="D955" s="25" t="n">
        <v>26</v>
      </c>
      <c r="E955" s="25" t="s">
        <v>686</v>
      </c>
      <c r="F955" s="25" t="s">
        <v>410</v>
      </c>
      <c r="G955" s="25" t="n">
        <v>1355</v>
      </c>
      <c r="H955" s="25" t="s">
        <v>743</v>
      </c>
      <c r="I955" s="25" t="n">
        <v>1</v>
      </c>
      <c r="J955" s="26" t="n">
        <v>4000</v>
      </c>
      <c r="K955" s="25" t="s">
        <v>618</v>
      </c>
      <c r="L955" s="25" t="s">
        <v>579</v>
      </c>
      <c r="M955" s="26" t="n">
        <f aca="false">IF(AND(L955="Oui",K955="Principal"),I955*J955,0)</f>
        <v>0</v>
      </c>
      <c r="N955" s="25" t="s">
        <v>548</v>
      </c>
      <c r="O955" s="25"/>
      <c r="P955" s="25" t="s">
        <v>550</v>
      </c>
      <c r="Q955" s="25" t="s">
        <v>557</v>
      </c>
      <c r="R955" s="26" t="n">
        <v>3000</v>
      </c>
      <c r="S955" s="26" t="n">
        <f aca="false">IF(AND(L955="Oui",K955="Principal",R955&lt;&gt;""),I955*R955,0)</f>
        <v>0</v>
      </c>
      <c r="T955" s="26" t="n">
        <f aca="false">IF(R955&lt;&gt;"",M955-S955,0)</f>
        <v>0</v>
      </c>
      <c r="U955" s="26" t="n">
        <f aca="false">IF(R955="",M955,0)</f>
        <v>0</v>
      </c>
    </row>
    <row r="956" customFormat="false" ht="15" hidden="false" customHeight="false" outlineLevel="0" collapsed="false">
      <c r="A956" s="27" t="s">
        <v>60</v>
      </c>
      <c r="B956" s="27" t="s">
        <v>64</v>
      </c>
      <c r="C956" s="27" t="s">
        <v>48</v>
      </c>
      <c r="D956" s="27" t="n">
        <v>27</v>
      </c>
      <c r="E956" s="27" t="s">
        <v>686</v>
      </c>
      <c r="F956" s="27" t="s">
        <v>412</v>
      </c>
      <c r="G956" s="27"/>
      <c r="H956" s="27" t="s">
        <v>585</v>
      </c>
      <c r="I956" s="27" t="n">
        <v>1</v>
      </c>
      <c r="J956" s="28" t="n">
        <v>0</v>
      </c>
      <c r="K956" s="27" t="s">
        <v>618</v>
      </c>
      <c r="L956" s="27" t="s">
        <v>579</v>
      </c>
      <c r="M956" s="28" t="n">
        <f aca="false">IF(AND(L956="Oui",K956="Principal"),I956*J956,0)</f>
        <v>0</v>
      </c>
      <c r="N956" s="27" t="s">
        <v>128</v>
      </c>
      <c r="O956" s="27" t="s">
        <v>744</v>
      </c>
      <c r="P956" s="27"/>
      <c r="Q956" s="27"/>
      <c r="R956" s="28"/>
      <c r="S956" s="28" t="n">
        <f aca="false">IF(AND(L956="Oui",K956="Principal",R956&lt;&gt;""),I956*R956,0)</f>
        <v>0</v>
      </c>
      <c r="T956" s="28" t="n">
        <f aca="false">IF(R956&lt;&gt;"",M956-S956,0)</f>
        <v>0</v>
      </c>
      <c r="U956" s="28" t="n">
        <f aca="false">IF(R956="",M956,0)</f>
        <v>0</v>
      </c>
    </row>
    <row r="957" customFormat="false" ht="15" hidden="false" customHeight="false" outlineLevel="0" collapsed="false">
      <c r="A957" s="25" t="s">
        <v>60</v>
      </c>
      <c r="B957" s="25" t="s">
        <v>64</v>
      </c>
      <c r="C957" s="25" t="s">
        <v>48</v>
      </c>
      <c r="D957" s="25" t="n">
        <v>28</v>
      </c>
      <c r="E957" s="25" t="s">
        <v>686</v>
      </c>
      <c r="F957" s="25" t="s">
        <v>413</v>
      </c>
      <c r="G957" s="25" t="n">
        <v>1332</v>
      </c>
      <c r="H957" s="25" t="s">
        <v>745</v>
      </c>
      <c r="I957" s="25" t="n">
        <v>1</v>
      </c>
      <c r="J957" s="26" t="n">
        <v>3550</v>
      </c>
      <c r="K957" s="25" t="s">
        <v>618</v>
      </c>
      <c r="L957" s="25" t="s">
        <v>579</v>
      </c>
      <c r="M957" s="26" t="n">
        <f aca="false">IF(AND(L957="Oui",K957="Principal"),I957*J957,0)</f>
        <v>0</v>
      </c>
      <c r="N957" s="25" t="s">
        <v>548</v>
      </c>
      <c r="O957" s="25"/>
      <c r="P957" s="25" t="s">
        <v>550</v>
      </c>
      <c r="Q957" s="25" t="s">
        <v>557</v>
      </c>
      <c r="R957" s="26" t="n">
        <v>2550</v>
      </c>
      <c r="S957" s="26" t="n">
        <f aca="false">IF(AND(L957="Oui",K957="Principal",R957&lt;&gt;""),I957*R957,0)</f>
        <v>0</v>
      </c>
      <c r="T957" s="26" t="n">
        <f aca="false">IF(R957&lt;&gt;"",M957-S957,0)</f>
        <v>0</v>
      </c>
      <c r="U957" s="26" t="n">
        <f aca="false">IF(R957="",M957,0)</f>
        <v>0</v>
      </c>
    </row>
    <row r="958" customFormat="false" ht="15" hidden="false" customHeight="false" outlineLevel="0" collapsed="false">
      <c r="A958" s="25" t="s">
        <v>60</v>
      </c>
      <c r="B958" s="25" t="s">
        <v>64</v>
      </c>
      <c r="C958" s="25" t="s">
        <v>48</v>
      </c>
      <c r="D958" s="25" t="n">
        <v>29</v>
      </c>
      <c r="E958" s="25" t="s">
        <v>577</v>
      </c>
      <c r="F958" s="25" t="s">
        <v>321</v>
      </c>
      <c r="G958" s="25" t="n">
        <v>1192</v>
      </c>
      <c r="H958" s="25" t="s">
        <v>694</v>
      </c>
      <c r="I958" s="25" t="n">
        <v>1</v>
      </c>
      <c r="J958" s="26" t="n">
        <v>7000</v>
      </c>
      <c r="K958" s="25" t="s">
        <v>577</v>
      </c>
      <c r="L958" s="25" t="s">
        <v>579</v>
      </c>
      <c r="M958" s="26" t="n">
        <f aca="false">IF(AND(L958="Oui",K958="Principal"),I958*J958,0)</f>
        <v>0</v>
      </c>
      <c r="N958" s="25" t="s">
        <v>548</v>
      </c>
      <c r="O958" s="25"/>
      <c r="P958" s="25" t="s">
        <v>550</v>
      </c>
      <c r="Q958" s="25" t="s">
        <v>557</v>
      </c>
      <c r="R958" s="26" t="n">
        <v>5500</v>
      </c>
      <c r="S958" s="26" t="n">
        <f aca="false">IF(AND(L958="Oui",K958="Principal",R958&lt;&gt;""),I958*R958,0)</f>
        <v>0</v>
      </c>
      <c r="T958" s="26" t="n">
        <f aca="false">IF(R958&lt;&gt;"",M958-S958,0)</f>
        <v>0</v>
      </c>
      <c r="U958" s="26" t="n">
        <f aca="false">IF(R958="",M958,0)</f>
        <v>0</v>
      </c>
    </row>
    <row r="959" customFormat="false" ht="15" hidden="false" customHeight="false" outlineLevel="0" collapsed="false">
      <c r="A959" s="25" t="s">
        <v>60</v>
      </c>
      <c r="B959" s="25" t="s">
        <v>64</v>
      </c>
      <c r="C959" s="25" t="s">
        <v>49</v>
      </c>
      <c r="D959" s="25" t="n">
        <v>1</v>
      </c>
      <c r="E959" s="25" t="s">
        <v>544</v>
      </c>
      <c r="F959" s="25" t="s">
        <v>295</v>
      </c>
      <c r="G959" s="25" t="n">
        <v>1618</v>
      </c>
      <c r="H959" s="25" t="s">
        <v>600</v>
      </c>
      <c r="I959" s="25" t="n">
        <v>2</v>
      </c>
      <c r="J959" s="26" t="n">
        <v>450</v>
      </c>
      <c r="K959" s="25" t="s">
        <v>546</v>
      </c>
      <c r="L959" s="25" t="s">
        <v>547</v>
      </c>
      <c r="M959" s="26" t="n">
        <f aca="false">IF(AND(L959="Oui",K959="Principal"),I959*J959,0)</f>
        <v>900</v>
      </c>
      <c r="N959" s="25" t="s">
        <v>548</v>
      </c>
      <c r="O959" s="25"/>
      <c r="P959" s="25" t="s">
        <v>556</v>
      </c>
      <c r="Q959" s="25" t="s">
        <v>557</v>
      </c>
      <c r="R959" s="26" t="n">
        <v>350</v>
      </c>
      <c r="S959" s="26" t="n">
        <f aca="false">IF(AND(L959="Oui",K959="Principal",R959&lt;&gt;""),I959*R959,0)</f>
        <v>700</v>
      </c>
      <c r="T959" s="26" t="n">
        <f aca="false">IF(R959&lt;&gt;"",M959-S959,0)</f>
        <v>200</v>
      </c>
      <c r="U959" s="26" t="n">
        <f aca="false">IF(R959="",M959,0)</f>
        <v>0</v>
      </c>
    </row>
    <row r="960" customFormat="false" ht="15" hidden="false" customHeight="false" outlineLevel="0" collapsed="false">
      <c r="A960" s="25" t="s">
        <v>60</v>
      </c>
      <c r="B960" s="25" t="s">
        <v>64</v>
      </c>
      <c r="C960" s="25" t="s">
        <v>49</v>
      </c>
      <c r="D960" s="25" t="n">
        <v>2</v>
      </c>
      <c r="E960" s="25" t="s">
        <v>544</v>
      </c>
      <c r="F960" s="25" t="s">
        <v>296</v>
      </c>
      <c r="G960" s="25" t="n">
        <v>1</v>
      </c>
      <c r="H960" s="25" t="s">
        <v>681</v>
      </c>
      <c r="I960" s="25" t="n">
        <v>1</v>
      </c>
      <c r="J960" s="26" t="n">
        <v>500</v>
      </c>
      <c r="K960" s="25" t="s">
        <v>546</v>
      </c>
      <c r="L960" s="25" t="s">
        <v>547</v>
      </c>
      <c r="M960" s="26" t="n">
        <f aca="false">IF(AND(L960="Oui",K960="Principal"),I960*J960,0)</f>
        <v>500</v>
      </c>
      <c r="N960" s="25" t="s">
        <v>548</v>
      </c>
      <c r="O960" s="25"/>
      <c r="P960" s="25" t="s">
        <v>559</v>
      </c>
      <c r="Q960" s="25" t="s">
        <v>551</v>
      </c>
      <c r="R960" s="26"/>
      <c r="S960" s="26" t="n">
        <f aca="false">IF(AND(L960="Oui",K960="Principal",R960&lt;&gt;""),I960*R960,0)</f>
        <v>0</v>
      </c>
      <c r="T960" s="26" t="n">
        <f aca="false">IF(R960&lt;&gt;"",M960-S960,0)</f>
        <v>0</v>
      </c>
      <c r="U960" s="26" t="n">
        <f aca="false">IF(R960="",M960,0)</f>
        <v>500</v>
      </c>
    </row>
    <row r="961" customFormat="false" ht="15" hidden="false" customHeight="false" outlineLevel="0" collapsed="false">
      <c r="A961" s="25" t="s">
        <v>60</v>
      </c>
      <c r="B961" s="25" t="s">
        <v>64</v>
      </c>
      <c r="C961" s="25" t="s">
        <v>49</v>
      </c>
      <c r="D961" s="25" t="n">
        <v>3</v>
      </c>
      <c r="E961" s="25" t="s">
        <v>544</v>
      </c>
      <c r="F961" s="25" t="s">
        <v>298</v>
      </c>
      <c r="G961" s="25" t="n">
        <v>1616</v>
      </c>
      <c r="H961" s="25" t="s">
        <v>695</v>
      </c>
      <c r="I961" s="25" t="n">
        <v>5</v>
      </c>
      <c r="J961" s="26" t="n">
        <v>900</v>
      </c>
      <c r="K961" s="25" t="s">
        <v>546</v>
      </c>
      <c r="L961" s="25" t="s">
        <v>547</v>
      </c>
      <c r="M961" s="26" t="n">
        <f aca="false">IF(AND(L961="Oui",K961="Principal"),I961*J961,0)</f>
        <v>4500</v>
      </c>
      <c r="N961" s="25" t="s">
        <v>548</v>
      </c>
      <c r="O961" s="25"/>
      <c r="P961" s="25" t="s">
        <v>556</v>
      </c>
      <c r="Q961" s="25" t="s">
        <v>557</v>
      </c>
      <c r="R961" s="26" t="n">
        <v>800</v>
      </c>
      <c r="S961" s="26" t="n">
        <f aca="false">IF(AND(L961="Oui",K961="Principal",R961&lt;&gt;""),I961*R961,0)</f>
        <v>4000</v>
      </c>
      <c r="T961" s="26" t="n">
        <f aca="false">IF(R961&lt;&gt;"",M961-S961,0)</f>
        <v>500</v>
      </c>
      <c r="U961" s="26" t="n">
        <f aca="false">IF(R961="",M961,0)</f>
        <v>0</v>
      </c>
    </row>
    <row r="962" customFormat="false" ht="15" hidden="false" customHeight="false" outlineLevel="0" collapsed="false">
      <c r="A962" s="25" t="s">
        <v>60</v>
      </c>
      <c r="B962" s="25" t="s">
        <v>64</v>
      </c>
      <c r="C962" s="25" t="s">
        <v>49</v>
      </c>
      <c r="D962" s="25" t="n">
        <v>4</v>
      </c>
      <c r="E962" s="25" t="s">
        <v>544</v>
      </c>
      <c r="F962" s="25" t="s">
        <v>338</v>
      </c>
      <c r="G962" s="25" t="n">
        <v>1715</v>
      </c>
      <c r="H962" s="25" t="s">
        <v>713</v>
      </c>
      <c r="I962" s="25" t="n">
        <v>3</v>
      </c>
      <c r="J962" s="26" t="n">
        <v>1600</v>
      </c>
      <c r="K962" s="25" t="s">
        <v>546</v>
      </c>
      <c r="L962" s="25" t="s">
        <v>547</v>
      </c>
      <c r="M962" s="26" t="n">
        <f aca="false">IF(AND(L962="Oui",K962="Principal"),I962*J962,0)</f>
        <v>4800</v>
      </c>
      <c r="N962" s="25" t="s">
        <v>548</v>
      </c>
      <c r="O962" s="25"/>
      <c r="P962" s="25" t="s">
        <v>550</v>
      </c>
      <c r="Q962" s="25" t="s">
        <v>557</v>
      </c>
      <c r="R962" s="26" t="n">
        <v>1300</v>
      </c>
      <c r="S962" s="26" t="n">
        <f aca="false">IF(AND(L962="Oui",K962="Principal",R962&lt;&gt;""),I962*R962,0)</f>
        <v>3900</v>
      </c>
      <c r="T962" s="26" t="n">
        <f aca="false">IF(R962&lt;&gt;"",M962-S962,0)</f>
        <v>900</v>
      </c>
      <c r="U962" s="26" t="n">
        <f aca="false">IF(R962="",M962,0)</f>
        <v>0</v>
      </c>
    </row>
    <row r="963" customFormat="false" ht="15" hidden="false" customHeight="false" outlineLevel="0" collapsed="false">
      <c r="A963" s="25" t="s">
        <v>60</v>
      </c>
      <c r="B963" s="25" t="s">
        <v>64</v>
      </c>
      <c r="C963" s="25" t="s">
        <v>49</v>
      </c>
      <c r="D963" s="25" t="n">
        <v>5</v>
      </c>
      <c r="E963" s="25" t="s">
        <v>544</v>
      </c>
      <c r="F963" s="25" t="s">
        <v>301</v>
      </c>
      <c r="G963" s="25" t="n">
        <v>1728</v>
      </c>
      <c r="H963" s="25" t="s">
        <v>545</v>
      </c>
      <c r="I963" s="25" t="n">
        <v>1</v>
      </c>
      <c r="J963" s="26" t="n">
        <v>900</v>
      </c>
      <c r="K963" s="25" t="s">
        <v>546</v>
      </c>
      <c r="L963" s="25" t="s">
        <v>547</v>
      </c>
      <c r="M963" s="26" t="n">
        <f aca="false">IF(AND(L963="Oui",K963="Principal"),I963*J963,0)</f>
        <v>900</v>
      </c>
      <c r="N963" s="25" t="s">
        <v>548</v>
      </c>
      <c r="O963" s="25"/>
      <c r="P963" s="25" t="s">
        <v>550</v>
      </c>
      <c r="Q963" s="25" t="s">
        <v>551</v>
      </c>
      <c r="R963" s="26"/>
      <c r="S963" s="26" t="n">
        <f aca="false">IF(AND(L963="Oui",K963="Principal",R963&lt;&gt;""),I963*R963,0)</f>
        <v>0</v>
      </c>
      <c r="T963" s="26" t="n">
        <f aca="false">IF(R963&lt;&gt;"",M963-S963,0)</f>
        <v>0</v>
      </c>
      <c r="U963" s="26" t="n">
        <f aca="false">IF(R963="",M963,0)</f>
        <v>900</v>
      </c>
    </row>
    <row r="964" customFormat="false" ht="15" hidden="false" customHeight="false" outlineLevel="0" collapsed="false">
      <c r="A964" s="33" t="s">
        <v>60</v>
      </c>
      <c r="B964" s="33" t="s">
        <v>64</v>
      </c>
      <c r="C964" s="33" t="s">
        <v>49</v>
      </c>
      <c r="D964" s="33" t="n">
        <v>6</v>
      </c>
      <c r="E964" s="33" t="s">
        <v>544</v>
      </c>
      <c r="F964" s="33" t="s">
        <v>302</v>
      </c>
      <c r="G964" s="33" t="n">
        <v>1271</v>
      </c>
      <c r="H964" s="33" t="s">
        <v>683</v>
      </c>
      <c r="I964" s="33" t="n">
        <v>1</v>
      </c>
      <c r="J964" s="34" t="n">
        <v>1150</v>
      </c>
      <c r="K964" s="33" t="s">
        <v>546</v>
      </c>
      <c r="L964" s="33" t="s">
        <v>547</v>
      </c>
      <c r="M964" s="34" t="n">
        <f aca="false">IF(AND(L964="Oui",K964="Principal"),I964*J964,0)</f>
        <v>1150</v>
      </c>
      <c r="N964" s="33" t="s">
        <v>182</v>
      </c>
      <c r="O964" s="33" t="s">
        <v>684</v>
      </c>
      <c r="P964" s="33" t="s">
        <v>550</v>
      </c>
      <c r="Q964" s="33" t="s">
        <v>557</v>
      </c>
      <c r="R964" s="34" t="n">
        <v>850</v>
      </c>
      <c r="S964" s="34" t="n">
        <f aca="false">IF(AND(L964="Oui",K964="Principal",R964&lt;&gt;""),I964*R964,0)</f>
        <v>850</v>
      </c>
      <c r="T964" s="34" t="n">
        <f aca="false">IF(R964&lt;&gt;"",M964-S964,0)</f>
        <v>300</v>
      </c>
      <c r="U964" s="34" t="n">
        <f aca="false">IF(R964="",M964,0)</f>
        <v>0</v>
      </c>
    </row>
    <row r="965" customFormat="false" ht="15" hidden="false" customHeight="false" outlineLevel="0" collapsed="false">
      <c r="A965" s="25" t="s">
        <v>60</v>
      </c>
      <c r="B965" s="25" t="s">
        <v>64</v>
      </c>
      <c r="C965" s="25" t="s">
        <v>49</v>
      </c>
      <c r="D965" s="25" t="n">
        <v>7</v>
      </c>
      <c r="E965" s="25" t="s">
        <v>563</v>
      </c>
      <c r="F965" s="25" t="s">
        <v>255</v>
      </c>
      <c r="G965" s="25" t="n">
        <v>1636</v>
      </c>
      <c r="H965" s="25" t="s">
        <v>661</v>
      </c>
      <c r="I965" s="25" t="n">
        <v>1</v>
      </c>
      <c r="J965" s="26" t="n">
        <v>400</v>
      </c>
      <c r="K965" s="25" t="s">
        <v>546</v>
      </c>
      <c r="L965" s="25" t="s">
        <v>547</v>
      </c>
      <c r="M965" s="26" t="n">
        <f aca="false">IF(AND(L965="Oui",K965="Principal"),I965*J965,0)</f>
        <v>400</v>
      </c>
      <c r="N965" s="25" t="s">
        <v>548</v>
      </c>
      <c r="O965" s="25"/>
      <c r="P965" s="25" t="s">
        <v>556</v>
      </c>
      <c r="Q965" s="25" t="s">
        <v>557</v>
      </c>
      <c r="R965" s="26" t="n">
        <v>320</v>
      </c>
      <c r="S965" s="26" t="n">
        <f aca="false">IF(AND(L965="Oui",K965="Principal",R965&lt;&gt;""),I965*R965,0)</f>
        <v>320</v>
      </c>
      <c r="T965" s="26" t="n">
        <f aca="false">IF(R965&lt;&gt;"",M965-S965,0)</f>
        <v>80</v>
      </c>
      <c r="U965" s="26" t="n">
        <f aca="false">IF(R965="",M965,0)</f>
        <v>0</v>
      </c>
    </row>
    <row r="966" customFormat="false" ht="15" hidden="false" customHeight="false" outlineLevel="0" collapsed="false">
      <c r="A966" s="25" t="s">
        <v>60</v>
      </c>
      <c r="B966" s="25" t="s">
        <v>64</v>
      </c>
      <c r="C966" s="25" t="s">
        <v>49</v>
      </c>
      <c r="D966" s="25" t="n">
        <v>8</v>
      </c>
      <c r="E966" s="25" t="s">
        <v>563</v>
      </c>
      <c r="F966" s="25" t="s">
        <v>257</v>
      </c>
      <c r="G966" s="25" t="n">
        <v>1635</v>
      </c>
      <c r="H966" s="25" t="s">
        <v>607</v>
      </c>
      <c r="I966" s="25" t="n">
        <v>1</v>
      </c>
      <c r="J966" s="26" t="n">
        <v>100</v>
      </c>
      <c r="K966" s="25" t="s">
        <v>546</v>
      </c>
      <c r="L966" s="25" t="s">
        <v>547</v>
      </c>
      <c r="M966" s="26" t="n">
        <f aca="false">IF(AND(L966="Oui",K966="Principal"),I966*J966,0)</f>
        <v>100</v>
      </c>
      <c r="N966" s="25" t="s">
        <v>548</v>
      </c>
      <c r="O966" s="25"/>
      <c r="P966" s="25" t="s">
        <v>556</v>
      </c>
      <c r="Q966" s="25" t="s">
        <v>557</v>
      </c>
      <c r="R966" s="26" t="n">
        <v>80</v>
      </c>
      <c r="S966" s="26" t="n">
        <f aca="false">IF(AND(L966="Oui",K966="Principal",R966&lt;&gt;""),I966*R966,0)</f>
        <v>80</v>
      </c>
      <c r="T966" s="26" t="n">
        <f aca="false">IF(R966&lt;&gt;"",M966-S966,0)</f>
        <v>20</v>
      </c>
      <c r="U966" s="26" t="n">
        <f aca="false">IF(R966="",M966,0)</f>
        <v>0</v>
      </c>
    </row>
    <row r="967" customFormat="false" ht="15" hidden="false" customHeight="false" outlineLevel="0" collapsed="false">
      <c r="A967" s="25" t="s">
        <v>60</v>
      </c>
      <c r="B967" s="25" t="s">
        <v>64</v>
      </c>
      <c r="C967" s="25" t="s">
        <v>49</v>
      </c>
      <c r="D967" s="25" t="n">
        <v>9</v>
      </c>
      <c r="E967" s="25" t="s">
        <v>563</v>
      </c>
      <c r="F967" s="25" t="s">
        <v>188</v>
      </c>
      <c r="G967" s="25" t="n">
        <v>8</v>
      </c>
      <c r="H967" s="25" t="s">
        <v>188</v>
      </c>
      <c r="I967" s="25" t="n">
        <v>1</v>
      </c>
      <c r="J967" s="26" t="n">
        <v>500</v>
      </c>
      <c r="K967" s="25" t="s">
        <v>546</v>
      </c>
      <c r="L967" s="25" t="s">
        <v>547</v>
      </c>
      <c r="M967" s="26" t="n">
        <f aca="false">IF(AND(L967="Oui",K967="Principal"),I967*J967,0)</f>
        <v>500</v>
      </c>
      <c r="N967" s="25" t="s">
        <v>548</v>
      </c>
      <c r="O967" s="25"/>
      <c r="P967" s="25" t="s">
        <v>559</v>
      </c>
      <c r="Q967" s="25" t="s">
        <v>551</v>
      </c>
      <c r="R967" s="26"/>
      <c r="S967" s="26" t="n">
        <f aca="false">IF(AND(L967="Oui",K967="Principal",R967&lt;&gt;""),I967*R967,0)</f>
        <v>0</v>
      </c>
      <c r="T967" s="26" t="n">
        <f aca="false">IF(R967&lt;&gt;"",M967-S967,0)</f>
        <v>0</v>
      </c>
      <c r="U967" s="26" t="n">
        <f aca="false">IF(R967="",M967,0)</f>
        <v>500</v>
      </c>
    </row>
    <row r="968" customFormat="false" ht="15" hidden="false" customHeight="false" outlineLevel="0" collapsed="false">
      <c r="A968" s="25" t="s">
        <v>60</v>
      </c>
      <c r="B968" s="25" t="s">
        <v>64</v>
      </c>
      <c r="C968" s="25" t="s">
        <v>49</v>
      </c>
      <c r="D968" s="25" t="n">
        <v>10</v>
      </c>
      <c r="E968" s="25" t="s">
        <v>563</v>
      </c>
      <c r="F968" s="25" t="s">
        <v>323</v>
      </c>
      <c r="G968" s="25" t="n">
        <v>1607</v>
      </c>
      <c r="H968" s="25" t="s">
        <v>696</v>
      </c>
      <c r="I968" s="25" t="n">
        <v>1</v>
      </c>
      <c r="J968" s="26" t="n">
        <v>2500</v>
      </c>
      <c r="K968" s="25" t="s">
        <v>546</v>
      </c>
      <c r="L968" s="25" t="s">
        <v>547</v>
      </c>
      <c r="M968" s="26" t="n">
        <f aca="false">IF(AND(L968="Oui",K968="Principal"),I968*J968,0)</f>
        <v>2500</v>
      </c>
      <c r="N968" s="25" t="s">
        <v>548</v>
      </c>
      <c r="O968" s="25"/>
      <c r="P968" s="25" t="s">
        <v>556</v>
      </c>
      <c r="Q968" s="25" t="s">
        <v>557</v>
      </c>
      <c r="R968" s="26" t="n">
        <v>2000</v>
      </c>
      <c r="S968" s="26" t="n">
        <f aca="false">IF(AND(L968="Oui",K968="Principal",R968&lt;&gt;""),I968*R968,0)</f>
        <v>2000</v>
      </c>
      <c r="T968" s="26" t="n">
        <f aca="false">IF(R968&lt;&gt;"",M968-S968,0)</f>
        <v>500</v>
      </c>
      <c r="U968" s="26" t="n">
        <f aca="false">IF(R968="",M968,0)</f>
        <v>0</v>
      </c>
    </row>
    <row r="969" customFormat="false" ht="15" hidden="false" customHeight="false" outlineLevel="0" collapsed="false">
      <c r="A969" s="25" t="s">
        <v>60</v>
      </c>
      <c r="B969" s="25" t="s">
        <v>64</v>
      </c>
      <c r="C969" s="25" t="s">
        <v>49</v>
      </c>
      <c r="D969" s="25" t="n">
        <v>11</v>
      </c>
      <c r="E969" s="25" t="s">
        <v>563</v>
      </c>
      <c r="F969" s="25" t="s">
        <v>325</v>
      </c>
      <c r="G969" s="25" t="n">
        <v>1248</v>
      </c>
      <c r="H969" s="25" t="s">
        <v>697</v>
      </c>
      <c r="I969" s="25" t="n">
        <v>1</v>
      </c>
      <c r="J969" s="26" t="n">
        <v>400</v>
      </c>
      <c r="K969" s="25" t="s">
        <v>546</v>
      </c>
      <c r="L969" s="25" t="s">
        <v>547</v>
      </c>
      <c r="M969" s="26" t="n">
        <f aca="false">IF(AND(L969="Oui",K969="Principal"),I969*J969,0)</f>
        <v>400</v>
      </c>
      <c r="N969" s="25" t="s">
        <v>548</v>
      </c>
      <c r="O969" s="25"/>
      <c r="P969" s="25" t="s">
        <v>550</v>
      </c>
      <c r="Q969" s="25" t="s">
        <v>557</v>
      </c>
      <c r="R969" s="26" t="n">
        <v>250</v>
      </c>
      <c r="S969" s="26" t="n">
        <f aca="false">IF(AND(L969="Oui",K969="Principal",R969&lt;&gt;""),I969*R969,0)</f>
        <v>250</v>
      </c>
      <c r="T969" s="26" t="n">
        <f aca="false">IF(R969&lt;&gt;"",M969-S969,0)</f>
        <v>150</v>
      </c>
      <c r="U969" s="26" t="n">
        <f aca="false">IF(R969="",M969,0)</f>
        <v>0</v>
      </c>
    </row>
    <row r="970" customFormat="false" ht="15" hidden="false" customHeight="false" outlineLevel="0" collapsed="false">
      <c r="A970" s="25" t="s">
        <v>60</v>
      </c>
      <c r="B970" s="25" t="s">
        <v>64</v>
      </c>
      <c r="C970" s="25" t="s">
        <v>49</v>
      </c>
      <c r="D970" s="25" t="n">
        <v>12</v>
      </c>
      <c r="E970" s="25" t="s">
        <v>565</v>
      </c>
      <c r="F970" s="25" t="s">
        <v>99</v>
      </c>
      <c r="G970" s="25" t="n">
        <v>1181</v>
      </c>
      <c r="H970" s="25" t="s">
        <v>581</v>
      </c>
      <c r="I970" s="25" t="n">
        <v>1</v>
      </c>
      <c r="J970" s="26" t="n">
        <v>250</v>
      </c>
      <c r="K970" s="25" t="s">
        <v>546</v>
      </c>
      <c r="L970" s="25" t="s">
        <v>547</v>
      </c>
      <c r="M970" s="26" t="n">
        <f aca="false">IF(AND(L970="Oui",K970="Principal"),I970*J970,0)</f>
        <v>250</v>
      </c>
      <c r="N970" s="25" t="s">
        <v>548</v>
      </c>
      <c r="O970" s="25"/>
      <c r="P970" s="25" t="s">
        <v>550</v>
      </c>
      <c r="Q970" s="25" t="s">
        <v>557</v>
      </c>
      <c r="R970" s="26" t="n">
        <v>110</v>
      </c>
      <c r="S970" s="26" t="n">
        <f aca="false">IF(AND(L970="Oui",K970="Principal",R970&lt;&gt;""),I970*R970,0)</f>
        <v>110</v>
      </c>
      <c r="T970" s="26" t="n">
        <f aca="false">IF(R970&lt;&gt;"",M970-S970,0)</f>
        <v>140</v>
      </c>
      <c r="U970" s="26" t="n">
        <f aca="false">IF(R970="",M970,0)</f>
        <v>0</v>
      </c>
    </row>
    <row r="971" customFormat="false" ht="15" hidden="false" customHeight="false" outlineLevel="0" collapsed="false">
      <c r="A971" s="25" t="s">
        <v>60</v>
      </c>
      <c r="B971" s="25" t="s">
        <v>64</v>
      </c>
      <c r="C971" s="25" t="s">
        <v>49</v>
      </c>
      <c r="D971" s="25" t="n">
        <v>13</v>
      </c>
      <c r="E971" s="25" t="s">
        <v>565</v>
      </c>
      <c r="F971" s="25" t="s">
        <v>164</v>
      </c>
      <c r="G971" s="25" t="n">
        <v>1587</v>
      </c>
      <c r="H971" s="25" t="s">
        <v>567</v>
      </c>
      <c r="I971" s="25" t="n">
        <v>1</v>
      </c>
      <c r="J971" s="26" t="n">
        <v>500</v>
      </c>
      <c r="K971" s="25" t="s">
        <v>546</v>
      </c>
      <c r="L971" s="25" t="s">
        <v>547</v>
      </c>
      <c r="M971" s="26" t="n">
        <f aca="false">IF(AND(L971="Oui",K971="Principal"),I971*J971,0)</f>
        <v>500</v>
      </c>
      <c r="N971" s="25" t="s">
        <v>548</v>
      </c>
      <c r="O971" s="25"/>
      <c r="P971" s="25" t="s">
        <v>556</v>
      </c>
      <c r="Q971" s="25" t="s">
        <v>557</v>
      </c>
      <c r="R971" s="26" t="n">
        <v>350</v>
      </c>
      <c r="S971" s="26" t="n">
        <f aca="false">IF(AND(L971="Oui",K971="Principal",R971&lt;&gt;""),I971*R971,0)</f>
        <v>350</v>
      </c>
      <c r="T971" s="26" t="n">
        <f aca="false">IF(R971&lt;&gt;"",M971-S971,0)</f>
        <v>150</v>
      </c>
      <c r="U971" s="26" t="n">
        <f aca="false">IF(R971="",M971,0)</f>
        <v>0</v>
      </c>
    </row>
    <row r="972" customFormat="false" ht="15" hidden="false" customHeight="false" outlineLevel="0" collapsed="false">
      <c r="A972" s="25" t="s">
        <v>60</v>
      </c>
      <c r="B972" s="25" t="s">
        <v>64</v>
      </c>
      <c r="C972" s="25" t="s">
        <v>49</v>
      </c>
      <c r="D972" s="25" t="n">
        <v>14</v>
      </c>
      <c r="E972" s="25" t="s">
        <v>565</v>
      </c>
      <c r="F972" s="25" t="s">
        <v>166</v>
      </c>
      <c r="G972" s="25" t="n">
        <v>1604</v>
      </c>
      <c r="H972" s="25" t="s">
        <v>582</v>
      </c>
      <c r="I972" s="25" t="n">
        <v>2</v>
      </c>
      <c r="J972" s="26" t="n">
        <v>700</v>
      </c>
      <c r="K972" s="25" t="s">
        <v>546</v>
      </c>
      <c r="L972" s="25" t="s">
        <v>547</v>
      </c>
      <c r="M972" s="26" t="n">
        <f aca="false">IF(AND(L972="Oui",K972="Principal"),I972*J972,0)</f>
        <v>1400</v>
      </c>
      <c r="N972" s="25" t="s">
        <v>548</v>
      </c>
      <c r="O972" s="25"/>
      <c r="P972" s="25" t="s">
        <v>556</v>
      </c>
      <c r="Q972" s="25" t="s">
        <v>557</v>
      </c>
      <c r="R972" s="26" t="n">
        <v>400</v>
      </c>
      <c r="S972" s="26" t="n">
        <f aca="false">IF(AND(L972="Oui",K972="Principal",R972&lt;&gt;""),I972*R972,0)</f>
        <v>800</v>
      </c>
      <c r="T972" s="26" t="n">
        <f aca="false">IF(R972&lt;&gt;"",M972-S972,0)</f>
        <v>600</v>
      </c>
      <c r="U972" s="26" t="n">
        <f aca="false">IF(R972="",M972,0)</f>
        <v>0</v>
      </c>
    </row>
    <row r="973" customFormat="false" ht="15" hidden="false" customHeight="false" outlineLevel="0" collapsed="false">
      <c r="A973" s="25" t="s">
        <v>60</v>
      </c>
      <c r="B973" s="25" t="s">
        <v>64</v>
      </c>
      <c r="C973" s="25" t="s">
        <v>49</v>
      </c>
      <c r="D973" s="25" t="n">
        <v>15</v>
      </c>
      <c r="E973" s="25" t="s">
        <v>565</v>
      </c>
      <c r="F973" s="25" t="s">
        <v>304</v>
      </c>
      <c r="G973" s="25" t="n">
        <v>1586</v>
      </c>
      <c r="H973" s="25" t="s">
        <v>583</v>
      </c>
      <c r="I973" s="25" t="n">
        <v>1</v>
      </c>
      <c r="J973" s="26" t="n">
        <v>900</v>
      </c>
      <c r="K973" s="25" t="s">
        <v>546</v>
      </c>
      <c r="L973" s="25" t="s">
        <v>547</v>
      </c>
      <c r="M973" s="26" t="n">
        <f aca="false">IF(AND(L973="Oui",K973="Principal"),I973*J973,0)</f>
        <v>900</v>
      </c>
      <c r="N973" s="25" t="s">
        <v>548</v>
      </c>
      <c r="O973" s="25"/>
      <c r="P973" s="25" t="s">
        <v>556</v>
      </c>
      <c r="Q973" s="25" t="s">
        <v>557</v>
      </c>
      <c r="R973" s="26" t="n">
        <v>650</v>
      </c>
      <c r="S973" s="26" t="n">
        <f aca="false">IF(AND(L973="Oui",K973="Principal",R973&lt;&gt;""),I973*R973,0)</f>
        <v>650</v>
      </c>
      <c r="T973" s="26" t="n">
        <f aca="false">IF(R973&lt;&gt;"",M973-S973,0)</f>
        <v>250</v>
      </c>
      <c r="U973" s="26" t="n">
        <f aca="false">IF(R973="",M973,0)</f>
        <v>0</v>
      </c>
    </row>
    <row r="974" customFormat="false" ht="15" hidden="false" customHeight="false" outlineLevel="0" collapsed="false">
      <c r="A974" s="33" t="s">
        <v>60</v>
      </c>
      <c r="B974" s="33" t="s">
        <v>64</v>
      </c>
      <c r="C974" s="33" t="s">
        <v>49</v>
      </c>
      <c r="D974" s="33" t="n">
        <v>16</v>
      </c>
      <c r="E974" s="33" t="s">
        <v>609</v>
      </c>
      <c r="F974" s="33" t="s">
        <v>199</v>
      </c>
      <c r="G974" s="33" t="n">
        <v>1229</v>
      </c>
      <c r="H974" s="33" t="s">
        <v>643</v>
      </c>
      <c r="I974" s="33" t="n">
        <v>1</v>
      </c>
      <c r="J974" s="34" t="n">
        <v>1800</v>
      </c>
      <c r="K974" s="33" t="s">
        <v>546</v>
      </c>
      <c r="L974" s="33" t="s">
        <v>547</v>
      </c>
      <c r="M974" s="34" t="n">
        <f aca="false">IF(AND(L974="Oui",K974="Principal"),I974*J974,0)</f>
        <v>1800</v>
      </c>
      <c r="N974" s="33" t="s">
        <v>182</v>
      </c>
      <c r="O974" s="33" t="s">
        <v>644</v>
      </c>
      <c r="P974" s="33" t="s">
        <v>550</v>
      </c>
      <c r="Q974" s="33" t="s">
        <v>557</v>
      </c>
      <c r="R974" s="34" t="n">
        <v>1500</v>
      </c>
      <c r="S974" s="34" t="n">
        <f aca="false">IF(AND(L974="Oui",K974="Principal",R974&lt;&gt;""),I974*R974,0)</f>
        <v>1500</v>
      </c>
      <c r="T974" s="34" t="n">
        <f aca="false">IF(R974&lt;&gt;"",M974-S974,0)</f>
        <v>300</v>
      </c>
      <c r="U974" s="34" t="n">
        <f aca="false">IF(R974="",M974,0)</f>
        <v>0</v>
      </c>
    </row>
    <row r="975" customFormat="false" ht="15" hidden="false" customHeight="false" outlineLevel="0" collapsed="false">
      <c r="A975" s="25" t="s">
        <v>60</v>
      </c>
      <c r="B975" s="25" t="s">
        <v>64</v>
      </c>
      <c r="C975" s="25" t="s">
        <v>49</v>
      </c>
      <c r="D975" s="25" t="n">
        <v>17</v>
      </c>
      <c r="E975" s="25" t="s">
        <v>609</v>
      </c>
      <c r="F975" s="25" t="s">
        <v>305</v>
      </c>
      <c r="G975" s="25" t="n">
        <v>1727</v>
      </c>
      <c r="H975" s="25" t="s">
        <v>698</v>
      </c>
      <c r="I975" s="25" t="n">
        <v>1</v>
      </c>
      <c r="J975" s="26" t="n">
        <v>4750</v>
      </c>
      <c r="K975" s="25" t="s">
        <v>546</v>
      </c>
      <c r="L975" s="25" t="s">
        <v>547</v>
      </c>
      <c r="M975" s="26" t="n">
        <f aca="false">IF(AND(L975="Oui",K975="Principal"),I975*J975,0)</f>
        <v>4750</v>
      </c>
      <c r="N975" s="25" t="s">
        <v>548</v>
      </c>
      <c r="O975" s="25"/>
      <c r="P975" s="25" t="s">
        <v>559</v>
      </c>
      <c r="Q975" s="25" t="s">
        <v>557</v>
      </c>
      <c r="R975" s="26" t="n">
        <v>3700</v>
      </c>
      <c r="S975" s="26" t="n">
        <f aca="false">IF(AND(L975="Oui",K975="Principal",R975&lt;&gt;""),I975*R975,0)</f>
        <v>3700</v>
      </c>
      <c r="T975" s="26" t="n">
        <f aca="false">IF(R975&lt;&gt;"",M975-S975,0)</f>
        <v>1050</v>
      </c>
      <c r="U975" s="26" t="n">
        <f aca="false">IF(R975="",M975,0)</f>
        <v>0</v>
      </c>
    </row>
    <row r="976" customFormat="false" ht="15" hidden="false" customHeight="false" outlineLevel="0" collapsed="false">
      <c r="A976" s="25" t="s">
        <v>60</v>
      </c>
      <c r="B976" s="25" t="s">
        <v>64</v>
      </c>
      <c r="C976" s="25" t="s">
        <v>49</v>
      </c>
      <c r="D976" s="25" t="n">
        <v>18</v>
      </c>
      <c r="E976" s="25" t="s">
        <v>554</v>
      </c>
      <c r="F976" s="25" t="s">
        <v>104</v>
      </c>
      <c r="G976" s="25" t="n">
        <v>1589</v>
      </c>
      <c r="H976" s="25" t="s">
        <v>568</v>
      </c>
      <c r="I976" s="25" t="n">
        <v>1</v>
      </c>
      <c r="J976" s="26" t="n">
        <v>900</v>
      </c>
      <c r="K976" s="25" t="s">
        <v>546</v>
      </c>
      <c r="L976" s="25" t="s">
        <v>547</v>
      </c>
      <c r="M976" s="26" t="n">
        <f aca="false">IF(AND(L976="Oui",K976="Principal"),I976*J976,0)</f>
        <v>900</v>
      </c>
      <c r="N976" s="25" t="s">
        <v>548</v>
      </c>
      <c r="O976" s="25"/>
      <c r="P976" s="25" t="s">
        <v>556</v>
      </c>
      <c r="Q976" s="25" t="s">
        <v>557</v>
      </c>
      <c r="R976" s="26" t="n">
        <v>650</v>
      </c>
      <c r="S976" s="26" t="n">
        <f aca="false">IF(AND(L976="Oui",K976="Principal",R976&lt;&gt;""),I976*R976,0)</f>
        <v>650</v>
      </c>
      <c r="T976" s="26" t="n">
        <f aca="false">IF(R976&lt;&gt;"",M976-S976,0)</f>
        <v>250</v>
      </c>
      <c r="U976" s="26" t="n">
        <f aca="false">IF(R976="",M976,0)</f>
        <v>0</v>
      </c>
    </row>
    <row r="977" customFormat="false" ht="15" hidden="false" customHeight="false" outlineLevel="0" collapsed="false">
      <c r="A977" s="29" t="s">
        <v>60</v>
      </c>
      <c r="B977" s="29" t="s">
        <v>64</v>
      </c>
      <c r="C977" s="29" t="s">
        <v>49</v>
      </c>
      <c r="D977" s="29" t="n">
        <v>19</v>
      </c>
      <c r="E977" s="29" t="s">
        <v>554</v>
      </c>
      <c r="F977" s="29" t="s">
        <v>328</v>
      </c>
      <c r="G977" s="29" t="n">
        <v>31</v>
      </c>
      <c r="H977" s="29" t="s">
        <v>595</v>
      </c>
      <c r="I977" s="29" t="n">
        <v>1</v>
      </c>
      <c r="J977" s="30" t="n">
        <v>1500</v>
      </c>
      <c r="K977" s="29" t="s">
        <v>546</v>
      </c>
      <c r="L977" s="29" t="s">
        <v>547</v>
      </c>
      <c r="M977" s="30" t="n">
        <f aca="false">IF(AND(L977="Oui",K977="Principal"),I977*J977,0)</f>
        <v>1500</v>
      </c>
      <c r="N977" s="29" t="s">
        <v>141</v>
      </c>
      <c r="O977" s="29" t="s">
        <v>699</v>
      </c>
      <c r="P977" s="29" t="s">
        <v>559</v>
      </c>
      <c r="Q977" s="29" t="s">
        <v>551</v>
      </c>
      <c r="R977" s="30"/>
      <c r="S977" s="30" t="n">
        <f aca="false">IF(AND(L977="Oui",K977="Principal",R977&lt;&gt;""),I977*R977,0)</f>
        <v>0</v>
      </c>
      <c r="T977" s="30" t="n">
        <f aca="false">IF(R977&lt;&gt;"",M977-S977,0)</f>
        <v>0</v>
      </c>
      <c r="U977" s="30" t="n">
        <f aca="false">IF(R977="",M977,0)</f>
        <v>1500</v>
      </c>
    </row>
    <row r="978" customFormat="false" ht="15" hidden="false" customHeight="false" outlineLevel="0" collapsed="false">
      <c r="A978" s="25" t="s">
        <v>60</v>
      </c>
      <c r="B978" s="25" t="s">
        <v>64</v>
      </c>
      <c r="C978" s="25" t="s">
        <v>49</v>
      </c>
      <c r="D978" s="25" t="n">
        <v>20</v>
      </c>
      <c r="E978" s="25" t="s">
        <v>700</v>
      </c>
      <c r="F978" s="25" t="s">
        <v>329</v>
      </c>
      <c r="G978" s="25" t="n">
        <v>1716</v>
      </c>
      <c r="H978" s="25" t="s">
        <v>701</v>
      </c>
      <c r="I978" s="25" t="n">
        <v>1</v>
      </c>
      <c r="J978" s="26" t="n">
        <v>1800</v>
      </c>
      <c r="K978" s="25" t="s">
        <v>546</v>
      </c>
      <c r="L978" s="25" t="s">
        <v>547</v>
      </c>
      <c r="M978" s="26" t="n">
        <f aca="false">IF(AND(L978="Oui",K978="Principal"),I978*J978,0)</f>
        <v>1800</v>
      </c>
      <c r="N978" s="25" t="s">
        <v>548</v>
      </c>
      <c r="O978" s="25"/>
      <c r="P978" s="25" t="s">
        <v>559</v>
      </c>
      <c r="Q978" s="25" t="s">
        <v>557</v>
      </c>
      <c r="R978" s="26" t="n">
        <v>1300</v>
      </c>
      <c r="S978" s="26" t="n">
        <f aca="false">IF(AND(L978="Oui",K978="Principal",R978&lt;&gt;""),I978*R978,0)</f>
        <v>1300</v>
      </c>
      <c r="T978" s="26" t="n">
        <f aca="false">IF(R978&lt;&gt;"",M978-S978,0)</f>
        <v>500</v>
      </c>
      <c r="U978" s="26" t="n">
        <f aca="false">IF(R978="",M978,0)</f>
        <v>0</v>
      </c>
    </row>
    <row r="979" customFormat="false" ht="15" hidden="false" customHeight="false" outlineLevel="0" collapsed="false">
      <c r="A979" s="27" t="s">
        <v>60</v>
      </c>
      <c r="B979" s="27" t="s">
        <v>64</v>
      </c>
      <c r="C979" s="27" t="s">
        <v>49</v>
      </c>
      <c r="D979" s="27" t="n">
        <v>21</v>
      </c>
      <c r="E979" s="27" t="s">
        <v>700</v>
      </c>
      <c r="F979" s="27" t="s">
        <v>382</v>
      </c>
      <c r="G979" s="27"/>
      <c r="H979" s="27" t="s">
        <v>585</v>
      </c>
      <c r="I979" s="27" t="n">
        <v>1</v>
      </c>
      <c r="J979" s="28" t="n">
        <v>0</v>
      </c>
      <c r="K979" s="27" t="s">
        <v>546</v>
      </c>
      <c r="L979" s="27" t="s">
        <v>579</v>
      </c>
      <c r="M979" s="28" t="n">
        <f aca="false">IF(AND(L979="Oui",K979="Principal"),I979*J979,0)</f>
        <v>0</v>
      </c>
      <c r="N979" s="27" t="s">
        <v>128</v>
      </c>
      <c r="O979" s="27" t="s">
        <v>586</v>
      </c>
      <c r="P979" s="27"/>
      <c r="Q979" s="27"/>
      <c r="R979" s="28"/>
      <c r="S979" s="28" t="n">
        <f aca="false">IF(AND(L979="Oui",K979="Principal",R979&lt;&gt;""),I979*R979,0)</f>
        <v>0</v>
      </c>
      <c r="T979" s="28" t="n">
        <f aca="false">IF(R979&lt;&gt;"",M979-S979,0)</f>
        <v>0</v>
      </c>
      <c r="U979" s="28" t="n">
        <f aca="false">IF(R979="",M979,0)</f>
        <v>0</v>
      </c>
    </row>
    <row r="980" customFormat="false" ht="15" hidden="false" customHeight="false" outlineLevel="0" collapsed="false">
      <c r="A980" s="25" t="s">
        <v>60</v>
      </c>
      <c r="B980" s="25" t="s">
        <v>64</v>
      </c>
      <c r="C980" s="25" t="s">
        <v>49</v>
      </c>
      <c r="D980" s="25" t="n">
        <v>22</v>
      </c>
      <c r="E980" s="25" t="s">
        <v>571</v>
      </c>
      <c r="F980" s="25" t="s">
        <v>331</v>
      </c>
      <c r="G980" s="25" t="n">
        <v>1625</v>
      </c>
      <c r="H980" s="25" t="s">
        <v>572</v>
      </c>
      <c r="I980" s="25" t="n">
        <v>1</v>
      </c>
      <c r="J980" s="26" t="n">
        <v>500</v>
      </c>
      <c r="K980" s="25" t="s">
        <v>546</v>
      </c>
      <c r="L980" s="25" t="s">
        <v>547</v>
      </c>
      <c r="M980" s="26" t="n">
        <f aca="false">IF(AND(L980="Oui",K980="Principal"),I980*J980,0)</f>
        <v>500</v>
      </c>
      <c r="N980" s="25" t="s">
        <v>548</v>
      </c>
      <c r="O980" s="25"/>
      <c r="P980" s="25" t="s">
        <v>556</v>
      </c>
      <c r="Q980" s="25" t="s">
        <v>557</v>
      </c>
      <c r="R980" s="26"/>
      <c r="S980" s="26" t="n">
        <f aca="false">IF(AND(L980="Oui",K980="Principal",R980&lt;&gt;""),I980*R980,0)</f>
        <v>0</v>
      </c>
      <c r="T980" s="26" t="n">
        <f aca="false">IF(R980&lt;&gt;"",M980-S980,0)</f>
        <v>0</v>
      </c>
      <c r="U980" s="26" t="n">
        <f aca="false">IF(R980="",M980,0)</f>
        <v>500</v>
      </c>
    </row>
    <row r="981" customFormat="false" ht="15" hidden="false" customHeight="false" outlineLevel="0" collapsed="false">
      <c r="A981" s="25" t="s">
        <v>60</v>
      </c>
      <c r="B981" s="25" t="s">
        <v>64</v>
      </c>
      <c r="C981" s="25" t="s">
        <v>49</v>
      </c>
      <c r="D981" s="25" t="n">
        <v>23</v>
      </c>
      <c r="E981" s="25" t="s">
        <v>573</v>
      </c>
      <c r="F981" s="25" t="s">
        <v>176</v>
      </c>
      <c r="G981" s="25" t="n">
        <v>19</v>
      </c>
      <c r="H981" s="25" t="s">
        <v>615</v>
      </c>
      <c r="I981" s="25" t="n">
        <v>1</v>
      </c>
      <c r="J981" s="26" t="n">
        <v>2500</v>
      </c>
      <c r="K981" s="25" t="s">
        <v>546</v>
      </c>
      <c r="L981" s="25" t="s">
        <v>547</v>
      </c>
      <c r="M981" s="26" t="n">
        <f aca="false">IF(AND(L981="Oui",K981="Principal"),I981*J981,0)</f>
        <v>2500</v>
      </c>
      <c r="N981" s="25" t="s">
        <v>548</v>
      </c>
      <c r="O981" s="25"/>
      <c r="P981" s="25" t="s">
        <v>559</v>
      </c>
      <c r="Q981" s="25" t="s">
        <v>551</v>
      </c>
      <c r="R981" s="26"/>
      <c r="S981" s="26" t="n">
        <f aca="false">IF(AND(L981="Oui",K981="Principal",R981&lt;&gt;""),I981*R981,0)</f>
        <v>0</v>
      </c>
      <c r="T981" s="26" t="n">
        <f aca="false">IF(R981&lt;&gt;"",M981-S981,0)</f>
        <v>0</v>
      </c>
      <c r="U981" s="26" t="n">
        <f aca="false">IF(R981="",M981,0)</f>
        <v>2500</v>
      </c>
    </row>
    <row r="982" customFormat="false" ht="15" hidden="false" customHeight="false" outlineLevel="0" collapsed="false">
      <c r="A982" s="25" t="s">
        <v>60</v>
      </c>
      <c r="B982" s="25" t="s">
        <v>64</v>
      </c>
      <c r="C982" s="25" t="s">
        <v>49</v>
      </c>
      <c r="D982" s="25" t="n">
        <v>24</v>
      </c>
      <c r="E982" s="25" t="s">
        <v>573</v>
      </c>
      <c r="F982" s="25" t="s">
        <v>117</v>
      </c>
      <c r="G982" s="25" t="n">
        <v>1288</v>
      </c>
      <c r="H982" s="25" t="s">
        <v>624</v>
      </c>
      <c r="I982" s="25" t="n">
        <v>1</v>
      </c>
      <c r="J982" s="26" t="n">
        <v>2500</v>
      </c>
      <c r="K982" s="25" t="s">
        <v>546</v>
      </c>
      <c r="L982" s="25" t="s">
        <v>547</v>
      </c>
      <c r="M982" s="26" t="n">
        <f aca="false">IF(AND(L982="Oui",K982="Principal"),I982*J982,0)</f>
        <v>2500</v>
      </c>
      <c r="N982" s="25" t="s">
        <v>548</v>
      </c>
      <c r="O982" s="25"/>
      <c r="P982" s="25" t="s">
        <v>550</v>
      </c>
      <c r="Q982" s="25" t="s">
        <v>557</v>
      </c>
      <c r="R982" s="26" t="n">
        <v>2000</v>
      </c>
      <c r="S982" s="26" t="n">
        <f aca="false">IF(AND(L982="Oui",K982="Principal",R982&lt;&gt;""),I982*R982,0)</f>
        <v>2000</v>
      </c>
      <c r="T982" s="26" t="n">
        <f aca="false">IF(R982&lt;&gt;"",M982-S982,0)</f>
        <v>500</v>
      </c>
      <c r="U982" s="26" t="n">
        <f aca="false">IF(R982="",M982,0)</f>
        <v>0</v>
      </c>
    </row>
    <row r="983" customFormat="false" ht="15" hidden="false" customHeight="false" outlineLevel="0" collapsed="false">
      <c r="A983" s="25" t="s">
        <v>60</v>
      </c>
      <c r="B983" s="25" t="s">
        <v>64</v>
      </c>
      <c r="C983" s="25" t="s">
        <v>49</v>
      </c>
      <c r="D983" s="25" t="n">
        <v>25</v>
      </c>
      <c r="E983" s="25" t="s">
        <v>573</v>
      </c>
      <c r="F983" s="25" t="s">
        <v>321</v>
      </c>
      <c r="G983" s="25" t="n">
        <v>1192</v>
      </c>
      <c r="H983" s="25" t="s">
        <v>694</v>
      </c>
      <c r="I983" s="25" t="n">
        <v>1</v>
      </c>
      <c r="J983" s="26" t="n">
        <v>7000</v>
      </c>
      <c r="K983" s="25" t="s">
        <v>546</v>
      </c>
      <c r="L983" s="25" t="s">
        <v>547</v>
      </c>
      <c r="M983" s="26" t="n">
        <f aca="false">IF(AND(L983="Oui",K983="Principal"),I983*J983,0)</f>
        <v>7000</v>
      </c>
      <c r="N983" s="25" t="s">
        <v>548</v>
      </c>
      <c r="O983" s="25"/>
      <c r="P983" s="25" t="s">
        <v>550</v>
      </c>
      <c r="Q983" s="25" t="s">
        <v>557</v>
      </c>
      <c r="R983" s="26" t="n">
        <v>5500</v>
      </c>
      <c r="S983" s="26" t="n">
        <f aca="false">IF(AND(L983="Oui",K983="Principal",R983&lt;&gt;""),I983*R983,0)</f>
        <v>5500</v>
      </c>
      <c r="T983" s="26" t="n">
        <f aca="false">IF(R983&lt;&gt;"",M983-S983,0)</f>
        <v>1500</v>
      </c>
      <c r="U983" s="26" t="n">
        <f aca="false">IF(R983="",M983,0)</f>
        <v>0</v>
      </c>
    </row>
    <row r="984" customFormat="false" ht="15" hidden="false" customHeight="false" outlineLevel="0" collapsed="false">
      <c r="A984" s="25" t="s">
        <v>60</v>
      </c>
      <c r="B984" s="25" t="s">
        <v>64</v>
      </c>
      <c r="C984" s="25" t="s">
        <v>49</v>
      </c>
      <c r="D984" s="25" t="n">
        <v>26</v>
      </c>
      <c r="E984" s="25" t="s">
        <v>686</v>
      </c>
      <c r="F984" s="25" t="s">
        <v>393</v>
      </c>
      <c r="G984" s="25" t="n">
        <v>1362</v>
      </c>
      <c r="H984" s="25" t="s">
        <v>735</v>
      </c>
      <c r="I984" s="25" t="n">
        <v>1</v>
      </c>
      <c r="J984" s="26" t="n">
        <v>4000</v>
      </c>
      <c r="K984" s="25" t="s">
        <v>546</v>
      </c>
      <c r="L984" s="25" t="s">
        <v>547</v>
      </c>
      <c r="M984" s="26" t="n">
        <f aca="false">IF(AND(L984="Oui",K984="Principal"),I984*J984,0)</f>
        <v>4000</v>
      </c>
      <c r="N984" s="25" t="s">
        <v>548</v>
      </c>
      <c r="O984" s="25"/>
      <c r="P984" s="25" t="s">
        <v>550</v>
      </c>
      <c r="Q984" s="25" t="s">
        <v>557</v>
      </c>
      <c r="R984" s="26" t="n">
        <v>3000</v>
      </c>
      <c r="S984" s="26" t="n">
        <f aca="false">IF(AND(L984="Oui",K984="Principal",R984&lt;&gt;""),I984*R984,0)</f>
        <v>3000</v>
      </c>
      <c r="T984" s="26" t="n">
        <f aca="false">IF(R984&lt;&gt;"",M984-S984,0)</f>
        <v>1000</v>
      </c>
      <c r="U984" s="26" t="n">
        <f aca="false">IF(R984="",M984,0)</f>
        <v>0</v>
      </c>
    </row>
    <row r="985" customFormat="false" ht="15" hidden="false" customHeight="false" outlineLevel="0" collapsed="false">
      <c r="A985" s="27" t="s">
        <v>60</v>
      </c>
      <c r="B985" s="27" t="s">
        <v>64</v>
      </c>
      <c r="C985" s="27" t="s">
        <v>49</v>
      </c>
      <c r="D985" s="27" t="n">
        <v>27</v>
      </c>
      <c r="E985" s="27" t="s">
        <v>588</v>
      </c>
      <c r="F985" s="27" t="s">
        <v>395</v>
      </c>
      <c r="G985" s="27"/>
      <c r="H985" s="27" t="s">
        <v>585</v>
      </c>
      <c r="I985" s="27" t="n">
        <v>1</v>
      </c>
      <c r="J985" s="28" t="n">
        <v>0</v>
      </c>
      <c r="K985" s="27" t="s">
        <v>546</v>
      </c>
      <c r="L985" s="27" t="s">
        <v>579</v>
      </c>
      <c r="M985" s="28" t="n">
        <f aca="false">IF(AND(L985="Oui",K985="Principal"),I985*J985,0)</f>
        <v>0</v>
      </c>
      <c r="N985" s="27" t="s">
        <v>128</v>
      </c>
      <c r="O985" s="27" t="s">
        <v>730</v>
      </c>
      <c r="P985" s="27"/>
      <c r="Q985" s="27"/>
      <c r="R985" s="28"/>
      <c r="S985" s="28" t="n">
        <f aca="false">IF(AND(L985="Oui",K985="Principal",R985&lt;&gt;""),I985*R985,0)</f>
        <v>0</v>
      </c>
      <c r="T985" s="28" t="n">
        <f aca="false">IF(R985&lt;&gt;"",M985-S985,0)</f>
        <v>0</v>
      </c>
      <c r="U985" s="28" t="n">
        <f aca="false">IF(R985="",M985,0)</f>
        <v>0</v>
      </c>
    </row>
    <row r="986" customFormat="false" ht="15" hidden="false" customHeight="false" outlineLevel="0" collapsed="false">
      <c r="A986" s="25" t="s">
        <v>60</v>
      </c>
      <c r="B986" s="25" t="s">
        <v>64</v>
      </c>
      <c r="C986" s="25" t="s">
        <v>49</v>
      </c>
      <c r="D986" s="25" t="n">
        <v>28</v>
      </c>
      <c r="E986" s="25" t="s">
        <v>689</v>
      </c>
      <c r="F986" s="25" t="s">
        <v>396</v>
      </c>
      <c r="G986" s="25" t="n">
        <v>1301</v>
      </c>
      <c r="H986" s="25" t="s">
        <v>736</v>
      </c>
      <c r="I986" s="25" t="n">
        <v>1</v>
      </c>
      <c r="J986" s="26" t="n">
        <v>3500</v>
      </c>
      <c r="K986" s="25" t="s">
        <v>546</v>
      </c>
      <c r="L986" s="25" t="s">
        <v>547</v>
      </c>
      <c r="M986" s="26" t="n">
        <f aca="false">IF(AND(L986="Oui",K986="Principal"),I986*J986,0)</f>
        <v>3500</v>
      </c>
      <c r="N986" s="25" t="s">
        <v>548</v>
      </c>
      <c r="O986" s="25"/>
      <c r="P986" s="25" t="s">
        <v>550</v>
      </c>
      <c r="Q986" s="25" t="s">
        <v>557</v>
      </c>
      <c r="R986" s="26" t="n">
        <v>2500</v>
      </c>
      <c r="S986" s="26" t="n">
        <f aca="false">IF(AND(L986="Oui",K986="Principal",R986&lt;&gt;""),I986*R986,0)</f>
        <v>2500</v>
      </c>
      <c r="T986" s="26" t="n">
        <f aca="false">IF(R986&lt;&gt;"",M986-S986,0)</f>
        <v>1000</v>
      </c>
      <c r="U986" s="26" t="n">
        <f aca="false">IF(R986="",M986,0)</f>
        <v>0</v>
      </c>
    </row>
    <row r="987" customFormat="false" ht="15" hidden="false" customHeight="false" outlineLevel="0" collapsed="false">
      <c r="A987" s="25" t="s">
        <v>60</v>
      </c>
      <c r="B987" s="25" t="s">
        <v>64</v>
      </c>
      <c r="C987" s="25" t="s">
        <v>49</v>
      </c>
      <c r="D987" s="25" t="n">
        <v>29</v>
      </c>
      <c r="E987" s="25" t="s">
        <v>689</v>
      </c>
      <c r="F987" s="25" t="s">
        <v>398</v>
      </c>
      <c r="G987" s="25" t="n">
        <v>1319</v>
      </c>
      <c r="H987" s="25" t="s">
        <v>737</v>
      </c>
      <c r="I987" s="25" t="n">
        <v>1</v>
      </c>
      <c r="J987" s="26" t="n">
        <v>2800</v>
      </c>
      <c r="K987" s="25" t="s">
        <v>546</v>
      </c>
      <c r="L987" s="25" t="s">
        <v>547</v>
      </c>
      <c r="M987" s="26" t="n">
        <f aca="false">IF(AND(L987="Oui",K987="Principal"),I987*J987,0)</f>
        <v>2800</v>
      </c>
      <c r="N987" s="25" t="s">
        <v>548</v>
      </c>
      <c r="O987" s="25"/>
      <c r="P987" s="25" t="s">
        <v>550</v>
      </c>
      <c r="Q987" s="25" t="s">
        <v>557</v>
      </c>
      <c r="R987" s="26" t="n">
        <v>1800</v>
      </c>
      <c r="S987" s="26" t="n">
        <f aca="false">IF(AND(L987="Oui",K987="Principal",R987&lt;&gt;""),I987*R987,0)</f>
        <v>1800</v>
      </c>
      <c r="T987" s="26" t="n">
        <f aca="false">IF(R987&lt;&gt;"",M987-S987,0)</f>
        <v>1000</v>
      </c>
      <c r="U987" s="26" t="n">
        <f aca="false">IF(R987="",M987,0)</f>
        <v>0</v>
      </c>
    </row>
    <row r="988" customFormat="false" ht="15" hidden="false" customHeight="false" outlineLevel="0" collapsed="false">
      <c r="A988" s="25" t="s">
        <v>60</v>
      </c>
      <c r="B988" s="25" t="s">
        <v>64</v>
      </c>
      <c r="C988" s="25" t="s">
        <v>49</v>
      </c>
      <c r="D988" s="25" t="n">
        <v>30</v>
      </c>
      <c r="E988" s="25" t="s">
        <v>686</v>
      </c>
      <c r="F988" s="25" t="s">
        <v>400</v>
      </c>
      <c r="G988" s="25" t="n">
        <v>1558</v>
      </c>
      <c r="H988" s="25" t="s">
        <v>738</v>
      </c>
      <c r="I988" s="25" t="n">
        <v>1</v>
      </c>
      <c r="J988" s="26" t="n">
        <v>3960</v>
      </c>
      <c r="K988" s="25" t="s">
        <v>546</v>
      </c>
      <c r="L988" s="25" t="s">
        <v>547</v>
      </c>
      <c r="M988" s="26" t="n">
        <f aca="false">IF(AND(L988="Oui",K988="Principal"),I988*J988,0)</f>
        <v>3960</v>
      </c>
      <c r="N988" s="25" t="s">
        <v>548</v>
      </c>
      <c r="O988" s="25"/>
      <c r="P988" s="25" t="s">
        <v>550</v>
      </c>
      <c r="Q988" s="25" t="s">
        <v>557</v>
      </c>
      <c r="R988" s="26" t="n">
        <v>2960</v>
      </c>
      <c r="S988" s="26" t="n">
        <f aca="false">IF(AND(L988="Oui",K988="Principal",R988&lt;&gt;""),I988*R988,0)</f>
        <v>2960</v>
      </c>
      <c r="T988" s="26" t="n">
        <f aca="false">IF(R988&lt;&gt;"",M988-S988,0)</f>
        <v>1000</v>
      </c>
      <c r="U988" s="26" t="n">
        <f aca="false">IF(R988="",M988,0)</f>
        <v>0</v>
      </c>
    </row>
    <row r="989" customFormat="false" ht="15" hidden="false" customHeight="false" outlineLevel="0" collapsed="false">
      <c r="A989" s="25" t="s">
        <v>60</v>
      </c>
      <c r="B989" s="25" t="s">
        <v>64</v>
      </c>
      <c r="C989" s="25" t="s">
        <v>49</v>
      </c>
      <c r="D989" s="25" t="n">
        <v>31</v>
      </c>
      <c r="E989" s="25" t="s">
        <v>588</v>
      </c>
      <c r="F989" s="25" t="s">
        <v>402</v>
      </c>
      <c r="G989" s="25" t="n">
        <v>39</v>
      </c>
      <c r="H989" s="25" t="s">
        <v>739</v>
      </c>
      <c r="I989" s="25" t="n">
        <v>1</v>
      </c>
      <c r="J989" s="26" t="n">
        <v>10000</v>
      </c>
      <c r="K989" s="25" t="s">
        <v>546</v>
      </c>
      <c r="L989" s="25" t="s">
        <v>547</v>
      </c>
      <c r="M989" s="26" t="n">
        <f aca="false">IF(AND(L989="Oui",K989="Principal"),I989*J989,0)</f>
        <v>10000</v>
      </c>
      <c r="N989" s="25" t="s">
        <v>548</v>
      </c>
      <c r="O989" s="25"/>
      <c r="P989" s="25" t="s">
        <v>559</v>
      </c>
      <c r="Q989" s="25" t="s">
        <v>557</v>
      </c>
      <c r="R989" s="26" t="n">
        <v>8000</v>
      </c>
      <c r="S989" s="26" t="n">
        <f aca="false">IF(AND(L989="Oui",K989="Principal",R989&lt;&gt;""),I989*R989,0)</f>
        <v>8000</v>
      </c>
      <c r="T989" s="26" t="n">
        <f aca="false">IF(R989&lt;&gt;"",M989-S989,0)</f>
        <v>2000</v>
      </c>
      <c r="U989" s="26" t="n">
        <f aca="false">IF(R989="",M989,0)</f>
        <v>0</v>
      </c>
    </row>
    <row r="990" customFormat="false" ht="15" hidden="false" customHeight="false" outlineLevel="0" collapsed="false">
      <c r="A990" s="25" t="s">
        <v>60</v>
      </c>
      <c r="B990" s="25" t="s">
        <v>64</v>
      </c>
      <c r="C990" s="25" t="s">
        <v>49</v>
      </c>
      <c r="D990" s="25" t="n">
        <v>32</v>
      </c>
      <c r="E990" s="25" t="s">
        <v>686</v>
      </c>
      <c r="F990" s="25" t="s">
        <v>404</v>
      </c>
      <c r="G990" s="25" t="n">
        <v>1563</v>
      </c>
      <c r="H990" s="25" t="s">
        <v>740</v>
      </c>
      <c r="I990" s="25" t="n">
        <v>1</v>
      </c>
      <c r="J990" s="26" t="n">
        <v>3960</v>
      </c>
      <c r="K990" s="25" t="s">
        <v>546</v>
      </c>
      <c r="L990" s="25" t="s">
        <v>547</v>
      </c>
      <c r="M990" s="26" t="n">
        <f aca="false">IF(AND(L990="Oui",K990="Principal"),I990*J990,0)</f>
        <v>3960</v>
      </c>
      <c r="N990" s="25" t="s">
        <v>548</v>
      </c>
      <c r="O990" s="25"/>
      <c r="P990" s="25" t="s">
        <v>550</v>
      </c>
      <c r="Q990" s="25" t="s">
        <v>557</v>
      </c>
      <c r="R990" s="26" t="n">
        <v>2960</v>
      </c>
      <c r="S990" s="26" t="n">
        <f aca="false">IF(AND(L990="Oui",K990="Principal",R990&lt;&gt;""),I990*R990,0)</f>
        <v>2960</v>
      </c>
      <c r="T990" s="26" t="n">
        <f aca="false">IF(R990&lt;&gt;"",M990-S990,0)</f>
        <v>1000</v>
      </c>
      <c r="U990" s="26" t="n">
        <f aca="false">IF(R990="",M990,0)</f>
        <v>0</v>
      </c>
    </row>
    <row r="991" customFormat="false" ht="15" hidden="false" customHeight="false" outlineLevel="0" collapsed="false">
      <c r="A991" s="25" t="s">
        <v>60</v>
      </c>
      <c r="B991" s="25" t="s">
        <v>64</v>
      </c>
      <c r="C991" s="25" t="s">
        <v>49</v>
      </c>
      <c r="D991" s="25" t="n">
        <v>33</v>
      </c>
      <c r="E991" s="25" t="s">
        <v>686</v>
      </c>
      <c r="F991" s="25" t="s">
        <v>406</v>
      </c>
      <c r="G991" s="25" t="n">
        <v>1446</v>
      </c>
      <c r="H991" s="25" t="s">
        <v>741</v>
      </c>
      <c r="I991" s="25" t="n">
        <v>1</v>
      </c>
      <c r="J991" s="26" t="n">
        <v>3960</v>
      </c>
      <c r="K991" s="25" t="s">
        <v>546</v>
      </c>
      <c r="L991" s="25" t="s">
        <v>547</v>
      </c>
      <c r="M991" s="26" t="n">
        <f aca="false">IF(AND(L991="Oui",K991="Principal"),I991*J991,0)</f>
        <v>3960</v>
      </c>
      <c r="N991" s="25" t="s">
        <v>548</v>
      </c>
      <c r="O991" s="25"/>
      <c r="P991" s="25" t="s">
        <v>550</v>
      </c>
      <c r="Q991" s="25" t="s">
        <v>557</v>
      </c>
      <c r="R991" s="26" t="n">
        <v>2960</v>
      </c>
      <c r="S991" s="26" t="n">
        <f aca="false">IF(AND(L991="Oui",K991="Principal",R991&lt;&gt;""),I991*R991,0)</f>
        <v>2960</v>
      </c>
      <c r="T991" s="26" t="n">
        <f aca="false">IF(R991&lt;&gt;"",M991-S991,0)</f>
        <v>1000</v>
      </c>
      <c r="U991" s="26" t="n">
        <f aca="false">IF(R991="",M991,0)</f>
        <v>0</v>
      </c>
    </row>
    <row r="992" customFormat="false" ht="15" hidden="false" customHeight="false" outlineLevel="0" collapsed="false">
      <c r="A992" s="25" t="s">
        <v>60</v>
      </c>
      <c r="B992" s="25" t="s">
        <v>64</v>
      </c>
      <c r="C992" s="25" t="s">
        <v>49</v>
      </c>
      <c r="D992" s="25" t="n">
        <v>34</v>
      </c>
      <c r="E992" s="25" t="s">
        <v>588</v>
      </c>
      <c r="F992" s="25" t="s">
        <v>408</v>
      </c>
      <c r="G992" s="25" t="n">
        <v>1538</v>
      </c>
      <c r="H992" s="25" t="s">
        <v>742</v>
      </c>
      <c r="I992" s="25" t="n">
        <v>1</v>
      </c>
      <c r="J992" s="26" t="n">
        <v>3130</v>
      </c>
      <c r="K992" s="25" t="s">
        <v>546</v>
      </c>
      <c r="L992" s="25" t="s">
        <v>547</v>
      </c>
      <c r="M992" s="26" t="n">
        <f aca="false">IF(AND(L992="Oui",K992="Principal"),I992*J992,0)</f>
        <v>3130</v>
      </c>
      <c r="N992" s="25" t="s">
        <v>548</v>
      </c>
      <c r="O992" s="25"/>
      <c r="P992" s="25" t="s">
        <v>550</v>
      </c>
      <c r="Q992" s="25" t="s">
        <v>557</v>
      </c>
      <c r="R992" s="26" t="n">
        <v>2130</v>
      </c>
      <c r="S992" s="26" t="n">
        <f aca="false">IF(AND(L992="Oui",K992="Principal",R992&lt;&gt;""),I992*R992,0)</f>
        <v>2130</v>
      </c>
      <c r="T992" s="26" t="n">
        <f aca="false">IF(R992&lt;&gt;"",M992-S992,0)</f>
        <v>1000</v>
      </c>
      <c r="U992" s="26" t="n">
        <f aca="false">IF(R992="",M992,0)</f>
        <v>0</v>
      </c>
    </row>
    <row r="993" customFormat="false" ht="15" hidden="false" customHeight="false" outlineLevel="0" collapsed="false">
      <c r="A993" s="25" t="s">
        <v>60</v>
      </c>
      <c r="B993" s="25" t="s">
        <v>64</v>
      </c>
      <c r="C993" s="25" t="s">
        <v>49</v>
      </c>
      <c r="D993" s="25" t="n">
        <v>35</v>
      </c>
      <c r="E993" s="25" t="s">
        <v>686</v>
      </c>
      <c r="F993" s="25" t="s">
        <v>410</v>
      </c>
      <c r="G993" s="25" t="n">
        <v>1355</v>
      </c>
      <c r="H993" s="25" t="s">
        <v>743</v>
      </c>
      <c r="I993" s="25" t="n">
        <v>1</v>
      </c>
      <c r="J993" s="26" t="n">
        <v>4000</v>
      </c>
      <c r="K993" s="25" t="s">
        <v>546</v>
      </c>
      <c r="L993" s="25" t="s">
        <v>547</v>
      </c>
      <c r="M993" s="26" t="n">
        <f aca="false">IF(AND(L993="Oui",K993="Principal"),I993*J993,0)</f>
        <v>4000</v>
      </c>
      <c r="N993" s="25" t="s">
        <v>548</v>
      </c>
      <c r="O993" s="25"/>
      <c r="P993" s="25" t="s">
        <v>550</v>
      </c>
      <c r="Q993" s="25" t="s">
        <v>557</v>
      </c>
      <c r="R993" s="26" t="n">
        <v>3000</v>
      </c>
      <c r="S993" s="26" t="n">
        <f aca="false">IF(AND(L993="Oui",K993="Principal",R993&lt;&gt;""),I993*R993,0)</f>
        <v>3000</v>
      </c>
      <c r="T993" s="26" t="n">
        <f aca="false">IF(R993&lt;&gt;"",M993-S993,0)</f>
        <v>1000</v>
      </c>
      <c r="U993" s="26" t="n">
        <f aca="false">IF(R993="",M993,0)</f>
        <v>0</v>
      </c>
    </row>
    <row r="994" customFormat="false" ht="15" hidden="false" customHeight="false" outlineLevel="0" collapsed="false">
      <c r="A994" s="27" t="s">
        <v>60</v>
      </c>
      <c r="B994" s="27" t="s">
        <v>64</v>
      </c>
      <c r="C994" s="27" t="s">
        <v>49</v>
      </c>
      <c r="D994" s="27" t="n">
        <v>36</v>
      </c>
      <c r="E994" s="27" t="s">
        <v>686</v>
      </c>
      <c r="F994" s="27" t="s">
        <v>412</v>
      </c>
      <c r="G994" s="27"/>
      <c r="H994" s="27" t="s">
        <v>585</v>
      </c>
      <c r="I994" s="27" t="n">
        <v>1</v>
      </c>
      <c r="J994" s="28" t="n">
        <v>0</v>
      </c>
      <c r="K994" s="27" t="s">
        <v>546</v>
      </c>
      <c r="L994" s="27" t="s">
        <v>579</v>
      </c>
      <c r="M994" s="28" t="n">
        <f aca="false">IF(AND(L994="Oui",K994="Principal"),I994*J994,0)</f>
        <v>0</v>
      </c>
      <c r="N994" s="27" t="s">
        <v>128</v>
      </c>
      <c r="O994" s="27" t="s">
        <v>744</v>
      </c>
      <c r="P994" s="27"/>
      <c r="Q994" s="27"/>
      <c r="R994" s="28"/>
      <c r="S994" s="28" t="n">
        <f aca="false">IF(AND(L994="Oui",K994="Principal",R994&lt;&gt;""),I994*R994,0)</f>
        <v>0</v>
      </c>
      <c r="T994" s="28" t="n">
        <f aca="false">IF(R994&lt;&gt;"",M994-S994,0)</f>
        <v>0</v>
      </c>
      <c r="U994" s="28" t="n">
        <f aca="false">IF(R994="",M994,0)</f>
        <v>0</v>
      </c>
    </row>
    <row r="995" customFormat="false" ht="15" hidden="false" customHeight="false" outlineLevel="0" collapsed="false">
      <c r="A995" s="25" t="s">
        <v>60</v>
      </c>
      <c r="B995" s="25" t="s">
        <v>64</v>
      </c>
      <c r="C995" s="25" t="s">
        <v>49</v>
      </c>
      <c r="D995" s="25" t="n">
        <v>37</v>
      </c>
      <c r="E995" s="25" t="s">
        <v>686</v>
      </c>
      <c r="F995" s="25" t="s">
        <v>413</v>
      </c>
      <c r="G995" s="25" t="n">
        <v>1332</v>
      </c>
      <c r="H995" s="25" t="s">
        <v>745</v>
      </c>
      <c r="I995" s="25" t="n">
        <v>1</v>
      </c>
      <c r="J995" s="26" t="n">
        <v>3550</v>
      </c>
      <c r="K995" s="25" t="s">
        <v>546</v>
      </c>
      <c r="L995" s="25" t="s">
        <v>547</v>
      </c>
      <c r="M995" s="26" t="n">
        <f aca="false">IF(AND(L995="Oui",K995="Principal"),I995*J995,0)</f>
        <v>3550</v>
      </c>
      <c r="N995" s="25" t="s">
        <v>548</v>
      </c>
      <c r="O995" s="25"/>
      <c r="P995" s="25" t="s">
        <v>550</v>
      </c>
      <c r="Q995" s="25" t="s">
        <v>557</v>
      </c>
      <c r="R995" s="26" t="n">
        <v>2550</v>
      </c>
      <c r="S995" s="26" t="n">
        <f aca="false">IF(AND(L995="Oui",K995="Principal",R995&lt;&gt;""),I995*R995,0)</f>
        <v>2550</v>
      </c>
      <c r="T995" s="26" t="n">
        <f aca="false">IF(R995&lt;&gt;"",M995-S995,0)</f>
        <v>1000</v>
      </c>
      <c r="U995" s="26" t="n">
        <f aca="false">IF(R995="",M995,0)</f>
        <v>0</v>
      </c>
    </row>
    <row r="996" customFormat="false" ht="15" hidden="false" customHeight="false" outlineLevel="0" collapsed="false">
      <c r="A996" s="25" t="s">
        <v>60</v>
      </c>
      <c r="B996" s="25" t="s">
        <v>64</v>
      </c>
      <c r="C996" s="25" t="s">
        <v>50</v>
      </c>
      <c r="D996" s="25" t="n">
        <v>1</v>
      </c>
      <c r="E996" s="25" t="s">
        <v>544</v>
      </c>
      <c r="F996" s="25" t="s">
        <v>295</v>
      </c>
      <c r="G996" s="25" t="n">
        <v>1618</v>
      </c>
      <c r="H996" s="25" t="s">
        <v>600</v>
      </c>
      <c r="I996" s="25" t="n">
        <v>2</v>
      </c>
      <c r="J996" s="26" t="n">
        <v>450</v>
      </c>
      <c r="K996" s="25" t="s">
        <v>546</v>
      </c>
      <c r="L996" s="25" t="s">
        <v>547</v>
      </c>
      <c r="M996" s="26" t="n">
        <f aca="false">IF(AND(L996="Oui",K996="Principal"),I996*J996,0)</f>
        <v>900</v>
      </c>
      <c r="N996" s="25" t="s">
        <v>548</v>
      </c>
      <c r="O996" s="25"/>
      <c r="P996" s="25" t="s">
        <v>556</v>
      </c>
      <c r="Q996" s="25" t="s">
        <v>557</v>
      </c>
      <c r="R996" s="26" t="n">
        <v>350</v>
      </c>
      <c r="S996" s="26" t="n">
        <f aca="false">IF(AND(L996="Oui",K996="Principal",R996&lt;&gt;""),I996*R996,0)</f>
        <v>700</v>
      </c>
      <c r="T996" s="26" t="n">
        <f aca="false">IF(R996&lt;&gt;"",M996-S996,0)</f>
        <v>200</v>
      </c>
      <c r="U996" s="26" t="n">
        <f aca="false">IF(R996="",M996,0)</f>
        <v>0</v>
      </c>
    </row>
    <row r="997" customFormat="false" ht="15" hidden="false" customHeight="false" outlineLevel="0" collapsed="false">
      <c r="A997" s="25" t="s">
        <v>60</v>
      </c>
      <c r="B997" s="25" t="s">
        <v>64</v>
      </c>
      <c r="C997" s="25" t="s">
        <v>50</v>
      </c>
      <c r="D997" s="25" t="n">
        <v>2</v>
      </c>
      <c r="E997" s="25" t="s">
        <v>544</v>
      </c>
      <c r="F997" s="25" t="s">
        <v>296</v>
      </c>
      <c r="G997" s="25" t="n">
        <v>1</v>
      </c>
      <c r="H997" s="25" t="s">
        <v>681</v>
      </c>
      <c r="I997" s="25" t="n">
        <v>1</v>
      </c>
      <c r="J997" s="26" t="n">
        <v>500</v>
      </c>
      <c r="K997" s="25" t="s">
        <v>546</v>
      </c>
      <c r="L997" s="25" t="s">
        <v>547</v>
      </c>
      <c r="M997" s="26" t="n">
        <f aca="false">IF(AND(L997="Oui",K997="Principal"),I997*J997,0)</f>
        <v>500</v>
      </c>
      <c r="N997" s="25" t="s">
        <v>548</v>
      </c>
      <c r="O997" s="25"/>
      <c r="P997" s="25" t="s">
        <v>559</v>
      </c>
      <c r="Q997" s="25" t="s">
        <v>551</v>
      </c>
      <c r="R997" s="26"/>
      <c r="S997" s="26" t="n">
        <f aca="false">IF(AND(L997="Oui",K997="Principal",R997&lt;&gt;""),I997*R997,0)</f>
        <v>0</v>
      </c>
      <c r="T997" s="26" t="n">
        <f aca="false">IF(R997&lt;&gt;"",M997-S997,0)</f>
        <v>0</v>
      </c>
      <c r="U997" s="26" t="n">
        <f aca="false">IF(R997="",M997,0)</f>
        <v>500</v>
      </c>
    </row>
    <row r="998" customFormat="false" ht="15" hidden="false" customHeight="false" outlineLevel="0" collapsed="false">
      <c r="A998" s="25" t="s">
        <v>60</v>
      </c>
      <c r="B998" s="25" t="s">
        <v>64</v>
      </c>
      <c r="C998" s="25" t="s">
        <v>50</v>
      </c>
      <c r="D998" s="25" t="n">
        <v>3</v>
      </c>
      <c r="E998" s="25" t="s">
        <v>544</v>
      </c>
      <c r="F998" s="25" t="s">
        <v>298</v>
      </c>
      <c r="G998" s="25" t="n">
        <v>1616</v>
      </c>
      <c r="H998" s="25" t="s">
        <v>695</v>
      </c>
      <c r="I998" s="25" t="n">
        <v>5</v>
      </c>
      <c r="J998" s="26" t="n">
        <v>900</v>
      </c>
      <c r="K998" s="25" t="s">
        <v>546</v>
      </c>
      <c r="L998" s="25" t="s">
        <v>547</v>
      </c>
      <c r="M998" s="26" t="n">
        <f aca="false">IF(AND(L998="Oui",K998="Principal"),I998*J998,0)</f>
        <v>4500</v>
      </c>
      <c r="N998" s="25" t="s">
        <v>548</v>
      </c>
      <c r="O998" s="25"/>
      <c r="P998" s="25" t="s">
        <v>556</v>
      </c>
      <c r="Q998" s="25" t="s">
        <v>557</v>
      </c>
      <c r="R998" s="26" t="n">
        <v>800</v>
      </c>
      <c r="S998" s="26" t="n">
        <f aca="false">IF(AND(L998="Oui",K998="Principal",R998&lt;&gt;""),I998*R998,0)</f>
        <v>4000</v>
      </c>
      <c r="T998" s="26" t="n">
        <f aca="false">IF(R998&lt;&gt;"",M998-S998,0)</f>
        <v>500</v>
      </c>
      <c r="U998" s="26" t="n">
        <f aca="false">IF(R998="",M998,0)</f>
        <v>0</v>
      </c>
    </row>
    <row r="999" customFormat="false" ht="15" hidden="false" customHeight="false" outlineLevel="0" collapsed="false">
      <c r="A999" s="25" t="s">
        <v>60</v>
      </c>
      <c r="B999" s="25" t="s">
        <v>64</v>
      </c>
      <c r="C999" s="25" t="s">
        <v>50</v>
      </c>
      <c r="D999" s="25" t="n">
        <v>4</v>
      </c>
      <c r="E999" s="25" t="s">
        <v>544</v>
      </c>
      <c r="F999" s="25" t="s">
        <v>338</v>
      </c>
      <c r="G999" s="25" t="n">
        <v>1715</v>
      </c>
      <c r="H999" s="25" t="s">
        <v>713</v>
      </c>
      <c r="I999" s="25" t="n">
        <v>3</v>
      </c>
      <c r="J999" s="26" t="n">
        <v>1600</v>
      </c>
      <c r="K999" s="25" t="s">
        <v>546</v>
      </c>
      <c r="L999" s="25" t="s">
        <v>547</v>
      </c>
      <c r="M999" s="26" t="n">
        <f aca="false">IF(AND(L999="Oui",K999="Principal"),I999*J999,0)</f>
        <v>4800</v>
      </c>
      <c r="N999" s="25" t="s">
        <v>548</v>
      </c>
      <c r="O999" s="25"/>
      <c r="P999" s="25" t="s">
        <v>550</v>
      </c>
      <c r="Q999" s="25" t="s">
        <v>557</v>
      </c>
      <c r="R999" s="26" t="n">
        <v>1300</v>
      </c>
      <c r="S999" s="26" t="n">
        <f aca="false">IF(AND(L999="Oui",K999="Principal",R999&lt;&gt;""),I999*R999,0)</f>
        <v>3900</v>
      </c>
      <c r="T999" s="26" t="n">
        <f aca="false">IF(R999&lt;&gt;"",M999-S999,0)</f>
        <v>900</v>
      </c>
      <c r="U999" s="26" t="n">
        <f aca="false">IF(R999="",M999,0)</f>
        <v>0</v>
      </c>
    </row>
    <row r="1000" customFormat="false" ht="15" hidden="false" customHeight="false" outlineLevel="0" collapsed="false">
      <c r="A1000" s="25" t="s">
        <v>60</v>
      </c>
      <c r="B1000" s="25" t="s">
        <v>64</v>
      </c>
      <c r="C1000" s="25" t="s">
        <v>50</v>
      </c>
      <c r="D1000" s="25" t="n">
        <v>5</v>
      </c>
      <c r="E1000" s="25" t="s">
        <v>544</v>
      </c>
      <c r="F1000" s="25" t="s">
        <v>301</v>
      </c>
      <c r="G1000" s="25" t="n">
        <v>1728</v>
      </c>
      <c r="H1000" s="25" t="s">
        <v>545</v>
      </c>
      <c r="I1000" s="25" t="n">
        <v>1</v>
      </c>
      <c r="J1000" s="26" t="n">
        <v>900</v>
      </c>
      <c r="K1000" s="25" t="s">
        <v>546</v>
      </c>
      <c r="L1000" s="25" t="s">
        <v>547</v>
      </c>
      <c r="M1000" s="26" t="n">
        <f aca="false">IF(AND(L1000="Oui",K1000="Principal"),I1000*J1000,0)</f>
        <v>900</v>
      </c>
      <c r="N1000" s="25" t="s">
        <v>548</v>
      </c>
      <c r="O1000" s="25"/>
      <c r="P1000" s="25" t="s">
        <v>550</v>
      </c>
      <c r="Q1000" s="25" t="s">
        <v>551</v>
      </c>
      <c r="R1000" s="26"/>
      <c r="S1000" s="26" t="n">
        <f aca="false">IF(AND(L1000="Oui",K1000="Principal",R1000&lt;&gt;""),I1000*R1000,0)</f>
        <v>0</v>
      </c>
      <c r="T1000" s="26" t="n">
        <f aca="false">IF(R1000&lt;&gt;"",M1000-S1000,0)</f>
        <v>0</v>
      </c>
      <c r="U1000" s="26" t="n">
        <f aca="false">IF(R1000="",M1000,0)</f>
        <v>900</v>
      </c>
    </row>
    <row r="1001" customFormat="false" ht="15" hidden="false" customHeight="false" outlineLevel="0" collapsed="false">
      <c r="A1001" s="33" t="s">
        <v>60</v>
      </c>
      <c r="B1001" s="33" t="s">
        <v>64</v>
      </c>
      <c r="C1001" s="33" t="s">
        <v>50</v>
      </c>
      <c r="D1001" s="33" t="n">
        <v>6</v>
      </c>
      <c r="E1001" s="33" t="s">
        <v>544</v>
      </c>
      <c r="F1001" s="33" t="s">
        <v>302</v>
      </c>
      <c r="G1001" s="33" t="n">
        <v>1271</v>
      </c>
      <c r="H1001" s="33" t="s">
        <v>683</v>
      </c>
      <c r="I1001" s="33" t="n">
        <v>1</v>
      </c>
      <c r="J1001" s="34" t="n">
        <v>1150</v>
      </c>
      <c r="K1001" s="33" t="s">
        <v>546</v>
      </c>
      <c r="L1001" s="33" t="s">
        <v>547</v>
      </c>
      <c r="M1001" s="34" t="n">
        <f aca="false">IF(AND(L1001="Oui",K1001="Principal"),I1001*J1001,0)</f>
        <v>1150</v>
      </c>
      <c r="N1001" s="33" t="s">
        <v>182</v>
      </c>
      <c r="O1001" s="33" t="s">
        <v>684</v>
      </c>
      <c r="P1001" s="33" t="s">
        <v>550</v>
      </c>
      <c r="Q1001" s="33" t="s">
        <v>557</v>
      </c>
      <c r="R1001" s="34" t="n">
        <v>850</v>
      </c>
      <c r="S1001" s="34" t="n">
        <f aca="false">IF(AND(L1001="Oui",K1001="Principal",R1001&lt;&gt;""),I1001*R1001,0)</f>
        <v>850</v>
      </c>
      <c r="T1001" s="34" t="n">
        <f aca="false">IF(R1001&lt;&gt;"",M1001-S1001,0)</f>
        <v>300</v>
      </c>
      <c r="U1001" s="34" t="n">
        <f aca="false">IF(R1001="",M1001,0)</f>
        <v>0</v>
      </c>
    </row>
    <row r="1002" customFormat="false" ht="15" hidden="false" customHeight="false" outlineLevel="0" collapsed="false">
      <c r="A1002" s="25" t="s">
        <v>60</v>
      </c>
      <c r="B1002" s="25" t="s">
        <v>64</v>
      </c>
      <c r="C1002" s="25" t="s">
        <v>50</v>
      </c>
      <c r="D1002" s="25" t="n">
        <v>7</v>
      </c>
      <c r="E1002" s="25" t="s">
        <v>563</v>
      </c>
      <c r="F1002" s="25" t="s">
        <v>255</v>
      </c>
      <c r="G1002" s="25" t="n">
        <v>1636</v>
      </c>
      <c r="H1002" s="25" t="s">
        <v>661</v>
      </c>
      <c r="I1002" s="25" t="n">
        <v>1</v>
      </c>
      <c r="J1002" s="26" t="n">
        <v>400</v>
      </c>
      <c r="K1002" s="25" t="s">
        <v>546</v>
      </c>
      <c r="L1002" s="25" t="s">
        <v>547</v>
      </c>
      <c r="M1002" s="26" t="n">
        <f aca="false">IF(AND(L1002="Oui",K1002="Principal"),I1002*J1002,0)</f>
        <v>400</v>
      </c>
      <c r="N1002" s="25" t="s">
        <v>548</v>
      </c>
      <c r="O1002" s="25"/>
      <c r="P1002" s="25" t="s">
        <v>556</v>
      </c>
      <c r="Q1002" s="25" t="s">
        <v>557</v>
      </c>
      <c r="R1002" s="26" t="n">
        <v>320</v>
      </c>
      <c r="S1002" s="26" t="n">
        <f aca="false">IF(AND(L1002="Oui",K1002="Principal",R1002&lt;&gt;""),I1002*R1002,0)</f>
        <v>320</v>
      </c>
      <c r="T1002" s="26" t="n">
        <f aca="false">IF(R1002&lt;&gt;"",M1002-S1002,0)</f>
        <v>80</v>
      </c>
      <c r="U1002" s="26" t="n">
        <f aca="false">IF(R1002="",M1002,0)</f>
        <v>0</v>
      </c>
    </row>
    <row r="1003" customFormat="false" ht="15" hidden="false" customHeight="false" outlineLevel="0" collapsed="false">
      <c r="A1003" s="25" t="s">
        <v>60</v>
      </c>
      <c r="B1003" s="25" t="s">
        <v>64</v>
      </c>
      <c r="C1003" s="25" t="s">
        <v>50</v>
      </c>
      <c r="D1003" s="25" t="n">
        <v>8</v>
      </c>
      <c r="E1003" s="25" t="s">
        <v>563</v>
      </c>
      <c r="F1003" s="25" t="s">
        <v>257</v>
      </c>
      <c r="G1003" s="25" t="n">
        <v>1635</v>
      </c>
      <c r="H1003" s="25" t="s">
        <v>607</v>
      </c>
      <c r="I1003" s="25" t="n">
        <v>1</v>
      </c>
      <c r="J1003" s="26" t="n">
        <v>100</v>
      </c>
      <c r="K1003" s="25" t="s">
        <v>546</v>
      </c>
      <c r="L1003" s="25" t="s">
        <v>547</v>
      </c>
      <c r="M1003" s="26" t="n">
        <f aca="false">IF(AND(L1003="Oui",K1003="Principal"),I1003*J1003,0)</f>
        <v>100</v>
      </c>
      <c r="N1003" s="25" t="s">
        <v>548</v>
      </c>
      <c r="O1003" s="25"/>
      <c r="P1003" s="25" t="s">
        <v>556</v>
      </c>
      <c r="Q1003" s="25" t="s">
        <v>557</v>
      </c>
      <c r="R1003" s="26" t="n">
        <v>80</v>
      </c>
      <c r="S1003" s="26" t="n">
        <f aca="false">IF(AND(L1003="Oui",K1003="Principal",R1003&lt;&gt;""),I1003*R1003,0)</f>
        <v>80</v>
      </c>
      <c r="T1003" s="26" t="n">
        <f aca="false">IF(R1003&lt;&gt;"",M1003-S1003,0)</f>
        <v>20</v>
      </c>
      <c r="U1003" s="26" t="n">
        <f aca="false">IF(R1003="",M1003,0)</f>
        <v>0</v>
      </c>
    </row>
    <row r="1004" customFormat="false" ht="15" hidden="false" customHeight="false" outlineLevel="0" collapsed="false">
      <c r="A1004" s="25" t="s">
        <v>60</v>
      </c>
      <c r="B1004" s="25" t="s">
        <v>64</v>
      </c>
      <c r="C1004" s="25" t="s">
        <v>50</v>
      </c>
      <c r="D1004" s="25" t="n">
        <v>9</v>
      </c>
      <c r="E1004" s="25" t="s">
        <v>563</v>
      </c>
      <c r="F1004" s="25" t="s">
        <v>188</v>
      </c>
      <c r="G1004" s="25" t="n">
        <v>8</v>
      </c>
      <c r="H1004" s="25" t="s">
        <v>188</v>
      </c>
      <c r="I1004" s="25" t="n">
        <v>1</v>
      </c>
      <c r="J1004" s="26" t="n">
        <v>500</v>
      </c>
      <c r="K1004" s="25" t="s">
        <v>546</v>
      </c>
      <c r="L1004" s="25" t="s">
        <v>547</v>
      </c>
      <c r="M1004" s="26" t="n">
        <f aca="false">IF(AND(L1004="Oui",K1004="Principal"),I1004*J1004,0)</f>
        <v>500</v>
      </c>
      <c r="N1004" s="25" t="s">
        <v>548</v>
      </c>
      <c r="O1004" s="25"/>
      <c r="P1004" s="25" t="s">
        <v>559</v>
      </c>
      <c r="Q1004" s="25" t="s">
        <v>551</v>
      </c>
      <c r="R1004" s="26"/>
      <c r="S1004" s="26" t="n">
        <f aca="false">IF(AND(L1004="Oui",K1004="Principal",R1004&lt;&gt;""),I1004*R1004,0)</f>
        <v>0</v>
      </c>
      <c r="T1004" s="26" t="n">
        <f aca="false">IF(R1004&lt;&gt;"",M1004-S1004,0)</f>
        <v>0</v>
      </c>
      <c r="U1004" s="26" t="n">
        <f aca="false">IF(R1004="",M1004,0)</f>
        <v>500</v>
      </c>
    </row>
    <row r="1005" customFormat="false" ht="15" hidden="false" customHeight="false" outlineLevel="0" collapsed="false">
      <c r="A1005" s="25" t="s">
        <v>60</v>
      </c>
      <c r="B1005" s="25" t="s">
        <v>64</v>
      </c>
      <c r="C1005" s="25" t="s">
        <v>50</v>
      </c>
      <c r="D1005" s="25" t="n">
        <v>10</v>
      </c>
      <c r="E1005" s="25" t="s">
        <v>563</v>
      </c>
      <c r="F1005" s="25" t="s">
        <v>323</v>
      </c>
      <c r="G1005" s="25" t="n">
        <v>1607</v>
      </c>
      <c r="H1005" s="25" t="s">
        <v>696</v>
      </c>
      <c r="I1005" s="25" t="n">
        <v>1</v>
      </c>
      <c r="J1005" s="26" t="n">
        <v>2500</v>
      </c>
      <c r="K1005" s="25" t="s">
        <v>546</v>
      </c>
      <c r="L1005" s="25" t="s">
        <v>547</v>
      </c>
      <c r="M1005" s="26" t="n">
        <f aca="false">IF(AND(L1005="Oui",K1005="Principal"),I1005*J1005,0)</f>
        <v>2500</v>
      </c>
      <c r="N1005" s="25" t="s">
        <v>548</v>
      </c>
      <c r="O1005" s="25"/>
      <c r="P1005" s="25" t="s">
        <v>556</v>
      </c>
      <c r="Q1005" s="25" t="s">
        <v>557</v>
      </c>
      <c r="R1005" s="26" t="n">
        <v>2000</v>
      </c>
      <c r="S1005" s="26" t="n">
        <f aca="false">IF(AND(L1005="Oui",K1005="Principal",R1005&lt;&gt;""),I1005*R1005,0)</f>
        <v>2000</v>
      </c>
      <c r="T1005" s="26" t="n">
        <f aca="false">IF(R1005&lt;&gt;"",M1005-S1005,0)</f>
        <v>500</v>
      </c>
      <c r="U1005" s="26" t="n">
        <f aca="false">IF(R1005="",M1005,0)</f>
        <v>0</v>
      </c>
    </row>
    <row r="1006" customFormat="false" ht="15" hidden="false" customHeight="false" outlineLevel="0" collapsed="false">
      <c r="A1006" s="25" t="s">
        <v>60</v>
      </c>
      <c r="B1006" s="25" t="s">
        <v>64</v>
      </c>
      <c r="C1006" s="25" t="s">
        <v>50</v>
      </c>
      <c r="D1006" s="25" t="n">
        <v>11</v>
      </c>
      <c r="E1006" s="25" t="s">
        <v>563</v>
      </c>
      <c r="F1006" s="25" t="s">
        <v>325</v>
      </c>
      <c r="G1006" s="25" t="n">
        <v>1639</v>
      </c>
      <c r="H1006" s="25" t="s">
        <v>702</v>
      </c>
      <c r="I1006" s="25" t="n">
        <v>1</v>
      </c>
      <c r="J1006" s="26" t="n">
        <v>1000</v>
      </c>
      <c r="K1006" s="25" t="s">
        <v>546</v>
      </c>
      <c r="L1006" s="25" t="s">
        <v>547</v>
      </c>
      <c r="M1006" s="26" t="n">
        <f aca="false">IF(AND(L1006="Oui",K1006="Principal"),I1006*J1006,0)</f>
        <v>1000</v>
      </c>
      <c r="N1006" s="25" t="s">
        <v>548</v>
      </c>
      <c r="O1006" s="25"/>
      <c r="P1006" s="25" t="s">
        <v>556</v>
      </c>
      <c r="Q1006" s="25" t="s">
        <v>557</v>
      </c>
      <c r="R1006" s="26" t="n">
        <v>700</v>
      </c>
      <c r="S1006" s="26" t="n">
        <f aca="false">IF(AND(L1006="Oui",K1006="Principal",R1006&lt;&gt;""),I1006*R1006,0)</f>
        <v>700</v>
      </c>
      <c r="T1006" s="26" t="n">
        <f aca="false">IF(R1006&lt;&gt;"",M1006-S1006,0)</f>
        <v>300</v>
      </c>
      <c r="U1006" s="26" t="n">
        <f aca="false">IF(R1006="",M1006,0)</f>
        <v>0</v>
      </c>
    </row>
    <row r="1007" customFormat="false" ht="15" hidden="false" customHeight="false" outlineLevel="0" collapsed="false">
      <c r="A1007" s="25" t="s">
        <v>60</v>
      </c>
      <c r="B1007" s="25" t="s">
        <v>64</v>
      </c>
      <c r="C1007" s="25" t="s">
        <v>50</v>
      </c>
      <c r="D1007" s="25" t="n">
        <v>12</v>
      </c>
      <c r="E1007" s="25" t="s">
        <v>565</v>
      </c>
      <c r="F1007" s="25" t="s">
        <v>99</v>
      </c>
      <c r="G1007" s="25" t="n">
        <v>1181</v>
      </c>
      <c r="H1007" s="25" t="s">
        <v>581</v>
      </c>
      <c r="I1007" s="25" t="n">
        <v>1</v>
      </c>
      <c r="J1007" s="26" t="n">
        <v>250</v>
      </c>
      <c r="K1007" s="25" t="s">
        <v>546</v>
      </c>
      <c r="L1007" s="25" t="s">
        <v>547</v>
      </c>
      <c r="M1007" s="26" t="n">
        <f aca="false">IF(AND(L1007="Oui",K1007="Principal"),I1007*J1007,0)</f>
        <v>250</v>
      </c>
      <c r="N1007" s="25" t="s">
        <v>548</v>
      </c>
      <c r="O1007" s="25"/>
      <c r="P1007" s="25" t="s">
        <v>550</v>
      </c>
      <c r="Q1007" s="25" t="s">
        <v>557</v>
      </c>
      <c r="R1007" s="26" t="n">
        <v>110</v>
      </c>
      <c r="S1007" s="26" t="n">
        <f aca="false">IF(AND(L1007="Oui",K1007="Principal",R1007&lt;&gt;""),I1007*R1007,0)</f>
        <v>110</v>
      </c>
      <c r="T1007" s="26" t="n">
        <f aca="false">IF(R1007&lt;&gt;"",M1007-S1007,0)</f>
        <v>140</v>
      </c>
      <c r="U1007" s="26" t="n">
        <f aca="false">IF(R1007="",M1007,0)</f>
        <v>0</v>
      </c>
    </row>
    <row r="1008" customFormat="false" ht="15" hidden="false" customHeight="false" outlineLevel="0" collapsed="false">
      <c r="A1008" s="25" t="s">
        <v>60</v>
      </c>
      <c r="B1008" s="25" t="s">
        <v>64</v>
      </c>
      <c r="C1008" s="25" t="s">
        <v>50</v>
      </c>
      <c r="D1008" s="25" t="n">
        <v>13</v>
      </c>
      <c r="E1008" s="25" t="s">
        <v>565</v>
      </c>
      <c r="F1008" s="25" t="s">
        <v>164</v>
      </c>
      <c r="G1008" s="25" t="n">
        <v>1587</v>
      </c>
      <c r="H1008" s="25" t="s">
        <v>567</v>
      </c>
      <c r="I1008" s="25" t="n">
        <v>1</v>
      </c>
      <c r="J1008" s="26" t="n">
        <v>500</v>
      </c>
      <c r="K1008" s="25" t="s">
        <v>546</v>
      </c>
      <c r="L1008" s="25" t="s">
        <v>547</v>
      </c>
      <c r="M1008" s="26" t="n">
        <f aca="false">IF(AND(L1008="Oui",K1008="Principal"),I1008*J1008,0)</f>
        <v>500</v>
      </c>
      <c r="N1008" s="25" t="s">
        <v>548</v>
      </c>
      <c r="O1008" s="25"/>
      <c r="P1008" s="25" t="s">
        <v>556</v>
      </c>
      <c r="Q1008" s="25" t="s">
        <v>557</v>
      </c>
      <c r="R1008" s="26" t="n">
        <v>350</v>
      </c>
      <c r="S1008" s="26" t="n">
        <f aca="false">IF(AND(L1008="Oui",K1008="Principal",R1008&lt;&gt;""),I1008*R1008,0)</f>
        <v>350</v>
      </c>
      <c r="T1008" s="26" t="n">
        <f aca="false">IF(R1008&lt;&gt;"",M1008-S1008,0)</f>
        <v>150</v>
      </c>
      <c r="U1008" s="26" t="n">
        <f aca="false">IF(R1008="",M1008,0)</f>
        <v>0</v>
      </c>
    </row>
    <row r="1009" customFormat="false" ht="15" hidden="false" customHeight="false" outlineLevel="0" collapsed="false">
      <c r="A1009" s="25" t="s">
        <v>60</v>
      </c>
      <c r="B1009" s="25" t="s">
        <v>64</v>
      </c>
      <c r="C1009" s="25" t="s">
        <v>50</v>
      </c>
      <c r="D1009" s="25" t="n">
        <v>14</v>
      </c>
      <c r="E1009" s="25" t="s">
        <v>565</v>
      </c>
      <c r="F1009" s="25" t="s">
        <v>166</v>
      </c>
      <c r="G1009" s="25" t="n">
        <v>1604</v>
      </c>
      <c r="H1009" s="25" t="s">
        <v>582</v>
      </c>
      <c r="I1009" s="25" t="n">
        <v>2</v>
      </c>
      <c r="J1009" s="26" t="n">
        <v>700</v>
      </c>
      <c r="K1009" s="25" t="s">
        <v>546</v>
      </c>
      <c r="L1009" s="25" t="s">
        <v>547</v>
      </c>
      <c r="M1009" s="26" t="n">
        <f aca="false">IF(AND(L1009="Oui",K1009="Principal"),I1009*J1009,0)</f>
        <v>1400</v>
      </c>
      <c r="N1009" s="25" t="s">
        <v>548</v>
      </c>
      <c r="O1009" s="25"/>
      <c r="P1009" s="25" t="s">
        <v>556</v>
      </c>
      <c r="Q1009" s="25" t="s">
        <v>557</v>
      </c>
      <c r="R1009" s="26" t="n">
        <v>400</v>
      </c>
      <c r="S1009" s="26" t="n">
        <f aca="false">IF(AND(L1009="Oui",K1009="Principal",R1009&lt;&gt;""),I1009*R1009,0)</f>
        <v>800</v>
      </c>
      <c r="T1009" s="26" t="n">
        <f aca="false">IF(R1009&lt;&gt;"",M1009-S1009,0)</f>
        <v>600</v>
      </c>
      <c r="U1009" s="26" t="n">
        <f aca="false">IF(R1009="",M1009,0)</f>
        <v>0</v>
      </c>
    </row>
    <row r="1010" customFormat="false" ht="15" hidden="false" customHeight="false" outlineLevel="0" collapsed="false">
      <c r="A1010" s="25" t="s">
        <v>60</v>
      </c>
      <c r="B1010" s="25" t="s">
        <v>64</v>
      </c>
      <c r="C1010" s="25" t="s">
        <v>50</v>
      </c>
      <c r="D1010" s="25" t="n">
        <v>15</v>
      </c>
      <c r="E1010" s="25" t="s">
        <v>565</v>
      </c>
      <c r="F1010" s="25" t="s">
        <v>304</v>
      </c>
      <c r="G1010" s="25" t="n">
        <v>1586</v>
      </c>
      <c r="H1010" s="25" t="s">
        <v>583</v>
      </c>
      <c r="I1010" s="25" t="n">
        <v>1</v>
      </c>
      <c r="J1010" s="26" t="n">
        <v>900</v>
      </c>
      <c r="K1010" s="25" t="s">
        <v>546</v>
      </c>
      <c r="L1010" s="25" t="s">
        <v>547</v>
      </c>
      <c r="M1010" s="26" t="n">
        <f aca="false">IF(AND(L1010="Oui",K1010="Principal"),I1010*J1010,0)</f>
        <v>900</v>
      </c>
      <c r="N1010" s="25" t="s">
        <v>548</v>
      </c>
      <c r="O1010" s="25"/>
      <c r="P1010" s="25" t="s">
        <v>556</v>
      </c>
      <c r="Q1010" s="25" t="s">
        <v>557</v>
      </c>
      <c r="R1010" s="26" t="n">
        <v>650</v>
      </c>
      <c r="S1010" s="26" t="n">
        <f aca="false">IF(AND(L1010="Oui",K1010="Principal",R1010&lt;&gt;""),I1010*R1010,0)</f>
        <v>650</v>
      </c>
      <c r="T1010" s="26" t="n">
        <f aca="false">IF(R1010&lt;&gt;"",M1010-S1010,0)</f>
        <v>250</v>
      </c>
      <c r="U1010" s="26" t="n">
        <f aca="false">IF(R1010="",M1010,0)</f>
        <v>0</v>
      </c>
    </row>
    <row r="1011" customFormat="false" ht="15" hidden="false" customHeight="false" outlineLevel="0" collapsed="false">
      <c r="A1011" s="33" t="s">
        <v>60</v>
      </c>
      <c r="B1011" s="33" t="s">
        <v>64</v>
      </c>
      <c r="C1011" s="33" t="s">
        <v>50</v>
      </c>
      <c r="D1011" s="33" t="n">
        <v>16</v>
      </c>
      <c r="E1011" s="33" t="s">
        <v>609</v>
      </c>
      <c r="F1011" s="33" t="s">
        <v>199</v>
      </c>
      <c r="G1011" s="33" t="n">
        <v>1229</v>
      </c>
      <c r="H1011" s="33" t="s">
        <v>643</v>
      </c>
      <c r="I1011" s="33" t="n">
        <v>1</v>
      </c>
      <c r="J1011" s="34" t="n">
        <v>1800</v>
      </c>
      <c r="K1011" s="33" t="s">
        <v>546</v>
      </c>
      <c r="L1011" s="33" t="s">
        <v>547</v>
      </c>
      <c r="M1011" s="34" t="n">
        <f aca="false">IF(AND(L1011="Oui",K1011="Principal"),I1011*J1011,0)</f>
        <v>1800</v>
      </c>
      <c r="N1011" s="33" t="s">
        <v>182</v>
      </c>
      <c r="O1011" s="33" t="s">
        <v>644</v>
      </c>
      <c r="P1011" s="33" t="s">
        <v>550</v>
      </c>
      <c r="Q1011" s="33" t="s">
        <v>557</v>
      </c>
      <c r="R1011" s="34" t="n">
        <v>1500</v>
      </c>
      <c r="S1011" s="34" t="n">
        <f aca="false">IF(AND(L1011="Oui",K1011="Principal",R1011&lt;&gt;""),I1011*R1011,0)</f>
        <v>1500</v>
      </c>
      <c r="T1011" s="34" t="n">
        <f aca="false">IF(R1011&lt;&gt;"",M1011-S1011,0)</f>
        <v>300</v>
      </c>
      <c r="U1011" s="34" t="n">
        <f aca="false">IF(R1011="",M1011,0)</f>
        <v>0</v>
      </c>
    </row>
    <row r="1012" customFormat="false" ht="15" hidden="false" customHeight="false" outlineLevel="0" collapsed="false">
      <c r="A1012" s="25" t="s">
        <v>60</v>
      </c>
      <c r="B1012" s="25" t="s">
        <v>64</v>
      </c>
      <c r="C1012" s="25" t="s">
        <v>50</v>
      </c>
      <c r="D1012" s="25" t="n">
        <v>17</v>
      </c>
      <c r="E1012" s="25" t="s">
        <v>609</v>
      </c>
      <c r="F1012" s="25" t="s">
        <v>305</v>
      </c>
      <c r="G1012" s="25" t="n">
        <v>1727</v>
      </c>
      <c r="H1012" s="25" t="s">
        <v>698</v>
      </c>
      <c r="I1012" s="25" t="n">
        <v>1</v>
      </c>
      <c r="J1012" s="26" t="n">
        <v>4750</v>
      </c>
      <c r="K1012" s="25" t="s">
        <v>546</v>
      </c>
      <c r="L1012" s="25" t="s">
        <v>547</v>
      </c>
      <c r="M1012" s="26" t="n">
        <f aca="false">IF(AND(L1012="Oui",K1012="Principal"),I1012*J1012,0)</f>
        <v>4750</v>
      </c>
      <c r="N1012" s="25" t="s">
        <v>548</v>
      </c>
      <c r="O1012" s="25"/>
      <c r="P1012" s="25" t="s">
        <v>559</v>
      </c>
      <c r="Q1012" s="25" t="s">
        <v>557</v>
      </c>
      <c r="R1012" s="26" t="n">
        <v>3700</v>
      </c>
      <c r="S1012" s="26" t="n">
        <f aca="false">IF(AND(L1012="Oui",K1012="Principal",R1012&lt;&gt;""),I1012*R1012,0)</f>
        <v>3700</v>
      </c>
      <c r="T1012" s="26" t="n">
        <f aca="false">IF(R1012&lt;&gt;"",M1012-S1012,0)</f>
        <v>1050</v>
      </c>
      <c r="U1012" s="26" t="n">
        <f aca="false">IF(R1012="",M1012,0)</f>
        <v>0</v>
      </c>
    </row>
    <row r="1013" customFormat="false" ht="15" hidden="false" customHeight="false" outlineLevel="0" collapsed="false">
      <c r="A1013" s="25" t="s">
        <v>60</v>
      </c>
      <c r="B1013" s="25" t="s">
        <v>64</v>
      </c>
      <c r="C1013" s="25" t="s">
        <v>50</v>
      </c>
      <c r="D1013" s="25" t="n">
        <v>18</v>
      </c>
      <c r="E1013" s="25" t="s">
        <v>554</v>
      </c>
      <c r="F1013" s="25" t="s">
        <v>104</v>
      </c>
      <c r="G1013" s="25" t="n">
        <v>1594</v>
      </c>
      <c r="H1013" s="25" t="s">
        <v>593</v>
      </c>
      <c r="I1013" s="25" t="n">
        <v>1</v>
      </c>
      <c r="J1013" s="26" t="n">
        <v>1600</v>
      </c>
      <c r="K1013" s="25" t="s">
        <v>546</v>
      </c>
      <c r="L1013" s="25" t="s">
        <v>547</v>
      </c>
      <c r="M1013" s="26" t="n">
        <f aca="false">IF(AND(L1013="Oui",K1013="Principal"),I1013*J1013,0)</f>
        <v>1600</v>
      </c>
      <c r="N1013" s="25" t="s">
        <v>548</v>
      </c>
      <c r="O1013" s="25"/>
      <c r="P1013" s="25" t="s">
        <v>556</v>
      </c>
      <c r="Q1013" s="25" t="s">
        <v>557</v>
      </c>
      <c r="R1013" s="26" t="n">
        <v>1300</v>
      </c>
      <c r="S1013" s="26" t="n">
        <f aca="false">IF(AND(L1013="Oui",K1013="Principal",R1013&lt;&gt;""),I1013*R1013,0)</f>
        <v>1300</v>
      </c>
      <c r="T1013" s="26" t="n">
        <f aca="false">IF(R1013&lt;&gt;"",M1013-S1013,0)</f>
        <v>300</v>
      </c>
      <c r="U1013" s="26" t="n">
        <f aca="false">IF(R1013="",M1013,0)</f>
        <v>0</v>
      </c>
    </row>
    <row r="1014" customFormat="false" ht="15" hidden="false" customHeight="false" outlineLevel="0" collapsed="false">
      <c r="A1014" s="29" t="s">
        <v>60</v>
      </c>
      <c r="B1014" s="29" t="s">
        <v>64</v>
      </c>
      <c r="C1014" s="29" t="s">
        <v>50</v>
      </c>
      <c r="D1014" s="29" t="n">
        <v>19</v>
      </c>
      <c r="E1014" s="29" t="s">
        <v>554</v>
      </c>
      <c r="F1014" s="29" t="s">
        <v>328</v>
      </c>
      <c r="G1014" s="29" t="n">
        <v>31</v>
      </c>
      <c r="H1014" s="29" t="s">
        <v>595</v>
      </c>
      <c r="I1014" s="29" t="n">
        <v>1</v>
      </c>
      <c r="J1014" s="30" t="n">
        <v>1500</v>
      </c>
      <c r="K1014" s="29" t="s">
        <v>546</v>
      </c>
      <c r="L1014" s="29" t="s">
        <v>547</v>
      </c>
      <c r="M1014" s="30" t="n">
        <f aca="false">IF(AND(L1014="Oui",K1014="Principal"),I1014*J1014,0)</f>
        <v>1500</v>
      </c>
      <c r="N1014" s="29" t="s">
        <v>141</v>
      </c>
      <c r="O1014" s="29" t="s">
        <v>699</v>
      </c>
      <c r="P1014" s="29" t="s">
        <v>559</v>
      </c>
      <c r="Q1014" s="29" t="s">
        <v>551</v>
      </c>
      <c r="R1014" s="30"/>
      <c r="S1014" s="30" t="n">
        <f aca="false">IF(AND(L1014="Oui",K1014="Principal",R1014&lt;&gt;""),I1014*R1014,0)</f>
        <v>0</v>
      </c>
      <c r="T1014" s="30" t="n">
        <f aca="false">IF(R1014&lt;&gt;"",M1014-S1014,0)</f>
        <v>0</v>
      </c>
      <c r="U1014" s="30" t="n">
        <f aca="false">IF(R1014="",M1014,0)</f>
        <v>1500</v>
      </c>
    </row>
    <row r="1015" customFormat="false" ht="15" hidden="false" customHeight="false" outlineLevel="0" collapsed="false">
      <c r="A1015" s="25" t="s">
        <v>60</v>
      </c>
      <c r="B1015" s="25" t="s">
        <v>64</v>
      </c>
      <c r="C1015" s="25" t="s">
        <v>50</v>
      </c>
      <c r="D1015" s="25" t="n">
        <v>20</v>
      </c>
      <c r="E1015" s="25" t="s">
        <v>700</v>
      </c>
      <c r="F1015" s="25" t="s">
        <v>329</v>
      </c>
      <c r="G1015" s="25" t="n">
        <v>1716</v>
      </c>
      <c r="H1015" s="25" t="s">
        <v>701</v>
      </c>
      <c r="I1015" s="25" t="n">
        <v>1</v>
      </c>
      <c r="J1015" s="26" t="n">
        <v>1800</v>
      </c>
      <c r="K1015" s="25" t="s">
        <v>546</v>
      </c>
      <c r="L1015" s="25" t="s">
        <v>547</v>
      </c>
      <c r="M1015" s="26" t="n">
        <f aca="false">IF(AND(L1015="Oui",K1015="Principal"),I1015*J1015,0)</f>
        <v>1800</v>
      </c>
      <c r="N1015" s="25" t="s">
        <v>548</v>
      </c>
      <c r="O1015" s="25"/>
      <c r="P1015" s="25" t="s">
        <v>559</v>
      </c>
      <c r="Q1015" s="25" t="s">
        <v>557</v>
      </c>
      <c r="R1015" s="26" t="n">
        <v>1300</v>
      </c>
      <c r="S1015" s="26" t="n">
        <f aca="false">IF(AND(L1015="Oui",K1015="Principal",R1015&lt;&gt;""),I1015*R1015,0)</f>
        <v>1300</v>
      </c>
      <c r="T1015" s="26" t="n">
        <f aca="false">IF(R1015&lt;&gt;"",M1015-S1015,0)</f>
        <v>500</v>
      </c>
      <c r="U1015" s="26" t="n">
        <f aca="false">IF(R1015="",M1015,0)</f>
        <v>0</v>
      </c>
    </row>
    <row r="1016" customFormat="false" ht="15" hidden="false" customHeight="false" outlineLevel="0" collapsed="false">
      <c r="A1016" s="27" t="s">
        <v>60</v>
      </c>
      <c r="B1016" s="27" t="s">
        <v>64</v>
      </c>
      <c r="C1016" s="27" t="s">
        <v>50</v>
      </c>
      <c r="D1016" s="27" t="n">
        <v>21</v>
      </c>
      <c r="E1016" s="27" t="s">
        <v>700</v>
      </c>
      <c r="F1016" s="27" t="s">
        <v>382</v>
      </c>
      <c r="G1016" s="27"/>
      <c r="H1016" s="27" t="s">
        <v>585</v>
      </c>
      <c r="I1016" s="27" t="n">
        <v>1</v>
      </c>
      <c r="J1016" s="28" t="n">
        <v>0</v>
      </c>
      <c r="K1016" s="27" t="s">
        <v>546</v>
      </c>
      <c r="L1016" s="27" t="s">
        <v>579</v>
      </c>
      <c r="M1016" s="28" t="n">
        <f aca="false">IF(AND(L1016="Oui",K1016="Principal"),I1016*J1016,0)</f>
        <v>0</v>
      </c>
      <c r="N1016" s="27" t="s">
        <v>128</v>
      </c>
      <c r="O1016" s="27" t="s">
        <v>586</v>
      </c>
      <c r="P1016" s="27"/>
      <c r="Q1016" s="27"/>
      <c r="R1016" s="28"/>
      <c r="S1016" s="28" t="n">
        <f aca="false">IF(AND(L1016="Oui",K1016="Principal",R1016&lt;&gt;""),I1016*R1016,0)</f>
        <v>0</v>
      </c>
      <c r="T1016" s="28" t="n">
        <f aca="false">IF(R1016&lt;&gt;"",M1016-S1016,0)</f>
        <v>0</v>
      </c>
      <c r="U1016" s="28" t="n">
        <f aca="false">IF(R1016="",M1016,0)</f>
        <v>0</v>
      </c>
    </row>
    <row r="1017" customFormat="false" ht="15" hidden="false" customHeight="false" outlineLevel="0" collapsed="false">
      <c r="A1017" s="25" t="s">
        <v>60</v>
      </c>
      <c r="B1017" s="25" t="s">
        <v>64</v>
      </c>
      <c r="C1017" s="25" t="s">
        <v>50</v>
      </c>
      <c r="D1017" s="25" t="n">
        <v>22</v>
      </c>
      <c r="E1017" s="25" t="s">
        <v>571</v>
      </c>
      <c r="F1017" s="25" t="s">
        <v>331</v>
      </c>
      <c r="G1017" s="25" t="n">
        <v>1625</v>
      </c>
      <c r="H1017" s="25" t="s">
        <v>572</v>
      </c>
      <c r="I1017" s="25" t="n">
        <v>1</v>
      </c>
      <c r="J1017" s="26" t="n">
        <v>500</v>
      </c>
      <c r="K1017" s="25" t="s">
        <v>546</v>
      </c>
      <c r="L1017" s="25" t="s">
        <v>547</v>
      </c>
      <c r="M1017" s="26" t="n">
        <f aca="false">IF(AND(L1017="Oui",K1017="Principal"),I1017*J1017,0)</f>
        <v>500</v>
      </c>
      <c r="N1017" s="25" t="s">
        <v>548</v>
      </c>
      <c r="O1017" s="25"/>
      <c r="P1017" s="25" t="s">
        <v>556</v>
      </c>
      <c r="Q1017" s="25" t="s">
        <v>557</v>
      </c>
      <c r="R1017" s="26"/>
      <c r="S1017" s="26" t="n">
        <f aca="false">IF(AND(L1017="Oui",K1017="Principal",R1017&lt;&gt;""),I1017*R1017,0)</f>
        <v>0</v>
      </c>
      <c r="T1017" s="26" t="n">
        <f aca="false">IF(R1017&lt;&gt;"",M1017-S1017,0)</f>
        <v>0</v>
      </c>
      <c r="U1017" s="26" t="n">
        <f aca="false">IF(R1017="",M1017,0)</f>
        <v>500</v>
      </c>
    </row>
    <row r="1018" customFormat="false" ht="15" hidden="false" customHeight="false" outlineLevel="0" collapsed="false">
      <c r="A1018" s="25" t="s">
        <v>60</v>
      </c>
      <c r="B1018" s="25" t="s">
        <v>64</v>
      </c>
      <c r="C1018" s="25" t="s">
        <v>50</v>
      </c>
      <c r="D1018" s="25" t="n">
        <v>23</v>
      </c>
      <c r="E1018" s="25" t="s">
        <v>573</v>
      </c>
      <c r="F1018" s="25" t="s">
        <v>176</v>
      </c>
      <c r="G1018" s="25" t="n">
        <v>19</v>
      </c>
      <c r="H1018" s="25" t="s">
        <v>615</v>
      </c>
      <c r="I1018" s="25" t="n">
        <v>1</v>
      </c>
      <c r="J1018" s="26" t="n">
        <v>2500</v>
      </c>
      <c r="K1018" s="25" t="s">
        <v>546</v>
      </c>
      <c r="L1018" s="25" t="s">
        <v>547</v>
      </c>
      <c r="M1018" s="26" t="n">
        <f aca="false">IF(AND(L1018="Oui",K1018="Principal"),I1018*J1018,0)</f>
        <v>2500</v>
      </c>
      <c r="N1018" s="25" t="s">
        <v>548</v>
      </c>
      <c r="O1018" s="25"/>
      <c r="P1018" s="25" t="s">
        <v>559</v>
      </c>
      <c r="Q1018" s="25" t="s">
        <v>551</v>
      </c>
      <c r="R1018" s="26"/>
      <c r="S1018" s="26" t="n">
        <f aca="false">IF(AND(L1018="Oui",K1018="Principal",R1018&lt;&gt;""),I1018*R1018,0)</f>
        <v>0</v>
      </c>
      <c r="T1018" s="26" t="n">
        <f aca="false">IF(R1018&lt;&gt;"",M1018-S1018,0)</f>
        <v>0</v>
      </c>
      <c r="U1018" s="26" t="n">
        <f aca="false">IF(R1018="",M1018,0)</f>
        <v>2500</v>
      </c>
    </row>
    <row r="1019" customFormat="false" ht="15" hidden="false" customHeight="false" outlineLevel="0" collapsed="false">
      <c r="A1019" s="25" t="s">
        <v>60</v>
      </c>
      <c r="B1019" s="25" t="s">
        <v>64</v>
      </c>
      <c r="C1019" s="25" t="s">
        <v>50</v>
      </c>
      <c r="D1019" s="25" t="n">
        <v>24</v>
      </c>
      <c r="E1019" s="25" t="s">
        <v>573</v>
      </c>
      <c r="F1019" s="25" t="s">
        <v>117</v>
      </c>
      <c r="G1019" s="25" t="n">
        <v>1288</v>
      </c>
      <c r="H1019" s="25" t="s">
        <v>624</v>
      </c>
      <c r="I1019" s="25" t="n">
        <v>1</v>
      </c>
      <c r="J1019" s="26" t="n">
        <v>2500</v>
      </c>
      <c r="K1019" s="25" t="s">
        <v>546</v>
      </c>
      <c r="L1019" s="25" t="s">
        <v>547</v>
      </c>
      <c r="M1019" s="26" t="n">
        <f aca="false">IF(AND(L1019="Oui",K1019="Principal"),I1019*J1019,0)</f>
        <v>2500</v>
      </c>
      <c r="N1019" s="25" t="s">
        <v>548</v>
      </c>
      <c r="O1019" s="25"/>
      <c r="P1019" s="25" t="s">
        <v>550</v>
      </c>
      <c r="Q1019" s="25" t="s">
        <v>557</v>
      </c>
      <c r="R1019" s="26" t="n">
        <v>2000</v>
      </c>
      <c r="S1019" s="26" t="n">
        <f aca="false">IF(AND(L1019="Oui",K1019="Principal",R1019&lt;&gt;""),I1019*R1019,0)</f>
        <v>2000</v>
      </c>
      <c r="T1019" s="26" t="n">
        <f aca="false">IF(R1019&lt;&gt;"",M1019-S1019,0)</f>
        <v>500</v>
      </c>
      <c r="U1019" s="26" t="n">
        <f aca="false">IF(R1019="",M1019,0)</f>
        <v>0</v>
      </c>
    </row>
    <row r="1020" customFormat="false" ht="15" hidden="false" customHeight="false" outlineLevel="0" collapsed="false">
      <c r="A1020" s="25" t="s">
        <v>60</v>
      </c>
      <c r="B1020" s="25" t="s">
        <v>64</v>
      </c>
      <c r="C1020" s="25" t="s">
        <v>50</v>
      </c>
      <c r="D1020" s="25" t="n">
        <v>25</v>
      </c>
      <c r="E1020" s="25" t="s">
        <v>573</v>
      </c>
      <c r="F1020" s="25" t="s">
        <v>321</v>
      </c>
      <c r="G1020" s="25" t="n">
        <v>1192</v>
      </c>
      <c r="H1020" s="25" t="s">
        <v>694</v>
      </c>
      <c r="I1020" s="25" t="n">
        <v>1</v>
      </c>
      <c r="J1020" s="26" t="n">
        <v>7000</v>
      </c>
      <c r="K1020" s="25" t="s">
        <v>546</v>
      </c>
      <c r="L1020" s="25" t="s">
        <v>547</v>
      </c>
      <c r="M1020" s="26" t="n">
        <f aca="false">IF(AND(L1020="Oui",K1020="Principal"),I1020*J1020,0)</f>
        <v>7000</v>
      </c>
      <c r="N1020" s="25" t="s">
        <v>548</v>
      </c>
      <c r="O1020" s="25"/>
      <c r="P1020" s="25" t="s">
        <v>550</v>
      </c>
      <c r="Q1020" s="25" t="s">
        <v>557</v>
      </c>
      <c r="R1020" s="26" t="n">
        <v>5500</v>
      </c>
      <c r="S1020" s="26" t="n">
        <f aca="false">IF(AND(L1020="Oui",K1020="Principal",R1020&lt;&gt;""),I1020*R1020,0)</f>
        <v>5500</v>
      </c>
      <c r="T1020" s="26" t="n">
        <f aca="false">IF(R1020&lt;&gt;"",M1020-S1020,0)</f>
        <v>1500</v>
      </c>
      <c r="U1020" s="26" t="n">
        <f aca="false">IF(R1020="",M1020,0)</f>
        <v>0</v>
      </c>
    </row>
    <row r="1021" customFormat="false" ht="15" hidden="false" customHeight="false" outlineLevel="0" collapsed="false">
      <c r="A1021" s="25" t="s">
        <v>60</v>
      </c>
      <c r="B1021" s="25" t="s">
        <v>64</v>
      </c>
      <c r="C1021" s="25" t="s">
        <v>50</v>
      </c>
      <c r="D1021" s="25" t="n">
        <v>26</v>
      </c>
      <c r="E1021" s="25" t="s">
        <v>686</v>
      </c>
      <c r="F1021" s="25" t="s">
        <v>393</v>
      </c>
      <c r="G1021" s="25" t="n">
        <v>1362</v>
      </c>
      <c r="H1021" s="25" t="s">
        <v>735</v>
      </c>
      <c r="I1021" s="25" t="n">
        <v>1</v>
      </c>
      <c r="J1021" s="26" t="n">
        <v>4000</v>
      </c>
      <c r="K1021" s="25" t="s">
        <v>546</v>
      </c>
      <c r="L1021" s="25" t="s">
        <v>547</v>
      </c>
      <c r="M1021" s="26" t="n">
        <f aca="false">IF(AND(L1021="Oui",K1021="Principal"),I1021*J1021,0)</f>
        <v>4000</v>
      </c>
      <c r="N1021" s="25" t="s">
        <v>548</v>
      </c>
      <c r="O1021" s="25"/>
      <c r="P1021" s="25" t="s">
        <v>550</v>
      </c>
      <c r="Q1021" s="25" t="s">
        <v>557</v>
      </c>
      <c r="R1021" s="26" t="n">
        <v>3000</v>
      </c>
      <c r="S1021" s="26" t="n">
        <f aca="false">IF(AND(L1021="Oui",K1021="Principal",R1021&lt;&gt;""),I1021*R1021,0)</f>
        <v>3000</v>
      </c>
      <c r="T1021" s="26" t="n">
        <f aca="false">IF(R1021&lt;&gt;"",M1021-S1021,0)</f>
        <v>1000</v>
      </c>
      <c r="U1021" s="26" t="n">
        <f aca="false">IF(R1021="",M1021,0)</f>
        <v>0</v>
      </c>
    </row>
    <row r="1022" customFormat="false" ht="15" hidden="false" customHeight="false" outlineLevel="0" collapsed="false">
      <c r="A1022" s="27" t="s">
        <v>60</v>
      </c>
      <c r="B1022" s="27" t="s">
        <v>64</v>
      </c>
      <c r="C1022" s="27" t="s">
        <v>50</v>
      </c>
      <c r="D1022" s="27" t="n">
        <v>27</v>
      </c>
      <c r="E1022" s="27" t="s">
        <v>588</v>
      </c>
      <c r="F1022" s="27" t="s">
        <v>395</v>
      </c>
      <c r="G1022" s="27"/>
      <c r="H1022" s="27" t="s">
        <v>585</v>
      </c>
      <c r="I1022" s="27" t="n">
        <v>1</v>
      </c>
      <c r="J1022" s="28" t="n">
        <v>0</v>
      </c>
      <c r="K1022" s="27" t="s">
        <v>546</v>
      </c>
      <c r="L1022" s="27" t="s">
        <v>579</v>
      </c>
      <c r="M1022" s="28" t="n">
        <f aca="false">IF(AND(L1022="Oui",K1022="Principal"),I1022*J1022,0)</f>
        <v>0</v>
      </c>
      <c r="N1022" s="27" t="s">
        <v>128</v>
      </c>
      <c r="O1022" s="27" t="s">
        <v>730</v>
      </c>
      <c r="P1022" s="27"/>
      <c r="Q1022" s="27"/>
      <c r="R1022" s="28"/>
      <c r="S1022" s="28" t="n">
        <f aca="false">IF(AND(L1022="Oui",K1022="Principal",R1022&lt;&gt;""),I1022*R1022,0)</f>
        <v>0</v>
      </c>
      <c r="T1022" s="28" t="n">
        <f aca="false">IF(R1022&lt;&gt;"",M1022-S1022,0)</f>
        <v>0</v>
      </c>
      <c r="U1022" s="28" t="n">
        <f aca="false">IF(R1022="",M1022,0)</f>
        <v>0</v>
      </c>
    </row>
    <row r="1023" customFormat="false" ht="15" hidden="false" customHeight="false" outlineLevel="0" collapsed="false">
      <c r="A1023" s="25" t="s">
        <v>60</v>
      </c>
      <c r="B1023" s="25" t="s">
        <v>64</v>
      </c>
      <c r="C1023" s="25" t="s">
        <v>50</v>
      </c>
      <c r="D1023" s="25" t="n">
        <v>28</v>
      </c>
      <c r="E1023" s="25" t="s">
        <v>689</v>
      </c>
      <c r="F1023" s="25" t="s">
        <v>396</v>
      </c>
      <c r="G1023" s="25" t="n">
        <v>1301</v>
      </c>
      <c r="H1023" s="25" t="s">
        <v>736</v>
      </c>
      <c r="I1023" s="25" t="n">
        <v>1</v>
      </c>
      <c r="J1023" s="26" t="n">
        <v>3500</v>
      </c>
      <c r="K1023" s="25" t="s">
        <v>546</v>
      </c>
      <c r="L1023" s="25" t="s">
        <v>547</v>
      </c>
      <c r="M1023" s="26" t="n">
        <f aca="false">IF(AND(L1023="Oui",K1023="Principal"),I1023*J1023,0)</f>
        <v>3500</v>
      </c>
      <c r="N1023" s="25" t="s">
        <v>548</v>
      </c>
      <c r="O1023" s="25"/>
      <c r="P1023" s="25" t="s">
        <v>550</v>
      </c>
      <c r="Q1023" s="25" t="s">
        <v>557</v>
      </c>
      <c r="R1023" s="26" t="n">
        <v>2500</v>
      </c>
      <c r="S1023" s="26" t="n">
        <f aca="false">IF(AND(L1023="Oui",K1023="Principal",R1023&lt;&gt;""),I1023*R1023,0)</f>
        <v>2500</v>
      </c>
      <c r="T1023" s="26" t="n">
        <f aca="false">IF(R1023&lt;&gt;"",M1023-S1023,0)</f>
        <v>1000</v>
      </c>
      <c r="U1023" s="26" t="n">
        <f aca="false">IF(R1023="",M1023,0)</f>
        <v>0</v>
      </c>
    </row>
    <row r="1024" customFormat="false" ht="15" hidden="false" customHeight="false" outlineLevel="0" collapsed="false">
      <c r="A1024" s="25" t="s">
        <v>60</v>
      </c>
      <c r="B1024" s="25" t="s">
        <v>64</v>
      </c>
      <c r="C1024" s="25" t="s">
        <v>50</v>
      </c>
      <c r="D1024" s="25" t="n">
        <v>29</v>
      </c>
      <c r="E1024" s="25" t="s">
        <v>689</v>
      </c>
      <c r="F1024" s="25" t="s">
        <v>398</v>
      </c>
      <c r="G1024" s="25" t="n">
        <v>1319</v>
      </c>
      <c r="H1024" s="25" t="s">
        <v>737</v>
      </c>
      <c r="I1024" s="25" t="n">
        <v>1</v>
      </c>
      <c r="J1024" s="26" t="n">
        <v>2800</v>
      </c>
      <c r="K1024" s="25" t="s">
        <v>546</v>
      </c>
      <c r="L1024" s="25" t="s">
        <v>547</v>
      </c>
      <c r="M1024" s="26" t="n">
        <f aca="false">IF(AND(L1024="Oui",K1024="Principal"),I1024*J1024,0)</f>
        <v>2800</v>
      </c>
      <c r="N1024" s="25" t="s">
        <v>548</v>
      </c>
      <c r="O1024" s="25"/>
      <c r="P1024" s="25" t="s">
        <v>550</v>
      </c>
      <c r="Q1024" s="25" t="s">
        <v>557</v>
      </c>
      <c r="R1024" s="26" t="n">
        <v>1800</v>
      </c>
      <c r="S1024" s="26" t="n">
        <f aca="false">IF(AND(L1024="Oui",K1024="Principal",R1024&lt;&gt;""),I1024*R1024,0)</f>
        <v>1800</v>
      </c>
      <c r="T1024" s="26" t="n">
        <f aca="false">IF(R1024&lt;&gt;"",M1024-S1024,0)</f>
        <v>1000</v>
      </c>
      <c r="U1024" s="26" t="n">
        <f aca="false">IF(R1024="",M1024,0)</f>
        <v>0</v>
      </c>
    </row>
    <row r="1025" customFormat="false" ht="15" hidden="false" customHeight="false" outlineLevel="0" collapsed="false">
      <c r="A1025" s="25" t="s">
        <v>60</v>
      </c>
      <c r="B1025" s="25" t="s">
        <v>64</v>
      </c>
      <c r="C1025" s="25" t="s">
        <v>50</v>
      </c>
      <c r="D1025" s="25" t="n">
        <v>30</v>
      </c>
      <c r="E1025" s="25" t="s">
        <v>686</v>
      </c>
      <c r="F1025" s="25" t="s">
        <v>400</v>
      </c>
      <c r="G1025" s="25" t="n">
        <v>1558</v>
      </c>
      <c r="H1025" s="25" t="s">
        <v>738</v>
      </c>
      <c r="I1025" s="25" t="n">
        <v>1</v>
      </c>
      <c r="J1025" s="26" t="n">
        <v>3960</v>
      </c>
      <c r="K1025" s="25" t="s">
        <v>546</v>
      </c>
      <c r="L1025" s="25" t="s">
        <v>547</v>
      </c>
      <c r="M1025" s="26" t="n">
        <f aca="false">IF(AND(L1025="Oui",K1025="Principal"),I1025*J1025,0)</f>
        <v>3960</v>
      </c>
      <c r="N1025" s="25" t="s">
        <v>548</v>
      </c>
      <c r="O1025" s="25"/>
      <c r="P1025" s="25" t="s">
        <v>550</v>
      </c>
      <c r="Q1025" s="25" t="s">
        <v>557</v>
      </c>
      <c r="R1025" s="26" t="n">
        <v>2960</v>
      </c>
      <c r="S1025" s="26" t="n">
        <f aca="false">IF(AND(L1025="Oui",K1025="Principal",R1025&lt;&gt;""),I1025*R1025,0)</f>
        <v>2960</v>
      </c>
      <c r="T1025" s="26" t="n">
        <f aca="false">IF(R1025&lt;&gt;"",M1025-S1025,0)</f>
        <v>1000</v>
      </c>
      <c r="U1025" s="26" t="n">
        <f aca="false">IF(R1025="",M1025,0)</f>
        <v>0</v>
      </c>
    </row>
    <row r="1026" customFormat="false" ht="15" hidden="false" customHeight="false" outlineLevel="0" collapsed="false">
      <c r="A1026" s="25" t="s">
        <v>60</v>
      </c>
      <c r="B1026" s="25" t="s">
        <v>64</v>
      </c>
      <c r="C1026" s="25" t="s">
        <v>50</v>
      </c>
      <c r="D1026" s="25" t="n">
        <v>31</v>
      </c>
      <c r="E1026" s="25" t="s">
        <v>588</v>
      </c>
      <c r="F1026" s="25" t="s">
        <v>415</v>
      </c>
      <c r="G1026" s="25" t="n">
        <v>1541</v>
      </c>
      <c r="H1026" s="25" t="s">
        <v>746</v>
      </c>
      <c r="I1026" s="25" t="n">
        <v>1</v>
      </c>
      <c r="J1026" s="26" t="n">
        <v>3130</v>
      </c>
      <c r="K1026" s="25" t="s">
        <v>546</v>
      </c>
      <c r="L1026" s="25" t="s">
        <v>547</v>
      </c>
      <c r="M1026" s="26" t="n">
        <f aca="false">IF(AND(L1026="Oui",K1026="Principal"),I1026*J1026,0)</f>
        <v>3130</v>
      </c>
      <c r="N1026" s="25" t="s">
        <v>548</v>
      </c>
      <c r="O1026" s="25"/>
      <c r="P1026" s="25" t="s">
        <v>550</v>
      </c>
      <c r="Q1026" s="25" t="s">
        <v>557</v>
      </c>
      <c r="R1026" s="26" t="n">
        <v>2130</v>
      </c>
      <c r="S1026" s="26" t="n">
        <f aca="false">IF(AND(L1026="Oui",K1026="Principal",R1026&lt;&gt;""),I1026*R1026,0)</f>
        <v>2130</v>
      </c>
      <c r="T1026" s="26" t="n">
        <f aca="false">IF(R1026&lt;&gt;"",M1026-S1026,0)</f>
        <v>1000</v>
      </c>
      <c r="U1026" s="26" t="n">
        <f aca="false">IF(R1026="",M1026,0)</f>
        <v>0</v>
      </c>
    </row>
    <row r="1027" customFormat="false" ht="15" hidden="false" customHeight="false" outlineLevel="0" collapsed="false">
      <c r="A1027" s="25" t="s">
        <v>60</v>
      </c>
      <c r="B1027" s="25" t="s">
        <v>64</v>
      </c>
      <c r="C1027" s="25" t="s">
        <v>50</v>
      </c>
      <c r="D1027" s="25" t="n">
        <v>32</v>
      </c>
      <c r="E1027" s="25" t="s">
        <v>588</v>
      </c>
      <c r="F1027" s="25" t="s">
        <v>402</v>
      </c>
      <c r="G1027" s="25" t="n">
        <v>39</v>
      </c>
      <c r="H1027" s="25" t="s">
        <v>739</v>
      </c>
      <c r="I1027" s="25" t="n">
        <v>1</v>
      </c>
      <c r="J1027" s="26" t="n">
        <v>10000</v>
      </c>
      <c r="K1027" s="25" t="s">
        <v>546</v>
      </c>
      <c r="L1027" s="25" t="s">
        <v>547</v>
      </c>
      <c r="M1027" s="26" t="n">
        <f aca="false">IF(AND(L1027="Oui",K1027="Principal"),I1027*J1027,0)</f>
        <v>10000</v>
      </c>
      <c r="N1027" s="25" t="s">
        <v>548</v>
      </c>
      <c r="O1027" s="25"/>
      <c r="P1027" s="25" t="s">
        <v>559</v>
      </c>
      <c r="Q1027" s="25" t="s">
        <v>557</v>
      </c>
      <c r="R1027" s="26" t="n">
        <v>8000</v>
      </c>
      <c r="S1027" s="26" t="n">
        <f aca="false">IF(AND(L1027="Oui",K1027="Principal",R1027&lt;&gt;""),I1027*R1027,0)</f>
        <v>8000</v>
      </c>
      <c r="T1027" s="26" t="n">
        <f aca="false">IF(R1027&lt;&gt;"",M1027-S1027,0)</f>
        <v>2000</v>
      </c>
      <c r="U1027" s="26" t="n">
        <f aca="false">IF(R1027="",M1027,0)</f>
        <v>0</v>
      </c>
    </row>
    <row r="1028" customFormat="false" ht="15" hidden="false" customHeight="false" outlineLevel="0" collapsed="false">
      <c r="A1028" s="25" t="s">
        <v>60</v>
      </c>
      <c r="B1028" s="25" t="s">
        <v>64</v>
      </c>
      <c r="C1028" s="25" t="s">
        <v>50</v>
      </c>
      <c r="D1028" s="25" t="n">
        <v>33</v>
      </c>
      <c r="E1028" s="25" t="s">
        <v>686</v>
      </c>
      <c r="F1028" s="25" t="s">
        <v>404</v>
      </c>
      <c r="G1028" s="25" t="n">
        <v>1563</v>
      </c>
      <c r="H1028" s="25" t="s">
        <v>740</v>
      </c>
      <c r="I1028" s="25" t="n">
        <v>1</v>
      </c>
      <c r="J1028" s="26" t="n">
        <v>3960</v>
      </c>
      <c r="K1028" s="25" t="s">
        <v>546</v>
      </c>
      <c r="L1028" s="25" t="s">
        <v>547</v>
      </c>
      <c r="M1028" s="26" t="n">
        <f aca="false">IF(AND(L1028="Oui",K1028="Principal"),I1028*J1028,0)</f>
        <v>3960</v>
      </c>
      <c r="N1028" s="25" t="s">
        <v>548</v>
      </c>
      <c r="O1028" s="25"/>
      <c r="P1028" s="25" t="s">
        <v>550</v>
      </c>
      <c r="Q1028" s="25" t="s">
        <v>557</v>
      </c>
      <c r="R1028" s="26" t="n">
        <v>2960</v>
      </c>
      <c r="S1028" s="26" t="n">
        <f aca="false">IF(AND(L1028="Oui",K1028="Principal",R1028&lt;&gt;""),I1028*R1028,0)</f>
        <v>2960</v>
      </c>
      <c r="T1028" s="26" t="n">
        <f aca="false">IF(R1028&lt;&gt;"",M1028-S1028,0)</f>
        <v>1000</v>
      </c>
      <c r="U1028" s="26" t="n">
        <f aca="false">IF(R1028="",M1028,0)</f>
        <v>0</v>
      </c>
    </row>
    <row r="1029" customFormat="false" ht="15" hidden="false" customHeight="false" outlineLevel="0" collapsed="false">
      <c r="A1029" s="25" t="s">
        <v>60</v>
      </c>
      <c r="B1029" s="25" t="s">
        <v>64</v>
      </c>
      <c r="C1029" s="25" t="s">
        <v>50</v>
      </c>
      <c r="D1029" s="25" t="n">
        <v>34</v>
      </c>
      <c r="E1029" s="25" t="s">
        <v>588</v>
      </c>
      <c r="F1029" s="25" t="s">
        <v>417</v>
      </c>
      <c r="G1029" s="25" t="n">
        <v>1539</v>
      </c>
      <c r="H1029" s="25" t="s">
        <v>747</v>
      </c>
      <c r="I1029" s="25" t="n">
        <v>1</v>
      </c>
      <c r="J1029" s="26" t="n">
        <v>3430</v>
      </c>
      <c r="K1029" s="25" t="s">
        <v>546</v>
      </c>
      <c r="L1029" s="25" t="s">
        <v>547</v>
      </c>
      <c r="M1029" s="26" t="n">
        <f aca="false">IF(AND(L1029="Oui",K1029="Principal"),I1029*J1029,0)</f>
        <v>3430</v>
      </c>
      <c r="N1029" s="25" t="s">
        <v>548</v>
      </c>
      <c r="O1029" s="25"/>
      <c r="P1029" s="25" t="s">
        <v>550</v>
      </c>
      <c r="Q1029" s="25" t="s">
        <v>557</v>
      </c>
      <c r="R1029" s="26" t="n">
        <v>2430</v>
      </c>
      <c r="S1029" s="26" t="n">
        <f aca="false">IF(AND(L1029="Oui",K1029="Principal",R1029&lt;&gt;""),I1029*R1029,0)</f>
        <v>2430</v>
      </c>
      <c r="T1029" s="26" t="n">
        <f aca="false">IF(R1029&lt;&gt;"",M1029-S1029,0)</f>
        <v>1000</v>
      </c>
      <c r="U1029" s="26" t="n">
        <f aca="false">IF(R1029="",M1029,0)</f>
        <v>0</v>
      </c>
    </row>
    <row r="1030" customFormat="false" ht="15" hidden="false" customHeight="false" outlineLevel="0" collapsed="false">
      <c r="A1030" s="33" t="s">
        <v>60</v>
      </c>
      <c r="B1030" s="33" t="s">
        <v>64</v>
      </c>
      <c r="C1030" s="33" t="s">
        <v>50</v>
      </c>
      <c r="D1030" s="33" t="n">
        <v>35</v>
      </c>
      <c r="E1030" s="33" t="s">
        <v>588</v>
      </c>
      <c r="F1030" s="33" t="s">
        <v>419</v>
      </c>
      <c r="G1030" s="33" t="n">
        <v>41</v>
      </c>
      <c r="H1030" s="33" t="s">
        <v>748</v>
      </c>
      <c r="I1030" s="33" t="n">
        <v>1</v>
      </c>
      <c r="J1030" s="34" t="n">
        <v>10000</v>
      </c>
      <c r="K1030" s="33" t="s">
        <v>546</v>
      </c>
      <c r="L1030" s="33" t="s">
        <v>547</v>
      </c>
      <c r="M1030" s="34" t="n">
        <f aca="false">IF(AND(L1030="Oui",K1030="Principal"),I1030*J1030,0)</f>
        <v>10000</v>
      </c>
      <c r="N1030" s="33" t="s">
        <v>182</v>
      </c>
      <c r="O1030" s="33" t="s">
        <v>749</v>
      </c>
      <c r="P1030" s="33" t="s">
        <v>559</v>
      </c>
      <c r="Q1030" s="33" t="s">
        <v>557</v>
      </c>
      <c r="R1030" s="34" t="n">
        <v>8000</v>
      </c>
      <c r="S1030" s="34" t="n">
        <f aca="false">IF(AND(L1030="Oui",K1030="Principal",R1030&lt;&gt;""),I1030*R1030,0)</f>
        <v>8000</v>
      </c>
      <c r="T1030" s="34" t="n">
        <f aca="false">IF(R1030&lt;&gt;"",M1030-S1030,0)</f>
        <v>2000</v>
      </c>
      <c r="U1030" s="34" t="n">
        <f aca="false">IF(R1030="",M1030,0)</f>
        <v>0</v>
      </c>
    </row>
    <row r="1031" customFormat="false" ht="15" hidden="false" customHeight="false" outlineLevel="0" collapsed="false">
      <c r="A1031" s="25" t="s">
        <v>60</v>
      </c>
      <c r="B1031" s="25" t="s">
        <v>64</v>
      </c>
      <c r="C1031" s="25" t="s">
        <v>50</v>
      </c>
      <c r="D1031" s="25" t="n">
        <v>36</v>
      </c>
      <c r="E1031" s="25" t="s">
        <v>686</v>
      </c>
      <c r="F1031" s="25" t="s">
        <v>406</v>
      </c>
      <c r="G1031" s="25" t="n">
        <v>1446</v>
      </c>
      <c r="H1031" s="25" t="s">
        <v>741</v>
      </c>
      <c r="I1031" s="25" t="n">
        <v>1</v>
      </c>
      <c r="J1031" s="26" t="n">
        <v>3960</v>
      </c>
      <c r="K1031" s="25" t="s">
        <v>546</v>
      </c>
      <c r="L1031" s="25" t="s">
        <v>547</v>
      </c>
      <c r="M1031" s="26" t="n">
        <f aca="false">IF(AND(L1031="Oui",K1031="Principal"),I1031*J1031,0)</f>
        <v>3960</v>
      </c>
      <c r="N1031" s="25" t="s">
        <v>548</v>
      </c>
      <c r="O1031" s="25"/>
      <c r="P1031" s="25" t="s">
        <v>550</v>
      </c>
      <c r="Q1031" s="25" t="s">
        <v>557</v>
      </c>
      <c r="R1031" s="26" t="n">
        <v>2960</v>
      </c>
      <c r="S1031" s="26" t="n">
        <f aca="false">IF(AND(L1031="Oui",K1031="Principal",R1031&lt;&gt;""),I1031*R1031,0)</f>
        <v>2960</v>
      </c>
      <c r="T1031" s="26" t="n">
        <f aca="false">IF(R1031&lt;&gt;"",M1031-S1031,0)</f>
        <v>1000</v>
      </c>
      <c r="U1031" s="26" t="n">
        <f aca="false">IF(R1031="",M1031,0)</f>
        <v>0</v>
      </c>
    </row>
    <row r="1032" customFormat="false" ht="15" hidden="false" customHeight="false" outlineLevel="0" collapsed="false">
      <c r="A1032" s="33" t="s">
        <v>60</v>
      </c>
      <c r="B1032" s="33" t="s">
        <v>64</v>
      </c>
      <c r="C1032" s="33" t="s">
        <v>50</v>
      </c>
      <c r="D1032" s="33" t="n">
        <v>37</v>
      </c>
      <c r="E1032" s="33" t="s">
        <v>588</v>
      </c>
      <c r="F1032" s="33" t="s">
        <v>421</v>
      </c>
      <c r="G1032" s="33" t="n">
        <v>1338</v>
      </c>
      <c r="H1032" s="33" t="s">
        <v>750</v>
      </c>
      <c r="I1032" s="33" t="n">
        <v>1</v>
      </c>
      <c r="J1032" s="34" t="n">
        <v>4000</v>
      </c>
      <c r="K1032" s="33" t="s">
        <v>546</v>
      </c>
      <c r="L1032" s="33" t="s">
        <v>547</v>
      </c>
      <c r="M1032" s="34" t="n">
        <f aca="false">IF(AND(L1032="Oui",K1032="Principal"),I1032*J1032,0)</f>
        <v>4000</v>
      </c>
      <c r="N1032" s="33" t="s">
        <v>182</v>
      </c>
      <c r="O1032" s="33" t="s">
        <v>751</v>
      </c>
      <c r="P1032" s="33" t="s">
        <v>550</v>
      </c>
      <c r="Q1032" s="33" t="s">
        <v>557</v>
      </c>
      <c r="R1032" s="34" t="n">
        <v>3000</v>
      </c>
      <c r="S1032" s="34" t="n">
        <f aca="false">IF(AND(L1032="Oui",K1032="Principal",R1032&lt;&gt;""),I1032*R1032,0)</f>
        <v>3000</v>
      </c>
      <c r="T1032" s="34" t="n">
        <f aca="false">IF(R1032&lt;&gt;"",M1032-S1032,0)</f>
        <v>1000</v>
      </c>
      <c r="U1032" s="34" t="n">
        <f aca="false">IF(R1032="",M1032,0)</f>
        <v>0</v>
      </c>
    </row>
    <row r="1033" customFormat="false" ht="15" hidden="false" customHeight="false" outlineLevel="0" collapsed="false">
      <c r="A1033" s="25" t="s">
        <v>60</v>
      </c>
      <c r="B1033" s="25" t="s">
        <v>64</v>
      </c>
      <c r="C1033" s="25" t="s">
        <v>50</v>
      </c>
      <c r="D1033" s="25" t="n">
        <v>38</v>
      </c>
      <c r="E1033" s="25" t="s">
        <v>588</v>
      </c>
      <c r="F1033" s="25" t="s">
        <v>423</v>
      </c>
      <c r="G1033" s="25" t="n">
        <v>40</v>
      </c>
      <c r="H1033" s="25" t="s">
        <v>752</v>
      </c>
      <c r="I1033" s="25" t="n">
        <v>1</v>
      </c>
      <c r="J1033" s="26" t="n">
        <v>5000</v>
      </c>
      <c r="K1033" s="25" t="s">
        <v>546</v>
      </c>
      <c r="L1033" s="25" t="s">
        <v>547</v>
      </c>
      <c r="M1033" s="26" t="n">
        <f aca="false">IF(AND(L1033="Oui",K1033="Principal"),I1033*J1033,0)</f>
        <v>5000</v>
      </c>
      <c r="N1033" s="25" t="s">
        <v>548</v>
      </c>
      <c r="O1033" s="25"/>
      <c r="P1033" s="25" t="s">
        <v>559</v>
      </c>
      <c r="Q1033" s="25" t="s">
        <v>557</v>
      </c>
      <c r="R1033" s="26" t="n">
        <v>4000</v>
      </c>
      <c r="S1033" s="26" t="n">
        <f aca="false">IF(AND(L1033="Oui",K1033="Principal",R1033&lt;&gt;""),I1033*R1033,0)</f>
        <v>4000</v>
      </c>
      <c r="T1033" s="26" t="n">
        <f aca="false">IF(R1033&lt;&gt;"",M1033-S1033,0)</f>
        <v>1000</v>
      </c>
      <c r="U1033" s="26" t="n">
        <f aca="false">IF(R1033="",M1033,0)</f>
        <v>0</v>
      </c>
    </row>
    <row r="1034" customFormat="false" ht="15" hidden="false" customHeight="false" outlineLevel="0" collapsed="false">
      <c r="A1034" s="25" t="s">
        <v>60</v>
      </c>
      <c r="B1034" s="25" t="s">
        <v>64</v>
      </c>
      <c r="C1034" s="25" t="s">
        <v>50</v>
      </c>
      <c r="D1034" s="25" t="n">
        <v>39</v>
      </c>
      <c r="E1034" s="25" t="s">
        <v>588</v>
      </c>
      <c r="F1034" s="25" t="s">
        <v>408</v>
      </c>
      <c r="G1034" s="25" t="n">
        <v>1538</v>
      </c>
      <c r="H1034" s="25" t="s">
        <v>742</v>
      </c>
      <c r="I1034" s="25" t="n">
        <v>1</v>
      </c>
      <c r="J1034" s="26" t="n">
        <v>3130</v>
      </c>
      <c r="K1034" s="25" t="s">
        <v>546</v>
      </c>
      <c r="L1034" s="25" t="s">
        <v>547</v>
      </c>
      <c r="M1034" s="26" t="n">
        <f aca="false">IF(AND(L1034="Oui",K1034="Principal"),I1034*J1034,0)</f>
        <v>3130</v>
      </c>
      <c r="N1034" s="25" t="s">
        <v>548</v>
      </c>
      <c r="O1034" s="25"/>
      <c r="P1034" s="25" t="s">
        <v>550</v>
      </c>
      <c r="Q1034" s="25" t="s">
        <v>557</v>
      </c>
      <c r="R1034" s="26" t="n">
        <v>2130</v>
      </c>
      <c r="S1034" s="26" t="n">
        <f aca="false">IF(AND(L1034="Oui",K1034="Principal",R1034&lt;&gt;""),I1034*R1034,0)</f>
        <v>2130</v>
      </c>
      <c r="T1034" s="26" t="n">
        <f aca="false">IF(R1034&lt;&gt;"",M1034-S1034,0)</f>
        <v>1000</v>
      </c>
      <c r="U1034" s="26" t="n">
        <f aca="false">IF(R1034="",M1034,0)</f>
        <v>0</v>
      </c>
    </row>
    <row r="1035" customFormat="false" ht="15" hidden="false" customHeight="false" outlineLevel="0" collapsed="false">
      <c r="A1035" s="25" t="s">
        <v>60</v>
      </c>
      <c r="B1035" s="25" t="s">
        <v>64</v>
      </c>
      <c r="C1035" s="25" t="s">
        <v>50</v>
      </c>
      <c r="D1035" s="25" t="n">
        <v>40</v>
      </c>
      <c r="E1035" s="25" t="s">
        <v>686</v>
      </c>
      <c r="F1035" s="25" t="s">
        <v>410</v>
      </c>
      <c r="G1035" s="25" t="n">
        <v>1355</v>
      </c>
      <c r="H1035" s="25" t="s">
        <v>743</v>
      </c>
      <c r="I1035" s="25" t="n">
        <v>1</v>
      </c>
      <c r="J1035" s="26" t="n">
        <v>4000</v>
      </c>
      <c r="K1035" s="25" t="s">
        <v>546</v>
      </c>
      <c r="L1035" s="25" t="s">
        <v>547</v>
      </c>
      <c r="M1035" s="26" t="n">
        <f aca="false">IF(AND(L1035="Oui",K1035="Principal"),I1035*J1035,0)</f>
        <v>4000</v>
      </c>
      <c r="N1035" s="25" t="s">
        <v>548</v>
      </c>
      <c r="O1035" s="25"/>
      <c r="P1035" s="25" t="s">
        <v>550</v>
      </c>
      <c r="Q1035" s="25" t="s">
        <v>557</v>
      </c>
      <c r="R1035" s="26" t="n">
        <v>3000</v>
      </c>
      <c r="S1035" s="26" t="n">
        <f aca="false">IF(AND(L1035="Oui",K1035="Principal",R1035&lt;&gt;""),I1035*R1035,0)</f>
        <v>3000</v>
      </c>
      <c r="T1035" s="26" t="n">
        <f aca="false">IF(R1035&lt;&gt;"",M1035-S1035,0)</f>
        <v>1000</v>
      </c>
      <c r="U1035" s="26" t="n">
        <f aca="false">IF(R1035="",M1035,0)</f>
        <v>0</v>
      </c>
    </row>
    <row r="1036" customFormat="false" ht="15" hidden="false" customHeight="false" outlineLevel="0" collapsed="false">
      <c r="A1036" s="27" t="s">
        <v>60</v>
      </c>
      <c r="B1036" s="27" t="s">
        <v>64</v>
      </c>
      <c r="C1036" s="27" t="s">
        <v>50</v>
      </c>
      <c r="D1036" s="27" t="n">
        <v>41</v>
      </c>
      <c r="E1036" s="27" t="s">
        <v>686</v>
      </c>
      <c r="F1036" s="27" t="s">
        <v>412</v>
      </c>
      <c r="G1036" s="27"/>
      <c r="H1036" s="27" t="s">
        <v>585</v>
      </c>
      <c r="I1036" s="27" t="n">
        <v>1</v>
      </c>
      <c r="J1036" s="28" t="n">
        <v>0</v>
      </c>
      <c r="K1036" s="27" t="s">
        <v>546</v>
      </c>
      <c r="L1036" s="27" t="s">
        <v>579</v>
      </c>
      <c r="M1036" s="28" t="n">
        <f aca="false">IF(AND(L1036="Oui",K1036="Principal"),I1036*J1036,0)</f>
        <v>0</v>
      </c>
      <c r="N1036" s="27" t="s">
        <v>128</v>
      </c>
      <c r="O1036" s="27" t="s">
        <v>744</v>
      </c>
      <c r="P1036" s="27"/>
      <c r="Q1036" s="27"/>
      <c r="R1036" s="28"/>
      <c r="S1036" s="28" t="n">
        <f aca="false">IF(AND(L1036="Oui",K1036="Principal",R1036&lt;&gt;""),I1036*R1036,0)</f>
        <v>0</v>
      </c>
      <c r="T1036" s="28" t="n">
        <f aca="false">IF(R1036&lt;&gt;"",M1036-S1036,0)</f>
        <v>0</v>
      </c>
      <c r="U1036" s="28" t="n">
        <f aca="false">IF(R1036="",M1036,0)</f>
        <v>0</v>
      </c>
    </row>
    <row r="1037" customFormat="false" ht="15" hidden="false" customHeight="false" outlineLevel="0" collapsed="false">
      <c r="A1037" s="25" t="s">
        <v>60</v>
      </c>
      <c r="B1037" s="25" t="s">
        <v>64</v>
      </c>
      <c r="C1037" s="25" t="s">
        <v>50</v>
      </c>
      <c r="D1037" s="25" t="n">
        <v>42</v>
      </c>
      <c r="E1037" s="25" t="s">
        <v>686</v>
      </c>
      <c r="F1037" s="25" t="s">
        <v>413</v>
      </c>
      <c r="G1037" s="25" t="n">
        <v>1332</v>
      </c>
      <c r="H1037" s="25" t="s">
        <v>745</v>
      </c>
      <c r="I1037" s="25" t="n">
        <v>1</v>
      </c>
      <c r="J1037" s="26" t="n">
        <v>3550</v>
      </c>
      <c r="K1037" s="25" t="s">
        <v>546</v>
      </c>
      <c r="L1037" s="25" t="s">
        <v>547</v>
      </c>
      <c r="M1037" s="26" t="n">
        <f aca="false">IF(AND(L1037="Oui",K1037="Principal"),I1037*J1037,0)</f>
        <v>3550</v>
      </c>
      <c r="N1037" s="25" t="s">
        <v>548</v>
      </c>
      <c r="O1037" s="25"/>
      <c r="P1037" s="25" t="s">
        <v>550</v>
      </c>
      <c r="Q1037" s="25" t="s">
        <v>557</v>
      </c>
      <c r="R1037" s="26" t="n">
        <v>2550</v>
      </c>
      <c r="S1037" s="26" t="n">
        <f aca="false">IF(AND(L1037="Oui",K1037="Principal",R1037&lt;&gt;""),I1037*R1037,0)</f>
        <v>2550</v>
      </c>
      <c r="T1037" s="26" t="n">
        <f aca="false">IF(R1037&lt;&gt;"",M1037-S1037,0)</f>
        <v>1000</v>
      </c>
      <c r="U1037" s="26" t="n">
        <f aca="false">IF(R1037="",M1037,0)</f>
        <v>0</v>
      </c>
    </row>
    <row r="1038" customFormat="false" ht="15" hidden="false" customHeight="false" outlineLevel="0" collapsed="false">
      <c r="A1038" s="27" t="s">
        <v>60</v>
      </c>
      <c r="B1038" s="27" t="s">
        <v>64</v>
      </c>
      <c r="C1038" s="27" t="s">
        <v>50</v>
      </c>
      <c r="D1038" s="27" t="n">
        <v>43</v>
      </c>
      <c r="E1038" s="27" t="s">
        <v>588</v>
      </c>
      <c r="F1038" s="27" t="s">
        <v>425</v>
      </c>
      <c r="G1038" s="27"/>
      <c r="H1038" s="27" t="s">
        <v>585</v>
      </c>
      <c r="I1038" s="27" t="n">
        <v>1</v>
      </c>
      <c r="J1038" s="28" t="n">
        <v>0</v>
      </c>
      <c r="K1038" s="27" t="s">
        <v>546</v>
      </c>
      <c r="L1038" s="27" t="s">
        <v>579</v>
      </c>
      <c r="M1038" s="28" t="n">
        <f aca="false">IF(AND(L1038="Oui",K1038="Principal"),I1038*J1038,0)</f>
        <v>0</v>
      </c>
      <c r="N1038" s="27" t="s">
        <v>128</v>
      </c>
      <c r="O1038" s="27" t="s">
        <v>753</v>
      </c>
      <c r="P1038" s="27"/>
      <c r="Q1038" s="27"/>
      <c r="R1038" s="28"/>
      <c r="S1038" s="28" t="n">
        <f aca="false">IF(AND(L1038="Oui",K1038="Principal",R1038&lt;&gt;""),I1038*R1038,0)</f>
        <v>0</v>
      </c>
      <c r="T1038" s="28" t="n">
        <f aca="false">IF(R1038&lt;&gt;"",M1038-S1038,0)</f>
        <v>0</v>
      </c>
      <c r="U1038" s="28" t="n">
        <f aca="false">IF(R1038="",M1038,0)</f>
        <v>0</v>
      </c>
    </row>
    <row r="1039" customFormat="false" ht="15" hidden="false" customHeight="false" outlineLevel="0" collapsed="false">
      <c r="A1039" s="25" t="s">
        <v>65</v>
      </c>
      <c r="B1039" s="25" t="s">
        <v>66</v>
      </c>
      <c r="C1039" s="25" t="s">
        <v>48</v>
      </c>
      <c r="D1039" s="25" t="n">
        <v>1</v>
      </c>
      <c r="E1039" s="25" t="s">
        <v>544</v>
      </c>
      <c r="F1039" s="25" t="s">
        <v>295</v>
      </c>
      <c r="G1039" s="25" t="n">
        <v>1618</v>
      </c>
      <c r="H1039" s="25" t="s">
        <v>600</v>
      </c>
      <c r="I1039" s="25" t="n">
        <v>1</v>
      </c>
      <c r="J1039" s="26" t="n">
        <v>450</v>
      </c>
      <c r="K1039" s="25" t="s">
        <v>546</v>
      </c>
      <c r="L1039" s="25" t="s">
        <v>547</v>
      </c>
      <c r="M1039" s="26" t="n">
        <f aca="false">IF(AND(L1039="Oui",K1039="Principal"),I1039*J1039,0)</f>
        <v>450</v>
      </c>
      <c r="N1039" s="25" t="s">
        <v>548</v>
      </c>
      <c r="O1039" s="25"/>
      <c r="P1039" s="25" t="s">
        <v>556</v>
      </c>
      <c r="Q1039" s="25" t="s">
        <v>557</v>
      </c>
      <c r="R1039" s="26" t="n">
        <v>350</v>
      </c>
      <c r="S1039" s="26" t="n">
        <f aca="false">IF(AND(L1039="Oui",K1039="Principal",R1039&lt;&gt;""),I1039*R1039,0)</f>
        <v>350</v>
      </c>
      <c r="T1039" s="26" t="n">
        <f aca="false">IF(R1039&lt;&gt;"",M1039-S1039,0)</f>
        <v>100</v>
      </c>
      <c r="U1039" s="26" t="n">
        <f aca="false">IF(R1039="",M1039,0)</f>
        <v>0</v>
      </c>
    </row>
    <row r="1040" customFormat="false" ht="15" hidden="false" customHeight="false" outlineLevel="0" collapsed="false">
      <c r="A1040" s="25" t="s">
        <v>65</v>
      </c>
      <c r="B1040" s="25" t="s">
        <v>66</v>
      </c>
      <c r="C1040" s="25" t="s">
        <v>48</v>
      </c>
      <c r="D1040" s="25" t="n">
        <v>2</v>
      </c>
      <c r="E1040" s="25" t="s">
        <v>544</v>
      </c>
      <c r="F1040" s="25" t="s">
        <v>296</v>
      </c>
      <c r="G1040" s="25" t="n">
        <v>1</v>
      </c>
      <c r="H1040" s="25" t="s">
        <v>681</v>
      </c>
      <c r="I1040" s="25" t="n">
        <v>4</v>
      </c>
      <c r="J1040" s="26" t="n">
        <v>500</v>
      </c>
      <c r="K1040" s="25" t="s">
        <v>546</v>
      </c>
      <c r="L1040" s="25" t="s">
        <v>547</v>
      </c>
      <c r="M1040" s="26" t="n">
        <f aca="false">IF(AND(L1040="Oui",K1040="Principal"),I1040*J1040,0)</f>
        <v>2000</v>
      </c>
      <c r="N1040" s="25" t="s">
        <v>548</v>
      </c>
      <c r="O1040" s="25"/>
      <c r="P1040" s="25" t="s">
        <v>559</v>
      </c>
      <c r="Q1040" s="25" t="s">
        <v>551</v>
      </c>
      <c r="R1040" s="26"/>
      <c r="S1040" s="26" t="n">
        <f aca="false">IF(AND(L1040="Oui",K1040="Principal",R1040&lt;&gt;""),I1040*R1040,0)</f>
        <v>0</v>
      </c>
      <c r="T1040" s="26" t="n">
        <f aca="false">IF(R1040&lt;&gt;"",M1040-S1040,0)</f>
        <v>0</v>
      </c>
      <c r="U1040" s="26" t="n">
        <f aca="false">IF(R1040="",M1040,0)</f>
        <v>2000</v>
      </c>
    </row>
    <row r="1041" customFormat="false" ht="15" hidden="false" customHeight="false" outlineLevel="0" collapsed="false">
      <c r="A1041" s="25" t="s">
        <v>65</v>
      </c>
      <c r="B1041" s="25" t="s">
        <v>66</v>
      </c>
      <c r="C1041" s="25" t="s">
        <v>48</v>
      </c>
      <c r="D1041" s="25" t="n">
        <v>3</v>
      </c>
      <c r="E1041" s="25" t="s">
        <v>544</v>
      </c>
      <c r="F1041" s="25" t="s">
        <v>298</v>
      </c>
      <c r="G1041" s="25" t="n">
        <v>1576</v>
      </c>
      <c r="H1041" s="25" t="s">
        <v>682</v>
      </c>
      <c r="I1041" s="25" t="n">
        <v>2</v>
      </c>
      <c r="J1041" s="26" t="n">
        <v>500</v>
      </c>
      <c r="K1041" s="25" t="s">
        <v>546</v>
      </c>
      <c r="L1041" s="25" t="s">
        <v>547</v>
      </c>
      <c r="M1041" s="26" t="n">
        <f aca="false">IF(AND(L1041="Oui",K1041="Principal"),I1041*J1041,0)</f>
        <v>1000</v>
      </c>
      <c r="N1041" s="25" t="s">
        <v>548</v>
      </c>
      <c r="O1041" s="25"/>
      <c r="P1041" s="25" t="s">
        <v>556</v>
      </c>
      <c r="Q1041" s="25" t="s">
        <v>557</v>
      </c>
      <c r="R1041" s="26" t="n">
        <v>400</v>
      </c>
      <c r="S1041" s="26" t="n">
        <f aca="false">IF(AND(L1041="Oui",K1041="Principal",R1041&lt;&gt;""),I1041*R1041,0)</f>
        <v>800</v>
      </c>
      <c r="T1041" s="26" t="n">
        <f aca="false">IF(R1041&lt;&gt;"",M1041-S1041,0)</f>
        <v>200</v>
      </c>
      <c r="U1041" s="26" t="n">
        <f aca="false">IF(R1041="",M1041,0)</f>
        <v>0</v>
      </c>
    </row>
    <row r="1042" customFormat="false" ht="15" hidden="false" customHeight="false" outlineLevel="0" collapsed="false">
      <c r="A1042" s="25" t="s">
        <v>65</v>
      </c>
      <c r="B1042" s="25" t="s">
        <v>66</v>
      </c>
      <c r="C1042" s="25" t="s">
        <v>48</v>
      </c>
      <c r="D1042" s="25" t="n">
        <v>4</v>
      </c>
      <c r="E1042" s="25" t="s">
        <v>544</v>
      </c>
      <c r="F1042" s="25" t="s">
        <v>338</v>
      </c>
      <c r="G1042" s="25" t="n">
        <v>2</v>
      </c>
      <c r="H1042" s="25" t="s">
        <v>705</v>
      </c>
      <c r="I1042" s="25" t="n">
        <v>4</v>
      </c>
      <c r="J1042" s="26" t="n">
        <v>900</v>
      </c>
      <c r="K1042" s="25" t="s">
        <v>546</v>
      </c>
      <c r="L1042" s="25" t="s">
        <v>547</v>
      </c>
      <c r="M1042" s="26" t="n">
        <f aca="false">IF(AND(L1042="Oui",K1042="Principal"),I1042*J1042,0)</f>
        <v>3600</v>
      </c>
      <c r="N1042" s="25" t="s">
        <v>548</v>
      </c>
      <c r="O1042" s="25"/>
      <c r="P1042" s="25" t="s">
        <v>559</v>
      </c>
      <c r="Q1042" s="25" t="s">
        <v>551</v>
      </c>
      <c r="R1042" s="26"/>
      <c r="S1042" s="26" t="n">
        <f aca="false">IF(AND(L1042="Oui",K1042="Principal",R1042&lt;&gt;""),I1042*R1042,0)</f>
        <v>0</v>
      </c>
      <c r="T1042" s="26" t="n">
        <f aca="false">IF(R1042&lt;&gt;"",M1042-S1042,0)</f>
        <v>0</v>
      </c>
      <c r="U1042" s="26" t="n">
        <f aca="false">IF(R1042="",M1042,0)</f>
        <v>3600</v>
      </c>
    </row>
    <row r="1043" customFormat="false" ht="15" hidden="false" customHeight="false" outlineLevel="0" collapsed="false">
      <c r="A1043" s="25" t="s">
        <v>65</v>
      </c>
      <c r="B1043" s="25" t="s">
        <v>66</v>
      </c>
      <c r="C1043" s="25" t="s">
        <v>48</v>
      </c>
      <c r="D1043" s="25" t="n">
        <v>5</v>
      </c>
      <c r="E1043" s="25" t="s">
        <v>544</v>
      </c>
      <c r="F1043" s="25" t="s">
        <v>301</v>
      </c>
      <c r="G1043" s="25" t="n">
        <v>1728</v>
      </c>
      <c r="H1043" s="25" t="s">
        <v>545</v>
      </c>
      <c r="I1043" s="25" t="n">
        <v>1</v>
      </c>
      <c r="J1043" s="26" t="n">
        <v>900</v>
      </c>
      <c r="K1043" s="25" t="s">
        <v>546</v>
      </c>
      <c r="L1043" s="25" t="s">
        <v>547</v>
      </c>
      <c r="M1043" s="26" t="n">
        <f aca="false">IF(AND(L1043="Oui",K1043="Principal"),I1043*J1043,0)</f>
        <v>900</v>
      </c>
      <c r="N1043" s="25" t="s">
        <v>548</v>
      </c>
      <c r="O1043" s="25"/>
      <c r="P1043" s="25" t="s">
        <v>550</v>
      </c>
      <c r="Q1043" s="25" t="s">
        <v>551</v>
      </c>
      <c r="R1043" s="26"/>
      <c r="S1043" s="26" t="n">
        <f aca="false">IF(AND(L1043="Oui",K1043="Principal",R1043&lt;&gt;""),I1043*R1043,0)</f>
        <v>0</v>
      </c>
      <c r="T1043" s="26" t="n">
        <f aca="false">IF(R1043&lt;&gt;"",M1043-S1043,0)</f>
        <v>0</v>
      </c>
      <c r="U1043" s="26" t="n">
        <f aca="false">IF(R1043="",M1043,0)</f>
        <v>900</v>
      </c>
    </row>
    <row r="1044" customFormat="false" ht="15" hidden="false" customHeight="false" outlineLevel="0" collapsed="false">
      <c r="A1044" s="25" t="s">
        <v>65</v>
      </c>
      <c r="B1044" s="25" t="s">
        <v>66</v>
      </c>
      <c r="C1044" s="25" t="s">
        <v>48</v>
      </c>
      <c r="D1044" s="25" t="n">
        <v>6</v>
      </c>
      <c r="E1044" s="25" t="s">
        <v>563</v>
      </c>
      <c r="F1044" s="25" t="s">
        <v>255</v>
      </c>
      <c r="G1044" s="25" t="n">
        <v>1636</v>
      </c>
      <c r="H1044" s="25" t="s">
        <v>661</v>
      </c>
      <c r="I1044" s="25" t="n">
        <v>1</v>
      </c>
      <c r="J1044" s="26" t="n">
        <v>400</v>
      </c>
      <c r="K1044" s="25" t="s">
        <v>546</v>
      </c>
      <c r="L1044" s="25" t="s">
        <v>547</v>
      </c>
      <c r="M1044" s="26" t="n">
        <f aca="false">IF(AND(L1044="Oui",K1044="Principal"),I1044*J1044,0)</f>
        <v>400</v>
      </c>
      <c r="N1044" s="25" t="s">
        <v>548</v>
      </c>
      <c r="O1044" s="25"/>
      <c r="P1044" s="25" t="s">
        <v>556</v>
      </c>
      <c r="Q1044" s="25" t="s">
        <v>557</v>
      </c>
      <c r="R1044" s="26" t="n">
        <v>320</v>
      </c>
      <c r="S1044" s="26" t="n">
        <f aca="false">IF(AND(L1044="Oui",K1044="Principal",R1044&lt;&gt;""),I1044*R1044,0)</f>
        <v>320</v>
      </c>
      <c r="T1044" s="26" t="n">
        <f aca="false">IF(R1044&lt;&gt;"",M1044-S1044,0)</f>
        <v>80</v>
      </c>
      <c r="U1044" s="26" t="n">
        <f aca="false">IF(R1044="",M1044,0)</f>
        <v>0</v>
      </c>
    </row>
    <row r="1045" customFormat="false" ht="15" hidden="false" customHeight="false" outlineLevel="0" collapsed="false">
      <c r="A1045" s="25" t="s">
        <v>65</v>
      </c>
      <c r="B1045" s="25" t="s">
        <v>66</v>
      </c>
      <c r="C1045" s="25" t="s">
        <v>48</v>
      </c>
      <c r="D1045" s="25" t="n">
        <v>7</v>
      </c>
      <c r="E1045" s="25" t="s">
        <v>563</v>
      </c>
      <c r="F1045" s="25" t="s">
        <v>257</v>
      </c>
      <c r="G1045" s="25" t="n">
        <v>1635</v>
      </c>
      <c r="H1045" s="25" t="s">
        <v>607</v>
      </c>
      <c r="I1045" s="25" t="n">
        <v>1</v>
      </c>
      <c r="J1045" s="26" t="n">
        <v>100</v>
      </c>
      <c r="K1045" s="25" t="s">
        <v>546</v>
      </c>
      <c r="L1045" s="25" t="s">
        <v>547</v>
      </c>
      <c r="M1045" s="26" t="n">
        <f aca="false">IF(AND(L1045="Oui",K1045="Principal"),I1045*J1045,0)</f>
        <v>100</v>
      </c>
      <c r="N1045" s="25" t="s">
        <v>548</v>
      </c>
      <c r="O1045" s="25"/>
      <c r="P1045" s="25" t="s">
        <v>556</v>
      </c>
      <c r="Q1045" s="25" t="s">
        <v>557</v>
      </c>
      <c r="R1045" s="26" t="n">
        <v>80</v>
      </c>
      <c r="S1045" s="26" t="n">
        <f aca="false">IF(AND(L1045="Oui",K1045="Principal",R1045&lt;&gt;""),I1045*R1045,0)</f>
        <v>80</v>
      </c>
      <c r="T1045" s="26" t="n">
        <f aca="false">IF(R1045&lt;&gt;"",M1045-S1045,0)</f>
        <v>20</v>
      </c>
      <c r="U1045" s="26" t="n">
        <f aca="false">IF(R1045="",M1045,0)</f>
        <v>0</v>
      </c>
    </row>
    <row r="1046" customFormat="false" ht="15" hidden="false" customHeight="false" outlineLevel="0" collapsed="false">
      <c r="A1046" s="25" t="s">
        <v>65</v>
      </c>
      <c r="B1046" s="25" t="s">
        <v>66</v>
      </c>
      <c r="C1046" s="25" t="s">
        <v>48</v>
      </c>
      <c r="D1046" s="25" t="n">
        <v>8</v>
      </c>
      <c r="E1046" s="25" t="s">
        <v>563</v>
      </c>
      <c r="F1046" s="25" t="s">
        <v>97</v>
      </c>
      <c r="G1046" s="25" t="n">
        <v>1571</v>
      </c>
      <c r="H1046" s="25" t="s">
        <v>564</v>
      </c>
      <c r="I1046" s="25" t="n">
        <v>2</v>
      </c>
      <c r="J1046" s="26" t="n">
        <v>75</v>
      </c>
      <c r="K1046" s="25" t="s">
        <v>546</v>
      </c>
      <c r="L1046" s="25" t="s">
        <v>547</v>
      </c>
      <c r="M1046" s="26" t="n">
        <f aca="false">IF(AND(L1046="Oui",K1046="Principal"),I1046*J1046,0)</f>
        <v>150</v>
      </c>
      <c r="N1046" s="25" t="s">
        <v>548</v>
      </c>
      <c r="O1046" s="25"/>
      <c r="P1046" s="25" t="s">
        <v>550</v>
      </c>
      <c r="Q1046" s="25" t="s">
        <v>557</v>
      </c>
      <c r="R1046" s="26"/>
      <c r="S1046" s="26" t="n">
        <f aca="false">IF(AND(L1046="Oui",K1046="Principal",R1046&lt;&gt;""),I1046*R1046,0)</f>
        <v>0</v>
      </c>
      <c r="T1046" s="26" t="n">
        <f aca="false">IF(R1046&lt;&gt;"",M1046-S1046,0)</f>
        <v>0</v>
      </c>
      <c r="U1046" s="26" t="n">
        <f aca="false">IF(R1046="",M1046,0)</f>
        <v>150</v>
      </c>
    </row>
    <row r="1047" customFormat="false" ht="15" hidden="false" customHeight="false" outlineLevel="0" collapsed="false">
      <c r="A1047" s="25" t="s">
        <v>65</v>
      </c>
      <c r="B1047" s="25" t="s">
        <v>66</v>
      </c>
      <c r="C1047" s="25" t="s">
        <v>48</v>
      </c>
      <c r="D1047" s="25" t="n">
        <v>9</v>
      </c>
      <c r="E1047" s="25" t="s">
        <v>563</v>
      </c>
      <c r="F1047" s="25" t="s">
        <v>325</v>
      </c>
      <c r="G1047" s="25" t="n">
        <v>1248</v>
      </c>
      <c r="H1047" s="25" t="s">
        <v>697</v>
      </c>
      <c r="I1047" s="25" t="n">
        <v>1</v>
      </c>
      <c r="J1047" s="26" t="n">
        <v>400</v>
      </c>
      <c r="K1047" s="25" t="s">
        <v>546</v>
      </c>
      <c r="L1047" s="25" t="s">
        <v>547</v>
      </c>
      <c r="M1047" s="26" t="n">
        <f aca="false">IF(AND(L1047="Oui",K1047="Principal"),I1047*J1047,0)</f>
        <v>400</v>
      </c>
      <c r="N1047" s="25" t="s">
        <v>548</v>
      </c>
      <c r="O1047" s="25"/>
      <c r="P1047" s="25" t="s">
        <v>550</v>
      </c>
      <c r="Q1047" s="25" t="s">
        <v>557</v>
      </c>
      <c r="R1047" s="26" t="n">
        <v>250</v>
      </c>
      <c r="S1047" s="26" t="n">
        <f aca="false">IF(AND(L1047="Oui",K1047="Principal",R1047&lt;&gt;""),I1047*R1047,0)</f>
        <v>250</v>
      </c>
      <c r="T1047" s="26" t="n">
        <f aca="false">IF(R1047&lt;&gt;"",M1047-S1047,0)</f>
        <v>150</v>
      </c>
      <c r="U1047" s="26" t="n">
        <f aca="false">IF(R1047="",M1047,0)</f>
        <v>0</v>
      </c>
    </row>
    <row r="1048" customFormat="false" ht="15" hidden="false" customHeight="false" outlineLevel="0" collapsed="false">
      <c r="A1048" s="25" t="s">
        <v>65</v>
      </c>
      <c r="B1048" s="25" t="s">
        <v>66</v>
      </c>
      <c r="C1048" s="25" t="s">
        <v>48</v>
      </c>
      <c r="D1048" s="25" t="n">
        <v>10</v>
      </c>
      <c r="E1048" s="25" t="s">
        <v>565</v>
      </c>
      <c r="F1048" s="25" t="s">
        <v>99</v>
      </c>
      <c r="G1048" s="25" t="n">
        <v>9</v>
      </c>
      <c r="H1048" s="25" t="s">
        <v>566</v>
      </c>
      <c r="I1048" s="25" t="n">
        <v>1</v>
      </c>
      <c r="J1048" s="26" t="n">
        <v>150</v>
      </c>
      <c r="K1048" s="25" t="s">
        <v>546</v>
      </c>
      <c r="L1048" s="25" t="s">
        <v>547</v>
      </c>
      <c r="M1048" s="26" t="n">
        <f aca="false">IF(AND(L1048="Oui",K1048="Principal"),I1048*J1048,0)</f>
        <v>150</v>
      </c>
      <c r="N1048" s="25" t="s">
        <v>548</v>
      </c>
      <c r="O1048" s="25"/>
      <c r="P1048" s="25" t="s">
        <v>559</v>
      </c>
      <c r="Q1048" s="25" t="s">
        <v>551</v>
      </c>
      <c r="R1048" s="26"/>
      <c r="S1048" s="26" t="n">
        <f aca="false">IF(AND(L1048="Oui",K1048="Principal",R1048&lt;&gt;""),I1048*R1048,0)</f>
        <v>0</v>
      </c>
      <c r="T1048" s="26" t="n">
        <f aca="false">IF(R1048&lt;&gt;"",M1048-S1048,0)</f>
        <v>0</v>
      </c>
      <c r="U1048" s="26" t="n">
        <f aca="false">IF(R1048="",M1048,0)</f>
        <v>150</v>
      </c>
    </row>
    <row r="1049" customFormat="false" ht="15" hidden="false" customHeight="false" outlineLevel="0" collapsed="false">
      <c r="A1049" s="25" t="s">
        <v>65</v>
      </c>
      <c r="B1049" s="25" t="s">
        <v>66</v>
      </c>
      <c r="C1049" s="25" t="s">
        <v>48</v>
      </c>
      <c r="D1049" s="25" t="n">
        <v>11</v>
      </c>
      <c r="E1049" s="25" t="s">
        <v>565</v>
      </c>
      <c r="F1049" s="25" t="s">
        <v>164</v>
      </c>
      <c r="G1049" s="25" t="n">
        <v>10</v>
      </c>
      <c r="H1049" s="25" t="s">
        <v>608</v>
      </c>
      <c r="I1049" s="25" t="n">
        <v>1</v>
      </c>
      <c r="J1049" s="26" t="n">
        <v>200</v>
      </c>
      <c r="K1049" s="25" t="s">
        <v>546</v>
      </c>
      <c r="L1049" s="25" t="s">
        <v>547</v>
      </c>
      <c r="M1049" s="26" t="n">
        <f aca="false">IF(AND(L1049="Oui",K1049="Principal"),I1049*J1049,0)</f>
        <v>200</v>
      </c>
      <c r="N1049" s="25" t="s">
        <v>548</v>
      </c>
      <c r="O1049" s="25"/>
      <c r="P1049" s="25" t="s">
        <v>559</v>
      </c>
      <c r="Q1049" s="25" t="s">
        <v>551</v>
      </c>
      <c r="R1049" s="26"/>
      <c r="S1049" s="26" t="n">
        <f aca="false">IF(AND(L1049="Oui",K1049="Principal",R1049&lt;&gt;""),I1049*R1049,0)</f>
        <v>0</v>
      </c>
      <c r="T1049" s="26" t="n">
        <f aca="false">IF(R1049&lt;&gt;"",M1049-S1049,0)</f>
        <v>0</v>
      </c>
      <c r="U1049" s="26" t="n">
        <f aca="false">IF(R1049="",M1049,0)</f>
        <v>200</v>
      </c>
    </row>
    <row r="1050" customFormat="false" ht="15" hidden="false" customHeight="false" outlineLevel="0" collapsed="false">
      <c r="A1050" s="25" t="s">
        <v>65</v>
      </c>
      <c r="B1050" s="25" t="s">
        <v>66</v>
      </c>
      <c r="C1050" s="25" t="s">
        <v>48</v>
      </c>
      <c r="D1050" s="25" t="n">
        <v>12</v>
      </c>
      <c r="E1050" s="25" t="s">
        <v>565</v>
      </c>
      <c r="F1050" s="25" t="s">
        <v>166</v>
      </c>
      <c r="G1050" s="25" t="n">
        <v>1173</v>
      </c>
      <c r="H1050" s="25" t="s">
        <v>569</v>
      </c>
      <c r="I1050" s="25" t="n">
        <v>1</v>
      </c>
      <c r="J1050" s="26" t="n">
        <v>570</v>
      </c>
      <c r="K1050" s="25" t="s">
        <v>546</v>
      </c>
      <c r="L1050" s="25" t="s">
        <v>547</v>
      </c>
      <c r="M1050" s="26" t="n">
        <f aca="false">IF(AND(L1050="Oui",K1050="Principal"),I1050*J1050,0)</f>
        <v>570</v>
      </c>
      <c r="N1050" s="25" t="s">
        <v>548</v>
      </c>
      <c r="O1050" s="25"/>
      <c r="P1050" s="25" t="s">
        <v>550</v>
      </c>
      <c r="Q1050" s="25" t="s">
        <v>557</v>
      </c>
      <c r="R1050" s="26" t="n">
        <v>420</v>
      </c>
      <c r="S1050" s="26" t="n">
        <f aca="false">IF(AND(L1050="Oui",K1050="Principal",R1050&lt;&gt;""),I1050*R1050,0)</f>
        <v>420</v>
      </c>
      <c r="T1050" s="26" t="n">
        <f aca="false">IF(R1050&lt;&gt;"",M1050-S1050,0)</f>
        <v>150</v>
      </c>
      <c r="U1050" s="26" t="n">
        <f aca="false">IF(R1050="",M1050,0)</f>
        <v>0</v>
      </c>
    </row>
    <row r="1051" customFormat="false" ht="15" hidden="false" customHeight="false" outlineLevel="0" collapsed="false">
      <c r="A1051" s="25" t="s">
        <v>65</v>
      </c>
      <c r="B1051" s="25" t="s">
        <v>66</v>
      </c>
      <c r="C1051" s="25" t="s">
        <v>48</v>
      </c>
      <c r="D1051" s="25" t="n">
        <v>13</v>
      </c>
      <c r="E1051" s="25" t="s">
        <v>565</v>
      </c>
      <c r="F1051" s="25" t="s">
        <v>304</v>
      </c>
      <c r="G1051" s="25" t="n">
        <v>1250</v>
      </c>
      <c r="H1051" s="25" t="s">
        <v>570</v>
      </c>
      <c r="I1051" s="25" t="n">
        <v>1</v>
      </c>
      <c r="J1051" s="26" t="n">
        <v>250</v>
      </c>
      <c r="K1051" s="25" t="s">
        <v>546</v>
      </c>
      <c r="L1051" s="25" t="s">
        <v>547</v>
      </c>
      <c r="M1051" s="26" t="n">
        <f aca="false">IF(AND(L1051="Oui",K1051="Principal"),I1051*J1051,0)</f>
        <v>250</v>
      </c>
      <c r="N1051" s="25" t="s">
        <v>548</v>
      </c>
      <c r="O1051" s="25"/>
      <c r="P1051" s="25" t="s">
        <v>550</v>
      </c>
      <c r="Q1051" s="25" t="s">
        <v>557</v>
      </c>
      <c r="R1051" s="26" t="n">
        <v>100</v>
      </c>
      <c r="S1051" s="26" t="n">
        <f aca="false">IF(AND(L1051="Oui",K1051="Principal",R1051&lt;&gt;""),I1051*R1051,0)</f>
        <v>100</v>
      </c>
      <c r="T1051" s="26" t="n">
        <f aca="false">IF(R1051&lt;&gt;"",M1051-S1051,0)</f>
        <v>150</v>
      </c>
      <c r="U1051" s="26" t="n">
        <f aca="false">IF(R1051="",M1051,0)</f>
        <v>0</v>
      </c>
    </row>
    <row r="1052" customFormat="false" ht="15" hidden="false" customHeight="false" outlineLevel="0" collapsed="false">
      <c r="A1052" s="33" t="s">
        <v>65</v>
      </c>
      <c r="B1052" s="33" t="s">
        <v>66</v>
      </c>
      <c r="C1052" s="33" t="s">
        <v>48</v>
      </c>
      <c r="D1052" s="33" t="n">
        <v>14</v>
      </c>
      <c r="E1052" s="33" t="s">
        <v>609</v>
      </c>
      <c r="F1052" s="33" t="s">
        <v>199</v>
      </c>
      <c r="G1052" s="33" t="n">
        <v>1229</v>
      </c>
      <c r="H1052" s="33" t="s">
        <v>643</v>
      </c>
      <c r="I1052" s="33" t="n">
        <v>1</v>
      </c>
      <c r="J1052" s="34" t="n">
        <v>1800</v>
      </c>
      <c r="K1052" s="33" t="s">
        <v>546</v>
      </c>
      <c r="L1052" s="33" t="s">
        <v>547</v>
      </c>
      <c r="M1052" s="34" t="n">
        <f aca="false">IF(AND(L1052="Oui",K1052="Principal"),I1052*J1052,0)</f>
        <v>1800</v>
      </c>
      <c r="N1052" s="33" t="s">
        <v>182</v>
      </c>
      <c r="O1052" s="33" t="s">
        <v>644</v>
      </c>
      <c r="P1052" s="33" t="s">
        <v>550</v>
      </c>
      <c r="Q1052" s="33" t="s">
        <v>557</v>
      </c>
      <c r="R1052" s="34" t="n">
        <v>1500</v>
      </c>
      <c r="S1052" s="34" t="n">
        <f aca="false">IF(AND(L1052="Oui",K1052="Principal",R1052&lt;&gt;""),I1052*R1052,0)</f>
        <v>1500</v>
      </c>
      <c r="T1052" s="34" t="n">
        <f aca="false">IF(R1052&lt;&gt;"",M1052-S1052,0)</f>
        <v>300</v>
      </c>
      <c r="U1052" s="34" t="n">
        <f aca="false">IF(R1052="",M1052,0)</f>
        <v>0</v>
      </c>
    </row>
    <row r="1053" customFormat="false" ht="15" hidden="false" customHeight="false" outlineLevel="0" collapsed="false">
      <c r="A1053" s="25" t="s">
        <v>65</v>
      </c>
      <c r="B1053" s="25" t="s">
        <v>66</v>
      </c>
      <c r="C1053" s="25" t="s">
        <v>48</v>
      </c>
      <c r="D1053" s="25" t="n">
        <v>15</v>
      </c>
      <c r="E1053" s="25" t="s">
        <v>573</v>
      </c>
      <c r="F1053" s="25" t="s">
        <v>176</v>
      </c>
      <c r="G1053" s="25" t="n">
        <v>19</v>
      </c>
      <c r="H1053" s="25" t="s">
        <v>615</v>
      </c>
      <c r="I1053" s="25" t="n">
        <v>1</v>
      </c>
      <c r="J1053" s="26" t="n">
        <v>2500</v>
      </c>
      <c r="K1053" s="25" t="s">
        <v>546</v>
      </c>
      <c r="L1053" s="25" t="s">
        <v>547</v>
      </c>
      <c r="M1053" s="26" t="n">
        <f aca="false">IF(AND(L1053="Oui",K1053="Principal"),I1053*J1053,0)</f>
        <v>2500</v>
      </c>
      <c r="N1053" s="25" t="s">
        <v>548</v>
      </c>
      <c r="O1053" s="25"/>
      <c r="P1053" s="25" t="s">
        <v>559</v>
      </c>
      <c r="Q1053" s="25" t="s">
        <v>551</v>
      </c>
      <c r="R1053" s="26"/>
      <c r="S1053" s="26" t="n">
        <f aca="false">IF(AND(L1053="Oui",K1053="Principal",R1053&lt;&gt;""),I1053*R1053,0)</f>
        <v>0</v>
      </c>
      <c r="T1053" s="26" t="n">
        <f aca="false">IF(R1053&lt;&gt;"",M1053-S1053,0)</f>
        <v>0</v>
      </c>
      <c r="U1053" s="26" t="n">
        <f aca="false">IF(R1053="",M1053,0)</f>
        <v>2500</v>
      </c>
    </row>
    <row r="1054" customFormat="false" ht="15" hidden="false" customHeight="false" outlineLevel="0" collapsed="false">
      <c r="A1054" s="27" t="s">
        <v>65</v>
      </c>
      <c r="B1054" s="27" t="s">
        <v>66</v>
      </c>
      <c r="C1054" s="27" t="s">
        <v>48</v>
      </c>
      <c r="D1054" s="27" t="n">
        <v>16</v>
      </c>
      <c r="E1054" s="27" t="s">
        <v>689</v>
      </c>
      <c r="F1054" s="27" t="s">
        <v>427</v>
      </c>
      <c r="G1054" s="27"/>
      <c r="H1054" s="27" t="s">
        <v>585</v>
      </c>
      <c r="I1054" s="27" t="n">
        <v>1</v>
      </c>
      <c r="J1054" s="28" t="n">
        <v>0</v>
      </c>
      <c r="K1054" s="27" t="s">
        <v>618</v>
      </c>
      <c r="L1054" s="27" t="s">
        <v>579</v>
      </c>
      <c r="M1054" s="28" t="n">
        <f aca="false">IF(AND(L1054="Oui",K1054="Principal"),I1054*J1054,0)</f>
        <v>0</v>
      </c>
      <c r="N1054" s="27" t="s">
        <v>128</v>
      </c>
      <c r="O1054" s="27" t="s">
        <v>586</v>
      </c>
      <c r="P1054" s="27"/>
      <c r="Q1054" s="27"/>
      <c r="R1054" s="28"/>
      <c r="S1054" s="28" t="n">
        <f aca="false">IF(AND(L1054="Oui",K1054="Principal",R1054&lt;&gt;""),I1054*R1054,0)</f>
        <v>0</v>
      </c>
      <c r="T1054" s="28" t="n">
        <f aca="false">IF(R1054&lt;&gt;"",M1054-S1054,0)</f>
        <v>0</v>
      </c>
      <c r="U1054" s="28" t="n">
        <f aca="false">IF(R1054="",M1054,0)</f>
        <v>0</v>
      </c>
    </row>
    <row r="1055" customFormat="false" ht="15" hidden="false" customHeight="false" outlineLevel="0" collapsed="false">
      <c r="A1055" s="25" t="s">
        <v>65</v>
      </c>
      <c r="B1055" s="25" t="s">
        <v>66</v>
      </c>
      <c r="C1055" s="25" t="s">
        <v>48</v>
      </c>
      <c r="D1055" s="25" t="n">
        <v>17</v>
      </c>
      <c r="E1055" s="25" t="s">
        <v>689</v>
      </c>
      <c r="F1055" s="25" t="s">
        <v>428</v>
      </c>
      <c r="G1055" s="25" t="n">
        <v>1427</v>
      </c>
      <c r="H1055" s="25" t="s">
        <v>754</v>
      </c>
      <c r="I1055" s="25" t="n">
        <v>1</v>
      </c>
      <c r="J1055" s="26" t="n">
        <v>3900</v>
      </c>
      <c r="K1055" s="25" t="s">
        <v>618</v>
      </c>
      <c r="L1055" s="25" t="s">
        <v>579</v>
      </c>
      <c r="M1055" s="26" t="n">
        <f aca="false">IF(AND(L1055="Oui",K1055="Principal"),I1055*J1055,0)</f>
        <v>0</v>
      </c>
      <c r="N1055" s="25" t="s">
        <v>548</v>
      </c>
      <c r="O1055" s="25"/>
      <c r="P1055" s="25" t="s">
        <v>550</v>
      </c>
      <c r="Q1055" s="25" t="s">
        <v>557</v>
      </c>
      <c r="R1055" s="26" t="n">
        <v>2900</v>
      </c>
      <c r="S1055" s="26" t="n">
        <f aca="false">IF(AND(L1055="Oui",K1055="Principal",R1055&lt;&gt;""),I1055*R1055,0)</f>
        <v>0</v>
      </c>
      <c r="T1055" s="26" t="n">
        <f aca="false">IF(R1055&lt;&gt;"",M1055-S1055,0)</f>
        <v>0</v>
      </c>
      <c r="U1055" s="26" t="n">
        <f aca="false">IF(R1055="",M1055,0)</f>
        <v>0</v>
      </c>
    </row>
    <row r="1056" customFormat="false" ht="15" hidden="false" customHeight="false" outlineLevel="0" collapsed="false">
      <c r="A1056" s="25" t="s">
        <v>65</v>
      </c>
      <c r="B1056" s="25" t="s">
        <v>66</v>
      </c>
      <c r="C1056" s="25" t="s">
        <v>48</v>
      </c>
      <c r="D1056" s="25" t="n">
        <v>18</v>
      </c>
      <c r="E1056" s="25" t="s">
        <v>577</v>
      </c>
      <c r="F1056" s="25" t="s">
        <v>321</v>
      </c>
      <c r="G1056" s="25" t="n">
        <v>1192</v>
      </c>
      <c r="H1056" s="25" t="s">
        <v>694</v>
      </c>
      <c r="I1056" s="25" t="n">
        <v>1</v>
      </c>
      <c r="J1056" s="26" t="n">
        <v>7000</v>
      </c>
      <c r="K1056" s="25" t="s">
        <v>577</v>
      </c>
      <c r="L1056" s="25" t="s">
        <v>579</v>
      </c>
      <c r="M1056" s="26" t="n">
        <f aca="false">IF(AND(L1056="Oui",K1056="Principal"),I1056*J1056,0)</f>
        <v>0</v>
      </c>
      <c r="N1056" s="25" t="s">
        <v>548</v>
      </c>
      <c r="O1056" s="25"/>
      <c r="P1056" s="25" t="s">
        <v>550</v>
      </c>
      <c r="Q1056" s="25" t="s">
        <v>557</v>
      </c>
      <c r="R1056" s="26" t="n">
        <v>5500</v>
      </c>
      <c r="S1056" s="26" t="n">
        <f aca="false">IF(AND(L1056="Oui",K1056="Principal",R1056&lt;&gt;""),I1056*R1056,0)</f>
        <v>0</v>
      </c>
      <c r="T1056" s="26" t="n">
        <f aca="false">IF(R1056&lt;&gt;"",M1056-S1056,0)</f>
        <v>0</v>
      </c>
      <c r="U1056" s="26" t="n">
        <f aca="false">IF(R1056="",M1056,0)</f>
        <v>0</v>
      </c>
    </row>
    <row r="1057" customFormat="false" ht="15" hidden="false" customHeight="false" outlineLevel="0" collapsed="false">
      <c r="A1057" s="25" t="s">
        <v>65</v>
      </c>
      <c r="B1057" s="25" t="s">
        <v>66</v>
      </c>
      <c r="C1057" s="25" t="s">
        <v>49</v>
      </c>
      <c r="D1057" s="25" t="n">
        <v>1</v>
      </c>
      <c r="E1057" s="25" t="s">
        <v>544</v>
      </c>
      <c r="F1057" s="25" t="s">
        <v>295</v>
      </c>
      <c r="G1057" s="25" t="n">
        <v>1618</v>
      </c>
      <c r="H1057" s="25" t="s">
        <v>600</v>
      </c>
      <c r="I1057" s="25" t="n">
        <v>1</v>
      </c>
      <c r="J1057" s="26" t="n">
        <v>450</v>
      </c>
      <c r="K1057" s="25" t="s">
        <v>546</v>
      </c>
      <c r="L1057" s="25" t="s">
        <v>547</v>
      </c>
      <c r="M1057" s="26" t="n">
        <f aca="false">IF(AND(L1057="Oui",K1057="Principal"),I1057*J1057,0)</f>
        <v>450</v>
      </c>
      <c r="N1057" s="25" t="s">
        <v>548</v>
      </c>
      <c r="O1057" s="25"/>
      <c r="P1057" s="25" t="s">
        <v>556</v>
      </c>
      <c r="Q1057" s="25" t="s">
        <v>557</v>
      </c>
      <c r="R1057" s="26" t="n">
        <v>350</v>
      </c>
      <c r="S1057" s="26" t="n">
        <f aca="false">IF(AND(L1057="Oui",K1057="Principal",R1057&lt;&gt;""),I1057*R1057,0)</f>
        <v>350</v>
      </c>
      <c r="T1057" s="26" t="n">
        <f aca="false">IF(R1057&lt;&gt;"",M1057-S1057,0)</f>
        <v>100</v>
      </c>
      <c r="U1057" s="26" t="n">
        <f aca="false">IF(R1057="",M1057,0)</f>
        <v>0</v>
      </c>
    </row>
    <row r="1058" customFormat="false" ht="15" hidden="false" customHeight="false" outlineLevel="0" collapsed="false">
      <c r="A1058" s="25" t="s">
        <v>65</v>
      </c>
      <c r="B1058" s="25" t="s">
        <v>66</v>
      </c>
      <c r="C1058" s="25" t="s">
        <v>49</v>
      </c>
      <c r="D1058" s="25" t="n">
        <v>2</v>
      </c>
      <c r="E1058" s="25" t="s">
        <v>544</v>
      </c>
      <c r="F1058" s="25" t="s">
        <v>296</v>
      </c>
      <c r="G1058" s="25" t="n">
        <v>1</v>
      </c>
      <c r="H1058" s="25" t="s">
        <v>681</v>
      </c>
      <c r="I1058" s="25" t="n">
        <v>4</v>
      </c>
      <c r="J1058" s="26" t="n">
        <v>500</v>
      </c>
      <c r="K1058" s="25" t="s">
        <v>546</v>
      </c>
      <c r="L1058" s="25" t="s">
        <v>547</v>
      </c>
      <c r="M1058" s="26" t="n">
        <f aca="false">IF(AND(L1058="Oui",K1058="Principal"),I1058*J1058,0)</f>
        <v>2000</v>
      </c>
      <c r="N1058" s="25" t="s">
        <v>548</v>
      </c>
      <c r="O1058" s="25"/>
      <c r="P1058" s="25" t="s">
        <v>559</v>
      </c>
      <c r="Q1058" s="25" t="s">
        <v>551</v>
      </c>
      <c r="R1058" s="26"/>
      <c r="S1058" s="26" t="n">
        <f aca="false">IF(AND(L1058="Oui",K1058="Principal",R1058&lt;&gt;""),I1058*R1058,0)</f>
        <v>0</v>
      </c>
      <c r="T1058" s="26" t="n">
        <f aca="false">IF(R1058&lt;&gt;"",M1058-S1058,0)</f>
        <v>0</v>
      </c>
      <c r="U1058" s="26" t="n">
        <f aca="false">IF(R1058="",M1058,0)</f>
        <v>2000</v>
      </c>
    </row>
    <row r="1059" customFormat="false" ht="15" hidden="false" customHeight="false" outlineLevel="0" collapsed="false">
      <c r="A1059" s="25" t="s">
        <v>65</v>
      </c>
      <c r="B1059" s="25" t="s">
        <v>66</v>
      </c>
      <c r="C1059" s="25" t="s">
        <v>49</v>
      </c>
      <c r="D1059" s="25" t="n">
        <v>3</v>
      </c>
      <c r="E1059" s="25" t="s">
        <v>544</v>
      </c>
      <c r="F1059" s="25" t="s">
        <v>298</v>
      </c>
      <c r="G1059" s="25" t="n">
        <v>1616</v>
      </c>
      <c r="H1059" s="25" t="s">
        <v>695</v>
      </c>
      <c r="I1059" s="25" t="n">
        <v>2</v>
      </c>
      <c r="J1059" s="26" t="n">
        <v>900</v>
      </c>
      <c r="K1059" s="25" t="s">
        <v>546</v>
      </c>
      <c r="L1059" s="25" t="s">
        <v>547</v>
      </c>
      <c r="M1059" s="26" t="n">
        <f aca="false">IF(AND(L1059="Oui",K1059="Principal"),I1059*J1059,0)</f>
        <v>1800</v>
      </c>
      <c r="N1059" s="25" t="s">
        <v>548</v>
      </c>
      <c r="O1059" s="25"/>
      <c r="P1059" s="25" t="s">
        <v>556</v>
      </c>
      <c r="Q1059" s="25" t="s">
        <v>557</v>
      </c>
      <c r="R1059" s="26" t="n">
        <v>800</v>
      </c>
      <c r="S1059" s="26" t="n">
        <f aca="false">IF(AND(L1059="Oui",K1059="Principal",R1059&lt;&gt;""),I1059*R1059,0)</f>
        <v>1600</v>
      </c>
      <c r="T1059" s="26" t="n">
        <f aca="false">IF(R1059&lt;&gt;"",M1059-S1059,0)</f>
        <v>200</v>
      </c>
      <c r="U1059" s="26" t="n">
        <f aca="false">IF(R1059="",M1059,0)</f>
        <v>0</v>
      </c>
    </row>
    <row r="1060" customFormat="false" ht="15" hidden="false" customHeight="false" outlineLevel="0" collapsed="false">
      <c r="A1060" s="25" t="s">
        <v>65</v>
      </c>
      <c r="B1060" s="25" t="s">
        <v>66</v>
      </c>
      <c r="C1060" s="25" t="s">
        <v>49</v>
      </c>
      <c r="D1060" s="25" t="n">
        <v>4</v>
      </c>
      <c r="E1060" s="25" t="s">
        <v>544</v>
      </c>
      <c r="F1060" s="25" t="s">
        <v>338</v>
      </c>
      <c r="G1060" s="25" t="n">
        <v>1715</v>
      </c>
      <c r="H1060" s="25" t="s">
        <v>713</v>
      </c>
      <c r="I1060" s="25" t="n">
        <v>4</v>
      </c>
      <c r="J1060" s="26" t="n">
        <v>1600</v>
      </c>
      <c r="K1060" s="25" t="s">
        <v>546</v>
      </c>
      <c r="L1060" s="25" t="s">
        <v>547</v>
      </c>
      <c r="M1060" s="26" t="n">
        <f aca="false">IF(AND(L1060="Oui",K1060="Principal"),I1060*J1060,0)</f>
        <v>6400</v>
      </c>
      <c r="N1060" s="25" t="s">
        <v>548</v>
      </c>
      <c r="O1060" s="25"/>
      <c r="P1060" s="25" t="s">
        <v>550</v>
      </c>
      <c r="Q1060" s="25" t="s">
        <v>557</v>
      </c>
      <c r="R1060" s="26" t="n">
        <v>1300</v>
      </c>
      <c r="S1060" s="26" t="n">
        <f aca="false">IF(AND(L1060="Oui",K1060="Principal",R1060&lt;&gt;""),I1060*R1060,0)</f>
        <v>5200</v>
      </c>
      <c r="T1060" s="26" t="n">
        <f aca="false">IF(R1060&lt;&gt;"",M1060-S1060,0)</f>
        <v>1200</v>
      </c>
      <c r="U1060" s="26" t="n">
        <f aca="false">IF(R1060="",M1060,0)</f>
        <v>0</v>
      </c>
    </row>
    <row r="1061" customFormat="false" ht="15" hidden="false" customHeight="false" outlineLevel="0" collapsed="false">
      <c r="A1061" s="25" t="s">
        <v>65</v>
      </c>
      <c r="B1061" s="25" t="s">
        <v>66</v>
      </c>
      <c r="C1061" s="25" t="s">
        <v>49</v>
      </c>
      <c r="D1061" s="25" t="n">
        <v>5</v>
      </c>
      <c r="E1061" s="25" t="s">
        <v>544</v>
      </c>
      <c r="F1061" s="25" t="s">
        <v>301</v>
      </c>
      <c r="G1061" s="25" t="n">
        <v>1728</v>
      </c>
      <c r="H1061" s="25" t="s">
        <v>545</v>
      </c>
      <c r="I1061" s="25" t="n">
        <v>1</v>
      </c>
      <c r="J1061" s="26" t="n">
        <v>900</v>
      </c>
      <c r="K1061" s="25" t="s">
        <v>546</v>
      </c>
      <c r="L1061" s="25" t="s">
        <v>547</v>
      </c>
      <c r="M1061" s="26" t="n">
        <f aca="false">IF(AND(L1061="Oui",K1061="Principal"),I1061*J1061,0)</f>
        <v>900</v>
      </c>
      <c r="N1061" s="25" t="s">
        <v>548</v>
      </c>
      <c r="O1061" s="25"/>
      <c r="P1061" s="25" t="s">
        <v>550</v>
      </c>
      <c r="Q1061" s="25" t="s">
        <v>551</v>
      </c>
      <c r="R1061" s="26"/>
      <c r="S1061" s="26" t="n">
        <f aca="false">IF(AND(L1061="Oui",K1061="Principal",R1061&lt;&gt;""),I1061*R1061,0)</f>
        <v>0</v>
      </c>
      <c r="T1061" s="26" t="n">
        <f aca="false">IF(R1061&lt;&gt;"",M1061-S1061,0)</f>
        <v>0</v>
      </c>
      <c r="U1061" s="26" t="n">
        <f aca="false">IF(R1061="",M1061,0)</f>
        <v>900</v>
      </c>
    </row>
    <row r="1062" customFormat="false" ht="15" hidden="false" customHeight="false" outlineLevel="0" collapsed="false">
      <c r="A1062" s="25" t="s">
        <v>65</v>
      </c>
      <c r="B1062" s="25" t="s">
        <v>66</v>
      </c>
      <c r="C1062" s="25" t="s">
        <v>49</v>
      </c>
      <c r="D1062" s="25" t="n">
        <v>6</v>
      </c>
      <c r="E1062" s="25" t="s">
        <v>563</v>
      </c>
      <c r="F1062" s="25" t="s">
        <v>255</v>
      </c>
      <c r="G1062" s="25" t="n">
        <v>1636</v>
      </c>
      <c r="H1062" s="25" t="s">
        <v>661</v>
      </c>
      <c r="I1062" s="25" t="n">
        <v>1</v>
      </c>
      <c r="J1062" s="26" t="n">
        <v>400</v>
      </c>
      <c r="K1062" s="25" t="s">
        <v>546</v>
      </c>
      <c r="L1062" s="25" t="s">
        <v>547</v>
      </c>
      <c r="M1062" s="26" t="n">
        <f aca="false">IF(AND(L1062="Oui",K1062="Principal"),I1062*J1062,0)</f>
        <v>400</v>
      </c>
      <c r="N1062" s="25" t="s">
        <v>548</v>
      </c>
      <c r="O1062" s="25"/>
      <c r="P1062" s="25" t="s">
        <v>556</v>
      </c>
      <c r="Q1062" s="25" t="s">
        <v>557</v>
      </c>
      <c r="R1062" s="26" t="n">
        <v>320</v>
      </c>
      <c r="S1062" s="26" t="n">
        <f aca="false">IF(AND(L1062="Oui",K1062="Principal",R1062&lt;&gt;""),I1062*R1062,0)</f>
        <v>320</v>
      </c>
      <c r="T1062" s="26" t="n">
        <f aca="false">IF(R1062&lt;&gt;"",M1062-S1062,0)</f>
        <v>80</v>
      </c>
      <c r="U1062" s="26" t="n">
        <f aca="false">IF(R1062="",M1062,0)</f>
        <v>0</v>
      </c>
    </row>
    <row r="1063" customFormat="false" ht="15" hidden="false" customHeight="false" outlineLevel="0" collapsed="false">
      <c r="A1063" s="25" t="s">
        <v>65</v>
      </c>
      <c r="B1063" s="25" t="s">
        <v>66</v>
      </c>
      <c r="C1063" s="25" t="s">
        <v>49</v>
      </c>
      <c r="D1063" s="25" t="n">
        <v>7</v>
      </c>
      <c r="E1063" s="25" t="s">
        <v>563</v>
      </c>
      <c r="F1063" s="25" t="s">
        <v>257</v>
      </c>
      <c r="G1063" s="25" t="n">
        <v>1635</v>
      </c>
      <c r="H1063" s="25" t="s">
        <v>607</v>
      </c>
      <c r="I1063" s="25" t="n">
        <v>1</v>
      </c>
      <c r="J1063" s="26" t="n">
        <v>100</v>
      </c>
      <c r="K1063" s="25" t="s">
        <v>546</v>
      </c>
      <c r="L1063" s="25" t="s">
        <v>547</v>
      </c>
      <c r="M1063" s="26" t="n">
        <f aca="false">IF(AND(L1063="Oui",K1063="Principal"),I1063*J1063,0)</f>
        <v>100</v>
      </c>
      <c r="N1063" s="25" t="s">
        <v>548</v>
      </c>
      <c r="O1063" s="25"/>
      <c r="P1063" s="25" t="s">
        <v>556</v>
      </c>
      <c r="Q1063" s="25" t="s">
        <v>557</v>
      </c>
      <c r="R1063" s="26" t="n">
        <v>80</v>
      </c>
      <c r="S1063" s="26" t="n">
        <f aca="false">IF(AND(L1063="Oui",K1063="Principal",R1063&lt;&gt;""),I1063*R1063,0)</f>
        <v>80</v>
      </c>
      <c r="T1063" s="26" t="n">
        <f aca="false">IF(R1063&lt;&gt;"",M1063-S1063,0)</f>
        <v>20</v>
      </c>
      <c r="U1063" s="26" t="n">
        <f aca="false">IF(R1063="",M1063,0)</f>
        <v>0</v>
      </c>
    </row>
    <row r="1064" customFormat="false" ht="15" hidden="false" customHeight="false" outlineLevel="0" collapsed="false">
      <c r="A1064" s="25" t="s">
        <v>65</v>
      </c>
      <c r="B1064" s="25" t="s">
        <v>66</v>
      </c>
      <c r="C1064" s="25" t="s">
        <v>49</v>
      </c>
      <c r="D1064" s="25" t="n">
        <v>8</v>
      </c>
      <c r="E1064" s="25" t="s">
        <v>563</v>
      </c>
      <c r="F1064" s="25" t="s">
        <v>188</v>
      </c>
      <c r="G1064" s="25" t="n">
        <v>8</v>
      </c>
      <c r="H1064" s="25" t="s">
        <v>188</v>
      </c>
      <c r="I1064" s="25" t="n">
        <v>1</v>
      </c>
      <c r="J1064" s="26" t="n">
        <v>500</v>
      </c>
      <c r="K1064" s="25" t="s">
        <v>546</v>
      </c>
      <c r="L1064" s="25" t="s">
        <v>547</v>
      </c>
      <c r="M1064" s="26" t="n">
        <f aca="false">IF(AND(L1064="Oui",K1064="Principal"),I1064*J1064,0)</f>
        <v>500</v>
      </c>
      <c r="N1064" s="25" t="s">
        <v>548</v>
      </c>
      <c r="O1064" s="25"/>
      <c r="P1064" s="25" t="s">
        <v>559</v>
      </c>
      <c r="Q1064" s="25" t="s">
        <v>551</v>
      </c>
      <c r="R1064" s="26"/>
      <c r="S1064" s="26" t="n">
        <f aca="false">IF(AND(L1064="Oui",K1064="Principal",R1064&lt;&gt;""),I1064*R1064,0)</f>
        <v>0</v>
      </c>
      <c r="T1064" s="26" t="n">
        <f aca="false">IF(R1064&lt;&gt;"",M1064-S1064,0)</f>
        <v>0</v>
      </c>
      <c r="U1064" s="26" t="n">
        <f aca="false">IF(R1064="",M1064,0)</f>
        <v>500</v>
      </c>
    </row>
    <row r="1065" customFormat="false" ht="15" hidden="false" customHeight="false" outlineLevel="0" collapsed="false">
      <c r="A1065" s="25" t="s">
        <v>65</v>
      </c>
      <c r="B1065" s="25" t="s">
        <v>66</v>
      </c>
      <c r="C1065" s="25" t="s">
        <v>49</v>
      </c>
      <c r="D1065" s="25" t="n">
        <v>9</v>
      </c>
      <c r="E1065" s="25" t="s">
        <v>563</v>
      </c>
      <c r="F1065" s="25" t="s">
        <v>323</v>
      </c>
      <c r="G1065" s="25" t="n">
        <v>1607</v>
      </c>
      <c r="H1065" s="25" t="s">
        <v>696</v>
      </c>
      <c r="I1065" s="25" t="n">
        <v>1</v>
      </c>
      <c r="J1065" s="26" t="n">
        <v>2500</v>
      </c>
      <c r="K1065" s="25" t="s">
        <v>546</v>
      </c>
      <c r="L1065" s="25" t="s">
        <v>547</v>
      </c>
      <c r="M1065" s="26" t="n">
        <f aca="false">IF(AND(L1065="Oui",K1065="Principal"),I1065*J1065,0)</f>
        <v>2500</v>
      </c>
      <c r="N1065" s="25" t="s">
        <v>548</v>
      </c>
      <c r="O1065" s="25"/>
      <c r="P1065" s="25" t="s">
        <v>556</v>
      </c>
      <c r="Q1065" s="25" t="s">
        <v>557</v>
      </c>
      <c r="R1065" s="26" t="n">
        <v>2000</v>
      </c>
      <c r="S1065" s="26" t="n">
        <f aca="false">IF(AND(L1065="Oui",K1065="Principal",R1065&lt;&gt;""),I1065*R1065,0)</f>
        <v>2000</v>
      </c>
      <c r="T1065" s="26" t="n">
        <f aca="false">IF(R1065&lt;&gt;"",M1065-S1065,0)</f>
        <v>500</v>
      </c>
      <c r="U1065" s="26" t="n">
        <f aca="false">IF(R1065="",M1065,0)</f>
        <v>0</v>
      </c>
    </row>
    <row r="1066" customFormat="false" ht="15" hidden="false" customHeight="false" outlineLevel="0" collapsed="false">
      <c r="A1066" s="25" t="s">
        <v>65</v>
      </c>
      <c r="B1066" s="25" t="s">
        <v>66</v>
      </c>
      <c r="C1066" s="25" t="s">
        <v>49</v>
      </c>
      <c r="D1066" s="25" t="n">
        <v>10</v>
      </c>
      <c r="E1066" s="25" t="s">
        <v>563</v>
      </c>
      <c r="F1066" s="25" t="s">
        <v>325</v>
      </c>
      <c r="G1066" s="25" t="n">
        <v>1248</v>
      </c>
      <c r="H1066" s="25" t="s">
        <v>697</v>
      </c>
      <c r="I1066" s="25" t="n">
        <v>1</v>
      </c>
      <c r="J1066" s="26" t="n">
        <v>400</v>
      </c>
      <c r="K1066" s="25" t="s">
        <v>546</v>
      </c>
      <c r="L1066" s="25" t="s">
        <v>547</v>
      </c>
      <c r="M1066" s="26" t="n">
        <f aca="false">IF(AND(L1066="Oui",K1066="Principal"),I1066*J1066,0)</f>
        <v>400</v>
      </c>
      <c r="N1066" s="25" t="s">
        <v>548</v>
      </c>
      <c r="O1066" s="25"/>
      <c r="P1066" s="25" t="s">
        <v>550</v>
      </c>
      <c r="Q1066" s="25" t="s">
        <v>557</v>
      </c>
      <c r="R1066" s="26" t="n">
        <v>250</v>
      </c>
      <c r="S1066" s="26" t="n">
        <f aca="false">IF(AND(L1066="Oui",K1066="Principal",R1066&lt;&gt;""),I1066*R1066,0)</f>
        <v>250</v>
      </c>
      <c r="T1066" s="26" t="n">
        <f aca="false">IF(R1066&lt;&gt;"",M1066-S1066,0)</f>
        <v>150</v>
      </c>
      <c r="U1066" s="26" t="n">
        <f aca="false">IF(R1066="",M1066,0)</f>
        <v>0</v>
      </c>
    </row>
    <row r="1067" customFormat="false" ht="15" hidden="false" customHeight="false" outlineLevel="0" collapsed="false">
      <c r="A1067" s="25" t="s">
        <v>65</v>
      </c>
      <c r="B1067" s="25" t="s">
        <v>66</v>
      </c>
      <c r="C1067" s="25" t="s">
        <v>49</v>
      </c>
      <c r="D1067" s="25" t="n">
        <v>11</v>
      </c>
      <c r="E1067" s="25" t="s">
        <v>565</v>
      </c>
      <c r="F1067" s="25" t="s">
        <v>99</v>
      </c>
      <c r="G1067" s="25" t="n">
        <v>1181</v>
      </c>
      <c r="H1067" s="25" t="s">
        <v>581</v>
      </c>
      <c r="I1067" s="25" t="n">
        <v>1</v>
      </c>
      <c r="J1067" s="26" t="n">
        <v>250</v>
      </c>
      <c r="K1067" s="25" t="s">
        <v>546</v>
      </c>
      <c r="L1067" s="25" t="s">
        <v>547</v>
      </c>
      <c r="M1067" s="26" t="n">
        <f aca="false">IF(AND(L1067="Oui",K1067="Principal"),I1067*J1067,0)</f>
        <v>250</v>
      </c>
      <c r="N1067" s="25" t="s">
        <v>548</v>
      </c>
      <c r="O1067" s="25"/>
      <c r="P1067" s="25" t="s">
        <v>550</v>
      </c>
      <c r="Q1067" s="25" t="s">
        <v>557</v>
      </c>
      <c r="R1067" s="26" t="n">
        <v>110</v>
      </c>
      <c r="S1067" s="26" t="n">
        <f aca="false">IF(AND(L1067="Oui",K1067="Principal",R1067&lt;&gt;""),I1067*R1067,0)</f>
        <v>110</v>
      </c>
      <c r="T1067" s="26" t="n">
        <f aca="false">IF(R1067&lt;&gt;"",M1067-S1067,0)</f>
        <v>140</v>
      </c>
      <c r="U1067" s="26" t="n">
        <f aca="false">IF(R1067="",M1067,0)</f>
        <v>0</v>
      </c>
    </row>
    <row r="1068" customFormat="false" ht="15" hidden="false" customHeight="false" outlineLevel="0" collapsed="false">
      <c r="A1068" s="25" t="s">
        <v>65</v>
      </c>
      <c r="B1068" s="25" t="s">
        <v>66</v>
      </c>
      <c r="C1068" s="25" t="s">
        <v>49</v>
      </c>
      <c r="D1068" s="25" t="n">
        <v>12</v>
      </c>
      <c r="E1068" s="25" t="s">
        <v>565</v>
      </c>
      <c r="F1068" s="25" t="s">
        <v>164</v>
      </c>
      <c r="G1068" s="25" t="n">
        <v>1587</v>
      </c>
      <c r="H1068" s="25" t="s">
        <v>567</v>
      </c>
      <c r="I1068" s="25" t="n">
        <v>1</v>
      </c>
      <c r="J1068" s="26" t="n">
        <v>500</v>
      </c>
      <c r="K1068" s="25" t="s">
        <v>546</v>
      </c>
      <c r="L1068" s="25" t="s">
        <v>547</v>
      </c>
      <c r="M1068" s="26" t="n">
        <f aca="false">IF(AND(L1068="Oui",K1068="Principal"),I1068*J1068,0)</f>
        <v>500</v>
      </c>
      <c r="N1068" s="25" t="s">
        <v>548</v>
      </c>
      <c r="O1068" s="25"/>
      <c r="P1068" s="25" t="s">
        <v>556</v>
      </c>
      <c r="Q1068" s="25" t="s">
        <v>557</v>
      </c>
      <c r="R1068" s="26" t="n">
        <v>350</v>
      </c>
      <c r="S1068" s="26" t="n">
        <f aca="false">IF(AND(L1068="Oui",K1068="Principal",R1068&lt;&gt;""),I1068*R1068,0)</f>
        <v>350</v>
      </c>
      <c r="T1068" s="26" t="n">
        <f aca="false">IF(R1068&lt;&gt;"",M1068-S1068,0)</f>
        <v>150</v>
      </c>
      <c r="U1068" s="26" t="n">
        <f aca="false">IF(R1068="",M1068,0)</f>
        <v>0</v>
      </c>
    </row>
    <row r="1069" customFormat="false" ht="15" hidden="false" customHeight="false" outlineLevel="0" collapsed="false">
      <c r="A1069" s="25" t="s">
        <v>65</v>
      </c>
      <c r="B1069" s="25" t="s">
        <v>66</v>
      </c>
      <c r="C1069" s="25" t="s">
        <v>49</v>
      </c>
      <c r="D1069" s="25" t="n">
        <v>13</v>
      </c>
      <c r="E1069" s="25" t="s">
        <v>565</v>
      </c>
      <c r="F1069" s="25" t="s">
        <v>166</v>
      </c>
      <c r="G1069" s="25" t="n">
        <v>1604</v>
      </c>
      <c r="H1069" s="25" t="s">
        <v>582</v>
      </c>
      <c r="I1069" s="25" t="n">
        <v>2</v>
      </c>
      <c r="J1069" s="26" t="n">
        <v>700</v>
      </c>
      <c r="K1069" s="25" t="s">
        <v>546</v>
      </c>
      <c r="L1069" s="25" t="s">
        <v>547</v>
      </c>
      <c r="M1069" s="26" t="n">
        <f aca="false">IF(AND(L1069="Oui",K1069="Principal"),I1069*J1069,0)</f>
        <v>1400</v>
      </c>
      <c r="N1069" s="25" t="s">
        <v>548</v>
      </c>
      <c r="O1069" s="25"/>
      <c r="P1069" s="25" t="s">
        <v>556</v>
      </c>
      <c r="Q1069" s="25" t="s">
        <v>557</v>
      </c>
      <c r="R1069" s="26" t="n">
        <v>400</v>
      </c>
      <c r="S1069" s="26" t="n">
        <f aca="false">IF(AND(L1069="Oui",K1069="Principal",R1069&lt;&gt;""),I1069*R1069,0)</f>
        <v>800</v>
      </c>
      <c r="T1069" s="26" t="n">
        <f aca="false">IF(R1069&lt;&gt;"",M1069-S1069,0)</f>
        <v>600</v>
      </c>
      <c r="U1069" s="26" t="n">
        <f aca="false">IF(R1069="",M1069,0)</f>
        <v>0</v>
      </c>
    </row>
    <row r="1070" customFormat="false" ht="15" hidden="false" customHeight="false" outlineLevel="0" collapsed="false">
      <c r="A1070" s="25" t="s">
        <v>65</v>
      </c>
      <c r="B1070" s="25" t="s">
        <v>66</v>
      </c>
      <c r="C1070" s="25" t="s">
        <v>49</v>
      </c>
      <c r="D1070" s="25" t="n">
        <v>14</v>
      </c>
      <c r="E1070" s="25" t="s">
        <v>565</v>
      </c>
      <c r="F1070" s="25" t="s">
        <v>304</v>
      </c>
      <c r="G1070" s="25" t="n">
        <v>1586</v>
      </c>
      <c r="H1070" s="25" t="s">
        <v>583</v>
      </c>
      <c r="I1070" s="25" t="n">
        <v>1</v>
      </c>
      <c r="J1070" s="26" t="n">
        <v>900</v>
      </c>
      <c r="K1070" s="25" t="s">
        <v>546</v>
      </c>
      <c r="L1070" s="25" t="s">
        <v>547</v>
      </c>
      <c r="M1070" s="26" t="n">
        <f aca="false">IF(AND(L1070="Oui",K1070="Principal"),I1070*J1070,0)</f>
        <v>900</v>
      </c>
      <c r="N1070" s="25" t="s">
        <v>548</v>
      </c>
      <c r="O1070" s="25"/>
      <c r="P1070" s="25" t="s">
        <v>556</v>
      </c>
      <c r="Q1070" s="25" t="s">
        <v>557</v>
      </c>
      <c r="R1070" s="26" t="n">
        <v>650</v>
      </c>
      <c r="S1070" s="26" t="n">
        <f aca="false">IF(AND(L1070="Oui",K1070="Principal",R1070&lt;&gt;""),I1070*R1070,0)</f>
        <v>650</v>
      </c>
      <c r="T1070" s="26" t="n">
        <f aca="false">IF(R1070&lt;&gt;"",M1070-S1070,0)</f>
        <v>250</v>
      </c>
      <c r="U1070" s="26" t="n">
        <f aca="false">IF(R1070="",M1070,0)</f>
        <v>0</v>
      </c>
    </row>
    <row r="1071" customFormat="false" ht="15" hidden="false" customHeight="false" outlineLevel="0" collapsed="false">
      <c r="A1071" s="33" t="s">
        <v>65</v>
      </c>
      <c r="B1071" s="33" t="s">
        <v>66</v>
      </c>
      <c r="C1071" s="33" t="s">
        <v>49</v>
      </c>
      <c r="D1071" s="33" t="n">
        <v>15</v>
      </c>
      <c r="E1071" s="33" t="s">
        <v>609</v>
      </c>
      <c r="F1071" s="33" t="s">
        <v>199</v>
      </c>
      <c r="G1071" s="33" t="n">
        <v>1229</v>
      </c>
      <c r="H1071" s="33" t="s">
        <v>643</v>
      </c>
      <c r="I1071" s="33" t="n">
        <v>1</v>
      </c>
      <c r="J1071" s="34" t="n">
        <v>1800</v>
      </c>
      <c r="K1071" s="33" t="s">
        <v>546</v>
      </c>
      <c r="L1071" s="33" t="s">
        <v>547</v>
      </c>
      <c r="M1071" s="34" t="n">
        <f aca="false">IF(AND(L1071="Oui",K1071="Principal"),I1071*J1071,0)</f>
        <v>1800</v>
      </c>
      <c r="N1071" s="33" t="s">
        <v>182</v>
      </c>
      <c r="O1071" s="33" t="s">
        <v>644</v>
      </c>
      <c r="P1071" s="33" t="s">
        <v>550</v>
      </c>
      <c r="Q1071" s="33" t="s">
        <v>557</v>
      </c>
      <c r="R1071" s="34" t="n">
        <v>1500</v>
      </c>
      <c r="S1071" s="34" t="n">
        <f aca="false">IF(AND(L1071="Oui",K1071="Principal",R1071&lt;&gt;""),I1071*R1071,0)</f>
        <v>1500</v>
      </c>
      <c r="T1071" s="34" t="n">
        <f aca="false">IF(R1071&lt;&gt;"",M1071-S1071,0)</f>
        <v>300</v>
      </c>
      <c r="U1071" s="34" t="n">
        <f aca="false">IF(R1071="",M1071,0)</f>
        <v>0</v>
      </c>
    </row>
    <row r="1072" customFormat="false" ht="15" hidden="false" customHeight="false" outlineLevel="0" collapsed="false">
      <c r="A1072" s="25" t="s">
        <v>65</v>
      </c>
      <c r="B1072" s="25" t="s">
        <v>66</v>
      </c>
      <c r="C1072" s="25" t="s">
        <v>49</v>
      </c>
      <c r="D1072" s="25" t="n">
        <v>16</v>
      </c>
      <c r="E1072" s="25" t="s">
        <v>700</v>
      </c>
      <c r="F1072" s="25" t="s">
        <v>329</v>
      </c>
      <c r="G1072" s="25" t="n">
        <v>1716</v>
      </c>
      <c r="H1072" s="25" t="s">
        <v>701</v>
      </c>
      <c r="I1072" s="25" t="n">
        <v>1</v>
      </c>
      <c r="J1072" s="26" t="n">
        <v>1800</v>
      </c>
      <c r="K1072" s="25" t="s">
        <v>546</v>
      </c>
      <c r="L1072" s="25" t="s">
        <v>547</v>
      </c>
      <c r="M1072" s="26" t="n">
        <f aca="false">IF(AND(L1072="Oui",K1072="Principal"),I1072*J1072,0)</f>
        <v>1800</v>
      </c>
      <c r="N1072" s="25" t="s">
        <v>548</v>
      </c>
      <c r="O1072" s="25"/>
      <c r="P1072" s="25" t="s">
        <v>559</v>
      </c>
      <c r="Q1072" s="25" t="s">
        <v>557</v>
      </c>
      <c r="R1072" s="26" t="n">
        <v>1300</v>
      </c>
      <c r="S1072" s="26" t="n">
        <f aca="false">IF(AND(L1072="Oui",K1072="Principal",R1072&lt;&gt;""),I1072*R1072,0)</f>
        <v>1300</v>
      </c>
      <c r="T1072" s="26" t="n">
        <f aca="false">IF(R1072&lt;&gt;"",M1072-S1072,0)</f>
        <v>500</v>
      </c>
      <c r="U1072" s="26" t="n">
        <f aca="false">IF(R1072="",M1072,0)</f>
        <v>0</v>
      </c>
    </row>
    <row r="1073" customFormat="false" ht="15" hidden="false" customHeight="false" outlineLevel="0" collapsed="false">
      <c r="A1073" s="27" t="s">
        <v>65</v>
      </c>
      <c r="B1073" s="27" t="s">
        <v>66</v>
      </c>
      <c r="C1073" s="27" t="s">
        <v>49</v>
      </c>
      <c r="D1073" s="27" t="n">
        <v>17</v>
      </c>
      <c r="E1073" s="27" t="s">
        <v>700</v>
      </c>
      <c r="F1073" s="27" t="s">
        <v>430</v>
      </c>
      <c r="G1073" s="27"/>
      <c r="H1073" s="27" t="s">
        <v>585</v>
      </c>
      <c r="I1073" s="27" t="n">
        <v>1</v>
      </c>
      <c r="J1073" s="28" t="n">
        <v>0</v>
      </c>
      <c r="K1073" s="27" t="s">
        <v>546</v>
      </c>
      <c r="L1073" s="27" t="s">
        <v>579</v>
      </c>
      <c r="M1073" s="28" t="n">
        <f aca="false">IF(AND(L1073="Oui",K1073="Principal"),I1073*J1073,0)</f>
        <v>0</v>
      </c>
      <c r="N1073" s="27" t="s">
        <v>128</v>
      </c>
      <c r="O1073" s="27" t="s">
        <v>586</v>
      </c>
      <c r="P1073" s="27"/>
      <c r="Q1073" s="27"/>
      <c r="R1073" s="28"/>
      <c r="S1073" s="28" t="n">
        <f aca="false">IF(AND(L1073="Oui",K1073="Principal",R1073&lt;&gt;""),I1073*R1073,0)</f>
        <v>0</v>
      </c>
      <c r="T1073" s="28" t="n">
        <f aca="false">IF(R1073&lt;&gt;"",M1073-S1073,0)</f>
        <v>0</v>
      </c>
      <c r="U1073" s="28" t="n">
        <f aca="false">IF(R1073="",M1073,0)</f>
        <v>0</v>
      </c>
    </row>
    <row r="1074" customFormat="false" ht="15" hidden="false" customHeight="false" outlineLevel="0" collapsed="false">
      <c r="A1074" s="27" t="s">
        <v>65</v>
      </c>
      <c r="B1074" s="27" t="s">
        <v>66</v>
      </c>
      <c r="C1074" s="27" t="s">
        <v>49</v>
      </c>
      <c r="D1074" s="27" t="n">
        <v>18</v>
      </c>
      <c r="E1074" s="27" t="s">
        <v>700</v>
      </c>
      <c r="F1074" s="27" t="s">
        <v>382</v>
      </c>
      <c r="G1074" s="27"/>
      <c r="H1074" s="27" t="s">
        <v>585</v>
      </c>
      <c r="I1074" s="27" t="n">
        <v>1</v>
      </c>
      <c r="J1074" s="28" t="n">
        <v>0</v>
      </c>
      <c r="K1074" s="27" t="s">
        <v>546</v>
      </c>
      <c r="L1074" s="27" t="s">
        <v>579</v>
      </c>
      <c r="M1074" s="28" t="n">
        <f aca="false">IF(AND(L1074="Oui",K1074="Principal"),I1074*J1074,0)</f>
        <v>0</v>
      </c>
      <c r="N1074" s="27" t="s">
        <v>128</v>
      </c>
      <c r="O1074" s="27" t="s">
        <v>586</v>
      </c>
      <c r="P1074" s="27"/>
      <c r="Q1074" s="27"/>
      <c r="R1074" s="28"/>
      <c r="S1074" s="28" t="n">
        <f aca="false">IF(AND(L1074="Oui",K1074="Principal",R1074&lt;&gt;""),I1074*R1074,0)</f>
        <v>0</v>
      </c>
      <c r="T1074" s="28" t="n">
        <f aca="false">IF(R1074&lt;&gt;"",M1074-S1074,0)</f>
        <v>0</v>
      </c>
      <c r="U1074" s="28" t="n">
        <f aca="false">IF(R1074="",M1074,0)</f>
        <v>0</v>
      </c>
    </row>
    <row r="1075" customFormat="false" ht="15" hidden="false" customHeight="false" outlineLevel="0" collapsed="false">
      <c r="A1075" s="25" t="s">
        <v>65</v>
      </c>
      <c r="B1075" s="25" t="s">
        <v>66</v>
      </c>
      <c r="C1075" s="25" t="s">
        <v>49</v>
      </c>
      <c r="D1075" s="25" t="n">
        <v>19</v>
      </c>
      <c r="E1075" s="25" t="s">
        <v>571</v>
      </c>
      <c r="F1075" s="25" t="s">
        <v>431</v>
      </c>
      <c r="G1075" s="25" t="n">
        <v>1631</v>
      </c>
      <c r="H1075" s="25" t="s">
        <v>755</v>
      </c>
      <c r="I1075" s="25" t="n">
        <v>1</v>
      </c>
      <c r="J1075" s="26" t="n">
        <v>2700</v>
      </c>
      <c r="K1075" s="25" t="s">
        <v>546</v>
      </c>
      <c r="L1075" s="25" t="s">
        <v>547</v>
      </c>
      <c r="M1075" s="26" t="n">
        <f aca="false">IF(AND(L1075="Oui",K1075="Principal"),I1075*J1075,0)</f>
        <v>2700</v>
      </c>
      <c r="N1075" s="25" t="s">
        <v>548</v>
      </c>
      <c r="O1075" s="25"/>
      <c r="P1075" s="25" t="s">
        <v>556</v>
      </c>
      <c r="Q1075" s="25" t="s">
        <v>557</v>
      </c>
      <c r="R1075" s="26" t="n">
        <v>2000</v>
      </c>
      <c r="S1075" s="26" t="n">
        <f aca="false">IF(AND(L1075="Oui",K1075="Principal",R1075&lt;&gt;""),I1075*R1075,0)</f>
        <v>2000</v>
      </c>
      <c r="T1075" s="26" t="n">
        <f aca="false">IF(R1075&lt;&gt;"",M1075-S1075,0)</f>
        <v>700</v>
      </c>
      <c r="U1075" s="26" t="n">
        <f aca="false">IF(R1075="",M1075,0)</f>
        <v>0</v>
      </c>
    </row>
    <row r="1076" customFormat="false" ht="15" hidden="false" customHeight="false" outlineLevel="0" collapsed="false">
      <c r="A1076" s="25" t="s">
        <v>65</v>
      </c>
      <c r="B1076" s="25" t="s">
        <v>66</v>
      </c>
      <c r="C1076" s="25" t="s">
        <v>49</v>
      </c>
      <c r="D1076" s="25" t="n">
        <v>20</v>
      </c>
      <c r="E1076" s="25" t="s">
        <v>571</v>
      </c>
      <c r="F1076" s="25" t="s">
        <v>433</v>
      </c>
      <c r="G1076" s="25" t="n">
        <v>1683</v>
      </c>
      <c r="H1076" s="25" t="s">
        <v>756</v>
      </c>
      <c r="I1076" s="25" t="n">
        <v>1</v>
      </c>
      <c r="J1076" s="26" t="n">
        <v>1000</v>
      </c>
      <c r="K1076" s="25" t="s">
        <v>546</v>
      </c>
      <c r="L1076" s="25" t="s">
        <v>547</v>
      </c>
      <c r="M1076" s="26" t="n">
        <f aca="false">IF(AND(L1076="Oui",K1076="Principal"),I1076*J1076,0)</f>
        <v>1000</v>
      </c>
      <c r="N1076" s="25" t="s">
        <v>548</v>
      </c>
      <c r="O1076" s="25"/>
      <c r="P1076" s="25" t="s">
        <v>556</v>
      </c>
      <c r="Q1076" s="25" t="s">
        <v>557</v>
      </c>
      <c r="R1076" s="26"/>
      <c r="S1076" s="26" t="n">
        <f aca="false">IF(AND(L1076="Oui",K1076="Principal",R1076&lt;&gt;""),I1076*R1076,0)</f>
        <v>0</v>
      </c>
      <c r="T1076" s="26" t="n">
        <f aca="false">IF(R1076&lt;&gt;"",M1076-S1076,0)</f>
        <v>0</v>
      </c>
      <c r="U1076" s="26" t="n">
        <f aca="false">IF(R1076="",M1076,0)</f>
        <v>1000</v>
      </c>
    </row>
    <row r="1077" customFormat="false" ht="15" hidden="false" customHeight="false" outlineLevel="0" collapsed="false">
      <c r="A1077" s="33" t="s">
        <v>65</v>
      </c>
      <c r="B1077" s="33" t="s">
        <v>66</v>
      </c>
      <c r="C1077" s="33" t="s">
        <v>49</v>
      </c>
      <c r="D1077" s="33" t="n">
        <v>21</v>
      </c>
      <c r="E1077" s="33" t="s">
        <v>571</v>
      </c>
      <c r="F1077" s="33" t="s">
        <v>435</v>
      </c>
      <c r="G1077" s="33" t="n">
        <v>1269</v>
      </c>
      <c r="H1077" s="33" t="s">
        <v>757</v>
      </c>
      <c r="I1077" s="33" t="n">
        <v>1</v>
      </c>
      <c r="J1077" s="34" t="n">
        <v>1150</v>
      </c>
      <c r="K1077" s="33" t="s">
        <v>546</v>
      </c>
      <c r="L1077" s="33" t="s">
        <v>547</v>
      </c>
      <c r="M1077" s="34" t="n">
        <f aca="false">IF(AND(L1077="Oui",K1077="Principal"),I1077*J1077,0)</f>
        <v>1150</v>
      </c>
      <c r="N1077" s="33" t="s">
        <v>182</v>
      </c>
      <c r="O1077" s="33" t="s">
        <v>758</v>
      </c>
      <c r="P1077" s="33" t="s">
        <v>550</v>
      </c>
      <c r="Q1077" s="33" t="s">
        <v>557</v>
      </c>
      <c r="R1077" s="34" t="n">
        <v>850</v>
      </c>
      <c r="S1077" s="34" t="n">
        <f aca="false">IF(AND(L1077="Oui",K1077="Principal",R1077&lt;&gt;""),I1077*R1077,0)</f>
        <v>850</v>
      </c>
      <c r="T1077" s="34" t="n">
        <f aca="false">IF(R1077&lt;&gt;"",M1077-S1077,0)</f>
        <v>300</v>
      </c>
      <c r="U1077" s="34" t="n">
        <f aca="false">IF(R1077="",M1077,0)</f>
        <v>0</v>
      </c>
    </row>
    <row r="1078" customFormat="false" ht="15" hidden="false" customHeight="false" outlineLevel="0" collapsed="false">
      <c r="A1078" s="25" t="s">
        <v>65</v>
      </c>
      <c r="B1078" s="25" t="s">
        <v>66</v>
      </c>
      <c r="C1078" s="25" t="s">
        <v>49</v>
      </c>
      <c r="D1078" s="25" t="n">
        <v>22</v>
      </c>
      <c r="E1078" s="25" t="s">
        <v>573</v>
      </c>
      <c r="F1078" s="25" t="s">
        <v>176</v>
      </c>
      <c r="G1078" s="25" t="n">
        <v>19</v>
      </c>
      <c r="H1078" s="25" t="s">
        <v>615</v>
      </c>
      <c r="I1078" s="25" t="n">
        <v>1</v>
      </c>
      <c r="J1078" s="26" t="n">
        <v>2500</v>
      </c>
      <c r="K1078" s="25" t="s">
        <v>546</v>
      </c>
      <c r="L1078" s="25" t="s">
        <v>547</v>
      </c>
      <c r="M1078" s="26" t="n">
        <f aca="false">IF(AND(L1078="Oui",K1078="Principal"),I1078*J1078,0)</f>
        <v>2500</v>
      </c>
      <c r="N1078" s="25" t="s">
        <v>548</v>
      </c>
      <c r="O1078" s="25"/>
      <c r="P1078" s="25" t="s">
        <v>559</v>
      </c>
      <c r="Q1078" s="25" t="s">
        <v>551</v>
      </c>
      <c r="R1078" s="26"/>
      <c r="S1078" s="26" t="n">
        <f aca="false">IF(AND(L1078="Oui",K1078="Principal",R1078&lt;&gt;""),I1078*R1078,0)</f>
        <v>0</v>
      </c>
      <c r="T1078" s="26" t="n">
        <f aca="false">IF(R1078&lt;&gt;"",M1078-S1078,0)</f>
        <v>0</v>
      </c>
      <c r="U1078" s="26" t="n">
        <f aca="false">IF(R1078="",M1078,0)</f>
        <v>2500</v>
      </c>
    </row>
    <row r="1079" customFormat="false" ht="15" hidden="false" customHeight="false" outlineLevel="0" collapsed="false">
      <c r="A1079" s="25" t="s">
        <v>65</v>
      </c>
      <c r="B1079" s="25" t="s">
        <v>66</v>
      </c>
      <c r="C1079" s="25" t="s">
        <v>49</v>
      </c>
      <c r="D1079" s="25" t="n">
        <v>23</v>
      </c>
      <c r="E1079" s="25" t="s">
        <v>573</v>
      </c>
      <c r="F1079" s="25" t="s">
        <v>117</v>
      </c>
      <c r="G1079" s="25" t="n">
        <v>1288</v>
      </c>
      <c r="H1079" s="25" t="s">
        <v>624</v>
      </c>
      <c r="I1079" s="25" t="n">
        <v>1</v>
      </c>
      <c r="J1079" s="26" t="n">
        <v>2500</v>
      </c>
      <c r="K1079" s="25" t="s">
        <v>546</v>
      </c>
      <c r="L1079" s="25" t="s">
        <v>547</v>
      </c>
      <c r="M1079" s="26" t="n">
        <f aca="false">IF(AND(L1079="Oui",K1079="Principal"),I1079*J1079,0)</f>
        <v>2500</v>
      </c>
      <c r="N1079" s="25" t="s">
        <v>548</v>
      </c>
      <c r="O1079" s="25"/>
      <c r="P1079" s="25" t="s">
        <v>550</v>
      </c>
      <c r="Q1079" s="25" t="s">
        <v>557</v>
      </c>
      <c r="R1079" s="26" t="n">
        <v>2000</v>
      </c>
      <c r="S1079" s="26" t="n">
        <f aca="false">IF(AND(L1079="Oui",K1079="Principal",R1079&lt;&gt;""),I1079*R1079,0)</f>
        <v>2000</v>
      </c>
      <c r="T1079" s="26" t="n">
        <f aca="false">IF(R1079&lt;&gt;"",M1079-S1079,0)</f>
        <v>500</v>
      </c>
      <c r="U1079" s="26" t="n">
        <f aca="false">IF(R1079="",M1079,0)</f>
        <v>0</v>
      </c>
    </row>
    <row r="1080" customFormat="false" ht="15" hidden="false" customHeight="false" outlineLevel="0" collapsed="false">
      <c r="A1080" s="25" t="s">
        <v>65</v>
      </c>
      <c r="B1080" s="25" t="s">
        <v>66</v>
      </c>
      <c r="C1080" s="25" t="s">
        <v>49</v>
      </c>
      <c r="D1080" s="25" t="n">
        <v>24</v>
      </c>
      <c r="E1080" s="25" t="s">
        <v>573</v>
      </c>
      <c r="F1080" s="25" t="s">
        <v>321</v>
      </c>
      <c r="G1080" s="25" t="n">
        <v>1192</v>
      </c>
      <c r="H1080" s="25" t="s">
        <v>694</v>
      </c>
      <c r="I1080" s="25" t="n">
        <v>1</v>
      </c>
      <c r="J1080" s="26" t="n">
        <v>7000</v>
      </c>
      <c r="K1080" s="25" t="s">
        <v>546</v>
      </c>
      <c r="L1080" s="25" t="s">
        <v>547</v>
      </c>
      <c r="M1080" s="26" t="n">
        <f aca="false">IF(AND(L1080="Oui",K1080="Principal"),I1080*J1080,0)</f>
        <v>7000</v>
      </c>
      <c r="N1080" s="25" t="s">
        <v>548</v>
      </c>
      <c r="O1080" s="25"/>
      <c r="P1080" s="25" t="s">
        <v>550</v>
      </c>
      <c r="Q1080" s="25" t="s">
        <v>557</v>
      </c>
      <c r="R1080" s="26" t="n">
        <v>5500</v>
      </c>
      <c r="S1080" s="26" t="n">
        <f aca="false">IF(AND(L1080="Oui",K1080="Principal",R1080&lt;&gt;""),I1080*R1080,0)</f>
        <v>5500</v>
      </c>
      <c r="T1080" s="26" t="n">
        <f aca="false">IF(R1080&lt;&gt;"",M1080-S1080,0)</f>
        <v>1500</v>
      </c>
      <c r="U1080" s="26" t="n">
        <f aca="false">IF(R1080="",M1080,0)</f>
        <v>0</v>
      </c>
    </row>
    <row r="1081" customFormat="false" ht="15" hidden="false" customHeight="false" outlineLevel="0" collapsed="false">
      <c r="A1081" s="27" t="s">
        <v>65</v>
      </c>
      <c r="B1081" s="27" t="s">
        <v>66</v>
      </c>
      <c r="C1081" s="27" t="s">
        <v>49</v>
      </c>
      <c r="D1081" s="27" t="n">
        <v>25</v>
      </c>
      <c r="E1081" s="27" t="s">
        <v>689</v>
      </c>
      <c r="F1081" s="27" t="s">
        <v>427</v>
      </c>
      <c r="G1081" s="27"/>
      <c r="H1081" s="27" t="s">
        <v>585</v>
      </c>
      <c r="I1081" s="27" t="n">
        <v>1</v>
      </c>
      <c r="J1081" s="28" t="n">
        <v>0</v>
      </c>
      <c r="K1081" s="27" t="s">
        <v>546</v>
      </c>
      <c r="L1081" s="27" t="s">
        <v>579</v>
      </c>
      <c r="M1081" s="28" t="n">
        <f aca="false">IF(AND(L1081="Oui",K1081="Principal"),I1081*J1081,0)</f>
        <v>0</v>
      </c>
      <c r="N1081" s="27" t="s">
        <v>128</v>
      </c>
      <c r="O1081" s="27" t="s">
        <v>586</v>
      </c>
      <c r="P1081" s="27"/>
      <c r="Q1081" s="27"/>
      <c r="R1081" s="28"/>
      <c r="S1081" s="28" t="n">
        <f aca="false">IF(AND(L1081="Oui",K1081="Principal",R1081&lt;&gt;""),I1081*R1081,0)</f>
        <v>0</v>
      </c>
      <c r="T1081" s="28" t="n">
        <f aca="false">IF(R1081&lt;&gt;"",M1081-S1081,0)</f>
        <v>0</v>
      </c>
      <c r="U1081" s="28" t="n">
        <f aca="false">IF(R1081="",M1081,0)</f>
        <v>0</v>
      </c>
    </row>
    <row r="1082" customFormat="false" ht="15" hidden="false" customHeight="false" outlineLevel="0" collapsed="false">
      <c r="A1082" s="25" t="s">
        <v>65</v>
      </c>
      <c r="B1082" s="25" t="s">
        <v>66</v>
      </c>
      <c r="C1082" s="25" t="s">
        <v>49</v>
      </c>
      <c r="D1082" s="25" t="n">
        <v>26</v>
      </c>
      <c r="E1082" s="25" t="s">
        <v>689</v>
      </c>
      <c r="F1082" s="25" t="s">
        <v>428</v>
      </c>
      <c r="G1082" s="25" t="n">
        <v>1427</v>
      </c>
      <c r="H1082" s="25" t="s">
        <v>754</v>
      </c>
      <c r="I1082" s="25" t="n">
        <v>1</v>
      </c>
      <c r="J1082" s="26" t="n">
        <v>3900</v>
      </c>
      <c r="K1082" s="25" t="s">
        <v>546</v>
      </c>
      <c r="L1082" s="25" t="s">
        <v>547</v>
      </c>
      <c r="M1082" s="26" t="n">
        <f aca="false">IF(AND(L1082="Oui",K1082="Principal"),I1082*J1082,0)</f>
        <v>3900</v>
      </c>
      <c r="N1082" s="25" t="s">
        <v>548</v>
      </c>
      <c r="O1082" s="25"/>
      <c r="P1082" s="25" t="s">
        <v>550</v>
      </c>
      <c r="Q1082" s="25" t="s">
        <v>557</v>
      </c>
      <c r="R1082" s="26" t="n">
        <v>2900</v>
      </c>
      <c r="S1082" s="26" t="n">
        <f aca="false">IF(AND(L1082="Oui",K1082="Principal",R1082&lt;&gt;""),I1082*R1082,0)</f>
        <v>2900</v>
      </c>
      <c r="T1082" s="26" t="n">
        <f aca="false">IF(R1082&lt;&gt;"",M1082-S1082,0)</f>
        <v>1000</v>
      </c>
      <c r="U1082" s="26" t="n">
        <f aca="false">IF(R1082="",M1082,0)</f>
        <v>0</v>
      </c>
    </row>
    <row r="1083" customFormat="false" ht="15" hidden="false" customHeight="false" outlineLevel="0" collapsed="false">
      <c r="A1083" s="25" t="s">
        <v>65</v>
      </c>
      <c r="B1083" s="25" t="s">
        <v>66</v>
      </c>
      <c r="C1083" s="25" t="s">
        <v>50</v>
      </c>
      <c r="D1083" s="25" t="n">
        <v>1</v>
      </c>
      <c r="E1083" s="25" t="s">
        <v>544</v>
      </c>
      <c r="F1083" s="25" t="s">
        <v>295</v>
      </c>
      <c r="G1083" s="25" t="n">
        <v>1618</v>
      </c>
      <c r="H1083" s="25" t="s">
        <v>600</v>
      </c>
      <c r="I1083" s="25" t="n">
        <v>1</v>
      </c>
      <c r="J1083" s="26" t="n">
        <v>450</v>
      </c>
      <c r="K1083" s="25" t="s">
        <v>546</v>
      </c>
      <c r="L1083" s="25" t="s">
        <v>547</v>
      </c>
      <c r="M1083" s="26" t="n">
        <f aca="false">IF(AND(L1083="Oui",K1083="Principal"),I1083*J1083,0)</f>
        <v>450</v>
      </c>
      <c r="N1083" s="25" t="s">
        <v>548</v>
      </c>
      <c r="O1083" s="25"/>
      <c r="P1083" s="25" t="s">
        <v>556</v>
      </c>
      <c r="Q1083" s="25" t="s">
        <v>557</v>
      </c>
      <c r="R1083" s="26" t="n">
        <v>350</v>
      </c>
      <c r="S1083" s="26" t="n">
        <f aca="false">IF(AND(L1083="Oui",K1083="Principal",R1083&lt;&gt;""),I1083*R1083,0)</f>
        <v>350</v>
      </c>
      <c r="T1083" s="26" t="n">
        <f aca="false">IF(R1083&lt;&gt;"",M1083-S1083,0)</f>
        <v>100</v>
      </c>
      <c r="U1083" s="26" t="n">
        <f aca="false">IF(R1083="",M1083,0)</f>
        <v>0</v>
      </c>
    </row>
    <row r="1084" customFormat="false" ht="15" hidden="false" customHeight="false" outlineLevel="0" collapsed="false">
      <c r="A1084" s="25" t="s">
        <v>65</v>
      </c>
      <c r="B1084" s="25" t="s">
        <v>66</v>
      </c>
      <c r="C1084" s="25" t="s">
        <v>50</v>
      </c>
      <c r="D1084" s="25" t="n">
        <v>2</v>
      </c>
      <c r="E1084" s="25" t="s">
        <v>544</v>
      </c>
      <c r="F1084" s="25" t="s">
        <v>296</v>
      </c>
      <c r="G1084" s="25" t="n">
        <v>1</v>
      </c>
      <c r="H1084" s="25" t="s">
        <v>681</v>
      </c>
      <c r="I1084" s="25" t="n">
        <v>4</v>
      </c>
      <c r="J1084" s="26" t="n">
        <v>500</v>
      </c>
      <c r="K1084" s="25" t="s">
        <v>546</v>
      </c>
      <c r="L1084" s="25" t="s">
        <v>547</v>
      </c>
      <c r="M1084" s="26" t="n">
        <f aca="false">IF(AND(L1084="Oui",K1084="Principal"),I1084*J1084,0)</f>
        <v>2000</v>
      </c>
      <c r="N1084" s="25" t="s">
        <v>548</v>
      </c>
      <c r="O1084" s="25"/>
      <c r="P1084" s="25" t="s">
        <v>559</v>
      </c>
      <c r="Q1084" s="25" t="s">
        <v>551</v>
      </c>
      <c r="R1084" s="26"/>
      <c r="S1084" s="26" t="n">
        <f aca="false">IF(AND(L1084="Oui",K1084="Principal",R1084&lt;&gt;""),I1084*R1084,0)</f>
        <v>0</v>
      </c>
      <c r="T1084" s="26" t="n">
        <f aca="false">IF(R1084&lt;&gt;"",M1084-S1084,0)</f>
        <v>0</v>
      </c>
      <c r="U1084" s="26" t="n">
        <f aca="false">IF(R1084="",M1084,0)</f>
        <v>2000</v>
      </c>
    </row>
    <row r="1085" customFormat="false" ht="15" hidden="false" customHeight="false" outlineLevel="0" collapsed="false">
      <c r="A1085" s="25" t="s">
        <v>65</v>
      </c>
      <c r="B1085" s="25" t="s">
        <v>66</v>
      </c>
      <c r="C1085" s="25" t="s">
        <v>50</v>
      </c>
      <c r="D1085" s="25" t="n">
        <v>3</v>
      </c>
      <c r="E1085" s="25" t="s">
        <v>544</v>
      </c>
      <c r="F1085" s="25" t="s">
        <v>298</v>
      </c>
      <c r="G1085" s="25" t="n">
        <v>1616</v>
      </c>
      <c r="H1085" s="25" t="s">
        <v>695</v>
      </c>
      <c r="I1085" s="25" t="n">
        <v>2</v>
      </c>
      <c r="J1085" s="26" t="n">
        <v>900</v>
      </c>
      <c r="K1085" s="25" t="s">
        <v>546</v>
      </c>
      <c r="L1085" s="25" t="s">
        <v>547</v>
      </c>
      <c r="M1085" s="26" t="n">
        <f aca="false">IF(AND(L1085="Oui",K1085="Principal"),I1085*J1085,0)</f>
        <v>1800</v>
      </c>
      <c r="N1085" s="25" t="s">
        <v>548</v>
      </c>
      <c r="O1085" s="25"/>
      <c r="P1085" s="25" t="s">
        <v>556</v>
      </c>
      <c r="Q1085" s="25" t="s">
        <v>557</v>
      </c>
      <c r="R1085" s="26" t="n">
        <v>800</v>
      </c>
      <c r="S1085" s="26" t="n">
        <f aca="false">IF(AND(L1085="Oui",K1085="Principal",R1085&lt;&gt;""),I1085*R1085,0)</f>
        <v>1600</v>
      </c>
      <c r="T1085" s="26" t="n">
        <f aca="false">IF(R1085&lt;&gt;"",M1085-S1085,0)</f>
        <v>200</v>
      </c>
      <c r="U1085" s="26" t="n">
        <f aca="false">IF(R1085="",M1085,0)</f>
        <v>0</v>
      </c>
    </row>
    <row r="1086" customFormat="false" ht="15" hidden="false" customHeight="false" outlineLevel="0" collapsed="false">
      <c r="A1086" s="25" t="s">
        <v>65</v>
      </c>
      <c r="B1086" s="25" t="s">
        <v>66</v>
      </c>
      <c r="C1086" s="25" t="s">
        <v>50</v>
      </c>
      <c r="D1086" s="25" t="n">
        <v>4</v>
      </c>
      <c r="E1086" s="25" t="s">
        <v>544</v>
      </c>
      <c r="F1086" s="25" t="s">
        <v>338</v>
      </c>
      <c r="G1086" s="25" t="n">
        <v>1715</v>
      </c>
      <c r="H1086" s="25" t="s">
        <v>713</v>
      </c>
      <c r="I1086" s="25" t="n">
        <v>4</v>
      </c>
      <c r="J1086" s="26" t="n">
        <v>1600</v>
      </c>
      <c r="K1086" s="25" t="s">
        <v>546</v>
      </c>
      <c r="L1086" s="25" t="s">
        <v>547</v>
      </c>
      <c r="M1086" s="26" t="n">
        <f aca="false">IF(AND(L1086="Oui",K1086="Principal"),I1086*J1086,0)</f>
        <v>6400</v>
      </c>
      <c r="N1086" s="25" t="s">
        <v>548</v>
      </c>
      <c r="O1086" s="25"/>
      <c r="P1086" s="25" t="s">
        <v>550</v>
      </c>
      <c r="Q1086" s="25" t="s">
        <v>557</v>
      </c>
      <c r="R1086" s="26" t="n">
        <v>1300</v>
      </c>
      <c r="S1086" s="26" t="n">
        <f aca="false">IF(AND(L1086="Oui",K1086="Principal",R1086&lt;&gt;""),I1086*R1086,0)</f>
        <v>5200</v>
      </c>
      <c r="T1086" s="26" t="n">
        <f aca="false">IF(R1086&lt;&gt;"",M1086-S1086,0)</f>
        <v>1200</v>
      </c>
      <c r="U1086" s="26" t="n">
        <f aca="false">IF(R1086="",M1086,0)</f>
        <v>0</v>
      </c>
    </row>
    <row r="1087" customFormat="false" ht="15" hidden="false" customHeight="false" outlineLevel="0" collapsed="false">
      <c r="A1087" s="25" t="s">
        <v>65</v>
      </c>
      <c r="B1087" s="25" t="s">
        <v>66</v>
      </c>
      <c r="C1087" s="25" t="s">
        <v>50</v>
      </c>
      <c r="D1087" s="25" t="n">
        <v>5</v>
      </c>
      <c r="E1087" s="25" t="s">
        <v>544</v>
      </c>
      <c r="F1087" s="25" t="s">
        <v>301</v>
      </c>
      <c r="G1087" s="25" t="n">
        <v>1728</v>
      </c>
      <c r="H1087" s="25" t="s">
        <v>545</v>
      </c>
      <c r="I1087" s="25" t="n">
        <v>1</v>
      </c>
      <c r="J1087" s="26" t="n">
        <v>900</v>
      </c>
      <c r="K1087" s="25" t="s">
        <v>546</v>
      </c>
      <c r="L1087" s="25" t="s">
        <v>547</v>
      </c>
      <c r="M1087" s="26" t="n">
        <f aca="false">IF(AND(L1087="Oui",K1087="Principal"),I1087*J1087,0)</f>
        <v>900</v>
      </c>
      <c r="N1087" s="25" t="s">
        <v>548</v>
      </c>
      <c r="O1087" s="25"/>
      <c r="P1087" s="25" t="s">
        <v>550</v>
      </c>
      <c r="Q1087" s="25" t="s">
        <v>551</v>
      </c>
      <c r="R1087" s="26"/>
      <c r="S1087" s="26" t="n">
        <f aca="false">IF(AND(L1087="Oui",K1087="Principal",R1087&lt;&gt;""),I1087*R1087,0)</f>
        <v>0</v>
      </c>
      <c r="T1087" s="26" t="n">
        <f aca="false">IF(R1087&lt;&gt;"",M1087-S1087,0)</f>
        <v>0</v>
      </c>
      <c r="U1087" s="26" t="n">
        <f aca="false">IF(R1087="",M1087,0)</f>
        <v>900</v>
      </c>
    </row>
    <row r="1088" customFormat="false" ht="15" hidden="false" customHeight="false" outlineLevel="0" collapsed="false">
      <c r="A1088" s="25" t="s">
        <v>65</v>
      </c>
      <c r="B1088" s="25" t="s">
        <v>66</v>
      </c>
      <c r="C1088" s="25" t="s">
        <v>50</v>
      </c>
      <c r="D1088" s="25" t="n">
        <v>6</v>
      </c>
      <c r="E1088" s="25" t="s">
        <v>563</v>
      </c>
      <c r="F1088" s="25" t="s">
        <v>255</v>
      </c>
      <c r="G1088" s="25" t="n">
        <v>1636</v>
      </c>
      <c r="H1088" s="25" t="s">
        <v>661</v>
      </c>
      <c r="I1088" s="25" t="n">
        <v>1</v>
      </c>
      <c r="J1088" s="26" t="n">
        <v>400</v>
      </c>
      <c r="K1088" s="25" t="s">
        <v>546</v>
      </c>
      <c r="L1088" s="25" t="s">
        <v>547</v>
      </c>
      <c r="M1088" s="26" t="n">
        <f aca="false">IF(AND(L1088="Oui",K1088="Principal"),I1088*J1088,0)</f>
        <v>400</v>
      </c>
      <c r="N1088" s="25" t="s">
        <v>548</v>
      </c>
      <c r="O1088" s="25"/>
      <c r="P1088" s="25" t="s">
        <v>556</v>
      </c>
      <c r="Q1088" s="25" t="s">
        <v>557</v>
      </c>
      <c r="R1088" s="26" t="n">
        <v>320</v>
      </c>
      <c r="S1088" s="26" t="n">
        <f aca="false">IF(AND(L1088="Oui",K1088="Principal",R1088&lt;&gt;""),I1088*R1088,0)</f>
        <v>320</v>
      </c>
      <c r="T1088" s="26" t="n">
        <f aca="false">IF(R1088&lt;&gt;"",M1088-S1088,0)</f>
        <v>80</v>
      </c>
      <c r="U1088" s="26" t="n">
        <f aca="false">IF(R1088="",M1088,0)</f>
        <v>0</v>
      </c>
    </row>
    <row r="1089" customFormat="false" ht="15" hidden="false" customHeight="false" outlineLevel="0" collapsed="false">
      <c r="A1089" s="25" t="s">
        <v>65</v>
      </c>
      <c r="B1089" s="25" t="s">
        <v>66</v>
      </c>
      <c r="C1089" s="25" t="s">
        <v>50</v>
      </c>
      <c r="D1089" s="25" t="n">
        <v>7</v>
      </c>
      <c r="E1089" s="25" t="s">
        <v>563</v>
      </c>
      <c r="F1089" s="25" t="s">
        <v>257</v>
      </c>
      <c r="G1089" s="25" t="n">
        <v>1635</v>
      </c>
      <c r="H1089" s="25" t="s">
        <v>607</v>
      </c>
      <c r="I1089" s="25" t="n">
        <v>1</v>
      </c>
      <c r="J1089" s="26" t="n">
        <v>100</v>
      </c>
      <c r="K1089" s="25" t="s">
        <v>546</v>
      </c>
      <c r="L1089" s="25" t="s">
        <v>547</v>
      </c>
      <c r="M1089" s="26" t="n">
        <f aca="false">IF(AND(L1089="Oui",K1089="Principal"),I1089*J1089,0)</f>
        <v>100</v>
      </c>
      <c r="N1089" s="25" t="s">
        <v>548</v>
      </c>
      <c r="O1089" s="25"/>
      <c r="P1089" s="25" t="s">
        <v>556</v>
      </c>
      <c r="Q1089" s="25" t="s">
        <v>557</v>
      </c>
      <c r="R1089" s="26" t="n">
        <v>80</v>
      </c>
      <c r="S1089" s="26" t="n">
        <f aca="false">IF(AND(L1089="Oui",K1089="Principal",R1089&lt;&gt;""),I1089*R1089,0)</f>
        <v>80</v>
      </c>
      <c r="T1089" s="26" t="n">
        <f aca="false">IF(R1089&lt;&gt;"",M1089-S1089,0)</f>
        <v>20</v>
      </c>
      <c r="U1089" s="26" t="n">
        <f aca="false">IF(R1089="",M1089,0)</f>
        <v>0</v>
      </c>
    </row>
    <row r="1090" customFormat="false" ht="15" hidden="false" customHeight="false" outlineLevel="0" collapsed="false">
      <c r="A1090" s="25" t="s">
        <v>65</v>
      </c>
      <c r="B1090" s="25" t="s">
        <v>66</v>
      </c>
      <c r="C1090" s="25" t="s">
        <v>50</v>
      </c>
      <c r="D1090" s="25" t="n">
        <v>8</v>
      </c>
      <c r="E1090" s="25" t="s">
        <v>563</v>
      </c>
      <c r="F1090" s="25" t="s">
        <v>188</v>
      </c>
      <c r="G1090" s="25" t="n">
        <v>8</v>
      </c>
      <c r="H1090" s="25" t="s">
        <v>188</v>
      </c>
      <c r="I1090" s="25" t="n">
        <v>1</v>
      </c>
      <c r="J1090" s="26" t="n">
        <v>500</v>
      </c>
      <c r="K1090" s="25" t="s">
        <v>546</v>
      </c>
      <c r="L1090" s="25" t="s">
        <v>547</v>
      </c>
      <c r="M1090" s="26" t="n">
        <f aca="false">IF(AND(L1090="Oui",K1090="Principal"),I1090*J1090,0)</f>
        <v>500</v>
      </c>
      <c r="N1090" s="25" t="s">
        <v>548</v>
      </c>
      <c r="O1090" s="25"/>
      <c r="P1090" s="25" t="s">
        <v>559</v>
      </c>
      <c r="Q1090" s="25" t="s">
        <v>551</v>
      </c>
      <c r="R1090" s="26"/>
      <c r="S1090" s="26" t="n">
        <f aca="false">IF(AND(L1090="Oui",K1090="Principal",R1090&lt;&gt;""),I1090*R1090,0)</f>
        <v>0</v>
      </c>
      <c r="T1090" s="26" t="n">
        <f aca="false">IF(R1090&lt;&gt;"",M1090-S1090,0)</f>
        <v>0</v>
      </c>
      <c r="U1090" s="26" t="n">
        <f aca="false">IF(R1090="",M1090,0)</f>
        <v>500</v>
      </c>
    </row>
    <row r="1091" customFormat="false" ht="15" hidden="false" customHeight="false" outlineLevel="0" collapsed="false">
      <c r="A1091" s="25" t="s">
        <v>65</v>
      </c>
      <c r="B1091" s="25" t="s">
        <v>66</v>
      </c>
      <c r="C1091" s="25" t="s">
        <v>50</v>
      </c>
      <c r="D1091" s="25" t="n">
        <v>9</v>
      </c>
      <c r="E1091" s="25" t="s">
        <v>563</v>
      </c>
      <c r="F1091" s="25" t="s">
        <v>323</v>
      </c>
      <c r="G1091" s="25" t="n">
        <v>1607</v>
      </c>
      <c r="H1091" s="25" t="s">
        <v>696</v>
      </c>
      <c r="I1091" s="25" t="n">
        <v>1</v>
      </c>
      <c r="J1091" s="26" t="n">
        <v>2500</v>
      </c>
      <c r="K1091" s="25" t="s">
        <v>546</v>
      </c>
      <c r="L1091" s="25" t="s">
        <v>547</v>
      </c>
      <c r="M1091" s="26" t="n">
        <f aca="false">IF(AND(L1091="Oui",K1091="Principal"),I1091*J1091,0)</f>
        <v>2500</v>
      </c>
      <c r="N1091" s="25" t="s">
        <v>548</v>
      </c>
      <c r="O1091" s="25"/>
      <c r="P1091" s="25" t="s">
        <v>556</v>
      </c>
      <c r="Q1091" s="25" t="s">
        <v>557</v>
      </c>
      <c r="R1091" s="26" t="n">
        <v>2000</v>
      </c>
      <c r="S1091" s="26" t="n">
        <f aca="false">IF(AND(L1091="Oui",K1091="Principal",R1091&lt;&gt;""),I1091*R1091,0)</f>
        <v>2000</v>
      </c>
      <c r="T1091" s="26" t="n">
        <f aca="false">IF(R1091&lt;&gt;"",M1091-S1091,0)</f>
        <v>500</v>
      </c>
      <c r="U1091" s="26" t="n">
        <f aca="false">IF(R1091="",M1091,0)</f>
        <v>0</v>
      </c>
    </row>
    <row r="1092" customFormat="false" ht="15" hidden="false" customHeight="false" outlineLevel="0" collapsed="false">
      <c r="A1092" s="25" t="s">
        <v>65</v>
      </c>
      <c r="B1092" s="25" t="s">
        <v>66</v>
      </c>
      <c r="C1092" s="25" t="s">
        <v>50</v>
      </c>
      <c r="D1092" s="25" t="n">
        <v>10</v>
      </c>
      <c r="E1092" s="25" t="s">
        <v>563</v>
      </c>
      <c r="F1092" s="25" t="s">
        <v>325</v>
      </c>
      <c r="G1092" s="25" t="n">
        <v>1639</v>
      </c>
      <c r="H1092" s="25" t="s">
        <v>702</v>
      </c>
      <c r="I1092" s="25" t="n">
        <v>1</v>
      </c>
      <c r="J1092" s="26" t="n">
        <v>1000</v>
      </c>
      <c r="K1092" s="25" t="s">
        <v>546</v>
      </c>
      <c r="L1092" s="25" t="s">
        <v>547</v>
      </c>
      <c r="M1092" s="26" t="n">
        <f aca="false">IF(AND(L1092="Oui",K1092="Principal"),I1092*J1092,0)</f>
        <v>1000</v>
      </c>
      <c r="N1092" s="25" t="s">
        <v>548</v>
      </c>
      <c r="O1092" s="25"/>
      <c r="P1092" s="25" t="s">
        <v>556</v>
      </c>
      <c r="Q1092" s="25" t="s">
        <v>557</v>
      </c>
      <c r="R1092" s="26" t="n">
        <v>700</v>
      </c>
      <c r="S1092" s="26" t="n">
        <f aca="false">IF(AND(L1092="Oui",K1092="Principal",R1092&lt;&gt;""),I1092*R1092,0)</f>
        <v>700</v>
      </c>
      <c r="T1092" s="26" t="n">
        <f aca="false">IF(R1092&lt;&gt;"",M1092-S1092,0)</f>
        <v>300</v>
      </c>
      <c r="U1092" s="26" t="n">
        <f aca="false">IF(R1092="",M1092,0)</f>
        <v>0</v>
      </c>
    </row>
    <row r="1093" customFormat="false" ht="15" hidden="false" customHeight="false" outlineLevel="0" collapsed="false">
      <c r="A1093" s="25" t="s">
        <v>65</v>
      </c>
      <c r="B1093" s="25" t="s">
        <v>66</v>
      </c>
      <c r="C1093" s="25" t="s">
        <v>50</v>
      </c>
      <c r="D1093" s="25" t="n">
        <v>11</v>
      </c>
      <c r="E1093" s="25" t="s">
        <v>565</v>
      </c>
      <c r="F1093" s="25" t="s">
        <v>99</v>
      </c>
      <c r="G1093" s="25" t="n">
        <v>1181</v>
      </c>
      <c r="H1093" s="25" t="s">
        <v>581</v>
      </c>
      <c r="I1093" s="25" t="n">
        <v>1</v>
      </c>
      <c r="J1093" s="26" t="n">
        <v>250</v>
      </c>
      <c r="K1093" s="25" t="s">
        <v>546</v>
      </c>
      <c r="L1093" s="25" t="s">
        <v>547</v>
      </c>
      <c r="M1093" s="26" t="n">
        <f aca="false">IF(AND(L1093="Oui",K1093="Principal"),I1093*J1093,0)</f>
        <v>250</v>
      </c>
      <c r="N1093" s="25" t="s">
        <v>548</v>
      </c>
      <c r="O1093" s="25"/>
      <c r="P1093" s="25" t="s">
        <v>550</v>
      </c>
      <c r="Q1093" s="25" t="s">
        <v>557</v>
      </c>
      <c r="R1093" s="26" t="n">
        <v>110</v>
      </c>
      <c r="S1093" s="26" t="n">
        <f aca="false">IF(AND(L1093="Oui",K1093="Principal",R1093&lt;&gt;""),I1093*R1093,0)</f>
        <v>110</v>
      </c>
      <c r="T1093" s="26" t="n">
        <f aca="false">IF(R1093&lt;&gt;"",M1093-S1093,0)</f>
        <v>140</v>
      </c>
      <c r="U1093" s="26" t="n">
        <f aca="false">IF(R1093="",M1093,0)</f>
        <v>0</v>
      </c>
    </row>
    <row r="1094" customFormat="false" ht="15" hidden="false" customHeight="false" outlineLevel="0" collapsed="false">
      <c r="A1094" s="25" t="s">
        <v>65</v>
      </c>
      <c r="B1094" s="25" t="s">
        <v>66</v>
      </c>
      <c r="C1094" s="25" t="s">
        <v>50</v>
      </c>
      <c r="D1094" s="25" t="n">
        <v>12</v>
      </c>
      <c r="E1094" s="25" t="s">
        <v>565</v>
      </c>
      <c r="F1094" s="25" t="s">
        <v>164</v>
      </c>
      <c r="G1094" s="25" t="n">
        <v>1587</v>
      </c>
      <c r="H1094" s="25" t="s">
        <v>567</v>
      </c>
      <c r="I1094" s="25" t="n">
        <v>1</v>
      </c>
      <c r="J1094" s="26" t="n">
        <v>500</v>
      </c>
      <c r="K1094" s="25" t="s">
        <v>546</v>
      </c>
      <c r="L1094" s="25" t="s">
        <v>547</v>
      </c>
      <c r="M1094" s="26" t="n">
        <f aca="false">IF(AND(L1094="Oui",K1094="Principal"),I1094*J1094,0)</f>
        <v>500</v>
      </c>
      <c r="N1094" s="25" t="s">
        <v>548</v>
      </c>
      <c r="O1094" s="25"/>
      <c r="P1094" s="25" t="s">
        <v>556</v>
      </c>
      <c r="Q1094" s="25" t="s">
        <v>557</v>
      </c>
      <c r="R1094" s="26" t="n">
        <v>350</v>
      </c>
      <c r="S1094" s="26" t="n">
        <f aca="false">IF(AND(L1094="Oui",K1094="Principal",R1094&lt;&gt;""),I1094*R1094,0)</f>
        <v>350</v>
      </c>
      <c r="T1094" s="26" t="n">
        <f aca="false">IF(R1094&lt;&gt;"",M1094-S1094,0)</f>
        <v>150</v>
      </c>
      <c r="U1094" s="26" t="n">
        <f aca="false">IF(R1094="",M1094,0)</f>
        <v>0</v>
      </c>
    </row>
    <row r="1095" customFormat="false" ht="15" hidden="false" customHeight="false" outlineLevel="0" collapsed="false">
      <c r="A1095" s="25" t="s">
        <v>65</v>
      </c>
      <c r="B1095" s="25" t="s">
        <v>66</v>
      </c>
      <c r="C1095" s="25" t="s">
        <v>50</v>
      </c>
      <c r="D1095" s="25" t="n">
        <v>13</v>
      </c>
      <c r="E1095" s="25" t="s">
        <v>565</v>
      </c>
      <c r="F1095" s="25" t="s">
        <v>166</v>
      </c>
      <c r="G1095" s="25" t="n">
        <v>1604</v>
      </c>
      <c r="H1095" s="25" t="s">
        <v>582</v>
      </c>
      <c r="I1095" s="25" t="n">
        <v>2</v>
      </c>
      <c r="J1095" s="26" t="n">
        <v>700</v>
      </c>
      <c r="K1095" s="25" t="s">
        <v>546</v>
      </c>
      <c r="L1095" s="25" t="s">
        <v>547</v>
      </c>
      <c r="M1095" s="26" t="n">
        <f aca="false">IF(AND(L1095="Oui",K1095="Principal"),I1095*J1095,0)</f>
        <v>1400</v>
      </c>
      <c r="N1095" s="25" t="s">
        <v>548</v>
      </c>
      <c r="O1095" s="25"/>
      <c r="P1095" s="25" t="s">
        <v>556</v>
      </c>
      <c r="Q1095" s="25" t="s">
        <v>557</v>
      </c>
      <c r="R1095" s="26" t="n">
        <v>400</v>
      </c>
      <c r="S1095" s="26" t="n">
        <f aca="false">IF(AND(L1095="Oui",K1095="Principal",R1095&lt;&gt;""),I1095*R1095,0)</f>
        <v>800</v>
      </c>
      <c r="T1095" s="26" t="n">
        <f aca="false">IF(R1095&lt;&gt;"",M1095-S1095,0)</f>
        <v>600</v>
      </c>
      <c r="U1095" s="26" t="n">
        <f aca="false">IF(R1095="",M1095,0)</f>
        <v>0</v>
      </c>
    </row>
    <row r="1096" customFormat="false" ht="15" hidden="false" customHeight="false" outlineLevel="0" collapsed="false">
      <c r="A1096" s="25" t="s">
        <v>65</v>
      </c>
      <c r="B1096" s="25" t="s">
        <v>66</v>
      </c>
      <c r="C1096" s="25" t="s">
        <v>50</v>
      </c>
      <c r="D1096" s="25" t="n">
        <v>14</v>
      </c>
      <c r="E1096" s="25" t="s">
        <v>565</v>
      </c>
      <c r="F1096" s="25" t="s">
        <v>304</v>
      </c>
      <c r="G1096" s="25" t="n">
        <v>1586</v>
      </c>
      <c r="H1096" s="25" t="s">
        <v>583</v>
      </c>
      <c r="I1096" s="25" t="n">
        <v>1</v>
      </c>
      <c r="J1096" s="26" t="n">
        <v>900</v>
      </c>
      <c r="K1096" s="25" t="s">
        <v>546</v>
      </c>
      <c r="L1096" s="25" t="s">
        <v>547</v>
      </c>
      <c r="M1096" s="26" t="n">
        <f aca="false">IF(AND(L1096="Oui",K1096="Principal"),I1096*J1096,0)</f>
        <v>900</v>
      </c>
      <c r="N1096" s="25" t="s">
        <v>548</v>
      </c>
      <c r="O1096" s="25"/>
      <c r="P1096" s="25" t="s">
        <v>556</v>
      </c>
      <c r="Q1096" s="25" t="s">
        <v>557</v>
      </c>
      <c r="R1096" s="26" t="n">
        <v>650</v>
      </c>
      <c r="S1096" s="26" t="n">
        <f aca="false">IF(AND(L1096="Oui",K1096="Principal",R1096&lt;&gt;""),I1096*R1096,0)</f>
        <v>650</v>
      </c>
      <c r="T1096" s="26" t="n">
        <f aca="false">IF(R1096&lt;&gt;"",M1096-S1096,0)</f>
        <v>250</v>
      </c>
      <c r="U1096" s="26" t="n">
        <f aca="false">IF(R1096="",M1096,0)</f>
        <v>0</v>
      </c>
    </row>
    <row r="1097" customFormat="false" ht="15" hidden="false" customHeight="false" outlineLevel="0" collapsed="false">
      <c r="A1097" s="33" t="s">
        <v>65</v>
      </c>
      <c r="B1097" s="33" t="s">
        <v>66</v>
      </c>
      <c r="C1097" s="33" t="s">
        <v>50</v>
      </c>
      <c r="D1097" s="33" t="n">
        <v>15</v>
      </c>
      <c r="E1097" s="33" t="s">
        <v>609</v>
      </c>
      <c r="F1097" s="33" t="s">
        <v>199</v>
      </c>
      <c r="G1097" s="33" t="n">
        <v>1229</v>
      </c>
      <c r="H1097" s="33" t="s">
        <v>643</v>
      </c>
      <c r="I1097" s="33" t="n">
        <v>1</v>
      </c>
      <c r="J1097" s="34" t="n">
        <v>1800</v>
      </c>
      <c r="K1097" s="33" t="s">
        <v>546</v>
      </c>
      <c r="L1097" s="33" t="s">
        <v>547</v>
      </c>
      <c r="M1097" s="34" t="n">
        <f aca="false">IF(AND(L1097="Oui",K1097="Principal"),I1097*J1097,0)</f>
        <v>1800</v>
      </c>
      <c r="N1097" s="33" t="s">
        <v>182</v>
      </c>
      <c r="O1097" s="33" t="s">
        <v>644</v>
      </c>
      <c r="P1097" s="33" t="s">
        <v>550</v>
      </c>
      <c r="Q1097" s="33" t="s">
        <v>557</v>
      </c>
      <c r="R1097" s="34" t="n">
        <v>1500</v>
      </c>
      <c r="S1097" s="34" t="n">
        <f aca="false">IF(AND(L1097="Oui",K1097="Principal",R1097&lt;&gt;""),I1097*R1097,0)</f>
        <v>1500</v>
      </c>
      <c r="T1097" s="34" t="n">
        <f aca="false">IF(R1097&lt;&gt;"",M1097-S1097,0)</f>
        <v>300</v>
      </c>
      <c r="U1097" s="34" t="n">
        <f aca="false">IF(R1097="",M1097,0)</f>
        <v>0</v>
      </c>
    </row>
    <row r="1098" customFormat="false" ht="15" hidden="false" customHeight="false" outlineLevel="0" collapsed="false">
      <c r="A1098" s="25" t="s">
        <v>65</v>
      </c>
      <c r="B1098" s="25" t="s">
        <v>66</v>
      </c>
      <c r="C1098" s="25" t="s">
        <v>50</v>
      </c>
      <c r="D1098" s="25" t="n">
        <v>16</v>
      </c>
      <c r="E1098" s="25" t="s">
        <v>700</v>
      </c>
      <c r="F1098" s="25" t="s">
        <v>329</v>
      </c>
      <c r="G1098" s="25" t="n">
        <v>1716</v>
      </c>
      <c r="H1098" s="25" t="s">
        <v>701</v>
      </c>
      <c r="I1098" s="25" t="n">
        <v>1</v>
      </c>
      <c r="J1098" s="26" t="n">
        <v>1800</v>
      </c>
      <c r="K1098" s="25" t="s">
        <v>546</v>
      </c>
      <c r="L1098" s="25" t="s">
        <v>547</v>
      </c>
      <c r="M1098" s="26" t="n">
        <f aca="false">IF(AND(L1098="Oui",K1098="Principal"),I1098*J1098,0)</f>
        <v>1800</v>
      </c>
      <c r="N1098" s="25" t="s">
        <v>548</v>
      </c>
      <c r="O1098" s="25"/>
      <c r="P1098" s="25" t="s">
        <v>559</v>
      </c>
      <c r="Q1098" s="25" t="s">
        <v>557</v>
      </c>
      <c r="R1098" s="26" t="n">
        <v>1300</v>
      </c>
      <c r="S1098" s="26" t="n">
        <f aca="false">IF(AND(L1098="Oui",K1098="Principal",R1098&lt;&gt;""),I1098*R1098,0)</f>
        <v>1300</v>
      </c>
      <c r="T1098" s="26" t="n">
        <f aca="false">IF(R1098&lt;&gt;"",M1098-S1098,0)</f>
        <v>500</v>
      </c>
      <c r="U1098" s="26" t="n">
        <f aca="false">IF(R1098="",M1098,0)</f>
        <v>0</v>
      </c>
    </row>
    <row r="1099" customFormat="false" ht="15" hidden="false" customHeight="false" outlineLevel="0" collapsed="false">
      <c r="A1099" s="27" t="s">
        <v>65</v>
      </c>
      <c r="B1099" s="27" t="s">
        <v>66</v>
      </c>
      <c r="C1099" s="27" t="s">
        <v>50</v>
      </c>
      <c r="D1099" s="27" t="n">
        <v>17</v>
      </c>
      <c r="E1099" s="27" t="s">
        <v>700</v>
      </c>
      <c r="F1099" s="27" t="s">
        <v>430</v>
      </c>
      <c r="G1099" s="27"/>
      <c r="H1099" s="27" t="s">
        <v>585</v>
      </c>
      <c r="I1099" s="27" t="n">
        <v>1</v>
      </c>
      <c r="J1099" s="28" t="n">
        <v>0</v>
      </c>
      <c r="K1099" s="27" t="s">
        <v>546</v>
      </c>
      <c r="L1099" s="27" t="s">
        <v>579</v>
      </c>
      <c r="M1099" s="28" t="n">
        <f aca="false">IF(AND(L1099="Oui",K1099="Principal"),I1099*J1099,0)</f>
        <v>0</v>
      </c>
      <c r="N1099" s="27" t="s">
        <v>128</v>
      </c>
      <c r="O1099" s="27" t="s">
        <v>586</v>
      </c>
      <c r="P1099" s="27"/>
      <c r="Q1099" s="27"/>
      <c r="R1099" s="28"/>
      <c r="S1099" s="28" t="n">
        <f aca="false">IF(AND(L1099="Oui",K1099="Principal",R1099&lt;&gt;""),I1099*R1099,0)</f>
        <v>0</v>
      </c>
      <c r="T1099" s="28" t="n">
        <f aca="false">IF(R1099&lt;&gt;"",M1099-S1099,0)</f>
        <v>0</v>
      </c>
      <c r="U1099" s="28" t="n">
        <f aca="false">IF(R1099="",M1099,0)</f>
        <v>0</v>
      </c>
    </row>
    <row r="1100" customFormat="false" ht="15" hidden="false" customHeight="false" outlineLevel="0" collapsed="false">
      <c r="A1100" s="27" t="s">
        <v>65</v>
      </c>
      <c r="B1100" s="27" t="s">
        <v>66</v>
      </c>
      <c r="C1100" s="27" t="s">
        <v>50</v>
      </c>
      <c r="D1100" s="27" t="n">
        <v>18</v>
      </c>
      <c r="E1100" s="27" t="s">
        <v>700</v>
      </c>
      <c r="F1100" s="27" t="s">
        <v>382</v>
      </c>
      <c r="G1100" s="27"/>
      <c r="H1100" s="27" t="s">
        <v>585</v>
      </c>
      <c r="I1100" s="27" t="n">
        <v>1</v>
      </c>
      <c r="J1100" s="28" t="n">
        <v>0</v>
      </c>
      <c r="K1100" s="27" t="s">
        <v>546</v>
      </c>
      <c r="L1100" s="27" t="s">
        <v>579</v>
      </c>
      <c r="M1100" s="28" t="n">
        <f aca="false">IF(AND(L1100="Oui",K1100="Principal"),I1100*J1100,0)</f>
        <v>0</v>
      </c>
      <c r="N1100" s="27" t="s">
        <v>128</v>
      </c>
      <c r="O1100" s="27" t="s">
        <v>586</v>
      </c>
      <c r="P1100" s="27"/>
      <c r="Q1100" s="27"/>
      <c r="R1100" s="28"/>
      <c r="S1100" s="28" t="n">
        <f aca="false">IF(AND(L1100="Oui",K1100="Principal",R1100&lt;&gt;""),I1100*R1100,0)</f>
        <v>0</v>
      </c>
      <c r="T1100" s="28" t="n">
        <f aca="false">IF(R1100&lt;&gt;"",M1100-S1100,0)</f>
        <v>0</v>
      </c>
      <c r="U1100" s="28" t="n">
        <f aca="false">IF(R1100="",M1100,0)</f>
        <v>0</v>
      </c>
    </row>
    <row r="1101" customFormat="false" ht="15" hidden="false" customHeight="false" outlineLevel="0" collapsed="false">
      <c r="A1101" s="25" t="s">
        <v>65</v>
      </c>
      <c r="B1101" s="25" t="s">
        <v>66</v>
      </c>
      <c r="C1101" s="25" t="s">
        <v>50</v>
      </c>
      <c r="D1101" s="25" t="n">
        <v>19</v>
      </c>
      <c r="E1101" s="25" t="s">
        <v>571</v>
      </c>
      <c r="F1101" s="25" t="s">
        <v>431</v>
      </c>
      <c r="G1101" s="25" t="n">
        <v>1631</v>
      </c>
      <c r="H1101" s="25" t="s">
        <v>755</v>
      </c>
      <c r="I1101" s="25" t="n">
        <v>1</v>
      </c>
      <c r="J1101" s="26" t="n">
        <v>2700</v>
      </c>
      <c r="K1101" s="25" t="s">
        <v>546</v>
      </c>
      <c r="L1101" s="25" t="s">
        <v>547</v>
      </c>
      <c r="M1101" s="26" t="n">
        <f aca="false">IF(AND(L1101="Oui",K1101="Principal"),I1101*J1101,0)</f>
        <v>2700</v>
      </c>
      <c r="N1101" s="25" t="s">
        <v>548</v>
      </c>
      <c r="O1101" s="25"/>
      <c r="P1101" s="25" t="s">
        <v>556</v>
      </c>
      <c r="Q1101" s="25" t="s">
        <v>557</v>
      </c>
      <c r="R1101" s="26" t="n">
        <v>2000</v>
      </c>
      <c r="S1101" s="26" t="n">
        <f aca="false">IF(AND(L1101="Oui",K1101="Principal",R1101&lt;&gt;""),I1101*R1101,0)</f>
        <v>2000</v>
      </c>
      <c r="T1101" s="26" t="n">
        <f aca="false">IF(R1101&lt;&gt;"",M1101-S1101,0)</f>
        <v>700</v>
      </c>
      <c r="U1101" s="26" t="n">
        <f aca="false">IF(R1101="",M1101,0)</f>
        <v>0</v>
      </c>
    </row>
    <row r="1102" customFormat="false" ht="15" hidden="false" customHeight="false" outlineLevel="0" collapsed="false">
      <c r="A1102" s="25" t="s">
        <v>65</v>
      </c>
      <c r="B1102" s="25" t="s">
        <v>66</v>
      </c>
      <c r="C1102" s="25" t="s">
        <v>50</v>
      </c>
      <c r="D1102" s="25" t="n">
        <v>20</v>
      </c>
      <c r="E1102" s="25" t="s">
        <v>571</v>
      </c>
      <c r="F1102" s="25" t="s">
        <v>433</v>
      </c>
      <c r="G1102" s="25" t="n">
        <v>1683</v>
      </c>
      <c r="H1102" s="25" t="s">
        <v>756</v>
      </c>
      <c r="I1102" s="25" t="n">
        <v>1</v>
      </c>
      <c r="J1102" s="26" t="n">
        <v>1000</v>
      </c>
      <c r="K1102" s="25" t="s">
        <v>546</v>
      </c>
      <c r="L1102" s="25" t="s">
        <v>547</v>
      </c>
      <c r="M1102" s="26" t="n">
        <f aca="false">IF(AND(L1102="Oui",K1102="Principal"),I1102*J1102,0)</f>
        <v>1000</v>
      </c>
      <c r="N1102" s="25" t="s">
        <v>548</v>
      </c>
      <c r="O1102" s="25"/>
      <c r="P1102" s="25" t="s">
        <v>556</v>
      </c>
      <c r="Q1102" s="25" t="s">
        <v>557</v>
      </c>
      <c r="R1102" s="26"/>
      <c r="S1102" s="26" t="n">
        <f aca="false">IF(AND(L1102="Oui",K1102="Principal",R1102&lt;&gt;""),I1102*R1102,0)</f>
        <v>0</v>
      </c>
      <c r="T1102" s="26" t="n">
        <f aca="false">IF(R1102&lt;&gt;"",M1102-S1102,0)</f>
        <v>0</v>
      </c>
      <c r="U1102" s="26" t="n">
        <f aca="false">IF(R1102="",M1102,0)</f>
        <v>1000</v>
      </c>
    </row>
    <row r="1103" customFormat="false" ht="15" hidden="false" customHeight="false" outlineLevel="0" collapsed="false">
      <c r="A1103" s="33" t="s">
        <v>65</v>
      </c>
      <c r="B1103" s="33" t="s">
        <v>66</v>
      </c>
      <c r="C1103" s="33" t="s">
        <v>50</v>
      </c>
      <c r="D1103" s="33" t="n">
        <v>21</v>
      </c>
      <c r="E1103" s="33" t="s">
        <v>571</v>
      </c>
      <c r="F1103" s="33" t="s">
        <v>435</v>
      </c>
      <c r="G1103" s="33" t="n">
        <v>1269</v>
      </c>
      <c r="H1103" s="33" t="s">
        <v>757</v>
      </c>
      <c r="I1103" s="33" t="n">
        <v>1</v>
      </c>
      <c r="J1103" s="34" t="n">
        <v>1150</v>
      </c>
      <c r="K1103" s="33" t="s">
        <v>546</v>
      </c>
      <c r="L1103" s="33" t="s">
        <v>547</v>
      </c>
      <c r="M1103" s="34" t="n">
        <f aca="false">IF(AND(L1103="Oui",K1103="Principal"),I1103*J1103,0)</f>
        <v>1150</v>
      </c>
      <c r="N1103" s="33" t="s">
        <v>182</v>
      </c>
      <c r="O1103" s="33" t="s">
        <v>758</v>
      </c>
      <c r="P1103" s="33" t="s">
        <v>550</v>
      </c>
      <c r="Q1103" s="33" t="s">
        <v>557</v>
      </c>
      <c r="R1103" s="34" t="n">
        <v>850</v>
      </c>
      <c r="S1103" s="34" t="n">
        <f aca="false">IF(AND(L1103="Oui",K1103="Principal",R1103&lt;&gt;""),I1103*R1103,0)</f>
        <v>850</v>
      </c>
      <c r="T1103" s="34" t="n">
        <f aca="false">IF(R1103&lt;&gt;"",M1103-S1103,0)</f>
        <v>300</v>
      </c>
      <c r="U1103" s="34" t="n">
        <f aca="false">IF(R1103="",M1103,0)</f>
        <v>0</v>
      </c>
    </row>
    <row r="1104" customFormat="false" ht="15" hidden="false" customHeight="false" outlineLevel="0" collapsed="false">
      <c r="A1104" s="25" t="s">
        <v>65</v>
      </c>
      <c r="B1104" s="25" t="s">
        <v>66</v>
      </c>
      <c r="C1104" s="25" t="s">
        <v>50</v>
      </c>
      <c r="D1104" s="25" t="n">
        <v>22</v>
      </c>
      <c r="E1104" s="25" t="s">
        <v>573</v>
      </c>
      <c r="F1104" s="25" t="s">
        <v>176</v>
      </c>
      <c r="G1104" s="25" t="n">
        <v>19</v>
      </c>
      <c r="H1104" s="25" t="s">
        <v>615</v>
      </c>
      <c r="I1104" s="25" t="n">
        <v>1</v>
      </c>
      <c r="J1104" s="26" t="n">
        <v>2500</v>
      </c>
      <c r="K1104" s="25" t="s">
        <v>546</v>
      </c>
      <c r="L1104" s="25" t="s">
        <v>547</v>
      </c>
      <c r="M1104" s="26" t="n">
        <f aca="false">IF(AND(L1104="Oui",K1104="Principal"),I1104*J1104,0)</f>
        <v>2500</v>
      </c>
      <c r="N1104" s="25" t="s">
        <v>548</v>
      </c>
      <c r="O1104" s="25"/>
      <c r="P1104" s="25" t="s">
        <v>559</v>
      </c>
      <c r="Q1104" s="25" t="s">
        <v>551</v>
      </c>
      <c r="R1104" s="26"/>
      <c r="S1104" s="26" t="n">
        <f aca="false">IF(AND(L1104="Oui",K1104="Principal",R1104&lt;&gt;""),I1104*R1104,0)</f>
        <v>0</v>
      </c>
      <c r="T1104" s="26" t="n">
        <f aca="false">IF(R1104&lt;&gt;"",M1104-S1104,0)</f>
        <v>0</v>
      </c>
      <c r="U1104" s="26" t="n">
        <f aca="false">IF(R1104="",M1104,0)</f>
        <v>2500</v>
      </c>
    </row>
    <row r="1105" customFormat="false" ht="15" hidden="false" customHeight="false" outlineLevel="0" collapsed="false">
      <c r="A1105" s="25" t="s">
        <v>65</v>
      </c>
      <c r="B1105" s="25" t="s">
        <v>66</v>
      </c>
      <c r="C1105" s="25" t="s">
        <v>50</v>
      </c>
      <c r="D1105" s="25" t="n">
        <v>23</v>
      </c>
      <c r="E1105" s="25" t="s">
        <v>573</v>
      </c>
      <c r="F1105" s="25" t="s">
        <v>117</v>
      </c>
      <c r="G1105" s="25" t="n">
        <v>1288</v>
      </c>
      <c r="H1105" s="25" t="s">
        <v>624</v>
      </c>
      <c r="I1105" s="25" t="n">
        <v>1</v>
      </c>
      <c r="J1105" s="26" t="n">
        <v>2500</v>
      </c>
      <c r="K1105" s="25" t="s">
        <v>546</v>
      </c>
      <c r="L1105" s="25" t="s">
        <v>547</v>
      </c>
      <c r="M1105" s="26" t="n">
        <f aca="false">IF(AND(L1105="Oui",K1105="Principal"),I1105*J1105,0)</f>
        <v>2500</v>
      </c>
      <c r="N1105" s="25" t="s">
        <v>548</v>
      </c>
      <c r="O1105" s="25"/>
      <c r="P1105" s="25" t="s">
        <v>550</v>
      </c>
      <c r="Q1105" s="25" t="s">
        <v>557</v>
      </c>
      <c r="R1105" s="26" t="n">
        <v>2000</v>
      </c>
      <c r="S1105" s="26" t="n">
        <f aca="false">IF(AND(L1105="Oui",K1105="Principal",R1105&lt;&gt;""),I1105*R1105,0)</f>
        <v>2000</v>
      </c>
      <c r="T1105" s="26" t="n">
        <f aca="false">IF(R1105&lt;&gt;"",M1105-S1105,0)</f>
        <v>500</v>
      </c>
      <c r="U1105" s="26" t="n">
        <f aca="false">IF(R1105="",M1105,0)</f>
        <v>0</v>
      </c>
    </row>
    <row r="1106" customFormat="false" ht="15" hidden="false" customHeight="false" outlineLevel="0" collapsed="false">
      <c r="A1106" s="25" t="s">
        <v>65</v>
      </c>
      <c r="B1106" s="25" t="s">
        <v>66</v>
      </c>
      <c r="C1106" s="25" t="s">
        <v>50</v>
      </c>
      <c r="D1106" s="25" t="n">
        <v>24</v>
      </c>
      <c r="E1106" s="25" t="s">
        <v>573</v>
      </c>
      <c r="F1106" s="25" t="s">
        <v>321</v>
      </c>
      <c r="G1106" s="25" t="n">
        <v>1192</v>
      </c>
      <c r="H1106" s="25" t="s">
        <v>694</v>
      </c>
      <c r="I1106" s="25" t="n">
        <v>1</v>
      </c>
      <c r="J1106" s="26" t="n">
        <v>7000</v>
      </c>
      <c r="K1106" s="25" t="s">
        <v>546</v>
      </c>
      <c r="L1106" s="25" t="s">
        <v>547</v>
      </c>
      <c r="M1106" s="26" t="n">
        <f aca="false">IF(AND(L1106="Oui",K1106="Principal"),I1106*J1106,0)</f>
        <v>7000</v>
      </c>
      <c r="N1106" s="25" t="s">
        <v>548</v>
      </c>
      <c r="O1106" s="25"/>
      <c r="P1106" s="25" t="s">
        <v>550</v>
      </c>
      <c r="Q1106" s="25" t="s">
        <v>557</v>
      </c>
      <c r="R1106" s="26" t="n">
        <v>5500</v>
      </c>
      <c r="S1106" s="26" t="n">
        <f aca="false">IF(AND(L1106="Oui",K1106="Principal",R1106&lt;&gt;""),I1106*R1106,0)</f>
        <v>5500</v>
      </c>
      <c r="T1106" s="26" t="n">
        <f aca="false">IF(R1106&lt;&gt;"",M1106-S1106,0)</f>
        <v>1500</v>
      </c>
      <c r="U1106" s="26" t="n">
        <f aca="false">IF(R1106="",M1106,0)</f>
        <v>0</v>
      </c>
    </row>
    <row r="1107" customFormat="false" ht="15" hidden="false" customHeight="false" outlineLevel="0" collapsed="false">
      <c r="A1107" s="27" t="s">
        <v>65</v>
      </c>
      <c r="B1107" s="27" t="s">
        <v>66</v>
      </c>
      <c r="C1107" s="27" t="s">
        <v>50</v>
      </c>
      <c r="D1107" s="27" t="n">
        <v>25</v>
      </c>
      <c r="E1107" s="27" t="s">
        <v>689</v>
      </c>
      <c r="F1107" s="27" t="s">
        <v>427</v>
      </c>
      <c r="G1107" s="27"/>
      <c r="H1107" s="27" t="s">
        <v>585</v>
      </c>
      <c r="I1107" s="27" t="n">
        <v>1</v>
      </c>
      <c r="J1107" s="28" t="n">
        <v>0</v>
      </c>
      <c r="K1107" s="27" t="s">
        <v>546</v>
      </c>
      <c r="L1107" s="27" t="s">
        <v>579</v>
      </c>
      <c r="M1107" s="28" t="n">
        <f aca="false">IF(AND(L1107="Oui",K1107="Principal"),I1107*J1107,0)</f>
        <v>0</v>
      </c>
      <c r="N1107" s="27" t="s">
        <v>128</v>
      </c>
      <c r="O1107" s="27" t="s">
        <v>586</v>
      </c>
      <c r="P1107" s="27"/>
      <c r="Q1107" s="27"/>
      <c r="R1107" s="28"/>
      <c r="S1107" s="28" t="n">
        <f aca="false">IF(AND(L1107="Oui",K1107="Principal",R1107&lt;&gt;""),I1107*R1107,0)</f>
        <v>0</v>
      </c>
      <c r="T1107" s="28" t="n">
        <f aca="false">IF(R1107&lt;&gt;"",M1107-S1107,0)</f>
        <v>0</v>
      </c>
      <c r="U1107" s="28" t="n">
        <f aca="false">IF(R1107="",M1107,0)</f>
        <v>0</v>
      </c>
    </row>
    <row r="1108" customFormat="false" ht="15" hidden="false" customHeight="false" outlineLevel="0" collapsed="false">
      <c r="A1108" s="25" t="s">
        <v>65</v>
      </c>
      <c r="B1108" s="25" t="s">
        <v>66</v>
      </c>
      <c r="C1108" s="25" t="s">
        <v>50</v>
      </c>
      <c r="D1108" s="25" t="n">
        <v>26</v>
      </c>
      <c r="E1108" s="25" t="s">
        <v>689</v>
      </c>
      <c r="F1108" s="25" t="s">
        <v>428</v>
      </c>
      <c r="G1108" s="25" t="n">
        <v>1427</v>
      </c>
      <c r="H1108" s="25" t="s">
        <v>754</v>
      </c>
      <c r="I1108" s="25" t="n">
        <v>1</v>
      </c>
      <c r="J1108" s="26" t="n">
        <v>3900</v>
      </c>
      <c r="K1108" s="25" t="s">
        <v>546</v>
      </c>
      <c r="L1108" s="25" t="s">
        <v>547</v>
      </c>
      <c r="M1108" s="26" t="n">
        <f aca="false">IF(AND(L1108="Oui",K1108="Principal"),I1108*J1108,0)</f>
        <v>3900</v>
      </c>
      <c r="N1108" s="25" t="s">
        <v>548</v>
      </c>
      <c r="O1108" s="25"/>
      <c r="P1108" s="25" t="s">
        <v>550</v>
      </c>
      <c r="Q1108" s="25" t="s">
        <v>557</v>
      </c>
      <c r="R1108" s="26" t="n">
        <v>2900</v>
      </c>
      <c r="S1108" s="26" t="n">
        <f aca="false">IF(AND(L1108="Oui",K1108="Principal",R1108&lt;&gt;""),I1108*R1108,0)</f>
        <v>2900</v>
      </c>
      <c r="T1108" s="26" t="n">
        <f aca="false">IF(R1108&lt;&gt;"",M1108-S1108,0)</f>
        <v>1000</v>
      </c>
      <c r="U1108" s="26" t="n">
        <f aca="false">IF(R1108="",M1108,0)</f>
        <v>0</v>
      </c>
    </row>
    <row r="1109" customFormat="false" ht="15" hidden="false" customHeight="false" outlineLevel="0" collapsed="false">
      <c r="A1109" s="31" t="s">
        <v>65</v>
      </c>
      <c r="B1109" s="31" t="s">
        <v>66</v>
      </c>
      <c r="C1109" s="31" t="s">
        <v>50</v>
      </c>
      <c r="D1109" s="31" t="n">
        <v>27</v>
      </c>
      <c r="E1109" s="31" t="s">
        <v>588</v>
      </c>
      <c r="F1109" s="31" t="s">
        <v>437</v>
      </c>
      <c r="G1109" s="31" t="s">
        <v>759</v>
      </c>
      <c r="H1109" s="31" t="s">
        <v>760</v>
      </c>
      <c r="I1109" s="31" t="n">
        <v>1</v>
      </c>
      <c r="J1109" s="32" t="n">
        <v>2750</v>
      </c>
      <c r="K1109" s="31" t="s">
        <v>546</v>
      </c>
      <c r="L1109" s="31" t="s">
        <v>547</v>
      </c>
      <c r="M1109" s="32" t="n">
        <f aca="false">IF(AND(L1109="Oui",K1109="Principal"),I1109*J1109,0)</f>
        <v>2750</v>
      </c>
      <c r="N1109" s="31" t="s">
        <v>172</v>
      </c>
      <c r="O1109" s="31" t="s">
        <v>761</v>
      </c>
      <c r="P1109" s="31" t="s">
        <v>550</v>
      </c>
      <c r="Q1109" s="31" t="s">
        <v>557</v>
      </c>
      <c r="R1109" s="32" t="n">
        <v>2000</v>
      </c>
      <c r="S1109" s="32" t="n">
        <f aca="false">IF(AND(L1109="Oui",K1109="Principal",R1109&lt;&gt;""),I1109*R1109,0)</f>
        <v>2000</v>
      </c>
      <c r="T1109" s="32" t="n">
        <f aca="false">IF(R1109&lt;&gt;"",M1109-S1109,0)</f>
        <v>750</v>
      </c>
      <c r="U1109" s="32" t="n">
        <f aca="false">IF(R1109="",M1109,0)</f>
        <v>0</v>
      </c>
    </row>
    <row r="1110" customFormat="false" ht="15" hidden="false" customHeight="false" outlineLevel="0" collapsed="false">
      <c r="A1110" s="31" t="s">
        <v>65</v>
      </c>
      <c r="B1110" s="31" t="s">
        <v>66</v>
      </c>
      <c r="C1110" s="31" t="s">
        <v>50</v>
      </c>
      <c r="D1110" s="31" t="n">
        <v>28</v>
      </c>
      <c r="E1110" s="31" t="s">
        <v>588</v>
      </c>
      <c r="F1110" s="31" t="s">
        <v>439</v>
      </c>
      <c r="G1110" s="31" t="s">
        <v>762</v>
      </c>
      <c r="H1110" s="31" t="s">
        <v>763</v>
      </c>
      <c r="I1110" s="31" t="n">
        <v>1</v>
      </c>
      <c r="J1110" s="32" t="n">
        <v>3000</v>
      </c>
      <c r="K1110" s="31" t="s">
        <v>546</v>
      </c>
      <c r="L1110" s="31" t="s">
        <v>547</v>
      </c>
      <c r="M1110" s="32" t="n">
        <f aca="false">IF(AND(L1110="Oui",K1110="Principal"),I1110*J1110,0)</f>
        <v>3000</v>
      </c>
      <c r="N1110" s="31" t="s">
        <v>172</v>
      </c>
      <c r="O1110" s="31" t="s">
        <v>764</v>
      </c>
      <c r="P1110" s="31" t="s">
        <v>550</v>
      </c>
      <c r="Q1110" s="31" t="s">
        <v>557</v>
      </c>
      <c r="R1110" s="32" t="n">
        <v>2000</v>
      </c>
      <c r="S1110" s="32" t="n">
        <f aca="false">IF(AND(L1110="Oui",K1110="Principal",R1110&lt;&gt;""),I1110*R1110,0)</f>
        <v>2000</v>
      </c>
      <c r="T1110" s="32" t="n">
        <f aca="false">IF(R1110&lt;&gt;"",M1110-S1110,0)</f>
        <v>1000</v>
      </c>
      <c r="U1110" s="32" t="n">
        <f aca="false">IF(R1110="",M1110,0)</f>
        <v>0</v>
      </c>
    </row>
    <row r="1111" customFormat="false" ht="15" hidden="false" customHeight="false" outlineLevel="0" collapsed="false">
      <c r="A1111" s="25" t="s">
        <v>65</v>
      </c>
      <c r="B1111" s="25" t="s">
        <v>67</v>
      </c>
      <c r="C1111" s="25" t="s">
        <v>48</v>
      </c>
      <c r="D1111" s="25" t="n">
        <v>1</v>
      </c>
      <c r="E1111" s="25" t="s">
        <v>544</v>
      </c>
      <c r="F1111" s="25" t="s">
        <v>295</v>
      </c>
      <c r="G1111" s="25" t="n">
        <v>1618</v>
      </c>
      <c r="H1111" s="25" t="s">
        <v>600</v>
      </c>
      <c r="I1111" s="25" t="n">
        <v>2</v>
      </c>
      <c r="J1111" s="26" t="n">
        <v>450</v>
      </c>
      <c r="K1111" s="25" t="s">
        <v>546</v>
      </c>
      <c r="L1111" s="25" t="s">
        <v>547</v>
      </c>
      <c r="M1111" s="26" t="n">
        <f aca="false">IF(AND(L1111="Oui",K1111="Principal"),I1111*J1111,0)</f>
        <v>900</v>
      </c>
      <c r="N1111" s="25" t="s">
        <v>548</v>
      </c>
      <c r="O1111" s="25"/>
      <c r="P1111" s="25" t="s">
        <v>556</v>
      </c>
      <c r="Q1111" s="25" t="s">
        <v>557</v>
      </c>
      <c r="R1111" s="26" t="n">
        <v>350</v>
      </c>
      <c r="S1111" s="26" t="n">
        <f aca="false">IF(AND(L1111="Oui",K1111="Principal",R1111&lt;&gt;""),I1111*R1111,0)</f>
        <v>700</v>
      </c>
      <c r="T1111" s="26" t="n">
        <f aca="false">IF(R1111&lt;&gt;"",M1111-S1111,0)</f>
        <v>200</v>
      </c>
      <c r="U1111" s="26" t="n">
        <f aca="false">IF(R1111="",M1111,0)</f>
        <v>0</v>
      </c>
    </row>
    <row r="1112" customFormat="false" ht="15" hidden="false" customHeight="false" outlineLevel="0" collapsed="false">
      <c r="A1112" s="25" t="s">
        <v>65</v>
      </c>
      <c r="B1112" s="25" t="s">
        <v>67</v>
      </c>
      <c r="C1112" s="25" t="s">
        <v>48</v>
      </c>
      <c r="D1112" s="25" t="n">
        <v>2</v>
      </c>
      <c r="E1112" s="25" t="s">
        <v>544</v>
      </c>
      <c r="F1112" s="25" t="s">
        <v>296</v>
      </c>
      <c r="G1112" s="25" t="n">
        <v>1</v>
      </c>
      <c r="H1112" s="25" t="s">
        <v>681</v>
      </c>
      <c r="I1112" s="25" t="n">
        <v>4</v>
      </c>
      <c r="J1112" s="26" t="n">
        <v>500</v>
      </c>
      <c r="K1112" s="25" t="s">
        <v>546</v>
      </c>
      <c r="L1112" s="25" t="s">
        <v>547</v>
      </c>
      <c r="M1112" s="26" t="n">
        <f aca="false">IF(AND(L1112="Oui",K1112="Principal"),I1112*J1112,0)</f>
        <v>2000</v>
      </c>
      <c r="N1112" s="25" t="s">
        <v>548</v>
      </c>
      <c r="O1112" s="25"/>
      <c r="P1112" s="25" t="s">
        <v>559</v>
      </c>
      <c r="Q1112" s="25" t="s">
        <v>551</v>
      </c>
      <c r="R1112" s="26"/>
      <c r="S1112" s="26" t="n">
        <f aca="false">IF(AND(L1112="Oui",K1112="Principal",R1112&lt;&gt;""),I1112*R1112,0)</f>
        <v>0</v>
      </c>
      <c r="T1112" s="26" t="n">
        <f aca="false">IF(R1112&lt;&gt;"",M1112-S1112,0)</f>
        <v>0</v>
      </c>
      <c r="U1112" s="26" t="n">
        <f aca="false">IF(R1112="",M1112,0)</f>
        <v>2000</v>
      </c>
    </row>
    <row r="1113" customFormat="false" ht="15" hidden="false" customHeight="false" outlineLevel="0" collapsed="false">
      <c r="A1113" s="25" t="s">
        <v>65</v>
      </c>
      <c r="B1113" s="25" t="s">
        <v>67</v>
      </c>
      <c r="C1113" s="25" t="s">
        <v>48</v>
      </c>
      <c r="D1113" s="25" t="n">
        <v>3</v>
      </c>
      <c r="E1113" s="25" t="s">
        <v>544</v>
      </c>
      <c r="F1113" s="25" t="s">
        <v>298</v>
      </c>
      <c r="G1113" s="25" t="n">
        <v>1576</v>
      </c>
      <c r="H1113" s="25" t="s">
        <v>682</v>
      </c>
      <c r="I1113" s="25" t="n">
        <v>2</v>
      </c>
      <c r="J1113" s="26" t="n">
        <v>500</v>
      </c>
      <c r="K1113" s="25" t="s">
        <v>546</v>
      </c>
      <c r="L1113" s="25" t="s">
        <v>547</v>
      </c>
      <c r="M1113" s="26" t="n">
        <f aca="false">IF(AND(L1113="Oui",K1113="Principal"),I1113*J1113,0)</f>
        <v>1000</v>
      </c>
      <c r="N1113" s="25" t="s">
        <v>548</v>
      </c>
      <c r="O1113" s="25"/>
      <c r="P1113" s="25" t="s">
        <v>556</v>
      </c>
      <c r="Q1113" s="25" t="s">
        <v>557</v>
      </c>
      <c r="R1113" s="26" t="n">
        <v>400</v>
      </c>
      <c r="S1113" s="26" t="n">
        <f aca="false">IF(AND(L1113="Oui",K1113="Principal",R1113&lt;&gt;""),I1113*R1113,0)</f>
        <v>800</v>
      </c>
      <c r="T1113" s="26" t="n">
        <f aca="false">IF(R1113&lt;&gt;"",M1113-S1113,0)</f>
        <v>200</v>
      </c>
      <c r="U1113" s="26" t="n">
        <f aca="false">IF(R1113="",M1113,0)</f>
        <v>0</v>
      </c>
    </row>
    <row r="1114" customFormat="false" ht="15" hidden="false" customHeight="false" outlineLevel="0" collapsed="false">
      <c r="A1114" s="25" t="s">
        <v>65</v>
      </c>
      <c r="B1114" s="25" t="s">
        <v>67</v>
      </c>
      <c r="C1114" s="25" t="s">
        <v>48</v>
      </c>
      <c r="D1114" s="25" t="n">
        <v>4</v>
      </c>
      <c r="E1114" s="25" t="s">
        <v>544</v>
      </c>
      <c r="F1114" s="25" t="s">
        <v>338</v>
      </c>
      <c r="G1114" s="25" t="n">
        <v>2</v>
      </c>
      <c r="H1114" s="25" t="s">
        <v>705</v>
      </c>
      <c r="I1114" s="25" t="n">
        <v>5</v>
      </c>
      <c r="J1114" s="26" t="n">
        <v>900</v>
      </c>
      <c r="K1114" s="25" t="s">
        <v>546</v>
      </c>
      <c r="L1114" s="25" t="s">
        <v>547</v>
      </c>
      <c r="M1114" s="26" t="n">
        <f aca="false">IF(AND(L1114="Oui",K1114="Principal"),I1114*J1114,0)</f>
        <v>4500</v>
      </c>
      <c r="N1114" s="25" t="s">
        <v>548</v>
      </c>
      <c r="O1114" s="25"/>
      <c r="P1114" s="25" t="s">
        <v>559</v>
      </c>
      <c r="Q1114" s="25" t="s">
        <v>551</v>
      </c>
      <c r="R1114" s="26"/>
      <c r="S1114" s="26" t="n">
        <f aca="false">IF(AND(L1114="Oui",K1114="Principal",R1114&lt;&gt;""),I1114*R1114,0)</f>
        <v>0</v>
      </c>
      <c r="T1114" s="26" t="n">
        <f aca="false">IF(R1114&lt;&gt;"",M1114-S1114,0)</f>
        <v>0</v>
      </c>
      <c r="U1114" s="26" t="n">
        <f aca="false">IF(R1114="",M1114,0)</f>
        <v>4500</v>
      </c>
    </row>
    <row r="1115" customFormat="false" ht="15" hidden="false" customHeight="false" outlineLevel="0" collapsed="false">
      <c r="A1115" s="25" t="s">
        <v>65</v>
      </c>
      <c r="B1115" s="25" t="s">
        <v>67</v>
      </c>
      <c r="C1115" s="25" t="s">
        <v>48</v>
      </c>
      <c r="D1115" s="25" t="n">
        <v>5</v>
      </c>
      <c r="E1115" s="25" t="s">
        <v>544</v>
      </c>
      <c r="F1115" s="25" t="s">
        <v>442</v>
      </c>
      <c r="G1115" s="25" t="n">
        <v>1729</v>
      </c>
      <c r="H1115" s="25" t="s">
        <v>552</v>
      </c>
      <c r="I1115" s="25" t="n">
        <v>1</v>
      </c>
      <c r="J1115" s="26" t="n">
        <v>1300</v>
      </c>
      <c r="K1115" s="25" t="s">
        <v>546</v>
      </c>
      <c r="L1115" s="25" t="s">
        <v>547</v>
      </c>
      <c r="M1115" s="26" t="n">
        <f aca="false">IF(AND(L1115="Oui",K1115="Principal"),I1115*J1115,0)</f>
        <v>1300</v>
      </c>
      <c r="N1115" s="25" t="s">
        <v>548</v>
      </c>
      <c r="O1115" s="25"/>
      <c r="P1115" s="25" t="s">
        <v>550</v>
      </c>
      <c r="Q1115" s="25" t="s">
        <v>551</v>
      </c>
      <c r="R1115" s="26"/>
      <c r="S1115" s="26" t="n">
        <f aca="false">IF(AND(L1115="Oui",K1115="Principal",R1115&lt;&gt;""),I1115*R1115,0)</f>
        <v>0</v>
      </c>
      <c r="T1115" s="26" t="n">
        <f aca="false">IF(R1115&lt;&gt;"",M1115-S1115,0)</f>
        <v>0</v>
      </c>
      <c r="U1115" s="26" t="n">
        <f aca="false">IF(R1115="",M1115,0)</f>
        <v>1300</v>
      </c>
    </row>
    <row r="1116" customFormat="false" ht="15" hidden="false" customHeight="false" outlineLevel="0" collapsed="false">
      <c r="A1116" s="25" t="s">
        <v>65</v>
      </c>
      <c r="B1116" s="25" t="s">
        <v>67</v>
      </c>
      <c r="C1116" s="25" t="s">
        <v>48</v>
      </c>
      <c r="D1116" s="25" t="n">
        <v>6</v>
      </c>
      <c r="E1116" s="25" t="s">
        <v>563</v>
      </c>
      <c r="F1116" s="25" t="s">
        <v>255</v>
      </c>
      <c r="G1116" s="25" t="n">
        <v>1636</v>
      </c>
      <c r="H1116" s="25" t="s">
        <v>661</v>
      </c>
      <c r="I1116" s="25" t="n">
        <v>1</v>
      </c>
      <c r="J1116" s="26" t="n">
        <v>400</v>
      </c>
      <c r="K1116" s="25" t="s">
        <v>546</v>
      </c>
      <c r="L1116" s="25" t="s">
        <v>547</v>
      </c>
      <c r="M1116" s="26" t="n">
        <f aca="false">IF(AND(L1116="Oui",K1116="Principal"),I1116*J1116,0)</f>
        <v>400</v>
      </c>
      <c r="N1116" s="25" t="s">
        <v>548</v>
      </c>
      <c r="O1116" s="25"/>
      <c r="P1116" s="25" t="s">
        <v>556</v>
      </c>
      <c r="Q1116" s="25" t="s">
        <v>557</v>
      </c>
      <c r="R1116" s="26" t="n">
        <v>320</v>
      </c>
      <c r="S1116" s="26" t="n">
        <f aca="false">IF(AND(L1116="Oui",K1116="Principal",R1116&lt;&gt;""),I1116*R1116,0)</f>
        <v>320</v>
      </c>
      <c r="T1116" s="26" t="n">
        <f aca="false">IF(R1116&lt;&gt;"",M1116-S1116,0)</f>
        <v>80</v>
      </c>
      <c r="U1116" s="26" t="n">
        <f aca="false">IF(R1116="",M1116,0)</f>
        <v>0</v>
      </c>
    </row>
    <row r="1117" customFormat="false" ht="15" hidden="false" customHeight="false" outlineLevel="0" collapsed="false">
      <c r="A1117" s="25" t="s">
        <v>65</v>
      </c>
      <c r="B1117" s="25" t="s">
        <v>67</v>
      </c>
      <c r="C1117" s="25" t="s">
        <v>48</v>
      </c>
      <c r="D1117" s="25" t="n">
        <v>7</v>
      </c>
      <c r="E1117" s="25" t="s">
        <v>563</v>
      </c>
      <c r="F1117" s="25" t="s">
        <v>257</v>
      </c>
      <c r="G1117" s="25" t="n">
        <v>1635</v>
      </c>
      <c r="H1117" s="25" t="s">
        <v>607</v>
      </c>
      <c r="I1117" s="25" t="n">
        <v>1</v>
      </c>
      <c r="J1117" s="26" t="n">
        <v>100</v>
      </c>
      <c r="K1117" s="25" t="s">
        <v>546</v>
      </c>
      <c r="L1117" s="25" t="s">
        <v>547</v>
      </c>
      <c r="M1117" s="26" t="n">
        <f aca="false">IF(AND(L1117="Oui",K1117="Principal"),I1117*J1117,0)</f>
        <v>100</v>
      </c>
      <c r="N1117" s="25" t="s">
        <v>548</v>
      </c>
      <c r="O1117" s="25"/>
      <c r="P1117" s="25" t="s">
        <v>556</v>
      </c>
      <c r="Q1117" s="25" t="s">
        <v>557</v>
      </c>
      <c r="R1117" s="26" t="n">
        <v>80</v>
      </c>
      <c r="S1117" s="26" t="n">
        <f aca="false">IF(AND(L1117="Oui",K1117="Principal",R1117&lt;&gt;""),I1117*R1117,0)</f>
        <v>80</v>
      </c>
      <c r="T1117" s="26" t="n">
        <f aca="false">IF(R1117&lt;&gt;"",M1117-S1117,0)</f>
        <v>20</v>
      </c>
      <c r="U1117" s="26" t="n">
        <f aca="false">IF(R1117="",M1117,0)</f>
        <v>0</v>
      </c>
    </row>
    <row r="1118" customFormat="false" ht="15" hidden="false" customHeight="false" outlineLevel="0" collapsed="false">
      <c r="A1118" s="25" t="s">
        <v>65</v>
      </c>
      <c r="B1118" s="25" t="s">
        <v>67</v>
      </c>
      <c r="C1118" s="25" t="s">
        <v>48</v>
      </c>
      <c r="D1118" s="25" t="n">
        <v>8</v>
      </c>
      <c r="E1118" s="25" t="s">
        <v>563</v>
      </c>
      <c r="F1118" s="25" t="s">
        <v>97</v>
      </c>
      <c r="G1118" s="25" t="n">
        <v>1571</v>
      </c>
      <c r="H1118" s="25" t="s">
        <v>564</v>
      </c>
      <c r="I1118" s="25" t="n">
        <v>2</v>
      </c>
      <c r="J1118" s="26" t="n">
        <v>75</v>
      </c>
      <c r="K1118" s="25" t="s">
        <v>546</v>
      </c>
      <c r="L1118" s="25" t="s">
        <v>547</v>
      </c>
      <c r="M1118" s="26" t="n">
        <f aca="false">IF(AND(L1118="Oui",K1118="Principal"),I1118*J1118,0)</f>
        <v>150</v>
      </c>
      <c r="N1118" s="25" t="s">
        <v>548</v>
      </c>
      <c r="O1118" s="25"/>
      <c r="P1118" s="25" t="s">
        <v>550</v>
      </c>
      <c r="Q1118" s="25" t="s">
        <v>557</v>
      </c>
      <c r="R1118" s="26"/>
      <c r="S1118" s="26" t="n">
        <f aca="false">IF(AND(L1118="Oui",K1118="Principal",R1118&lt;&gt;""),I1118*R1118,0)</f>
        <v>0</v>
      </c>
      <c r="T1118" s="26" t="n">
        <f aca="false">IF(R1118&lt;&gt;"",M1118-S1118,0)</f>
        <v>0</v>
      </c>
      <c r="U1118" s="26" t="n">
        <f aca="false">IF(R1118="",M1118,0)</f>
        <v>150</v>
      </c>
    </row>
    <row r="1119" customFormat="false" ht="15" hidden="false" customHeight="false" outlineLevel="0" collapsed="false">
      <c r="A1119" s="25" t="s">
        <v>65</v>
      </c>
      <c r="B1119" s="25" t="s">
        <v>67</v>
      </c>
      <c r="C1119" s="25" t="s">
        <v>48</v>
      </c>
      <c r="D1119" s="25" t="n">
        <v>9</v>
      </c>
      <c r="E1119" s="25" t="s">
        <v>563</v>
      </c>
      <c r="F1119" s="25" t="s">
        <v>325</v>
      </c>
      <c r="G1119" s="25" t="n">
        <v>1248</v>
      </c>
      <c r="H1119" s="25" t="s">
        <v>697</v>
      </c>
      <c r="I1119" s="25" t="n">
        <v>1</v>
      </c>
      <c r="J1119" s="26" t="n">
        <v>400</v>
      </c>
      <c r="K1119" s="25" t="s">
        <v>546</v>
      </c>
      <c r="L1119" s="25" t="s">
        <v>547</v>
      </c>
      <c r="M1119" s="26" t="n">
        <f aca="false">IF(AND(L1119="Oui",K1119="Principal"),I1119*J1119,0)</f>
        <v>400</v>
      </c>
      <c r="N1119" s="25" t="s">
        <v>548</v>
      </c>
      <c r="O1119" s="25"/>
      <c r="P1119" s="25" t="s">
        <v>550</v>
      </c>
      <c r="Q1119" s="25" t="s">
        <v>557</v>
      </c>
      <c r="R1119" s="26" t="n">
        <v>250</v>
      </c>
      <c r="S1119" s="26" t="n">
        <f aca="false">IF(AND(L1119="Oui",K1119="Principal",R1119&lt;&gt;""),I1119*R1119,0)</f>
        <v>250</v>
      </c>
      <c r="T1119" s="26" t="n">
        <f aca="false">IF(R1119&lt;&gt;"",M1119-S1119,0)</f>
        <v>150</v>
      </c>
      <c r="U1119" s="26" t="n">
        <f aca="false">IF(R1119="",M1119,0)</f>
        <v>0</v>
      </c>
    </row>
    <row r="1120" customFormat="false" ht="15" hidden="false" customHeight="false" outlineLevel="0" collapsed="false">
      <c r="A1120" s="25" t="s">
        <v>65</v>
      </c>
      <c r="B1120" s="25" t="s">
        <v>67</v>
      </c>
      <c r="C1120" s="25" t="s">
        <v>48</v>
      </c>
      <c r="D1120" s="25" t="n">
        <v>10</v>
      </c>
      <c r="E1120" s="25" t="s">
        <v>565</v>
      </c>
      <c r="F1120" s="25" t="s">
        <v>99</v>
      </c>
      <c r="G1120" s="25" t="n">
        <v>9</v>
      </c>
      <c r="H1120" s="25" t="s">
        <v>566</v>
      </c>
      <c r="I1120" s="25" t="n">
        <v>1</v>
      </c>
      <c r="J1120" s="26" t="n">
        <v>150</v>
      </c>
      <c r="K1120" s="25" t="s">
        <v>546</v>
      </c>
      <c r="L1120" s="25" t="s">
        <v>547</v>
      </c>
      <c r="M1120" s="26" t="n">
        <f aca="false">IF(AND(L1120="Oui",K1120="Principal"),I1120*J1120,0)</f>
        <v>150</v>
      </c>
      <c r="N1120" s="25" t="s">
        <v>548</v>
      </c>
      <c r="O1120" s="25"/>
      <c r="P1120" s="25" t="s">
        <v>559</v>
      </c>
      <c r="Q1120" s="25" t="s">
        <v>551</v>
      </c>
      <c r="R1120" s="26"/>
      <c r="S1120" s="26" t="n">
        <f aca="false">IF(AND(L1120="Oui",K1120="Principal",R1120&lt;&gt;""),I1120*R1120,0)</f>
        <v>0</v>
      </c>
      <c r="T1120" s="26" t="n">
        <f aca="false">IF(R1120&lt;&gt;"",M1120-S1120,0)</f>
        <v>0</v>
      </c>
      <c r="U1120" s="26" t="n">
        <f aca="false">IF(R1120="",M1120,0)</f>
        <v>150</v>
      </c>
    </row>
    <row r="1121" customFormat="false" ht="15" hidden="false" customHeight="false" outlineLevel="0" collapsed="false">
      <c r="A1121" s="25" t="s">
        <v>65</v>
      </c>
      <c r="B1121" s="25" t="s">
        <v>67</v>
      </c>
      <c r="C1121" s="25" t="s">
        <v>48</v>
      </c>
      <c r="D1121" s="25" t="n">
        <v>11</v>
      </c>
      <c r="E1121" s="25" t="s">
        <v>565</v>
      </c>
      <c r="F1121" s="25" t="s">
        <v>164</v>
      </c>
      <c r="G1121" s="25" t="n">
        <v>10</v>
      </c>
      <c r="H1121" s="25" t="s">
        <v>608</v>
      </c>
      <c r="I1121" s="25" t="n">
        <v>1</v>
      </c>
      <c r="J1121" s="26" t="n">
        <v>200</v>
      </c>
      <c r="K1121" s="25" t="s">
        <v>546</v>
      </c>
      <c r="L1121" s="25" t="s">
        <v>547</v>
      </c>
      <c r="M1121" s="26" t="n">
        <f aca="false">IF(AND(L1121="Oui",K1121="Principal"),I1121*J1121,0)</f>
        <v>200</v>
      </c>
      <c r="N1121" s="25" t="s">
        <v>548</v>
      </c>
      <c r="O1121" s="25"/>
      <c r="P1121" s="25" t="s">
        <v>559</v>
      </c>
      <c r="Q1121" s="25" t="s">
        <v>551</v>
      </c>
      <c r="R1121" s="26"/>
      <c r="S1121" s="26" t="n">
        <f aca="false">IF(AND(L1121="Oui",K1121="Principal",R1121&lt;&gt;""),I1121*R1121,0)</f>
        <v>0</v>
      </c>
      <c r="T1121" s="26" t="n">
        <f aca="false">IF(R1121&lt;&gt;"",M1121-S1121,0)</f>
        <v>0</v>
      </c>
      <c r="U1121" s="26" t="n">
        <f aca="false">IF(R1121="",M1121,0)</f>
        <v>200</v>
      </c>
    </row>
    <row r="1122" customFormat="false" ht="15" hidden="false" customHeight="false" outlineLevel="0" collapsed="false">
      <c r="A1122" s="25" t="s">
        <v>65</v>
      </c>
      <c r="B1122" s="25" t="s">
        <v>67</v>
      </c>
      <c r="C1122" s="25" t="s">
        <v>48</v>
      </c>
      <c r="D1122" s="25" t="n">
        <v>12</v>
      </c>
      <c r="E1122" s="25" t="s">
        <v>565</v>
      </c>
      <c r="F1122" s="25" t="s">
        <v>166</v>
      </c>
      <c r="G1122" s="25" t="n">
        <v>1173</v>
      </c>
      <c r="H1122" s="25" t="s">
        <v>569</v>
      </c>
      <c r="I1122" s="25" t="n">
        <v>1</v>
      </c>
      <c r="J1122" s="26" t="n">
        <v>570</v>
      </c>
      <c r="K1122" s="25" t="s">
        <v>546</v>
      </c>
      <c r="L1122" s="25" t="s">
        <v>547</v>
      </c>
      <c r="M1122" s="26" t="n">
        <f aca="false">IF(AND(L1122="Oui",K1122="Principal"),I1122*J1122,0)</f>
        <v>570</v>
      </c>
      <c r="N1122" s="25" t="s">
        <v>548</v>
      </c>
      <c r="O1122" s="25"/>
      <c r="P1122" s="25" t="s">
        <v>550</v>
      </c>
      <c r="Q1122" s="25" t="s">
        <v>557</v>
      </c>
      <c r="R1122" s="26" t="n">
        <v>420</v>
      </c>
      <c r="S1122" s="26" t="n">
        <f aca="false">IF(AND(L1122="Oui",K1122="Principal",R1122&lt;&gt;""),I1122*R1122,0)</f>
        <v>420</v>
      </c>
      <c r="T1122" s="26" t="n">
        <f aca="false">IF(R1122&lt;&gt;"",M1122-S1122,0)</f>
        <v>150</v>
      </c>
      <c r="U1122" s="26" t="n">
        <f aca="false">IF(R1122="",M1122,0)</f>
        <v>0</v>
      </c>
    </row>
    <row r="1123" customFormat="false" ht="15" hidden="false" customHeight="false" outlineLevel="0" collapsed="false">
      <c r="A1123" s="25" t="s">
        <v>65</v>
      </c>
      <c r="B1123" s="25" t="s">
        <v>67</v>
      </c>
      <c r="C1123" s="25" t="s">
        <v>48</v>
      </c>
      <c r="D1123" s="25" t="n">
        <v>13</v>
      </c>
      <c r="E1123" s="25" t="s">
        <v>565</v>
      </c>
      <c r="F1123" s="25" t="s">
        <v>304</v>
      </c>
      <c r="G1123" s="25" t="n">
        <v>1250</v>
      </c>
      <c r="H1123" s="25" t="s">
        <v>570</v>
      </c>
      <c r="I1123" s="25" t="n">
        <v>1</v>
      </c>
      <c r="J1123" s="26" t="n">
        <v>250</v>
      </c>
      <c r="K1123" s="25" t="s">
        <v>546</v>
      </c>
      <c r="L1123" s="25" t="s">
        <v>547</v>
      </c>
      <c r="M1123" s="26" t="n">
        <f aca="false">IF(AND(L1123="Oui",K1123="Principal"),I1123*J1123,0)</f>
        <v>250</v>
      </c>
      <c r="N1123" s="25" t="s">
        <v>548</v>
      </c>
      <c r="O1123" s="25"/>
      <c r="P1123" s="25" t="s">
        <v>550</v>
      </c>
      <c r="Q1123" s="25" t="s">
        <v>557</v>
      </c>
      <c r="R1123" s="26" t="n">
        <v>100</v>
      </c>
      <c r="S1123" s="26" t="n">
        <f aca="false">IF(AND(L1123="Oui",K1123="Principal",R1123&lt;&gt;""),I1123*R1123,0)</f>
        <v>100</v>
      </c>
      <c r="T1123" s="26" t="n">
        <f aca="false">IF(R1123&lt;&gt;"",M1123-S1123,0)</f>
        <v>150</v>
      </c>
      <c r="U1123" s="26" t="n">
        <f aca="false">IF(R1123="",M1123,0)</f>
        <v>0</v>
      </c>
    </row>
    <row r="1124" customFormat="false" ht="15" hidden="false" customHeight="false" outlineLevel="0" collapsed="false">
      <c r="A1124" s="33" t="s">
        <v>65</v>
      </c>
      <c r="B1124" s="33" t="s">
        <v>67</v>
      </c>
      <c r="C1124" s="33" t="s">
        <v>48</v>
      </c>
      <c r="D1124" s="33" t="n">
        <v>14</v>
      </c>
      <c r="E1124" s="33" t="s">
        <v>609</v>
      </c>
      <c r="F1124" s="33" t="s">
        <v>199</v>
      </c>
      <c r="G1124" s="33" t="n">
        <v>1229</v>
      </c>
      <c r="H1124" s="33" t="s">
        <v>643</v>
      </c>
      <c r="I1124" s="33" t="n">
        <v>1</v>
      </c>
      <c r="J1124" s="34" t="n">
        <v>1800</v>
      </c>
      <c r="K1124" s="33" t="s">
        <v>546</v>
      </c>
      <c r="L1124" s="33" t="s">
        <v>547</v>
      </c>
      <c r="M1124" s="34" t="n">
        <f aca="false">IF(AND(L1124="Oui",K1124="Principal"),I1124*J1124,0)</f>
        <v>1800</v>
      </c>
      <c r="N1124" s="33" t="s">
        <v>182</v>
      </c>
      <c r="O1124" s="33" t="s">
        <v>644</v>
      </c>
      <c r="P1124" s="33" t="s">
        <v>550</v>
      </c>
      <c r="Q1124" s="33" t="s">
        <v>557</v>
      </c>
      <c r="R1124" s="34" t="n">
        <v>1500</v>
      </c>
      <c r="S1124" s="34" t="n">
        <f aca="false">IF(AND(L1124="Oui",K1124="Principal",R1124&lt;&gt;""),I1124*R1124,0)</f>
        <v>1500</v>
      </c>
      <c r="T1124" s="34" t="n">
        <f aca="false">IF(R1124&lt;&gt;"",M1124-S1124,0)</f>
        <v>300</v>
      </c>
      <c r="U1124" s="34" t="n">
        <f aca="false">IF(R1124="",M1124,0)</f>
        <v>0</v>
      </c>
    </row>
    <row r="1125" customFormat="false" ht="15" hidden="false" customHeight="false" outlineLevel="0" collapsed="false">
      <c r="A1125" s="25" t="s">
        <v>65</v>
      </c>
      <c r="B1125" s="25" t="s">
        <v>67</v>
      </c>
      <c r="C1125" s="25" t="s">
        <v>48</v>
      </c>
      <c r="D1125" s="25" t="n">
        <v>15</v>
      </c>
      <c r="E1125" s="25" t="s">
        <v>609</v>
      </c>
      <c r="F1125" s="25" t="s">
        <v>443</v>
      </c>
      <c r="G1125" s="25" t="n">
        <v>1727</v>
      </c>
      <c r="H1125" s="25" t="s">
        <v>698</v>
      </c>
      <c r="I1125" s="25" t="n">
        <v>1</v>
      </c>
      <c r="J1125" s="26" t="n">
        <v>4750</v>
      </c>
      <c r="K1125" s="25" t="s">
        <v>546</v>
      </c>
      <c r="L1125" s="25" t="s">
        <v>547</v>
      </c>
      <c r="M1125" s="26" t="n">
        <f aca="false">IF(AND(L1125="Oui",K1125="Principal"),I1125*J1125,0)</f>
        <v>4750</v>
      </c>
      <c r="N1125" s="25" t="s">
        <v>548</v>
      </c>
      <c r="O1125" s="25"/>
      <c r="P1125" s="25" t="s">
        <v>559</v>
      </c>
      <c r="Q1125" s="25" t="s">
        <v>557</v>
      </c>
      <c r="R1125" s="26" t="n">
        <v>3700</v>
      </c>
      <c r="S1125" s="26" t="n">
        <f aca="false">IF(AND(L1125="Oui",K1125="Principal",R1125&lt;&gt;""),I1125*R1125,0)</f>
        <v>3700</v>
      </c>
      <c r="T1125" s="26" t="n">
        <f aca="false">IF(R1125&lt;&gt;"",M1125-S1125,0)</f>
        <v>1050</v>
      </c>
      <c r="U1125" s="26" t="n">
        <f aca="false">IF(R1125="",M1125,0)</f>
        <v>0</v>
      </c>
    </row>
    <row r="1126" customFormat="false" ht="15" hidden="false" customHeight="false" outlineLevel="0" collapsed="false">
      <c r="A1126" s="25" t="s">
        <v>65</v>
      </c>
      <c r="B1126" s="25" t="s">
        <v>67</v>
      </c>
      <c r="C1126" s="25" t="s">
        <v>48</v>
      </c>
      <c r="D1126" s="25" t="n">
        <v>16</v>
      </c>
      <c r="E1126" s="25" t="s">
        <v>573</v>
      </c>
      <c r="F1126" s="25" t="s">
        <v>176</v>
      </c>
      <c r="G1126" s="25" t="n">
        <v>19</v>
      </c>
      <c r="H1126" s="25" t="s">
        <v>615</v>
      </c>
      <c r="I1126" s="25" t="n">
        <v>1</v>
      </c>
      <c r="J1126" s="26" t="n">
        <v>2500</v>
      </c>
      <c r="K1126" s="25" t="s">
        <v>546</v>
      </c>
      <c r="L1126" s="25" t="s">
        <v>547</v>
      </c>
      <c r="M1126" s="26" t="n">
        <f aca="false">IF(AND(L1126="Oui",K1126="Principal"),I1126*J1126,0)</f>
        <v>2500</v>
      </c>
      <c r="N1126" s="25" t="s">
        <v>548</v>
      </c>
      <c r="O1126" s="25"/>
      <c r="P1126" s="25" t="s">
        <v>559</v>
      </c>
      <c r="Q1126" s="25" t="s">
        <v>551</v>
      </c>
      <c r="R1126" s="26"/>
      <c r="S1126" s="26" t="n">
        <f aca="false">IF(AND(L1126="Oui",K1126="Principal",R1126&lt;&gt;""),I1126*R1126,0)</f>
        <v>0</v>
      </c>
      <c r="T1126" s="26" t="n">
        <f aca="false">IF(R1126&lt;&gt;"",M1126-S1126,0)</f>
        <v>0</v>
      </c>
      <c r="U1126" s="26" t="n">
        <f aca="false">IF(R1126="",M1126,0)</f>
        <v>2500</v>
      </c>
    </row>
    <row r="1127" customFormat="false" ht="15" hidden="false" customHeight="false" outlineLevel="0" collapsed="false">
      <c r="A1127" s="25" t="s">
        <v>65</v>
      </c>
      <c r="B1127" s="25" t="s">
        <v>67</v>
      </c>
      <c r="C1127" s="25" t="s">
        <v>48</v>
      </c>
      <c r="D1127" s="25" t="n">
        <v>17</v>
      </c>
      <c r="E1127" s="25" t="s">
        <v>686</v>
      </c>
      <c r="F1127" s="25" t="s">
        <v>444</v>
      </c>
      <c r="G1127" s="25" t="n">
        <v>1448</v>
      </c>
      <c r="H1127" s="25" t="s">
        <v>765</v>
      </c>
      <c r="I1127" s="25" t="n">
        <v>1</v>
      </c>
      <c r="J1127" s="26" t="n">
        <v>4720</v>
      </c>
      <c r="K1127" s="25" t="s">
        <v>618</v>
      </c>
      <c r="L1127" s="25" t="s">
        <v>579</v>
      </c>
      <c r="M1127" s="26" t="n">
        <f aca="false">IF(AND(L1127="Oui",K1127="Principal"),I1127*J1127,0)</f>
        <v>0</v>
      </c>
      <c r="N1127" s="25" t="s">
        <v>548</v>
      </c>
      <c r="O1127" s="25"/>
      <c r="P1127" s="25" t="s">
        <v>550</v>
      </c>
      <c r="Q1127" s="25" t="s">
        <v>557</v>
      </c>
      <c r="R1127" s="26" t="n">
        <v>3720</v>
      </c>
      <c r="S1127" s="26" t="n">
        <f aca="false">IF(AND(L1127="Oui",K1127="Principal",R1127&lt;&gt;""),I1127*R1127,0)</f>
        <v>0</v>
      </c>
      <c r="T1127" s="26" t="n">
        <f aca="false">IF(R1127&lt;&gt;"",M1127-S1127,0)</f>
        <v>0</v>
      </c>
      <c r="U1127" s="26" t="n">
        <f aca="false">IF(R1127="",M1127,0)</f>
        <v>0</v>
      </c>
    </row>
    <row r="1128" customFormat="false" ht="15" hidden="false" customHeight="false" outlineLevel="0" collapsed="false">
      <c r="A1128" s="27" t="s">
        <v>65</v>
      </c>
      <c r="B1128" s="27" t="s">
        <v>67</v>
      </c>
      <c r="C1128" s="27" t="s">
        <v>48</v>
      </c>
      <c r="D1128" s="27" t="n">
        <v>18</v>
      </c>
      <c r="E1128" s="27" t="s">
        <v>689</v>
      </c>
      <c r="F1128" s="27" t="s">
        <v>446</v>
      </c>
      <c r="G1128" s="27"/>
      <c r="H1128" s="27" t="s">
        <v>585</v>
      </c>
      <c r="I1128" s="27" t="n">
        <v>1</v>
      </c>
      <c r="J1128" s="28" t="n">
        <v>0</v>
      </c>
      <c r="K1128" s="27" t="s">
        <v>618</v>
      </c>
      <c r="L1128" s="27" t="s">
        <v>579</v>
      </c>
      <c r="M1128" s="28" t="n">
        <f aca="false">IF(AND(L1128="Oui",K1128="Principal"),I1128*J1128,0)</f>
        <v>0</v>
      </c>
      <c r="N1128" s="27" t="s">
        <v>128</v>
      </c>
      <c r="O1128" s="27" t="s">
        <v>586</v>
      </c>
      <c r="P1128" s="27"/>
      <c r="Q1128" s="27"/>
      <c r="R1128" s="28"/>
      <c r="S1128" s="28" t="n">
        <f aca="false">IF(AND(L1128="Oui",K1128="Principal",R1128&lt;&gt;""),I1128*R1128,0)</f>
        <v>0</v>
      </c>
      <c r="T1128" s="28" t="n">
        <f aca="false">IF(R1128&lt;&gt;"",M1128-S1128,0)</f>
        <v>0</v>
      </c>
      <c r="U1128" s="28" t="n">
        <f aca="false">IF(R1128="",M1128,0)</f>
        <v>0</v>
      </c>
    </row>
    <row r="1129" customFormat="false" ht="15" hidden="false" customHeight="false" outlineLevel="0" collapsed="false">
      <c r="A1129" s="27" t="s">
        <v>65</v>
      </c>
      <c r="B1129" s="27" t="s">
        <v>67</v>
      </c>
      <c r="C1129" s="27" t="s">
        <v>48</v>
      </c>
      <c r="D1129" s="27" t="n">
        <v>19</v>
      </c>
      <c r="E1129" s="27" t="s">
        <v>689</v>
      </c>
      <c r="F1129" s="27" t="s">
        <v>427</v>
      </c>
      <c r="G1129" s="27"/>
      <c r="H1129" s="27" t="s">
        <v>585</v>
      </c>
      <c r="I1129" s="27" t="n">
        <v>1</v>
      </c>
      <c r="J1129" s="28" t="n">
        <v>0</v>
      </c>
      <c r="K1129" s="27" t="s">
        <v>618</v>
      </c>
      <c r="L1129" s="27" t="s">
        <v>579</v>
      </c>
      <c r="M1129" s="28" t="n">
        <f aca="false">IF(AND(L1129="Oui",K1129="Principal"),I1129*J1129,0)</f>
        <v>0</v>
      </c>
      <c r="N1129" s="27" t="s">
        <v>128</v>
      </c>
      <c r="O1129" s="27" t="s">
        <v>586</v>
      </c>
      <c r="P1129" s="27"/>
      <c r="Q1129" s="27"/>
      <c r="R1129" s="28"/>
      <c r="S1129" s="28" t="n">
        <f aca="false">IF(AND(L1129="Oui",K1129="Principal",R1129&lt;&gt;""),I1129*R1129,0)</f>
        <v>0</v>
      </c>
      <c r="T1129" s="28" t="n">
        <f aca="false">IF(R1129&lt;&gt;"",M1129-S1129,0)</f>
        <v>0</v>
      </c>
      <c r="U1129" s="28" t="n">
        <f aca="false">IF(R1129="",M1129,0)</f>
        <v>0</v>
      </c>
    </row>
    <row r="1130" customFormat="false" ht="15" hidden="false" customHeight="false" outlineLevel="0" collapsed="false">
      <c r="A1130" s="27" t="s">
        <v>65</v>
      </c>
      <c r="B1130" s="27" t="s">
        <v>67</v>
      </c>
      <c r="C1130" s="27" t="s">
        <v>48</v>
      </c>
      <c r="D1130" s="27" t="n">
        <v>20</v>
      </c>
      <c r="E1130" s="27" t="s">
        <v>686</v>
      </c>
      <c r="F1130" s="27" t="s">
        <v>447</v>
      </c>
      <c r="G1130" s="27"/>
      <c r="H1130" s="27" t="s">
        <v>585</v>
      </c>
      <c r="I1130" s="27" t="n">
        <v>1</v>
      </c>
      <c r="J1130" s="28" t="n">
        <v>0</v>
      </c>
      <c r="K1130" s="27" t="s">
        <v>618</v>
      </c>
      <c r="L1130" s="27" t="s">
        <v>579</v>
      </c>
      <c r="M1130" s="28" t="n">
        <f aca="false">IF(AND(L1130="Oui",K1130="Principal"),I1130*J1130,0)</f>
        <v>0</v>
      </c>
      <c r="N1130" s="27" t="s">
        <v>128</v>
      </c>
      <c r="O1130" s="27" t="s">
        <v>586</v>
      </c>
      <c r="P1130" s="27"/>
      <c r="Q1130" s="27"/>
      <c r="R1130" s="28"/>
      <c r="S1130" s="28" t="n">
        <f aca="false">IF(AND(L1130="Oui",K1130="Principal",R1130&lt;&gt;""),I1130*R1130,0)</f>
        <v>0</v>
      </c>
      <c r="T1130" s="28" t="n">
        <f aca="false">IF(R1130&lt;&gt;"",M1130-S1130,0)</f>
        <v>0</v>
      </c>
      <c r="U1130" s="28" t="n">
        <f aca="false">IF(R1130="",M1130,0)</f>
        <v>0</v>
      </c>
    </row>
    <row r="1131" customFormat="false" ht="15" hidden="false" customHeight="false" outlineLevel="0" collapsed="false">
      <c r="A1131" s="25" t="s">
        <v>65</v>
      </c>
      <c r="B1131" s="25" t="s">
        <v>67</v>
      </c>
      <c r="C1131" s="25" t="s">
        <v>48</v>
      </c>
      <c r="D1131" s="25" t="n">
        <v>21</v>
      </c>
      <c r="E1131" s="25" t="s">
        <v>686</v>
      </c>
      <c r="F1131" s="25" t="s">
        <v>448</v>
      </c>
      <c r="G1131" s="25" t="n">
        <v>1449</v>
      </c>
      <c r="H1131" s="25" t="s">
        <v>766</v>
      </c>
      <c r="I1131" s="25" t="n">
        <v>1</v>
      </c>
      <c r="J1131" s="26" t="n">
        <v>4720</v>
      </c>
      <c r="K1131" s="25" t="s">
        <v>618</v>
      </c>
      <c r="L1131" s="25" t="s">
        <v>579</v>
      </c>
      <c r="M1131" s="26" t="n">
        <f aca="false">IF(AND(L1131="Oui",K1131="Principal"),I1131*J1131,0)</f>
        <v>0</v>
      </c>
      <c r="N1131" s="25" t="s">
        <v>548</v>
      </c>
      <c r="O1131" s="25"/>
      <c r="P1131" s="25" t="s">
        <v>550</v>
      </c>
      <c r="Q1131" s="25" t="s">
        <v>557</v>
      </c>
      <c r="R1131" s="26" t="n">
        <v>3720</v>
      </c>
      <c r="S1131" s="26" t="n">
        <f aca="false">IF(AND(L1131="Oui",K1131="Principal",R1131&lt;&gt;""),I1131*R1131,0)</f>
        <v>0</v>
      </c>
      <c r="T1131" s="26" t="n">
        <f aca="false">IF(R1131&lt;&gt;"",M1131-S1131,0)</f>
        <v>0</v>
      </c>
      <c r="U1131" s="26" t="n">
        <f aca="false">IF(R1131="",M1131,0)</f>
        <v>0</v>
      </c>
    </row>
    <row r="1132" customFormat="false" ht="15" hidden="false" customHeight="false" outlineLevel="0" collapsed="false">
      <c r="A1132" s="27" t="s">
        <v>65</v>
      </c>
      <c r="B1132" s="27" t="s">
        <v>67</v>
      </c>
      <c r="C1132" s="27" t="s">
        <v>48</v>
      </c>
      <c r="D1132" s="27" t="n">
        <v>22</v>
      </c>
      <c r="E1132" s="27" t="s">
        <v>686</v>
      </c>
      <c r="F1132" s="27" t="s">
        <v>450</v>
      </c>
      <c r="G1132" s="27"/>
      <c r="H1132" s="27" t="s">
        <v>585</v>
      </c>
      <c r="I1132" s="27" t="n">
        <v>1</v>
      </c>
      <c r="J1132" s="28" t="n">
        <v>0</v>
      </c>
      <c r="K1132" s="27" t="s">
        <v>618</v>
      </c>
      <c r="L1132" s="27" t="s">
        <v>579</v>
      </c>
      <c r="M1132" s="28" t="n">
        <f aca="false">IF(AND(L1132="Oui",K1132="Principal"),I1132*J1132,0)</f>
        <v>0</v>
      </c>
      <c r="N1132" s="27" t="s">
        <v>128</v>
      </c>
      <c r="O1132" s="27" t="s">
        <v>586</v>
      </c>
      <c r="P1132" s="27"/>
      <c r="Q1132" s="27"/>
      <c r="R1132" s="28"/>
      <c r="S1132" s="28" t="n">
        <f aca="false">IF(AND(L1132="Oui",K1132="Principal",R1132&lt;&gt;""),I1132*R1132,0)</f>
        <v>0</v>
      </c>
      <c r="T1132" s="28" t="n">
        <f aca="false">IF(R1132&lt;&gt;"",M1132-S1132,0)</f>
        <v>0</v>
      </c>
      <c r="U1132" s="28" t="n">
        <f aca="false">IF(R1132="",M1132,0)</f>
        <v>0</v>
      </c>
    </row>
    <row r="1133" customFormat="false" ht="15" hidden="false" customHeight="false" outlineLevel="0" collapsed="false">
      <c r="A1133" s="25" t="s">
        <v>65</v>
      </c>
      <c r="B1133" s="25" t="s">
        <v>67</v>
      </c>
      <c r="C1133" s="25" t="s">
        <v>48</v>
      </c>
      <c r="D1133" s="25" t="n">
        <v>23</v>
      </c>
      <c r="E1133" s="25" t="s">
        <v>686</v>
      </c>
      <c r="F1133" s="25" t="s">
        <v>451</v>
      </c>
      <c r="G1133" s="25" t="n">
        <v>1450</v>
      </c>
      <c r="H1133" s="25" t="s">
        <v>767</v>
      </c>
      <c r="I1133" s="25" t="n">
        <v>1</v>
      </c>
      <c r="J1133" s="26" t="n">
        <v>4720</v>
      </c>
      <c r="K1133" s="25" t="s">
        <v>618</v>
      </c>
      <c r="L1133" s="25" t="s">
        <v>579</v>
      </c>
      <c r="M1133" s="26" t="n">
        <f aca="false">IF(AND(L1133="Oui",K1133="Principal"),I1133*J1133,0)</f>
        <v>0</v>
      </c>
      <c r="N1133" s="25" t="s">
        <v>548</v>
      </c>
      <c r="O1133" s="25"/>
      <c r="P1133" s="25" t="s">
        <v>550</v>
      </c>
      <c r="Q1133" s="25" t="s">
        <v>557</v>
      </c>
      <c r="R1133" s="26" t="n">
        <v>3720</v>
      </c>
      <c r="S1133" s="26" t="n">
        <f aca="false">IF(AND(L1133="Oui",K1133="Principal",R1133&lt;&gt;""),I1133*R1133,0)</f>
        <v>0</v>
      </c>
      <c r="T1133" s="26" t="n">
        <f aca="false">IF(R1133&lt;&gt;"",M1133-S1133,0)</f>
        <v>0</v>
      </c>
      <c r="U1133" s="26" t="n">
        <f aca="false">IF(R1133="",M1133,0)</f>
        <v>0</v>
      </c>
    </row>
    <row r="1134" customFormat="false" ht="15" hidden="false" customHeight="false" outlineLevel="0" collapsed="false">
      <c r="A1134" s="25" t="s">
        <v>65</v>
      </c>
      <c r="B1134" s="25" t="s">
        <v>67</v>
      </c>
      <c r="C1134" s="25" t="s">
        <v>48</v>
      </c>
      <c r="D1134" s="25" t="n">
        <v>24</v>
      </c>
      <c r="E1134" s="25" t="s">
        <v>686</v>
      </c>
      <c r="F1134" s="25" t="s">
        <v>453</v>
      </c>
      <c r="G1134" s="25" t="n">
        <v>1333</v>
      </c>
      <c r="H1134" s="25" t="s">
        <v>768</v>
      </c>
      <c r="I1134" s="25" t="n">
        <v>1</v>
      </c>
      <c r="J1134" s="26" t="n">
        <v>3550</v>
      </c>
      <c r="K1134" s="25" t="s">
        <v>618</v>
      </c>
      <c r="L1134" s="25" t="s">
        <v>579</v>
      </c>
      <c r="M1134" s="26" t="n">
        <f aca="false">IF(AND(L1134="Oui",K1134="Principal"),I1134*J1134,0)</f>
        <v>0</v>
      </c>
      <c r="N1134" s="25" t="s">
        <v>548</v>
      </c>
      <c r="O1134" s="25"/>
      <c r="P1134" s="25" t="s">
        <v>550</v>
      </c>
      <c r="Q1134" s="25" t="s">
        <v>557</v>
      </c>
      <c r="R1134" s="26" t="n">
        <v>2550</v>
      </c>
      <c r="S1134" s="26" t="n">
        <f aca="false">IF(AND(L1134="Oui",K1134="Principal",R1134&lt;&gt;""),I1134*R1134,0)</f>
        <v>0</v>
      </c>
      <c r="T1134" s="26" t="n">
        <f aca="false">IF(R1134&lt;&gt;"",M1134-S1134,0)</f>
        <v>0</v>
      </c>
      <c r="U1134" s="26" t="n">
        <f aca="false">IF(R1134="",M1134,0)</f>
        <v>0</v>
      </c>
    </row>
    <row r="1135" customFormat="false" ht="15" hidden="false" customHeight="false" outlineLevel="0" collapsed="false">
      <c r="A1135" s="25" t="s">
        <v>65</v>
      </c>
      <c r="B1135" s="25" t="s">
        <v>67</v>
      </c>
      <c r="C1135" s="25" t="s">
        <v>48</v>
      </c>
      <c r="D1135" s="25" t="n">
        <v>25</v>
      </c>
      <c r="E1135" s="25" t="s">
        <v>577</v>
      </c>
      <c r="F1135" s="25" t="s">
        <v>321</v>
      </c>
      <c r="G1135" s="25" t="n">
        <v>1192</v>
      </c>
      <c r="H1135" s="25" t="s">
        <v>694</v>
      </c>
      <c r="I1135" s="25" t="n">
        <v>1</v>
      </c>
      <c r="J1135" s="26" t="n">
        <v>7000</v>
      </c>
      <c r="K1135" s="25" t="s">
        <v>577</v>
      </c>
      <c r="L1135" s="25" t="s">
        <v>579</v>
      </c>
      <c r="M1135" s="26" t="n">
        <f aca="false">IF(AND(L1135="Oui",K1135="Principal"),I1135*J1135,0)</f>
        <v>0</v>
      </c>
      <c r="N1135" s="25" t="s">
        <v>548</v>
      </c>
      <c r="O1135" s="25"/>
      <c r="P1135" s="25" t="s">
        <v>550</v>
      </c>
      <c r="Q1135" s="25" t="s">
        <v>557</v>
      </c>
      <c r="R1135" s="26" t="n">
        <v>5500</v>
      </c>
      <c r="S1135" s="26" t="n">
        <f aca="false">IF(AND(L1135="Oui",K1135="Principal",R1135&lt;&gt;""),I1135*R1135,0)</f>
        <v>0</v>
      </c>
      <c r="T1135" s="26" t="n">
        <f aca="false">IF(R1135&lt;&gt;"",M1135-S1135,0)</f>
        <v>0</v>
      </c>
      <c r="U1135" s="26" t="n">
        <f aca="false">IF(R1135="",M1135,0)</f>
        <v>0</v>
      </c>
    </row>
    <row r="1136" customFormat="false" ht="15" hidden="false" customHeight="false" outlineLevel="0" collapsed="false">
      <c r="A1136" s="25" t="s">
        <v>65</v>
      </c>
      <c r="B1136" s="25" t="s">
        <v>67</v>
      </c>
      <c r="C1136" s="25" t="s">
        <v>49</v>
      </c>
      <c r="D1136" s="25" t="n">
        <v>1</v>
      </c>
      <c r="E1136" s="25" t="s">
        <v>544</v>
      </c>
      <c r="F1136" s="25" t="s">
        <v>295</v>
      </c>
      <c r="G1136" s="25" t="n">
        <v>1618</v>
      </c>
      <c r="H1136" s="25" t="s">
        <v>600</v>
      </c>
      <c r="I1136" s="25" t="n">
        <v>2</v>
      </c>
      <c r="J1136" s="26" t="n">
        <v>450</v>
      </c>
      <c r="K1136" s="25" t="s">
        <v>546</v>
      </c>
      <c r="L1136" s="25" t="s">
        <v>547</v>
      </c>
      <c r="M1136" s="26" t="n">
        <f aca="false">IF(AND(L1136="Oui",K1136="Principal"),I1136*J1136,0)</f>
        <v>900</v>
      </c>
      <c r="N1136" s="25" t="s">
        <v>548</v>
      </c>
      <c r="O1136" s="25"/>
      <c r="P1136" s="25" t="s">
        <v>556</v>
      </c>
      <c r="Q1136" s="25" t="s">
        <v>557</v>
      </c>
      <c r="R1136" s="26" t="n">
        <v>350</v>
      </c>
      <c r="S1136" s="26" t="n">
        <f aca="false">IF(AND(L1136="Oui",K1136="Principal",R1136&lt;&gt;""),I1136*R1136,0)</f>
        <v>700</v>
      </c>
      <c r="T1136" s="26" t="n">
        <f aca="false">IF(R1136&lt;&gt;"",M1136-S1136,0)</f>
        <v>200</v>
      </c>
      <c r="U1136" s="26" t="n">
        <f aca="false">IF(R1136="",M1136,0)</f>
        <v>0</v>
      </c>
    </row>
    <row r="1137" customFormat="false" ht="15" hidden="false" customHeight="false" outlineLevel="0" collapsed="false">
      <c r="A1137" s="25" t="s">
        <v>65</v>
      </c>
      <c r="B1137" s="25" t="s">
        <v>67</v>
      </c>
      <c r="C1137" s="25" t="s">
        <v>49</v>
      </c>
      <c r="D1137" s="25" t="n">
        <v>2</v>
      </c>
      <c r="E1137" s="25" t="s">
        <v>544</v>
      </c>
      <c r="F1137" s="25" t="s">
        <v>296</v>
      </c>
      <c r="G1137" s="25" t="n">
        <v>1</v>
      </c>
      <c r="H1137" s="25" t="s">
        <v>681</v>
      </c>
      <c r="I1137" s="25" t="n">
        <v>4</v>
      </c>
      <c r="J1137" s="26" t="n">
        <v>500</v>
      </c>
      <c r="K1137" s="25" t="s">
        <v>546</v>
      </c>
      <c r="L1137" s="25" t="s">
        <v>547</v>
      </c>
      <c r="M1137" s="26" t="n">
        <f aca="false">IF(AND(L1137="Oui",K1137="Principal"),I1137*J1137,0)</f>
        <v>2000</v>
      </c>
      <c r="N1137" s="25" t="s">
        <v>548</v>
      </c>
      <c r="O1137" s="25"/>
      <c r="P1137" s="25" t="s">
        <v>559</v>
      </c>
      <c r="Q1137" s="25" t="s">
        <v>551</v>
      </c>
      <c r="R1137" s="26"/>
      <c r="S1137" s="26" t="n">
        <f aca="false">IF(AND(L1137="Oui",K1137="Principal",R1137&lt;&gt;""),I1137*R1137,0)</f>
        <v>0</v>
      </c>
      <c r="T1137" s="26" t="n">
        <f aca="false">IF(R1137&lt;&gt;"",M1137-S1137,0)</f>
        <v>0</v>
      </c>
      <c r="U1137" s="26" t="n">
        <f aca="false">IF(R1137="",M1137,0)</f>
        <v>2000</v>
      </c>
    </row>
    <row r="1138" customFormat="false" ht="15" hidden="false" customHeight="false" outlineLevel="0" collapsed="false">
      <c r="A1138" s="25" t="s">
        <v>65</v>
      </c>
      <c r="B1138" s="25" t="s">
        <v>67</v>
      </c>
      <c r="C1138" s="25" t="s">
        <v>49</v>
      </c>
      <c r="D1138" s="25" t="n">
        <v>3</v>
      </c>
      <c r="E1138" s="25" t="s">
        <v>544</v>
      </c>
      <c r="F1138" s="25" t="s">
        <v>298</v>
      </c>
      <c r="G1138" s="25" t="n">
        <v>1616</v>
      </c>
      <c r="H1138" s="25" t="s">
        <v>695</v>
      </c>
      <c r="I1138" s="25" t="n">
        <v>2</v>
      </c>
      <c r="J1138" s="26" t="n">
        <v>900</v>
      </c>
      <c r="K1138" s="25" t="s">
        <v>546</v>
      </c>
      <c r="L1138" s="25" t="s">
        <v>547</v>
      </c>
      <c r="M1138" s="26" t="n">
        <f aca="false">IF(AND(L1138="Oui",K1138="Principal"),I1138*J1138,0)</f>
        <v>1800</v>
      </c>
      <c r="N1138" s="25" t="s">
        <v>548</v>
      </c>
      <c r="O1138" s="25"/>
      <c r="P1138" s="25" t="s">
        <v>556</v>
      </c>
      <c r="Q1138" s="25" t="s">
        <v>557</v>
      </c>
      <c r="R1138" s="26" t="n">
        <v>800</v>
      </c>
      <c r="S1138" s="26" t="n">
        <f aca="false">IF(AND(L1138="Oui",K1138="Principal",R1138&lt;&gt;""),I1138*R1138,0)</f>
        <v>1600</v>
      </c>
      <c r="T1138" s="26" t="n">
        <f aca="false">IF(R1138&lt;&gt;"",M1138-S1138,0)</f>
        <v>200</v>
      </c>
      <c r="U1138" s="26" t="n">
        <f aca="false">IF(R1138="",M1138,0)</f>
        <v>0</v>
      </c>
    </row>
    <row r="1139" customFormat="false" ht="15" hidden="false" customHeight="false" outlineLevel="0" collapsed="false">
      <c r="A1139" s="25" t="s">
        <v>65</v>
      </c>
      <c r="B1139" s="25" t="s">
        <v>67</v>
      </c>
      <c r="C1139" s="25" t="s">
        <v>49</v>
      </c>
      <c r="D1139" s="25" t="n">
        <v>4</v>
      </c>
      <c r="E1139" s="25" t="s">
        <v>544</v>
      </c>
      <c r="F1139" s="25" t="s">
        <v>338</v>
      </c>
      <c r="G1139" s="25" t="n">
        <v>1715</v>
      </c>
      <c r="H1139" s="25" t="s">
        <v>713</v>
      </c>
      <c r="I1139" s="25" t="n">
        <v>5</v>
      </c>
      <c r="J1139" s="26" t="n">
        <v>1600</v>
      </c>
      <c r="K1139" s="25" t="s">
        <v>546</v>
      </c>
      <c r="L1139" s="25" t="s">
        <v>547</v>
      </c>
      <c r="M1139" s="26" t="n">
        <f aca="false">IF(AND(L1139="Oui",K1139="Principal"),I1139*J1139,0)</f>
        <v>8000</v>
      </c>
      <c r="N1139" s="25" t="s">
        <v>548</v>
      </c>
      <c r="O1139" s="25"/>
      <c r="P1139" s="25" t="s">
        <v>550</v>
      </c>
      <c r="Q1139" s="25" t="s">
        <v>557</v>
      </c>
      <c r="R1139" s="26" t="n">
        <v>1300</v>
      </c>
      <c r="S1139" s="26" t="n">
        <f aca="false">IF(AND(L1139="Oui",K1139="Principal",R1139&lt;&gt;""),I1139*R1139,0)</f>
        <v>6500</v>
      </c>
      <c r="T1139" s="26" t="n">
        <f aca="false">IF(R1139&lt;&gt;"",M1139-S1139,0)</f>
        <v>1500</v>
      </c>
      <c r="U1139" s="26" t="n">
        <f aca="false">IF(R1139="",M1139,0)</f>
        <v>0</v>
      </c>
    </row>
    <row r="1140" customFormat="false" ht="15" hidden="false" customHeight="false" outlineLevel="0" collapsed="false">
      <c r="A1140" s="25" t="s">
        <v>65</v>
      </c>
      <c r="B1140" s="25" t="s">
        <v>67</v>
      </c>
      <c r="C1140" s="25" t="s">
        <v>49</v>
      </c>
      <c r="D1140" s="25" t="n">
        <v>5</v>
      </c>
      <c r="E1140" s="25" t="s">
        <v>544</v>
      </c>
      <c r="F1140" s="25" t="s">
        <v>442</v>
      </c>
      <c r="G1140" s="25" t="n">
        <v>1729</v>
      </c>
      <c r="H1140" s="25" t="s">
        <v>552</v>
      </c>
      <c r="I1140" s="25" t="n">
        <v>1</v>
      </c>
      <c r="J1140" s="26" t="n">
        <v>1300</v>
      </c>
      <c r="K1140" s="25" t="s">
        <v>546</v>
      </c>
      <c r="L1140" s="25" t="s">
        <v>547</v>
      </c>
      <c r="M1140" s="26" t="n">
        <f aca="false">IF(AND(L1140="Oui",K1140="Principal"),I1140*J1140,0)</f>
        <v>1300</v>
      </c>
      <c r="N1140" s="25" t="s">
        <v>548</v>
      </c>
      <c r="O1140" s="25"/>
      <c r="P1140" s="25" t="s">
        <v>550</v>
      </c>
      <c r="Q1140" s="25" t="s">
        <v>551</v>
      </c>
      <c r="R1140" s="26"/>
      <c r="S1140" s="26" t="n">
        <f aca="false">IF(AND(L1140="Oui",K1140="Principal",R1140&lt;&gt;""),I1140*R1140,0)</f>
        <v>0</v>
      </c>
      <c r="T1140" s="26" t="n">
        <f aca="false">IF(R1140&lt;&gt;"",M1140-S1140,0)</f>
        <v>0</v>
      </c>
      <c r="U1140" s="26" t="n">
        <f aca="false">IF(R1140="",M1140,0)</f>
        <v>1300</v>
      </c>
    </row>
    <row r="1141" customFormat="false" ht="15" hidden="false" customHeight="false" outlineLevel="0" collapsed="false">
      <c r="A1141" s="25" t="s">
        <v>65</v>
      </c>
      <c r="B1141" s="25" t="s">
        <v>67</v>
      </c>
      <c r="C1141" s="25" t="s">
        <v>49</v>
      </c>
      <c r="D1141" s="25" t="n">
        <v>6</v>
      </c>
      <c r="E1141" s="25" t="s">
        <v>563</v>
      </c>
      <c r="F1141" s="25" t="s">
        <v>255</v>
      </c>
      <c r="G1141" s="25" t="n">
        <v>1636</v>
      </c>
      <c r="H1141" s="25" t="s">
        <v>661</v>
      </c>
      <c r="I1141" s="25" t="n">
        <v>1</v>
      </c>
      <c r="J1141" s="26" t="n">
        <v>400</v>
      </c>
      <c r="K1141" s="25" t="s">
        <v>546</v>
      </c>
      <c r="L1141" s="25" t="s">
        <v>547</v>
      </c>
      <c r="M1141" s="26" t="n">
        <f aca="false">IF(AND(L1141="Oui",K1141="Principal"),I1141*J1141,0)</f>
        <v>400</v>
      </c>
      <c r="N1141" s="25" t="s">
        <v>548</v>
      </c>
      <c r="O1141" s="25"/>
      <c r="P1141" s="25" t="s">
        <v>556</v>
      </c>
      <c r="Q1141" s="25" t="s">
        <v>557</v>
      </c>
      <c r="R1141" s="26" t="n">
        <v>320</v>
      </c>
      <c r="S1141" s="26" t="n">
        <f aca="false">IF(AND(L1141="Oui",K1141="Principal",R1141&lt;&gt;""),I1141*R1141,0)</f>
        <v>320</v>
      </c>
      <c r="T1141" s="26" t="n">
        <f aca="false">IF(R1141&lt;&gt;"",M1141-S1141,0)</f>
        <v>80</v>
      </c>
      <c r="U1141" s="26" t="n">
        <f aca="false">IF(R1141="",M1141,0)</f>
        <v>0</v>
      </c>
    </row>
    <row r="1142" customFormat="false" ht="15" hidden="false" customHeight="false" outlineLevel="0" collapsed="false">
      <c r="A1142" s="25" t="s">
        <v>65</v>
      </c>
      <c r="B1142" s="25" t="s">
        <v>67</v>
      </c>
      <c r="C1142" s="25" t="s">
        <v>49</v>
      </c>
      <c r="D1142" s="25" t="n">
        <v>7</v>
      </c>
      <c r="E1142" s="25" t="s">
        <v>563</v>
      </c>
      <c r="F1142" s="25" t="s">
        <v>257</v>
      </c>
      <c r="G1142" s="25" t="n">
        <v>1635</v>
      </c>
      <c r="H1142" s="25" t="s">
        <v>607</v>
      </c>
      <c r="I1142" s="25" t="n">
        <v>1</v>
      </c>
      <c r="J1142" s="26" t="n">
        <v>100</v>
      </c>
      <c r="K1142" s="25" t="s">
        <v>546</v>
      </c>
      <c r="L1142" s="25" t="s">
        <v>547</v>
      </c>
      <c r="M1142" s="26" t="n">
        <f aca="false">IF(AND(L1142="Oui",K1142="Principal"),I1142*J1142,0)</f>
        <v>100</v>
      </c>
      <c r="N1142" s="25" t="s">
        <v>548</v>
      </c>
      <c r="O1142" s="25"/>
      <c r="P1142" s="25" t="s">
        <v>556</v>
      </c>
      <c r="Q1142" s="25" t="s">
        <v>557</v>
      </c>
      <c r="R1142" s="26" t="n">
        <v>80</v>
      </c>
      <c r="S1142" s="26" t="n">
        <f aca="false">IF(AND(L1142="Oui",K1142="Principal",R1142&lt;&gt;""),I1142*R1142,0)</f>
        <v>80</v>
      </c>
      <c r="T1142" s="26" t="n">
        <f aca="false">IF(R1142&lt;&gt;"",M1142-S1142,0)</f>
        <v>20</v>
      </c>
      <c r="U1142" s="26" t="n">
        <f aca="false">IF(R1142="",M1142,0)</f>
        <v>0</v>
      </c>
    </row>
    <row r="1143" customFormat="false" ht="15" hidden="false" customHeight="false" outlineLevel="0" collapsed="false">
      <c r="A1143" s="25" t="s">
        <v>65</v>
      </c>
      <c r="B1143" s="25" t="s">
        <v>67</v>
      </c>
      <c r="C1143" s="25" t="s">
        <v>49</v>
      </c>
      <c r="D1143" s="25" t="n">
        <v>8</v>
      </c>
      <c r="E1143" s="25" t="s">
        <v>563</v>
      </c>
      <c r="F1143" s="25" t="s">
        <v>188</v>
      </c>
      <c r="G1143" s="25" t="n">
        <v>8</v>
      </c>
      <c r="H1143" s="25" t="s">
        <v>188</v>
      </c>
      <c r="I1143" s="25" t="n">
        <v>1</v>
      </c>
      <c r="J1143" s="26" t="n">
        <v>500</v>
      </c>
      <c r="K1143" s="25" t="s">
        <v>546</v>
      </c>
      <c r="L1143" s="25" t="s">
        <v>547</v>
      </c>
      <c r="M1143" s="26" t="n">
        <f aca="false">IF(AND(L1143="Oui",K1143="Principal"),I1143*J1143,0)</f>
        <v>500</v>
      </c>
      <c r="N1143" s="25" t="s">
        <v>548</v>
      </c>
      <c r="O1143" s="25"/>
      <c r="P1143" s="25" t="s">
        <v>559</v>
      </c>
      <c r="Q1143" s="25" t="s">
        <v>551</v>
      </c>
      <c r="R1143" s="26"/>
      <c r="S1143" s="26" t="n">
        <f aca="false">IF(AND(L1143="Oui",K1143="Principal",R1143&lt;&gt;""),I1143*R1143,0)</f>
        <v>0</v>
      </c>
      <c r="T1143" s="26" t="n">
        <f aca="false">IF(R1143&lt;&gt;"",M1143-S1143,0)</f>
        <v>0</v>
      </c>
      <c r="U1143" s="26" t="n">
        <f aca="false">IF(R1143="",M1143,0)</f>
        <v>500</v>
      </c>
    </row>
    <row r="1144" customFormat="false" ht="15" hidden="false" customHeight="false" outlineLevel="0" collapsed="false">
      <c r="A1144" s="25" t="s">
        <v>65</v>
      </c>
      <c r="B1144" s="25" t="s">
        <v>67</v>
      </c>
      <c r="C1144" s="25" t="s">
        <v>49</v>
      </c>
      <c r="D1144" s="25" t="n">
        <v>9</v>
      </c>
      <c r="E1144" s="25" t="s">
        <v>563</v>
      </c>
      <c r="F1144" s="25" t="s">
        <v>323</v>
      </c>
      <c r="G1144" s="25" t="n">
        <v>1607</v>
      </c>
      <c r="H1144" s="25" t="s">
        <v>696</v>
      </c>
      <c r="I1144" s="25" t="n">
        <v>1</v>
      </c>
      <c r="J1144" s="26" t="n">
        <v>2500</v>
      </c>
      <c r="K1144" s="25" t="s">
        <v>546</v>
      </c>
      <c r="L1144" s="25" t="s">
        <v>547</v>
      </c>
      <c r="M1144" s="26" t="n">
        <f aca="false">IF(AND(L1144="Oui",K1144="Principal"),I1144*J1144,0)</f>
        <v>2500</v>
      </c>
      <c r="N1144" s="25" t="s">
        <v>548</v>
      </c>
      <c r="O1144" s="25"/>
      <c r="P1144" s="25" t="s">
        <v>556</v>
      </c>
      <c r="Q1144" s="25" t="s">
        <v>557</v>
      </c>
      <c r="R1144" s="26" t="n">
        <v>2000</v>
      </c>
      <c r="S1144" s="26" t="n">
        <f aca="false">IF(AND(L1144="Oui",K1144="Principal",R1144&lt;&gt;""),I1144*R1144,0)</f>
        <v>2000</v>
      </c>
      <c r="T1144" s="26" t="n">
        <f aca="false">IF(R1144&lt;&gt;"",M1144-S1144,0)</f>
        <v>500</v>
      </c>
      <c r="U1144" s="26" t="n">
        <f aca="false">IF(R1144="",M1144,0)</f>
        <v>0</v>
      </c>
    </row>
    <row r="1145" customFormat="false" ht="15" hidden="false" customHeight="false" outlineLevel="0" collapsed="false">
      <c r="A1145" s="25" t="s">
        <v>65</v>
      </c>
      <c r="B1145" s="25" t="s">
        <v>67</v>
      </c>
      <c r="C1145" s="25" t="s">
        <v>49</v>
      </c>
      <c r="D1145" s="25" t="n">
        <v>10</v>
      </c>
      <c r="E1145" s="25" t="s">
        <v>563</v>
      </c>
      <c r="F1145" s="25" t="s">
        <v>325</v>
      </c>
      <c r="G1145" s="25" t="n">
        <v>1248</v>
      </c>
      <c r="H1145" s="25" t="s">
        <v>697</v>
      </c>
      <c r="I1145" s="25" t="n">
        <v>1</v>
      </c>
      <c r="J1145" s="26" t="n">
        <v>400</v>
      </c>
      <c r="K1145" s="25" t="s">
        <v>546</v>
      </c>
      <c r="L1145" s="25" t="s">
        <v>547</v>
      </c>
      <c r="M1145" s="26" t="n">
        <f aca="false">IF(AND(L1145="Oui",K1145="Principal"),I1145*J1145,0)</f>
        <v>400</v>
      </c>
      <c r="N1145" s="25" t="s">
        <v>548</v>
      </c>
      <c r="O1145" s="25"/>
      <c r="P1145" s="25" t="s">
        <v>550</v>
      </c>
      <c r="Q1145" s="25" t="s">
        <v>557</v>
      </c>
      <c r="R1145" s="26" t="n">
        <v>250</v>
      </c>
      <c r="S1145" s="26" t="n">
        <f aca="false">IF(AND(L1145="Oui",K1145="Principal",R1145&lt;&gt;""),I1145*R1145,0)</f>
        <v>250</v>
      </c>
      <c r="T1145" s="26" t="n">
        <f aca="false">IF(R1145&lt;&gt;"",M1145-S1145,0)</f>
        <v>150</v>
      </c>
      <c r="U1145" s="26" t="n">
        <f aca="false">IF(R1145="",M1145,0)</f>
        <v>0</v>
      </c>
    </row>
    <row r="1146" customFormat="false" ht="15" hidden="false" customHeight="false" outlineLevel="0" collapsed="false">
      <c r="A1146" s="25" t="s">
        <v>65</v>
      </c>
      <c r="B1146" s="25" t="s">
        <v>67</v>
      </c>
      <c r="C1146" s="25" t="s">
        <v>49</v>
      </c>
      <c r="D1146" s="25" t="n">
        <v>11</v>
      </c>
      <c r="E1146" s="25" t="s">
        <v>565</v>
      </c>
      <c r="F1146" s="25" t="s">
        <v>99</v>
      </c>
      <c r="G1146" s="25" t="n">
        <v>1181</v>
      </c>
      <c r="H1146" s="25" t="s">
        <v>581</v>
      </c>
      <c r="I1146" s="25" t="n">
        <v>1</v>
      </c>
      <c r="J1146" s="26" t="n">
        <v>250</v>
      </c>
      <c r="K1146" s="25" t="s">
        <v>546</v>
      </c>
      <c r="L1146" s="25" t="s">
        <v>547</v>
      </c>
      <c r="M1146" s="26" t="n">
        <f aca="false">IF(AND(L1146="Oui",K1146="Principal"),I1146*J1146,0)</f>
        <v>250</v>
      </c>
      <c r="N1146" s="25" t="s">
        <v>548</v>
      </c>
      <c r="O1146" s="25"/>
      <c r="P1146" s="25" t="s">
        <v>550</v>
      </c>
      <c r="Q1146" s="25" t="s">
        <v>557</v>
      </c>
      <c r="R1146" s="26" t="n">
        <v>110</v>
      </c>
      <c r="S1146" s="26" t="n">
        <f aca="false">IF(AND(L1146="Oui",K1146="Principal",R1146&lt;&gt;""),I1146*R1146,0)</f>
        <v>110</v>
      </c>
      <c r="T1146" s="26" t="n">
        <f aca="false">IF(R1146&lt;&gt;"",M1146-S1146,0)</f>
        <v>140</v>
      </c>
      <c r="U1146" s="26" t="n">
        <f aca="false">IF(R1146="",M1146,0)</f>
        <v>0</v>
      </c>
    </row>
    <row r="1147" customFormat="false" ht="15" hidden="false" customHeight="false" outlineLevel="0" collapsed="false">
      <c r="A1147" s="25" t="s">
        <v>65</v>
      </c>
      <c r="B1147" s="25" t="s">
        <v>67</v>
      </c>
      <c r="C1147" s="25" t="s">
        <v>49</v>
      </c>
      <c r="D1147" s="25" t="n">
        <v>12</v>
      </c>
      <c r="E1147" s="25" t="s">
        <v>565</v>
      </c>
      <c r="F1147" s="25" t="s">
        <v>164</v>
      </c>
      <c r="G1147" s="25" t="n">
        <v>1587</v>
      </c>
      <c r="H1147" s="25" t="s">
        <v>567</v>
      </c>
      <c r="I1147" s="25" t="n">
        <v>1</v>
      </c>
      <c r="J1147" s="26" t="n">
        <v>500</v>
      </c>
      <c r="K1147" s="25" t="s">
        <v>546</v>
      </c>
      <c r="L1147" s="25" t="s">
        <v>547</v>
      </c>
      <c r="M1147" s="26" t="n">
        <f aca="false">IF(AND(L1147="Oui",K1147="Principal"),I1147*J1147,0)</f>
        <v>500</v>
      </c>
      <c r="N1147" s="25" t="s">
        <v>548</v>
      </c>
      <c r="O1147" s="25"/>
      <c r="P1147" s="25" t="s">
        <v>556</v>
      </c>
      <c r="Q1147" s="25" t="s">
        <v>557</v>
      </c>
      <c r="R1147" s="26" t="n">
        <v>350</v>
      </c>
      <c r="S1147" s="26" t="n">
        <f aca="false">IF(AND(L1147="Oui",K1147="Principal",R1147&lt;&gt;""),I1147*R1147,0)</f>
        <v>350</v>
      </c>
      <c r="T1147" s="26" t="n">
        <f aca="false">IF(R1147&lt;&gt;"",M1147-S1147,0)</f>
        <v>150</v>
      </c>
      <c r="U1147" s="26" t="n">
        <f aca="false">IF(R1147="",M1147,0)</f>
        <v>0</v>
      </c>
    </row>
    <row r="1148" customFormat="false" ht="15" hidden="false" customHeight="false" outlineLevel="0" collapsed="false">
      <c r="A1148" s="25" t="s">
        <v>65</v>
      </c>
      <c r="B1148" s="25" t="s">
        <v>67</v>
      </c>
      <c r="C1148" s="25" t="s">
        <v>49</v>
      </c>
      <c r="D1148" s="25" t="n">
        <v>13</v>
      </c>
      <c r="E1148" s="25" t="s">
        <v>565</v>
      </c>
      <c r="F1148" s="25" t="s">
        <v>166</v>
      </c>
      <c r="G1148" s="25" t="n">
        <v>1604</v>
      </c>
      <c r="H1148" s="25" t="s">
        <v>582</v>
      </c>
      <c r="I1148" s="25" t="n">
        <v>2</v>
      </c>
      <c r="J1148" s="26" t="n">
        <v>700</v>
      </c>
      <c r="K1148" s="25" t="s">
        <v>546</v>
      </c>
      <c r="L1148" s="25" t="s">
        <v>547</v>
      </c>
      <c r="M1148" s="26" t="n">
        <f aca="false">IF(AND(L1148="Oui",K1148="Principal"),I1148*J1148,0)</f>
        <v>1400</v>
      </c>
      <c r="N1148" s="25" t="s">
        <v>548</v>
      </c>
      <c r="O1148" s="25"/>
      <c r="P1148" s="25" t="s">
        <v>556</v>
      </c>
      <c r="Q1148" s="25" t="s">
        <v>557</v>
      </c>
      <c r="R1148" s="26" t="n">
        <v>400</v>
      </c>
      <c r="S1148" s="26" t="n">
        <f aca="false">IF(AND(L1148="Oui",K1148="Principal",R1148&lt;&gt;""),I1148*R1148,0)</f>
        <v>800</v>
      </c>
      <c r="T1148" s="26" t="n">
        <f aca="false">IF(R1148&lt;&gt;"",M1148-S1148,0)</f>
        <v>600</v>
      </c>
      <c r="U1148" s="26" t="n">
        <f aca="false">IF(R1148="",M1148,0)</f>
        <v>0</v>
      </c>
    </row>
    <row r="1149" customFormat="false" ht="15" hidden="false" customHeight="false" outlineLevel="0" collapsed="false">
      <c r="A1149" s="25" t="s">
        <v>65</v>
      </c>
      <c r="B1149" s="25" t="s">
        <v>67</v>
      </c>
      <c r="C1149" s="25" t="s">
        <v>49</v>
      </c>
      <c r="D1149" s="25" t="n">
        <v>14</v>
      </c>
      <c r="E1149" s="25" t="s">
        <v>565</v>
      </c>
      <c r="F1149" s="25" t="s">
        <v>304</v>
      </c>
      <c r="G1149" s="25" t="n">
        <v>1586</v>
      </c>
      <c r="H1149" s="25" t="s">
        <v>583</v>
      </c>
      <c r="I1149" s="25" t="n">
        <v>1</v>
      </c>
      <c r="J1149" s="26" t="n">
        <v>900</v>
      </c>
      <c r="K1149" s="25" t="s">
        <v>546</v>
      </c>
      <c r="L1149" s="25" t="s">
        <v>547</v>
      </c>
      <c r="M1149" s="26" t="n">
        <f aca="false">IF(AND(L1149="Oui",K1149="Principal"),I1149*J1149,0)</f>
        <v>900</v>
      </c>
      <c r="N1149" s="25" t="s">
        <v>548</v>
      </c>
      <c r="O1149" s="25"/>
      <c r="P1149" s="25" t="s">
        <v>556</v>
      </c>
      <c r="Q1149" s="25" t="s">
        <v>557</v>
      </c>
      <c r="R1149" s="26" t="n">
        <v>650</v>
      </c>
      <c r="S1149" s="26" t="n">
        <f aca="false">IF(AND(L1149="Oui",K1149="Principal",R1149&lt;&gt;""),I1149*R1149,0)</f>
        <v>650</v>
      </c>
      <c r="T1149" s="26" t="n">
        <f aca="false">IF(R1149&lt;&gt;"",M1149-S1149,0)</f>
        <v>250</v>
      </c>
      <c r="U1149" s="26" t="n">
        <f aca="false">IF(R1149="",M1149,0)</f>
        <v>0</v>
      </c>
    </row>
    <row r="1150" customFormat="false" ht="15" hidden="false" customHeight="false" outlineLevel="0" collapsed="false">
      <c r="A1150" s="33" t="s">
        <v>65</v>
      </c>
      <c r="B1150" s="33" t="s">
        <v>67</v>
      </c>
      <c r="C1150" s="33" t="s">
        <v>49</v>
      </c>
      <c r="D1150" s="33" t="n">
        <v>15</v>
      </c>
      <c r="E1150" s="33" t="s">
        <v>609</v>
      </c>
      <c r="F1150" s="33" t="s">
        <v>199</v>
      </c>
      <c r="G1150" s="33" t="n">
        <v>1229</v>
      </c>
      <c r="H1150" s="33" t="s">
        <v>643</v>
      </c>
      <c r="I1150" s="33" t="n">
        <v>1</v>
      </c>
      <c r="J1150" s="34" t="n">
        <v>1800</v>
      </c>
      <c r="K1150" s="33" t="s">
        <v>546</v>
      </c>
      <c r="L1150" s="33" t="s">
        <v>547</v>
      </c>
      <c r="M1150" s="34" t="n">
        <f aca="false">IF(AND(L1150="Oui",K1150="Principal"),I1150*J1150,0)</f>
        <v>1800</v>
      </c>
      <c r="N1150" s="33" t="s">
        <v>182</v>
      </c>
      <c r="O1150" s="33" t="s">
        <v>644</v>
      </c>
      <c r="P1150" s="33" t="s">
        <v>550</v>
      </c>
      <c r="Q1150" s="33" t="s">
        <v>557</v>
      </c>
      <c r="R1150" s="34" t="n">
        <v>1500</v>
      </c>
      <c r="S1150" s="34" t="n">
        <f aca="false">IF(AND(L1150="Oui",K1150="Principal",R1150&lt;&gt;""),I1150*R1150,0)</f>
        <v>1500</v>
      </c>
      <c r="T1150" s="34" t="n">
        <f aca="false">IF(R1150&lt;&gt;"",M1150-S1150,0)</f>
        <v>300</v>
      </c>
      <c r="U1150" s="34" t="n">
        <f aca="false">IF(R1150="",M1150,0)</f>
        <v>0</v>
      </c>
    </row>
    <row r="1151" customFormat="false" ht="15" hidden="false" customHeight="false" outlineLevel="0" collapsed="false">
      <c r="A1151" s="25" t="s">
        <v>65</v>
      </c>
      <c r="B1151" s="25" t="s">
        <v>67</v>
      </c>
      <c r="C1151" s="25" t="s">
        <v>49</v>
      </c>
      <c r="D1151" s="25" t="n">
        <v>16</v>
      </c>
      <c r="E1151" s="25" t="s">
        <v>609</v>
      </c>
      <c r="F1151" s="25" t="s">
        <v>443</v>
      </c>
      <c r="G1151" s="25" t="n">
        <v>1727</v>
      </c>
      <c r="H1151" s="25" t="s">
        <v>698</v>
      </c>
      <c r="I1151" s="25" t="n">
        <v>1</v>
      </c>
      <c r="J1151" s="26" t="n">
        <v>4750</v>
      </c>
      <c r="K1151" s="25" t="s">
        <v>546</v>
      </c>
      <c r="L1151" s="25" t="s">
        <v>547</v>
      </c>
      <c r="M1151" s="26" t="n">
        <f aca="false">IF(AND(L1151="Oui",K1151="Principal"),I1151*J1151,0)</f>
        <v>4750</v>
      </c>
      <c r="N1151" s="25" t="s">
        <v>548</v>
      </c>
      <c r="O1151" s="25"/>
      <c r="P1151" s="25" t="s">
        <v>559</v>
      </c>
      <c r="Q1151" s="25" t="s">
        <v>557</v>
      </c>
      <c r="R1151" s="26" t="n">
        <v>3700</v>
      </c>
      <c r="S1151" s="26" t="n">
        <f aca="false">IF(AND(L1151="Oui",K1151="Principal",R1151&lt;&gt;""),I1151*R1151,0)</f>
        <v>3700</v>
      </c>
      <c r="T1151" s="26" t="n">
        <f aca="false">IF(R1151&lt;&gt;"",M1151-S1151,0)</f>
        <v>1050</v>
      </c>
      <c r="U1151" s="26" t="n">
        <f aca="false">IF(R1151="",M1151,0)</f>
        <v>0</v>
      </c>
    </row>
    <row r="1152" customFormat="false" ht="15" hidden="false" customHeight="false" outlineLevel="0" collapsed="false">
      <c r="A1152" s="25" t="s">
        <v>65</v>
      </c>
      <c r="B1152" s="25" t="s">
        <v>67</v>
      </c>
      <c r="C1152" s="25" t="s">
        <v>49</v>
      </c>
      <c r="D1152" s="25" t="n">
        <v>17</v>
      </c>
      <c r="E1152" s="25" t="s">
        <v>700</v>
      </c>
      <c r="F1152" s="25" t="s">
        <v>329</v>
      </c>
      <c r="G1152" s="25" t="n">
        <v>1716</v>
      </c>
      <c r="H1152" s="25" t="s">
        <v>701</v>
      </c>
      <c r="I1152" s="25" t="n">
        <v>1</v>
      </c>
      <c r="J1152" s="26" t="n">
        <v>1800</v>
      </c>
      <c r="K1152" s="25" t="s">
        <v>546</v>
      </c>
      <c r="L1152" s="25" t="s">
        <v>547</v>
      </c>
      <c r="M1152" s="26" t="n">
        <f aca="false">IF(AND(L1152="Oui",K1152="Principal"),I1152*J1152,0)</f>
        <v>1800</v>
      </c>
      <c r="N1152" s="25" t="s">
        <v>548</v>
      </c>
      <c r="O1152" s="25"/>
      <c r="P1152" s="25" t="s">
        <v>559</v>
      </c>
      <c r="Q1152" s="25" t="s">
        <v>557</v>
      </c>
      <c r="R1152" s="26" t="n">
        <v>1300</v>
      </c>
      <c r="S1152" s="26" t="n">
        <f aca="false">IF(AND(L1152="Oui",K1152="Principal",R1152&lt;&gt;""),I1152*R1152,0)</f>
        <v>1300</v>
      </c>
      <c r="T1152" s="26" t="n">
        <f aca="false">IF(R1152&lt;&gt;"",M1152-S1152,0)</f>
        <v>500</v>
      </c>
      <c r="U1152" s="26" t="n">
        <f aca="false">IF(R1152="",M1152,0)</f>
        <v>0</v>
      </c>
    </row>
    <row r="1153" customFormat="false" ht="15" hidden="false" customHeight="false" outlineLevel="0" collapsed="false">
      <c r="A1153" s="27" t="s">
        <v>65</v>
      </c>
      <c r="B1153" s="27" t="s">
        <v>67</v>
      </c>
      <c r="C1153" s="27" t="s">
        <v>49</v>
      </c>
      <c r="D1153" s="27" t="n">
        <v>18</v>
      </c>
      <c r="E1153" s="27" t="s">
        <v>700</v>
      </c>
      <c r="F1153" s="27" t="s">
        <v>430</v>
      </c>
      <c r="G1153" s="27"/>
      <c r="H1153" s="27" t="s">
        <v>585</v>
      </c>
      <c r="I1153" s="27" t="n">
        <v>1</v>
      </c>
      <c r="J1153" s="28" t="n">
        <v>0</v>
      </c>
      <c r="K1153" s="27" t="s">
        <v>546</v>
      </c>
      <c r="L1153" s="27" t="s">
        <v>579</v>
      </c>
      <c r="M1153" s="28" t="n">
        <f aca="false">IF(AND(L1153="Oui",K1153="Principal"),I1153*J1153,0)</f>
        <v>0</v>
      </c>
      <c r="N1153" s="27" t="s">
        <v>128</v>
      </c>
      <c r="O1153" s="27" t="s">
        <v>586</v>
      </c>
      <c r="P1153" s="27"/>
      <c r="Q1153" s="27"/>
      <c r="R1153" s="28"/>
      <c r="S1153" s="28" t="n">
        <f aca="false">IF(AND(L1153="Oui",K1153="Principal",R1153&lt;&gt;""),I1153*R1153,0)</f>
        <v>0</v>
      </c>
      <c r="T1153" s="28" t="n">
        <f aca="false">IF(R1153&lt;&gt;"",M1153-S1153,0)</f>
        <v>0</v>
      </c>
      <c r="U1153" s="28" t="n">
        <f aca="false">IF(R1153="",M1153,0)</f>
        <v>0</v>
      </c>
    </row>
    <row r="1154" customFormat="false" ht="15" hidden="false" customHeight="false" outlineLevel="0" collapsed="false">
      <c r="A1154" s="27" t="s">
        <v>65</v>
      </c>
      <c r="B1154" s="27" t="s">
        <v>67</v>
      </c>
      <c r="C1154" s="27" t="s">
        <v>49</v>
      </c>
      <c r="D1154" s="27" t="n">
        <v>19</v>
      </c>
      <c r="E1154" s="27" t="s">
        <v>700</v>
      </c>
      <c r="F1154" s="27" t="s">
        <v>382</v>
      </c>
      <c r="G1154" s="27"/>
      <c r="H1154" s="27" t="s">
        <v>585</v>
      </c>
      <c r="I1154" s="27" t="n">
        <v>1</v>
      </c>
      <c r="J1154" s="28" t="n">
        <v>0</v>
      </c>
      <c r="K1154" s="27" t="s">
        <v>546</v>
      </c>
      <c r="L1154" s="27" t="s">
        <v>579</v>
      </c>
      <c r="M1154" s="28" t="n">
        <f aca="false">IF(AND(L1154="Oui",K1154="Principal"),I1154*J1154,0)</f>
        <v>0</v>
      </c>
      <c r="N1154" s="27" t="s">
        <v>128</v>
      </c>
      <c r="O1154" s="27" t="s">
        <v>586</v>
      </c>
      <c r="P1154" s="27"/>
      <c r="Q1154" s="27"/>
      <c r="R1154" s="28"/>
      <c r="S1154" s="28" t="n">
        <f aca="false">IF(AND(L1154="Oui",K1154="Principal",R1154&lt;&gt;""),I1154*R1154,0)</f>
        <v>0</v>
      </c>
      <c r="T1154" s="28" t="n">
        <f aca="false">IF(R1154&lt;&gt;"",M1154-S1154,0)</f>
        <v>0</v>
      </c>
      <c r="U1154" s="28" t="n">
        <f aca="false">IF(R1154="",M1154,0)</f>
        <v>0</v>
      </c>
    </row>
    <row r="1155" customFormat="false" ht="15" hidden="false" customHeight="false" outlineLevel="0" collapsed="false">
      <c r="A1155" s="25" t="s">
        <v>65</v>
      </c>
      <c r="B1155" s="25" t="s">
        <v>67</v>
      </c>
      <c r="C1155" s="25" t="s">
        <v>49</v>
      </c>
      <c r="D1155" s="25" t="n">
        <v>20</v>
      </c>
      <c r="E1155" s="25" t="s">
        <v>571</v>
      </c>
      <c r="F1155" s="25" t="s">
        <v>431</v>
      </c>
      <c r="G1155" s="25" t="n">
        <v>1631</v>
      </c>
      <c r="H1155" s="25" t="s">
        <v>755</v>
      </c>
      <c r="I1155" s="25" t="n">
        <v>1</v>
      </c>
      <c r="J1155" s="26" t="n">
        <v>2700</v>
      </c>
      <c r="K1155" s="25" t="s">
        <v>546</v>
      </c>
      <c r="L1155" s="25" t="s">
        <v>547</v>
      </c>
      <c r="M1155" s="26" t="n">
        <f aca="false">IF(AND(L1155="Oui",K1155="Principal"),I1155*J1155,0)</f>
        <v>2700</v>
      </c>
      <c r="N1155" s="25" t="s">
        <v>548</v>
      </c>
      <c r="O1155" s="25"/>
      <c r="P1155" s="25" t="s">
        <v>556</v>
      </c>
      <c r="Q1155" s="25" t="s">
        <v>557</v>
      </c>
      <c r="R1155" s="26" t="n">
        <v>2000</v>
      </c>
      <c r="S1155" s="26" t="n">
        <f aca="false">IF(AND(L1155="Oui",K1155="Principal",R1155&lt;&gt;""),I1155*R1155,0)</f>
        <v>2000</v>
      </c>
      <c r="T1155" s="26" t="n">
        <f aca="false">IF(R1155&lt;&gt;"",M1155-S1155,0)</f>
        <v>700</v>
      </c>
      <c r="U1155" s="26" t="n">
        <f aca="false">IF(R1155="",M1155,0)</f>
        <v>0</v>
      </c>
    </row>
    <row r="1156" customFormat="false" ht="15" hidden="false" customHeight="false" outlineLevel="0" collapsed="false">
      <c r="A1156" s="25" t="s">
        <v>65</v>
      </c>
      <c r="B1156" s="25" t="s">
        <v>67</v>
      </c>
      <c r="C1156" s="25" t="s">
        <v>49</v>
      </c>
      <c r="D1156" s="25" t="n">
        <v>21</v>
      </c>
      <c r="E1156" s="25" t="s">
        <v>571</v>
      </c>
      <c r="F1156" s="25" t="s">
        <v>433</v>
      </c>
      <c r="G1156" s="25" t="n">
        <v>1683</v>
      </c>
      <c r="H1156" s="25" t="s">
        <v>756</v>
      </c>
      <c r="I1156" s="25" t="n">
        <v>1</v>
      </c>
      <c r="J1156" s="26" t="n">
        <v>1000</v>
      </c>
      <c r="K1156" s="25" t="s">
        <v>546</v>
      </c>
      <c r="L1156" s="25" t="s">
        <v>547</v>
      </c>
      <c r="M1156" s="26" t="n">
        <f aca="false">IF(AND(L1156="Oui",K1156="Principal"),I1156*J1156,0)</f>
        <v>1000</v>
      </c>
      <c r="N1156" s="25" t="s">
        <v>548</v>
      </c>
      <c r="O1156" s="25"/>
      <c r="P1156" s="25" t="s">
        <v>556</v>
      </c>
      <c r="Q1156" s="25" t="s">
        <v>557</v>
      </c>
      <c r="R1156" s="26"/>
      <c r="S1156" s="26" t="n">
        <f aca="false">IF(AND(L1156="Oui",K1156="Principal",R1156&lt;&gt;""),I1156*R1156,0)</f>
        <v>0</v>
      </c>
      <c r="T1156" s="26" t="n">
        <f aca="false">IF(R1156&lt;&gt;"",M1156-S1156,0)</f>
        <v>0</v>
      </c>
      <c r="U1156" s="26" t="n">
        <f aca="false">IF(R1156="",M1156,0)</f>
        <v>1000</v>
      </c>
    </row>
    <row r="1157" customFormat="false" ht="15" hidden="false" customHeight="false" outlineLevel="0" collapsed="false">
      <c r="A1157" s="33" t="s">
        <v>65</v>
      </c>
      <c r="B1157" s="33" t="s">
        <v>67</v>
      </c>
      <c r="C1157" s="33" t="s">
        <v>49</v>
      </c>
      <c r="D1157" s="33" t="n">
        <v>22</v>
      </c>
      <c r="E1157" s="33" t="s">
        <v>571</v>
      </c>
      <c r="F1157" s="33" t="s">
        <v>435</v>
      </c>
      <c r="G1157" s="33" t="n">
        <v>1269</v>
      </c>
      <c r="H1157" s="33" t="s">
        <v>757</v>
      </c>
      <c r="I1157" s="33" t="n">
        <v>1</v>
      </c>
      <c r="J1157" s="34" t="n">
        <v>1150</v>
      </c>
      <c r="K1157" s="33" t="s">
        <v>546</v>
      </c>
      <c r="L1157" s="33" t="s">
        <v>547</v>
      </c>
      <c r="M1157" s="34" t="n">
        <f aca="false">IF(AND(L1157="Oui",K1157="Principal"),I1157*J1157,0)</f>
        <v>1150</v>
      </c>
      <c r="N1157" s="33" t="s">
        <v>182</v>
      </c>
      <c r="O1157" s="33" t="s">
        <v>758</v>
      </c>
      <c r="P1157" s="33" t="s">
        <v>550</v>
      </c>
      <c r="Q1157" s="33" t="s">
        <v>557</v>
      </c>
      <c r="R1157" s="34" t="n">
        <v>850</v>
      </c>
      <c r="S1157" s="34" t="n">
        <f aca="false">IF(AND(L1157="Oui",K1157="Principal",R1157&lt;&gt;""),I1157*R1157,0)</f>
        <v>850</v>
      </c>
      <c r="T1157" s="34" t="n">
        <f aca="false">IF(R1157&lt;&gt;"",M1157-S1157,0)</f>
        <v>300</v>
      </c>
      <c r="U1157" s="34" t="n">
        <f aca="false">IF(R1157="",M1157,0)</f>
        <v>0</v>
      </c>
    </row>
    <row r="1158" customFormat="false" ht="15" hidden="false" customHeight="false" outlineLevel="0" collapsed="false">
      <c r="A1158" s="25" t="s">
        <v>65</v>
      </c>
      <c r="B1158" s="25" t="s">
        <v>67</v>
      </c>
      <c r="C1158" s="25" t="s">
        <v>49</v>
      </c>
      <c r="D1158" s="25" t="n">
        <v>23</v>
      </c>
      <c r="E1158" s="25" t="s">
        <v>573</v>
      </c>
      <c r="F1158" s="25" t="s">
        <v>176</v>
      </c>
      <c r="G1158" s="25" t="n">
        <v>19</v>
      </c>
      <c r="H1158" s="25" t="s">
        <v>615</v>
      </c>
      <c r="I1158" s="25" t="n">
        <v>1</v>
      </c>
      <c r="J1158" s="26" t="n">
        <v>2500</v>
      </c>
      <c r="K1158" s="25" t="s">
        <v>546</v>
      </c>
      <c r="L1158" s="25" t="s">
        <v>547</v>
      </c>
      <c r="M1158" s="26" t="n">
        <f aca="false">IF(AND(L1158="Oui",K1158="Principal"),I1158*J1158,0)</f>
        <v>2500</v>
      </c>
      <c r="N1158" s="25" t="s">
        <v>548</v>
      </c>
      <c r="O1158" s="25"/>
      <c r="P1158" s="25" t="s">
        <v>559</v>
      </c>
      <c r="Q1158" s="25" t="s">
        <v>551</v>
      </c>
      <c r="R1158" s="26"/>
      <c r="S1158" s="26" t="n">
        <f aca="false">IF(AND(L1158="Oui",K1158="Principal",R1158&lt;&gt;""),I1158*R1158,0)</f>
        <v>0</v>
      </c>
      <c r="T1158" s="26" t="n">
        <f aca="false">IF(R1158&lt;&gt;"",M1158-S1158,0)</f>
        <v>0</v>
      </c>
      <c r="U1158" s="26" t="n">
        <f aca="false">IF(R1158="",M1158,0)</f>
        <v>2500</v>
      </c>
    </row>
    <row r="1159" customFormat="false" ht="15" hidden="false" customHeight="false" outlineLevel="0" collapsed="false">
      <c r="A1159" s="25" t="s">
        <v>65</v>
      </c>
      <c r="B1159" s="25" t="s">
        <v>67</v>
      </c>
      <c r="C1159" s="25" t="s">
        <v>49</v>
      </c>
      <c r="D1159" s="25" t="n">
        <v>24</v>
      </c>
      <c r="E1159" s="25" t="s">
        <v>573</v>
      </c>
      <c r="F1159" s="25" t="s">
        <v>117</v>
      </c>
      <c r="G1159" s="25" t="n">
        <v>1288</v>
      </c>
      <c r="H1159" s="25" t="s">
        <v>624</v>
      </c>
      <c r="I1159" s="25" t="n">
        <v>1</v>
      </c>
      <c r="J1159" s="26" t="n">
        <v>2500</v>
      </c>
      <c r="K1159" s="25" t="s">
        <v>546</v>
      </c>
      <c r="L1159" s="25" t="s">
        <v>547</v>
      </c>
      <c r="M1159" s="26" t="n">
        <f aca="false">IF(AND(L1159="Oui",K1159="Principal"),I1159*J1159,0)</f>
        <v>2500</v>
      </c>
      <c r="N1159" s="25" t="s">
        <v>548</v>
      </c>
      <c r="O1159" s="25"/>
      <c r="P1159" s="25" t="s">
        <v>550</v>
      </c>
      <c r="Q1159" s="25" t="s">
        <v>557</v>
      </c>
      <c r="R1159" s="26" t="n">
        <v>2000</v>
      </c>
      <c r="S1159" s="26" t="n">
        <f aca="false">IF(AND(L1159="Oui",K1159="Principal",R1159&lt;&gt;""),I1159*R1159,0)</f>
        <v>2000</v>
      </c>
      <c r="T1159" s="26" t="n">
        <f aca="false">IF(R1159&lt;&gt;"",M1159-S1159,0)</f>
        <v>500</v>
      </c>
      <c r="U1159" s="26" t="n">
        <f aca="false">IF(R1159="",M1159,0)</f>
        <v>0</v>
      </c>
    </row>
    <row r="1160" customFormat="false" ht="15" hidden="false" customHeight="false" outlineLevel="0" collapsed="false">
      <c r="A1160" s="25" t="s">
        <v>65</v>
      </c>
      <c r="B1160" s="25" t="s">
        <v>67</v>
      </c>
      <c r="C1160" s="25" t="s">
        <v>49</v>
      </c>
      <c r="D1160" s="25" t="n">
        <v>25</v>
      </c>
      <c r="E1160" s="25" t="s">
        <v>573</v>
      </c>
      <c r="F1160" s="25" t="s">
        <v>321</v>
      </c>
      <c r="G1160" s="25" t="n">
        <v>1192</v>
      </c>
      <c r="H1160" s="25" t="s">
        <v>694</v>
      </c>
      <c r="I1160" s="25" t="n">
        <v>1</v>
      </c>
      <c r="J1160" s="26" t="n">
        <v>7000</v>
      </c>
      <c r="K1160" s="25" t="s">
        <v>546</v>
      </c>
      <c r="L1160" s="25" t="s">
        <v>547</v>
      </c>
      <c r="M1160" s="26" t="n">
        <f aca="false">IF(AND(L1160="Oui",K1160="Principal"),I1160*J1160,0)</f>
        <v>7000</v>
      </c>
      <c r="N1160" s="25" t="s">
        <v>548</v>
      </c>
      <c r="O1160" s="25"/>
      <c r="P1160" s="25" t="s">
        <v>550</v>
      </c>
      <c r="Q1160" s="25" t="s">
        <v>557</v>
      </c>
      <c r="R1160" s="26" t="n">
        <v>5500</v>
      </c>
      <c r="S1160" s="26" t="n">
        <f aca="false">IF(AND(L1160="Oui",K1160="Principal",R1160&lt;&gt;""),I1160*R1160,0)</f>
        <v>5500</v>
      </c>
      <c r="T1160" s="26" t="n">
        <f aca="false">IF(R1160&lt;&gt;"",M1160-S1160,0)</f>
        <v>1500</v>
      </c>
      <c r="U1160" s="26" t="n">
        <f aca="false">IF(R1160="",M1160,0)</f>
        <v>0</v>
      </c>
    </row>
    <row r="1161" customFormat="false" ht="15" hidden="false" customHeight="false" outlineLevel="0" collapsed="false">
      <c r="A1161" s="25" t="s">
        <v>65</v>
      </c>
      <c r="B1161" s="25" t="s">
        <v>67</v>
      </c>
      <c r="C1161" s="25" t="s">
        <v>49</v>
      </c>
      <c r="D1161" s="25" t="n">
        <v>26</v>
      </c>
      <c r="E1161" s="25" t="s">
        <v>686</v>
      </c>
      <c r="F1161" s="25" t="s">
        <v>444</v>
      </c>
      <c r="G1161" s="25" t="n">
        <v>1448</v>
      </c>
      <c r="H1161" s="25" t="s">
        <v>765</v>
      </c>
      <c r="I1161" s="25" t="n">
        <v>1</v>
      </c>
      <c r="J1161" s="26" t="n">
        <v>4720</v>
      </c>
      <c r="K1161" s="25" t="s">
        <v>546</v>
      </c>
      <c r="L1161" s="25" t="s">
        <v>547</v>
      </c>
      <c r="M1161" s="26" t="n">
        <f aca="false">IF(AND(L1161="Oui",K1161="Principal"),I1161*J1161,0)</f>
        <v>4720</v>
      </c>
      <c r="N1161" s="25" t="s">
        <v>548</v>
      </c>
      <c r="O1161" s="25"/>
      <c r="P1161" s="25" t="s">
        <v>550</v>
      </c>
      <c r="Q1161" s="25" t="s">
        <v>557</v>
      </c>
      <c r="R1161" s="26" t="n">
        <v>3720</v>
      </c>
      <c r="S1161" s="26" t="n">
        <f aca="false">IF(AND(L1161="Oui",K1161="Principal",R1161&lt;&gt;""),I1161*R1161,0)</f>
        <v>3720</v>
      </c>
      <c r="T1161" s="26" t="n">
        <f aca="false">IF(R1161&lt;&gt;"",M1161-S1161,0)</f>
        <v>1000</v>
      </c>
      <c r="U1161" s="26" t="n">
        <f aca="false">IF(R1161="",M1161,0)</f>
        <v>0</v>
      </c>
    </row>
    <row r="1162" customFormat="false" ht="15" hidden="false" customHeight="false" outlineLevel="0" collapsed="false">
      <c r="A1162" s="27" t="s">
        <v>65</v>
      </c>
      <c r="B1162" s="27" t="s">
        <v>67</v>
      </c>
      <c r="C1162" s="27" t="s">
        <v>49</v>
      </c>
      <c r="D1162" s="27" t="n">
        <v>27</v>
      </c>
      <c r="E1162" s="27" t="s">
        <v>689</v>
      </c>
      <c r="F1162" s="27" t="s">
        <v>446</v>
      </c>
      <c r="G1162" s="27"/>
      <c r="H1162" s="27" t="s">
        <v>585</v>
      </c>
      <c r="I1162" s="27" t="n">
        <v>1</v>
      </c>
      <c r="J1162" s="28" t="n">
        <v>0</v>
      </c>
      <c r="K1162" s="27" t="s">
        <v>546</v>
      </c>
      <c r="L1162" s="27" t="s">
        <v>579</v>
      </c>
      <c r="M1162" s="28" t="n">
        <f aca="false">IF(AND(L1162="Oui",K1162="Principal"),I1162*J1162,0)</f>
        <v>0</v>
      </c>
      <c r="N1162" s="27" t="s">
        <v>128</v>
      </c>
      <c r="O1162" s="27" t="s">
        <v>586</v>
      </c>
      <c r="P1162" s="27"/>
      <c r="Q1162" s="27"/>
      <c r="R1162" s="28"/>
      <c r="S1162" s="28" t="n">
        <f aca="false">IF(AND(L1162="Oui",K1162="Principal",R1162&lt;&gt;""),I1162*R1162,0)</f>
        <v>0</v>
      </c>
      <c r="T1162" s="28" t="n">
        <f aca="false">IF(R1162&lt;&gt;"",M1162-S1162,0)</f>
        <v>0</v>
      </c>
      <c r="U1162" s="28" t="n">
        <f aca="false">IF(R1162="",M1162,0)</f>
        <v>0</v>
      </c>
    </row>
    <row r="1163" customFormat="false" ht="15" hidden="false" customHeight="false" outlineLevel="0" collapsed="false">
      <c r="A1163" s="27" t="s">
        <v>65</v>
      </c>
      <c r="B1163" s="27" t="s">
        <v>67</v>
      </c>
      <c r="C1163" s="27" t="s">
        <v>49</v>
      </c>
      <c r="D1163" s="27" t="n">
        <v>28</v>
      </c>
      <c r="E1163" s="27" t="s">
        <v>689</v>
      </c>
      <c r="F1163" s="27" t="s">
        <v>427</v>
      </c>
      <c r="G1163" s="27"/>
      <c r="H1163" s="27" t="s">
        <v>585</v>
      </c>
      <c r="I1163" s="27" t="n">
        <v>1</v>
      </c>
      <c r="J1163" s="28" t="n">
        <v>0</v>
      </c>
      <c r="K1163" s="27" t="s">
        <v>546</v>
      </c>
      <c r="L1163" s="27" t="s">
        <v>579</v>
      </c>
      <c r="M1163" s="28" t="n">
        <f aca="false">IF(AND(L1163="Oui",K1163="Principal"),I1163*J1163,0)</f>
        <v>0</v>
      </c>
      <c r="N1163" s="27" t="s">
        <v>128</v>
      </c>
      <c r="O1163" s="27" t="s">
        <v>586</v>
      </c>
      <c r="P1163" s="27"/>
      <c r="Q1163" s="27"/>
      <c r="R1163" s="28"/>
      <c r="S1163" s="28" t="n">
        <f aca="false">IF(AND(L1163="Oui",K1163="Principal",R1163&lt;&gt;""),I1163*R1163,0)</f>
        <v>0</v>
      </c>
      <c r="T1163" s="28" t="n">
        <f aca="false">IF(R1163&lt;&gt;"",M1163-S1163,0)</f>
        <v>0</v>
      </c>
      <c r="U1163" s="28" t="n">
        <f aca="false">IF(R1163="",M1163,0)</f>
        <v>0</v>
      </c>
    </row>
    <row r="1164" customFormat="false" ht="15" hidden="false" customHeight="false" outlineLevel="0" collapsed="false">
      <c r="A1164" s="27" t="s">
        <v>65</v>
      </c>
      <c r="B1164" s="27" t="s">
        <v>67</v>
      </c>
      <c r="C1164" s="27" t="s">
        <v>49</v>
      </c>
      <c r="D1164" s="27" t="n">
        <v>29</v>
      </c>
      <c r="E1164" s="27" t="s">
        <v>686</v>
      </c>
      <c r="F1164" s="27" t="s">
        <v>447</v>
      </c>
      <c r="G1164" s="27"/>
      <c r="H1164" s="27" t="s">
        <v>585</v>
      </c>
      <c r="I1164" s="27" t="n">
        <v>1</v>
      </c>
      <c r="J1164" s="28" t="n">
        <v>0</v>
      </c>
      <c r="K1164" s="27" t="s">
        <v>546</v>
      </c>
      <c r="L1164" s="27" t="s">
        <v>579</v>
      </c>
      <c r="M1164" s="28" t="n">
        <f aca="false">IF(AND(L1164="Oui",K1164="Principal"),I1164*J1164,0)</f>
        <v>0</v>
      </c>
      <c r="N1164" s="27" t="s">
        <v>128</v>
      </c>
      <c r="O1164" s="27" t="s">
        <v>586</v>
      </c>
      <c r="P1164" s="27"/>
      <c r="Q1164" s="27"/>
      <c r="R1164" s="28"/>
      <c r="S1164" s="28" t="n">
        <f aca="false">IF(AND(L1164="Oui",K1164="Principal",R1164&lt;&gt;""),I1164*R1164,0)</f>
        <v>0</v>
      </c>
      <c r="T1164" s="28" t="n">
        <f aca="false">IF(R1164&lt;&gt;"",M1164-S1164,0)</f>
        <v>0</v>
      </c>
      <c r="U1164" s="28" t="n">
        <f aca="false">IF(R1164="",M1164,0)</f>
        <v>0</v>
      </c>
    </row>
    <row r="1165" customFormat="false" ht="15" hidden="false" customHeight="false" outlineLevel="0" collapsed="false">
      <c r="A1165" s="25" t="s">
        <v>65</v>
      </c>
      <c r="B1165" s="25" t="s">
        <v>67</v>
      </c>
      <c r="C1165" s="25" t="s">
        <v>49</v>
      </c>
      <c r="D1165" s="25" t="n">
        <v>30</v>
      </c>
      <c r="E1165" s="25" t="s">
        <v>686</v>
      </c>
      <c r="F1165" s="25" t="s">
        <v>448</v>
      </c>
      <c r="G1165" s="25" t="n">
        <v>1449</v>
      </c>
      <c r="H1165" s="25" t="s">
        <v>766</v>
      </c>
      <c r="I1165" s="25" t="n">
        <v>1</v>
      </c>
      <c r="J1165" s="26" t="n">
        <v>4720</v>
      </c>
      <c r="K1165" s="25" t="s">
        <v>546</v>
      </c>
      <c r="L1165" s="25" t="s">
        <v>547</v>
      </c>
      <c r="M1165" s="26" t="n">
        <f aca="false">IF(AND(L1165="Oui",K1165="Principal"),I1165*J1165,0)</f>
        <v>4720</v>
      </c>
      <c r="N1165" s="25" t="s">
        <v>548</v>
      </c>
      <c r="O1165" s="25"/>
      <c r="P1165" s="25" t="s">
        <v>550</v>
      </c>
      <c r="Q1165" s="25" t="s">
        <v>557</v>
      </c>
      <c r="R1165" s="26" t="n">
        <v>3720</v>
      </c>
      <c r="S1165" s="26" t="n">
        <f aca="false">IF(AND(L1165="Oui",K1165="Principal",R1165&lt;&gt;""),I1165*R1165,0)</f>
        <v>3720</v>
      </c>
      <c r="T1165" s="26" t="n">
        <f aca="false">IF(R1165&lt;&gt;"",M1165-S1165,0)</f>
        <v>1000</v>
      </c>
      <c r="U1165" s="26" t="n">
        <f aca="false">IF(R1165="",M1165,0)</f>
        <v>0</v>
      </c>
    </row>
    <row r="1166" customFormat="false" ht="15" hidden="false" customHeight="false" outlineLevel="0" collapsed="false">
      <c r="A1166" s="27" t="s">
        <v>65</v>
      </c>
      <c r="B1166" s="27" t="s">
        <v>67</v>
      </c>
      <c r="C1166" s="27" t="s">
        <v>49</v>
      </c>
      <c r="D1166" s="27" t="n">
        <v>31</v>
      </c>
      <c r="E1166" s="27" t="s">
        <v>686</v>
      </c>
      <c r="F1166" s="27" t="s">
        <v>450</v>
      </c>
      <c r="G1166" s="27"/>
      <c r="H1166" s="27" t="s">
        <v>585</v>
      </c>
      <c r="I1166" s="27" t="n">
        <v>1</v>
      </c>
      <c r="J1166" s="28" t="n">
        <v>0</v>
      </c>
      <c r="K1166" s="27" t="s">
        <v>546</v>
      </c>
      <c r="L1166" s="27" t="s">
        <v>579</v>
      </c>
      <c r="M1166" s="28" t="n">
        <f aca="false">IF(AND(L1166="Oui",K1166="Principal"),I1166*J1166,0)</f>
        <v>0</v>
      </c>
      <c r="N1166" s="27" t="s">
        <v>128</v>
      </c>
      <c r="O1166" s="27" t="s">
        <v>586</v>
      </c>
      <c r="P1166" s="27"/>
      <c r="Q1166" s="27"/>
      <c r="R1166" s="28"/>
      <c r="S1166" s="28" t="n">
        <f aca="false">IF(AND(L1166="Oui",K1166="Principal",R1166&lt;&gt;""),I1166*R1166,0)</f>
        <v>0</v>
      </c>
      <c r="T1166" s="28" t="n">
        <f aca="false">IF(R1166&lt;&gt;"",M1166-S1166,0)</f>
        <v>0</v>
      </c>
      <c r="U1166" s="28" t="n">
        <f aca="false">IF(R1166="",M1166,0)</f>
        <v>0</v>
      </c>
    </row>
    <row r="1167" customFormat="false" ht="15" hidden="false" customHeight="false" outlineLevel="0" collapsed="false">
      <c r="A1167" s="25" t="s">
        <v>65</v>
      </c>
      <c r="B1167" s="25" t="s">
        <v>67</v>
      </c>
      <c r="C1167" s="25" t="s">
        <v>49</v>
      </c>
      <c r="D1167" s="25" t="n">
        <v>32</v>
      </c>
      <c r="E1167" s="25" t="s">
        <v>686</v>
      </c>
      <c r="F1167" s="25" t="s">
        <v>451</v>
      </c>
      <c r="G1167" s="25" t="n">
        <v>1450</v>
      </c>
      <c r="H1167" s="25" t="s">
        <v>767</v>
      </c>
      <c r="I1167" s="25" t="n">
        <v>1</v>
      </c>
      <c r="J1167" s="26" t="n">
        <v>4720</v>
      </c>
      <c r="K1167" s="25" t="s">
        <v>546</v>
      </c>
      <c r="L1167" s="25" t="s">
        <v>547</v>
      </c>
      <c r="M1167" s="26" t="n">
        <f aca="false">IF(AND(L1167="Oui",K1167="Principal"),I1167*J1167,0)</f>
        <v>4720</v>
      </c>
      <c r="N1167" s="25" t="s">
        <v>548</v>
      </c>
      <c r="O1167" s="25"/>
      <c r="P1167" s="25" t="s">
        <v>550</v>
      </c>
      <c r="Q1167" s="25" t="s">
        <v>557</v>
      </c>
      <c r="R1167" s="26" t="n">
        <v>3720</v>
      </c>
      <c r="S1167" s="26" t="n">
        <f aca="false">IF(AND(L1167="Oui",K1167="Principal",R1167&lt;&gt;""),I1167*R1167,0)</f>
        <v>3720</v>
      </c>
      <c r="T1167" s="26" t="n">
        <f aca="false">IF(R1167&lt;&gt;"",M1167-S1167,0)</f>
        <v>1000</v>
      </c>
      <c r="U1167" s="26" t="n">
        <f aca="false">IF(R1167="",M1167,0)</f>
        <v>0</v>
      </c>
    </row>
    <row r="1168" customFormat="false" ht="15" hidden="false" customHeight="false" outlineLevel="0" collapsed="false">
      <c r="A1168" s="25" t="s">
        <v>65</v>
      </c>
      <c r="B1168" s="25" t="s">
        <v>67</v>
      </c>
      <c r="C1168" s="25" t="s">
        <v>49</v>
      </c>
      <c r="D1168" s="25" t="n">
        <v>33</v>
      </c>
      <c r="E1168" s="25" t="s">
        <v>686</v>
      </c>
      <c r="F1168" s="25" t="s">
        <v>453</v>
      </c>
      <c r="G1168" s="25" t="n">
        <v>1333</v>
      </c>
      <c r="H1168" s="25" t="s">
        <v>768</v>
      </c>
      <c r="I1168" s="25" t="n">
        <v>1</v>
      </c>
      <c r="J1168" s="26" t="n">
        <v>3550</v>
      </c>
      <c r="K1168" s="25" t="s">
        <v>546</v>
      </c>
      <c r="L1168" s="25" t="s">
        <v>547</v>
      </c>
      <c r="M1168" s="26" t="n">
        <f aca="false">IF(AND(L1168="Oui",K1168="Principal"),I1168*J1168,0)</f>
        <v>3550</v>
      </c>
      <c r="N1168" s="25" t="s">
        <v>548</v>
      </c>
      <c r="O1168" s="25"/>
      <c r="P1168" s="25" t="s">
        <v>550</v>
      </c>
      <c r="Q1168" s="25" t="s">
        <v>557</v>
      </c>
      <c r="R1168" s="26" t="n">
        <v>2550</v>
      </c>
      <c r="S1168" s="26" t="n">
        <f aca="false">IF(AND(L1168="Oui",K1168="Principal",R1168&lt;&gt;""),I1168*R1168,0)</f>
        <v>2550</v>
      </c>
      <c r="T1168" s="26" t="n">
        <f aca="false">IF(R1168&lt;&gt;"",M1168-S1168,0)</f>
        <v>1000</v>
      </c>
      <c r="U1168" s="26" t="n">
        <f aca="false">IF(R1168="",M1168,0)</f>
        <v>0</v>
      </c>
    </row>
    <row r="1169" customFormat="false" ht="15" hidden="false" customHeight="false" outlineLevel="0" collapsed="false">
      <c r="A1169" s="25" t="s">
        <v>65</v>
      </c>
      <c r="B1169" s="25" t="s">
        <v>67</v>
      </c>
      <c r="C1169" s="25" t="s">
        <v>50</v>
      </c>
      <c r="D1169" s="25" t="n">
        <v>1</v>
      </c>
      <c r="E1169" s="25" t="s">
        <v>544</v>
      </c>
      <c r="F1169" s="25" t="s">
        <v>295</v>
      </c>
      <c r="G1169" s="25" t="n">
        <v>1618</v>
      </c>
      <c r="H1169" s="25" t="s">
        <v>600</v>
      </c>
      <c r="I1169" s="25" t="n">
        <v>2</v>
      </c>
      <c r="J1169" s="26" t="n">
        <v>450</v>
      </c>
      <c r="K1169" s="25" t="s">
        <v>546</v>
      </c>
      <c r="L1169" s="25" t="s">
        <v>547</v>
      </c>
      <c r="M1169" s="26" t="n">
        <f aca="false">IF(AND(L1169="Oui",K1169="Principal"),I1169*J1169,0)</f>
        <v>900</v>
      </c>
      <c r="N1169" s="25" t="s">
        <v>548</v>
      </c>
      <c r="O1169" s="25"/>
      <c r="P1169" s="25" t="s">
        <v>556</v>
      </c>
      <c r="Q1169" s="25" t="s">
        <v>557</v>
      </c>
      <c r="R1169" s="26" t="n">
        <v>350</v>
      </c>
      <c r="S1169" s="26" t="n">
        <f aca="false">IF(AND(L1169="Oui",K1169="Principal",R1169&lt;&gt;""),I1169*R1169,0)</f>
        <v>700</v>
      </c>
      <c r="T1169" s="26" t="n">
        <f aca="false">IF(R1169&lt;&gt;"",M1169-S1169,0)</f>
        <v>200</v>
      </c>
      <c r="U1169" s="26" t="n">
        <f aca="false">IF(R1169="",M1169,0)</f>
        <v>0</v>
      </c>
    </row>
    <row r="1170" customFormat="false" ht="15" hidden="false" customHeight="false" outlineLevel="0" collapsed="false">
      <c r="A1170" s="25" t="s">
        <v>65</v>
      </c>
      <c r="B1170" s="25" t="s">
        <v>67</v>
      </c>
      <c r="C1170" s="25" t="s">
        <v>50</v>
      </c>
      <c r="D1170" s="25" t="n">
        <v>2</v>
      </c>
      <c r="E1170" s="25" t="s">
        <v>544</v>
      </c>
      <c r="F1170" s="25" t="s">
        <v>296</v>
      </c>
      <c r="G1170" s="25" t="n">
        <v>1</v>
      </c>
      <c r="H1170" s="25" t="s">
        <v>681</v>
      </c>
      <c r="I1170" s="25" t="n">
        <v>4</v>
      </c>
      <c r="J1170" s="26" t="n">
        <v>500</v>
      </c>
      <c r="K1170" s="25" t="s">
        <v>546</v>
      </c>
      <c r="L1170" s="25" t="s">
        <v>547</v>
      </c>
      <c r="M1170" s="26" t="n">
        <f aca="false">IF(AND(L1170="Oui",K1170="Principal"),I1170*J1170,0)</f>
        <v>2000</v>
      </c>
      <c r="N1170" s="25" t="s">
        <v>548</v>
      </c>
      <c r="O1170" s="25"/>
      <c r="P1170" s="25" t="s">
        <v>559</v>
      </c>
      <c r="Q1170" s="25" t="s">
        <v>551</v>
      </c>
      <c r="R1170" s="26"/>
      <c r="S1170" s="26" t="n">
        <f aca="false">IF(AND(L1170="Oui",K1170="Principal",R1170&lt;&gt;""),I1170*R1170,0)</f>
        <v>0</v>
      </c>
      <c r="T1170" s="26" t="n">
        <f aca="false">IF(R1170&lt;&gt;"",M1170-S1170,0)</f>
        <v>0</v>
      </c>
      <c r="U1170" s="26" t="n">
        <f aca="false">IF(R1170="",M1170,0)</f>
        <v>2000</v>
      </c>
    </row>
    <row r="1171" customFormat="false" ht="15" hidden="false" customHeight="false" outlineLevel="0" collapsed="false">
      <c r="A1171" s="25" t="s">
        <v>65</v>
      </c>
      <c r="B1171" s="25" t="s">
        <v>67</v>
      </c>
      <c r="C1171" s="25" t="s">
        <v>50</v>
      </c>
      <c r="D1171" s="25" t="n">
        <v>3</v>
      </c>
      <c r="E1171" s="25" t="s">
        <v>544</v>
      </c>
      <c r="F1171" s="25" t="s">
        <v>298</v>
      </c>
      <c r="G1171" s="25" t="n">
        <v>1616</v>
      </c>
      <c r="H1171" s="25" t="s">
        <v>695</v>
      </c>
      <c r="I1171" s="25" t="n">
        <v>2</v>
      </c>
      <c r="J1171" s="26" t="n">
        <v>900</v>
      </c>
      <c r="K1171" s="25" t="s">
        <v>546</v>
      </c>
      <c r="L1171" s="25" t="s">
        <v>547</v>
      </c>
      <c r="M1171" s="26" t="n">
        <f aca="false">IF(AND(L1171="Oui",K1171="Principal"),I1171*J1171,0)</f>
        <v>1800</v>
      </c>
      <c r="N1171" s="25" t="s">
        <v>548</v>
      </c>
      <c r="O1171" s="25"/>
      <c r="P1171" s="25" t="s">
        <v>556</v>
      </c>
      <c r="Q1171" s="25" t="s">
        <v>557</v>
      </c>
      <c r="R1171" s="26" t="n">
        <v>800</v>
      </c>
      <c r="S1171" s="26" t="n">
        <f aca="false">IF(AND(L1171="Oui",K1171="Principal",R1171&lt;&gt;""),I1171*R1171,0)</f>
        <v>1600</v>
      </c>
      <c r="T1171" s="26" t="n">
        <f aca="false">IF(R1171&lt;&gt;"",M1171-S1171,0)</f>
        <v>200</v>
      </c>
      <c r="U1171" s="26" t="n">
        <f aca="false">IF(R1171="",M1171,0)</f>
        <v>0</v>
      </c>
    </row>
    <row r="1172" customFormat="false" ht="15" hidden="false" customHeight="false" outlineLevel="0" collapsed="false">
      <c r="A1172" s="25" t="s">
        <v>65</v>
      </c>
      <c r="B1172" s="25" t="s">
        <v>67</v>
      </c>
      <c r="C1172" s="25" t="s">
        <v>50</v>
      </c>
      <c r="D1172" s="25" t="n">
        <v>4</v>
      </c>
      <c r="E1172" s="25" t="s">
        <v>544</v>
      </c>
      <c r="F1172" s="25" t="s">
        <v>338</v>
      </c>
      <c r="G1172" s="25" t="n">
        <v>1715</v>
      </c>
      <c r="H1172" s="25" t="s">
        <v>713</v>
      </c>
      <c r="I1172" s="25" t="n">
        <v>5</v>
      </c>
      <c r="J1172" s="26" t="n">
        <v>1600</v>
      </c>
      <c r="K1172" s="25" t="s">
        <v>546</v>
      </c>
      <c r="L1172" s="25" t="s">
        <v>547</v>
      </c>
      <c r="M1172" s="26" t="n">
        <f aca="false">IF(AND(L1172="Oui",K1172="Principal"),I1172*J1172,0)</f>
        <v>8000</v>
      </c>
      <c r="N1172" s="25" t="s">
        <v>548</v>
      </c>
      <c r="O1172" s="25"/>
      <c r="P1172" s="25" t="s">
        <v>550</v>
      </c>
      <c r="Q1172" s="25" t="s">
        <v>557</v>
      </c>
      <c r="R1172" s="26" t="n">
        <v>1300</v>
      </c>
      <c r="S1172" s="26" t="n">
        <f aca="false">IF(AND(L1172="Oui",K1172="Principal",R1172&lt;&gt;""),I1172*R1172,0)</f>
        <v>6500</v>
      </c>
      <c r="T1172" s="26" t="n">
        <f aca="false">IF(R1172&lt;&gt;"",M1172-S1172,0)</f>
        <v>1500</v>
      </c>
      <c r="U1172" s="26" t="n">
        <f aca="false">IF(R1172="",M1172,0)</f>
        <v>0</v>
      </c>
    </row>
    <row r="1173" customFormat="false" ht="15" hidden="false" customHeight="false" outlineLevel="0" collapsed="false">
      <c r="A1173" s="25" t="s">
        <v>65</v>
      </c>
      <c r="B1173" s="25" t="s">
        <v>67</v>
      </c>
      <c r="C1173" s="25" t="s">
        <v>50</v>
      </c>
      <c r="D1173" s="25" t="n">
        <v>5</v>
      </c>
      <c r="E1173" s="25" t="s">
        <v>544</v>
      </c>
      <c r="F1173" s="25" t="s">
        <v>442</v>
      </c>
      <c r="G1173" s="25" t="n">
        <v>1729</v>
      </c>
      <c r="H1173" s="25" t="s">
        <v>552</v>
      </c>
      <c r="I1173" s="25" t="n">
        <v>1</v>
      </c>
      <c r="J1173" s="26" t="n">
        <v>1300</v>
      </c>
      <c r="K1173" s="25" t="s">
        <v>546</v>
      </c>
      <c r="L1173" s="25" t="s">
        <v>547</v>
      </c>
      <c r="M1173" s="26" t="n">
        <f aca="false">IF(AND(L1173="Oui",K1173="Principal"),I1173*J1173,0)</f>
        <v>1300</v>
      </c>
      <c r="N1173" s="25" t="s">
        <v>548</v>
      </c>
      <c r="O1173" s="25"/>
      <c r="P1173" s="25" t="s">
        <v>550</v>
      </c>
      <c r="Q1173" s="25" t="s">
        <v>551</v>
      </c>
      <c r="R1173" s="26"/>
      <c r="S1173" s="26" t="n">
        <f aca="false">IF(AND(L1173="Oui",K1173="Principal",R1173&lt;&gt;""),I1173*R1173,0)</f>
        <v>0</v>
      </c>
      <c r="T1173" s="26" t="n">
        <f aca="false">IF(R1173&lt;&gt;"",M1173-S1173,0)</f>
        <v>0</v>
      </c>
      <c r="U1173" s="26" t="n">
        <f aca="false">IF(R1173="",M1173,0)</f>
        <v>1300</v>
      </c>
    </row>
    <row r="1174" customFormat="false" ht="15" hidden="false" customHeight="false" outlineLevel="0" collapsed="false">
      <c r="A1174" s="25" t="s">
        <v>65</v>
      </c>
      <c r="B1174" s="25" t="s">
        <v>67</v>
      </c>
      <c r="C1174" s="25" t="s">
        <v>50</v>
      </c>
      <c r="D1174" s="25" t="n">
        <v>6</v>
      </c>
      <c r="E1174" s="25" t="s">
        <v>563</v>
      </c>
      <c r="F1174" s="25" t="s">
        <v>255</v>
      </c>
      <c r="G1174" s="25" t="n">
        <v>1636</v>
      </c>
      <c r="H1174" s="25" t="s">
        <v>661</v>
      </c>
      <c r="I1174" s="25" t="n">
        <v>1</v>
      </c>
      <c r="J1174" s="26" t="n">
        <v>400</v>
      </c>
      <c r="K1174" s="25" t="s">
        <v>546</v>
      </c>
      <c r="L1174" s="25" t="s">
        <v>547</v>
      </c>
      <c r="M1174" s="26" t="n">
        <f aca="false">IF(AND(L1174="Oui",K1174="Principal"),I1174*J1174,0)</f>
        <v>400</v>
      </c>
      <c r="N1174" s="25" t="s">
        <v>548</v>
      </c>
      <c r="O1174" s="25"/>
      <c r="P1174" s="25" t="s">
        <v>556</v>
      </c>
      <c r="Q1174" s="25" t="s">
        <v>557</v>
      </c>
      <c r="R1174" s="26" t="n">
        <v>320</v>
      </c>
      <c r="S1174" s="26" t="n">
        <f aca="false">IF(AND(L1174="Oui",K1174="Principal",R1174&lt;&gt;""),I1174*R1174,0)</f>
        <v>320</v>
      </c>
      <c r="T1174" s="26" t="n">
        <f aca="false">IF(R1174&lt;&gt;"",M1174-S1174,0)</f>
        <v>80</v>
      </c>
      <c r="U1174" s="26" t="n">
        <f aca="false">IF(R1174="",M1174,0)</f>
        <v>0</v>
      </c>
    </row>
    <row r="1175" customFormat="false" ht="15" hidden="false" customHeight="false" outlineLevel="0" collapsed="false">
      <c r="A1175" s="25" t="s">
        <v>65</v>
      </c>
      <c r="B1175" s="25" t="s">
        <v>67</v>
      </c>
      <c r="C1175" s="25" t="s">
        <v>50</v>
      </c>
      <c r="D1175" s="25" t="n">
        <v>7</v>
      </c>
      <c r="E1175" s="25" t="s">
        <v>563</v>
      </c>
      <c r="F1175" s="25" t="s">
        <v>257</v>
      </c>
      <c r="G1175" s="25" t="n">
        <v>1635</v>
      </c>
      <c r="H1175" s="25" t="s">
        <v>607</v>
      </c>
      <c r="I1175" s="25" t="n">
        <v>1</v>
      </c>
      <c r="J1175" s="26" t="n">
        <v>100</v>
      </c>
      <c r="K1175" s="25" t="s">
        <v>546</v>
      </c>
      <c r="L1175" s="25" t="s">
        <v>547</v>
      </c>
      <c r="M1175" s="26" t="n">
        <f aca="false">IF(AND(L1175="Oui",K1175="Principal"),I1175*J1175,0)</f>
        <v>100</v>
      </c>
      <c r="N1175" s="25" t="s">
        <v>548</v>
      </c>
      <c r="O1175" s="25"/>
      <c r="P1175" s="25" t="s">
        <v>556</v>
      </c>
      <c r="Q1175" s="25" t="s">
        <v>557</v>
      </c>
      <c r="R1175" s="26" t="n">
        <v>80</v>
      </c>
      <c r="S1175" s="26" t="n">
        <f aca="false">IF(AND(L1175="Oui",K1175="Principal",R1175&lt;&gt;""),I1175*R1175,0)</f>
        <v>80</v>
      </c>
      <c r="T1175" s="26" t="n">
        <f aca="false">IF(R1175&lt;&gt;"",M1175-S1175,0)</f>
        <v>20</v>
      </c>
      <c r="U1175" s="26" t="n">
        <f aca="false">IF(R1175="",M1175,0)</f>
        <v>0</v>
      </c>
    </row>
    <row r="1176" customFormat="false" ht="15" hidden="false" customHeight="false" outlineLevel="0" collapsed="false">
      <c r="A1176" s="25" t="s">
        <v>65</v>
      </c>
      <c r="B1176" s="25" t="s">
        <v>67</v>
      </c>
      <c r="C1176" s="25" t="s">
        <v>50</v>
      </c>
      <c r="D1176" s="25" t="n">
        <v>8</v>
      </c>
      <c r="E1176" s="25" t="s">
        <v>563</v>
      </c>
      <c r="F1176" s="25" t="s">
        <v>188</v>
      </c>
      <c r="G1176" s="25" t="n">
        <v>8</v>
      </c>
      <c r="H1176" s="25" t="s">
        <v>188</v>
      </c>
      <c r="I1176" s="25" t="n">
        <v>1</v>
      </c>
      <c r="J1176" s="26" t="n">
        <v>500</v>
      </c>
      <c r="K1176" s="25" t="s">
        <v>546</v>
      </c>
      <c r="L1176" s="25" t="s">
        <v>547</v>
      </c>
      <c r="M1176" s="26" t="n">
        <f aca="false">IF(AND(L1176="Oui",K1176="Principal"),I1176*J1176,0)</f>
        <v>500</v>
      </c>
      <c r="N1176" s="25" t="s">
        <v>548</v>
      </c>
      <c r="O1176" s="25"/>
      <c r="P1176" s="25" t="s">
        <v>559</v>
      </c>
      <c r="Q1176" s="25" t="s">
        <v>551</v>
      </c>
      <c r="R1176" s="26"/>
      <c r="S1176" s="26" t="n">
        <f aca="false">IF(AND(L1176="Oui",K1176="Principal",R1176&lt;&gt;""),I1176*R1176,0)</f>
        <v>0</v>
      </c>
      <c r="T1176" s="26" t="n">
        <f aca="false">IF(R1176&lt;&gt;"",M1176-S1176,0)</f>
        <v>0</v>
      </c>
      <c r="U1176" s="26" t="n">
        <f aca="false">IF(R1176="",M1176,0)</f>
        <v>500</v>
      </c>
    </row>
    <row r="1177" customFormat="false" ht="15" hidden="false" customHeight="false" outlineLevel="0" collapsed="false">
      <c r="A1177" s="25" t="s">
        <v>65</v>
      </c>
      <c r="B1177" s="25" t="s">
        <v>67</v>
      </c>
      <c r="C1177" s="25" t="s">
        <v>50</v>
      </c>
      <c r="D1177" s="25" t="n">
        <v>9</v>
      </c>
      <c r="E1177" s="25" t="s">
        <v>563</v>
      </c>
      <c r="F1177" s="25" t="s">
        <v>323</v>
      </c>
      <c r="G1177" s="25" t="n">
        <v>1607</v>
      </c>
      <c r="H1177" s="25" t="s">
        <v>696</v>
      </c>
      <c r="I1177" s="25" t="n">
        <v>1</v>
      </c>
      <c r="J1177" s="26" t="n">
        <v>2500</v>
      </c>
      <c r="K1177" s="25" t="s">
        <v>546</v>
      </c>
      <c r="L1177" s="25" t="s">
        <v>547</v>
      </c>
      <c r="M1177" s="26" t="n">
        <f aca="false">IF(AND(L1177="Oui",K1177="Principal"),I1177*J1177,0)</f>
        <v>2500</v>
      </c>
      <c r="N1177" s="25" t="s">
        <v>548</v>
      </c>
      <c r="O1177" s="25"/>
      <c r="P1177" s="25" t="s">
        <v>556</v>
      </c>
      <c r="Q1177" s="25" t="s">
        <v>557</v>
      </c>
      <c r="R1177" s="26" t="n">
        <v>2000</v>
      </c>
      <c r="S1177" s="26" t="n">
        <f aca="false">IF(AND(L1177="Oui",K1177="Principal",R1177&lt;&gt;""),I1177*R1177,0)</f>
        <v>2000</v>
      </c>
      <c r="T1177" s="26" t="n">
        <f aca="false">IF(R1177&lt;&gt;"",M1177-S1177,0)</f>
        <v>500</v>
      </c>
      <c r="U1177" s="26" t="n">
        <f aca="false">IF(R1177="",M1177,0)</f>
        <v>0</v>
      </c>
    </row>
    <row r="1178" customFormat="false" ht="15" hidden="false" customHeight="false" outlineLevel="0" collapsed="false">
      <c r="A1178" s="25" t="s">
        <v>65</v>
      </c>
      <c r="B1178" s="25" t="s">
        <v>67</v>
      </c>
      <c r="C1178" s="25" t="s">
        <v>50</v>
      </c>
      <c r="D1178" s="25" t="n">
        <v>10</v>
      </c>
      <c r="E1178" s="25" t="s">
        <v>563</v>
      </c>
      <c r="F1178" s="25" t="s">
        <v>325</v>
      </c>
      <c r="G1178" s="25" t="n">
        <v>1639</v>
      </c>
      <c r="H1178" s="25" t="s">
        <v>702</v>
      </c>
      <c r="I1178" s="25" t="n">
        <v>1</v>
      </c>
      <c r="J1178" s="26" t="n">
        <v>1000</v>
      </c>
      <c r="K1178" s="25" t="s">
        <v>546</v>
      </c>
      <c r="L1178" s="25" t="s">
        <v>547</v>
      </c>
      <c r="M1178" s="26" t="n">
        <f aca="false">IF(AND(L1178="Oui",K1178="Principal"),I1178*J1178,0)</f>
        <v>1000</v>
      </c>
      <c r="N1178" s="25" t="s">
        <v>548</v>
      </c>
      <c r="O1178" s="25"/>
      <c r="P1178" s="25" t="s">
        <v>556</v>
      </c>
      <c r="Q1178" s="25" t="s">
        <v>557</v>
      </c>
      <c r="R1178" s="26" t="n">
        <v>700</v>
      </c>
      <c r="S1178" s="26" t="n">
        <f aca="false">IF(AND(L1178="Oui",K1178="Principal",R1178&lt;&gt;""),I1178*R1178,0)</f>
        <v>700</v>
      </c>
      <c r="T1178" s="26" t="n">
        <f aca="false">IF(R1178&lt;&gt;"",M1178-S1178,0)</f>
        <v>300</v>
      </c>
      <c r="U1178" s="26" t="n">
        <f aca="false">IF(R1178="",M1178,0)</f>
        <v>0</v>
      </c>
    </row>
    <row r="1179" customFormat="false" ht="15" hidden="false" customHeight="false" outlineLevel="0" collapsed="false">
      <c r="A1179" s="25" t="s">
        <v>65</v>
      </c>
      <c r="B1179" s="25" t="s">
        <v>67</v>
      </c>
      <c r="C1179" s="25" t="s">
        <v>50</v>
      </c>
      <c r="D1179" s="25" t="n">
        <v>11</v>
      </c>
      <c r="E1179" s="25" t="s">
        <v>565</v>
      </c>
      <c r="F1179" s="25" t="s">
        <v>99</v>
      </c>
      <c r="G1179" s="25" t="n">
        <v>1181</v>
      </c>
      <c r="H1179" s="25" t="s">
        <v>581</v>
      </c>
      <c r="I1179" s="25" t="n">
        <v>1</v>
      </c>
      <c r="J1179" s="26" t="n">
        <v>250</v>
      </c>
      <c r="K1179" s="25" t="s">
        <v>546</v>
      </c>
      <c r="L1179" s="25" t="s">
        <v>547</v>
      </c>
      <c r="M1179" s="26" t="n">
        <f aca="false">IF(AND(L1179="Oui",K1179="Principal"),I1179*J1179,0)</f>
        <v>250</v>
      </c>
      <c r="N1179" s="25" t="s">
        <v>548</v>
      </c>
      <c r="O1179" s="25"/>
      <c r="P1179" s="25" t="s">
        <v>550</v>
      </c>
      <c r="Q1179" s="25" t="s">
        <v>557</v>
      </c>
      <c r="R1179" s="26" t="n">
        <v>110</v>
      </c>
      <c r="S1179" s="26" t="n">
        <f aca="false">IF(AND(L1179="Oui",K1179="Principal",R1179&lt;&gt;""),I1179*R1179,0)</f>
        <v>110</v>
      </c>
      <c r="T1179" s="26" t="n">
        <f aca="false">IF(R1179&lt;&gt;"",M1179-S1179,0)</f>
        <v>140</v>
      </c>
      <c r="U1179" s="26" t="n">
        <f aca="false">IF(R1179="",M1179,0)</f>
        <v>0</v>
      </c>
    </row>
    <row r="1180" customFormat="false" ht="15" hidden="false" customHeight="false" outlineLevel="0" collapsed="false">
      <c r="A1180" s="25" t="s">
        <v>65</v>
      </c>
      <c r="B1180" s="25" t="s">
        <v>67</v>
      </c>
      <c r="C1180" s="25" t="s">
        <v>50</v>
      </c>
      <c r="D1180" s="25" t="n">
        <v>12</v>
      </c>
      <c r="E1180" s="25" t="s">
        <v>565</v>
      </c>
      <c r="F1180" s="25" t="s">
        <v>164</v>
      </c>
      <c r="G1180" s="25" t="n">
        <v>1587</v>
      </c>
      <c r="H1180" s="25" t="s">
        <v>567</v>
      </c>
      <c r="I1180" s="25" t="n">
        <v>1</v>
      </c>
      <c r="J1180" s="26" t="n">
        <v>500</v>
      </c>
      <c r="K1180" s="25" t="s">
        <v>546</v>
      </c>
      <c r="L1180" s="25" t="s">
        <v>547</v>
      </c>
      <c r="M1180" s="26" t="n">
        <f aca="false">IF(AND(L1180="Oui",K1180="Principal"),I1180*J1180,0)</f>
        <v>500</v>
      </c>
      <c r="N1180" s="25" t="s">
        <v>548</v>
      </c>
      <c r="O1180" s="25"/>
      <c r="P1180" s="25" t="s">
        <v>556</v>
      </c>
      <c r="Q1180" s="25" t="s">
        <v>557</v>
      </c>
      <c r="R1180" s="26" t="n">
        <v>350</v>
      </c>
      <c r="S1180" s="26" t="n">
        <f aca="false">IF(AND(L1180="Oui",K1180="Principal",R1180&lt;&gt;""),I1180*R1180,0)</f>
        <v>350</v>
      </c>
      <c r="T1180" s="26" t="n">
        <f aca="false">IF(R1180&lt;&gt;"",M1180-S1180,0)</f>
        <v>150</v>
      </c>
      <c r="U1180" s="26" t="n">
        <f aca="false">IF(R1180="",M1180,0)</f>
        <v>0</v>
      </c>
    </row>
    <row r="1181" customFormat="false" ht="15" hidden="false" customHeight="false" outlineLevel="0" collapsed="false">
      <c r="A1181" s="25" t="s">
        <v>65</v>
      </c>
      <c r="B1181" s="25" t="s">
        <v>67</v>
      </c>
      <c r="C1181" s="25" t="s">
        <v>50</v>
      </c>
      <c r="D1181" s="25" t="n">
        <v>13</v>
      </c>
      <c r="E1181" s="25" t="s">
        <v>565</v>
      </c>
      <c r="F1181" s="25" t="s">
        <v>166</v>
      </c>
      <c r="G1181" s="25" t="n">
        <v>1604</v>
      </c>
      <c r="H1181" s="25" t="s">
        <v>582</v>
      </c>
      <c r="I1181" s="25" t="n">
        <v>2</v>
      </c>
      <c r="J1181" s="26" t="n">
        <v>700</v>
      </c>
      <c r="K1181" s="25" t="s">
        <v>546</v>
      </c>
      <c r="L1181" s="25" t="s">
        <v>547</v>
      </c>
      <c r="M1181" s="26" t="n">
        <f aca="false">IF(AND(L1181="Oui",K1181="Principal"),I1181*J1181,0)</f>
        <v>1400</v>
      </c>
      <c r="N1181" s="25" t="s">
        <v>548</v>
      </c>
      <c r="O1181" s="25"/>
      <c r="P1181" s="25" t="s">
        <v>556</v>
      </c>
      <c r="Q1181" s="25" t="s">
        <v>557</v>
      </c>
      <c r="R1181" s="26" t="n">
        <v>400</v>
      </c>
      <c r="S1181" s="26" t="n">
        <f aca="false">IF(AND(L1181="Oui",K1181="Principal",R1181&lt;&gt;""),I1181*R1181,0)</f>
        <v>800</v>
      </c>
      <c r="T1181" s="26" t="n">
        <f aca="false">IF(R1181&lt;&gt;"",M1181-S1181,0)</f>
        <v>600</v>
      </c>
      <c r="U1181" s="26" t="n">
        <f aca="false">IF(R1181="",M1181,0)</f>
        <v>0</v>
      </c>
    </row>
    <row r="1182" customFormat="false" ht="15" hidden="false" customHeight="false" outlineLevel="0" collapsed="false">
      <c r="A1182" s="25" t="s">
        <v>65</v>
      </c>
      <c r="B1182" s="25" t="s">
        <v>67</v>
      </c>
      <c r="C1182" s="25" t="s">
        <v>50</v>
      </c>
      <c r="D1182" s="25" t="n">
        <v>14</v>
      </c>
      <c r="E1182" s="25" t="s">
        <v>565</v>
      </c>
      <c r="F1182" s="25" t="s">
        <v>304</v>
      </c>
      <c r="G1182" s="25" t="n">
        <v>1586</v>
      </c>
      <c r="H1182" s="25" t="s">
        <v>583</v>
      </c>
      <c r="I1182" s="25" t="n">
        <v>1</v>
      </c>
      <c r="J1182" s="26" t="n">
        <v>900</v>
      </c>
      <c r="K1182" s="25" t="s">
        <v>546</v>
      </c>
      <c r="L1182" s="25" t="s">
        <v>547</v>
      </c>
      <c r="M1182" s="26" t="n">
        <f aca="false">IF(AND(L1182="Oui",K1182="Principal"),I1182*J1182,0)</f>
        <v>900</v>
      </c>
      <c r="N1182" s="25" t="s">
        <v>548</v>
      </c>
      <c r="O1182" s="25"/>
      <c r="P1182" s="25" t="s">
        <v>556</v>
      </c>
      <c r="Q1182" s="25" t="s">
        <v>557</v>
      </c>
      <c r="R1182" s="26" t="n">
        <v>650</v>
      </c>
      <c r="S1182" s="26" t="n">
        <f aca="false">IF(AND(L1182="Oui",K1182="Principal",R1182&lt;&gt;""),I1182*R1182,0)</f>
        <v>650</v>
      </c>
      <c r="T1182" s="26" t="n">
        <f aca="false">IF(R1182&lt;&gt;"",M1182-S1182,0)</f>
        <v>250</v>
      </c>
      <c r="U1182" s="26" t="n">
        <f aca="false">IF(R1182="",M1182,0)</f>
        <v>0</v>
      </c>
    </row>
    <row r="1183" customFormat="false" ht="15" hidden="false" customHeight="false" outlineLevel="0" collapsed="false">
      <c r="A1183" s="33" t="s">
        <v>65</v>
      </c>
      <c r="B1183" s="33" t="s">
        <v>67</v>
      </c>
      <c r="C1183" s="33" t="s">
        <v>50</v>
      </c>
      <c r="D1183" s="33" t="n">
        <v>15</v>
      </c>
      <c r="E1183" s="33" t="s">
        <v>609</v>
      </c>
      <c r="F1183" s="33" t="s">
        <v>199</v>
      </c>
      <c r="G1183" s="33" t="n">
        <v>1229</v>
      </c>
      <c r="H1183" s="33" t="s">
        <v>643</v>
      </c>
      <c r="I1183" s="33" t="n">
        <v>1</v>
      </c>
      <c r="J1183" s="34" t="n">
        <v>1800</v>
      </c>
      <c r="K1183" s="33" t="s">
        <v>546</v>
      </c>
      <c r="L1183" s="33" t="s">
        <v>547</v>
      </c>
      <c r="M1183" s="34" t="n">
        <f aca="false">IF(AND(L1183="Oui",K1183="Principal"),I1183*J1183,0)</f>
        <v>1800</v>
      </c>
      <c r="N1183" s="33" t="s">
        <v>182</v>
      </c>
      <c r="O1183" s="33" t="s">
        <v>644</v>
      </c>
      <c r="P1183" s="33" t="s">
        <v>550</v>
      </c>
      <c r="Q1183" s="33" t="s">
        <v>557</v>
      </c>
      <c r="R1183" s="34" t="n">
        <v>1500</v>
      </c>
      <c r="S1183" s="34" t="n">
        <f aca="false">IF(AND(L1183="Oui",K1183="Principal",R1183&lt;&gt;""),I1183*R1183,0)</f>
        <v>1500</v>
      </c>
      <c r="T1183" s="34" t="n">
        <f aca="false">IF(R1183&lt;&gt;"",M1183-S1183,0)</f>
        <v>300</v>
      </c>
      <c r="U1183" s="34" t="n">
        <f aca="false">IF(R1183="",M1183,0)</f>
        <v>0</v>
      </c>
    </row>
    <row r="1184" customFormat="false" ht="15" hidden="false" customHeight="false" outlineLevel="0" collapsed="false">
      <c r="A1184" s="25" t="s">
        <v>65</v>
      </c>
      <c r="B1184" s="25" t="s">
        <v>67</v>
      </c>
      <c r="C1184" s="25" t="s">
        <v>50</v>
      </c>
      <c r="D1184" s="25" t="n">
        <v>16</v>
      </c>
      <c r="E1184" s="25" t="s">
        <v>609</v>
      </c>
      <c r="F1184" s="25" t="s">
        <v>443</v>
      </c>
      <c r="G1184" s="25" t="n">
        <v>1727</v>
      </c>
      <c r="H1184" s="25" t="s">
        <v>698</v>
      </c>
      <c r="I1184" s="25" t="n">
        <v>1</v>
      </c>
      <c r="J1184" s="26" t="n">
        <v>4750</v>
      </c>
      <c r="K1184" s="25" t="s">
        <v>546</v>
      </c>
      <c r="L1184" s="25" t="s">
        <v>547</v>
      </c>
      <c r="M1184" s="26" t="n">
        <f aca="false">IF(AND(L1184="Oui",K1184="Principal"),I1184*J1184,0)</f>
        <v>4750</v>
      </c>
      <c r="N1184" s="25" t="s">
        <v>548</v>
      </c>
      <c r="O1184" s="25"/>
      <c r="P1184" s="25" t="s">
        <v>559</v>
      </c>
      <c r="Q1184" s="25" t="s">
        <v>557</v>
      </c>
      <c r="R1184" s="26" t="n">
        <v>3700</v>
      </c>
      <c r="S1184" s="26" t="n">
        <f aca="false">IF(AND(L1184="Oui",K1184="Principal",R1184&lt;&gt;""),I1184*R1184,0)</f>
        <v>3700</v>
      </c>
      <c r="T1184" s="26" t="n">
        <f aca="false">IF(R1184&lt;&gt;"",M1184-S1184,0)</f>
        <v>1050</v>
      </c>
      <c r="U1184" s="26" t="n">
        <f aca="false">IF(R1184="",M1184,0)</f>
        <v>0</v>
      </c>
    </row>
    <row r="1185" customFormat="false" ht="15" hidden="false" customHeight="false" outlineLevel="0" collapsed="false">
      <c r="A1185" s="25" t="s">
        <v>65</v>
      </c>
      <c r="B1185" s="25" t="s">
        <v>67</v>
      </c>
      <c r="C1185" s="25" t="s">
        <v>50</v>
      </c>
      <c r="D1185" s="25" t="n">
        <v>17</v>
      </c>
      <c r="E1185" s="25" t="s">
        <v>700</v>
      </c>
      <c r="F1185" s="25" t="s">
        <v>329</v>
      </c>
      <c r="G1185" s="25" t="n">
        <v>1716</v>
      </c>
      <c r="H1185" s="25" t="s">
        <v>701</v>
      </c>
      <c r="I1185" s="25" t="n">
        <v>1</v>
      </c>
      <c r="J1185" s="26" t="n">
        <v>1800</v>
      </c>
      <c r="K1185" s="25" t="s">
        <v>546</v>
      </c>
      <c r="L1185" s="25" t="s">
        <v>547</v>
      </c>
      <c r="M1185" s="26" t="n">
        <f aca="false">IF(AND(L1185="Oui",K1185="Principal"),I1185*J1185,0)</f>
        <v>1800</v>
      </c>
      <c r="N1185" s="25" t="s">
        <v>548</v>
      </c>
      <c r="O1185" s="25"/>
      <c r="P1185" s="25" t="s">
        <v>559</v>
      </c>
      <c r="Q1185" s="25" t="s">
        <v>557</v>
      </c>
      <c r="R1185" s="26" t="n">
        <v>1300</v>
      </c>
      <c r="S1185" s="26" t="n">
        <f aca="false">IF(AND(L1185="Oui",K1185="Principal",R1185&lt;&gt;""),I1185*R1185,0)</f>
        <v>1300</v>
      </c>
      <c r="T1185" s="26" t="n">
        <f aca="false">IF(R1185&lt;&gt;"",M1185-S1185,0)</f>
        <v>500</v>
      </c>
      <c r="U1185" s="26" t="n">
        <f aca="false">IF(R1185="",M1185,0)</f>
        <v>0</v>
      </c>
    </row>
    <row r="1186" customFormat="false" ht="15" hidden="false" customHeight="false" outlineLevel="0" collapsed="false">
      <c r="A1186" s="27" t="s">
        <v>65</v>
      </c>
      <c r="B1186" s="27" t="s">
        <v>67</v>
      </c>
      <c r="C1186" s="27" t="s">
        <v>50</v>
      </c>
      <c r="D1186" s="27" t="n">
        <v>18</v>
      </c>
      <c r="E1186" s="27" t="s">
        <v>700</v>
      </c>
      <c r="F1186" s="27" t="s">
        <v>430</v>
      </c>
      <c r="G1186" s="27"/>
      <c r="H1186" s="27" t="s">
        <v>585</v>
      </c>
      <c r="I1186" s="27" t="n">
        <v>1</v>
      </c>
      <c r="J1186" s="28" t="n">
        <v>0</v>
      </c>
      <c r="K1186" s="27" t="s">
        <v>546</v>
      </c>
      <c r="L1186" s="27" t="s">
        <v>579</v>
      </c>
      <c r="M1186" s="28" t="n">
        <f aca="false">IF(AND(L1186="Oui",K1186="Principal"),I1186*J1186,0)</f>
        <v>0</v>
      </c>
      <c r="N1186" s="27" t="s">
        <v>128</v>
      </c>
      <c r="O1186" s="27" t="s">
        <v>586</v>
      </c>
      <c r="P1186" s="27"/>
      <c r="Q1186" s="27"/>
      <c r="R1186" s="28"/>
      <c r="S1186" s="28" t="n">
        <f aca="false">IF(AND(L1186="Oui",K1186="Principal",R1186&lt;&gt;""),I1186*R1186,0)</f>
        <v>0</v>
      </c>
      <c r="T1186" s="28" t="n">
        <f aca="false">IF(R1186&lt;&gt;"",M1186-S1186,0)</f>
        <v>0</v>
      </c>
      <c r="U1186" s="28" t="n">
        <f aca="false">IF(R1186="",M1186,0)</f>
        <v>0</v>
      </c>
    </row>
    <row r="1187" customFormat="false" ht="15" hidden="false" customHeight="false" outlineLevel="0" collapsed="false">
      <c r="A1187" s="27" t="s">
        <v>65</v>
      </c>
      <c r="B1187" s="27" t="s">
        <v>67</v>
      </c>
      <c r="C1187" s="27" t="s">
        <v>50</v>
      </c>
      <c r="D1187" s="27" t="n">
        <v>19</v>
      </c>
      <c r="E1187" s="27" t="s">
        <v>700</v>
      </c>
      <c r="F1187" s="27" t="s">
        <v>382</v>
      </c>
      <c r="G1187" s="27"/>
      <c r="H1187" s="27" t="s">
        <v>585</v>
      </c>
      <c r="I1187" s="27" t="n">
        <v>1</v>
      </c>
      <c r="J1187" s="28" t="n">
        <v>0</v>
      </c>
      <c r="K1187" s="27" t="s">
        <v>546</v>
      </c>
      <c r="L1187" s="27" t="s">
        <v>579</v>
      </c>
      <c r="M1187" s="28" t="n">
        <f aca="false">IF(AND(L1187="Oui",K1187="Principal"),I1187*J1187,0)</f>
        <v>0</v>
      </c>
      <c r="N1187" s="27" t="s">
        <v>128</v>
      </c>
      <c r="O1187" s="27" t="s">
        <v>586</v>
      </c>
      <c r="P1187" s="27"/>
      <c r="Q1187" s="27"/>
      <c r="R1187" s="28"/>
      <c r="S1187" s="28" t="n">
        <f aca="false">IF(AND(L1187="Oui",K1187="Principal",R1187&lt;&gt;""),I1187*R1187,0)</f>
        <v>0</v>
      </c>
      <c r="T1187" s="28" t="n">
        <f aca="false">IF(R1187&lt;&gt;"",M1187-S1187,0)</f>
        <v>0</v>
      </c>
      <c r="U1187" s="28" t="n">
        <f aca="false">IF(R1187="",M1187,0)</f>
        <v>0</v>
      </c>
    </row>
    <row r="1188" customFormat="false" ht="15" hidden="false" customHeight="false" outlineLevel="0" collapsed="false">
      <c r="A1188" s="25" t="s">
        <v>65</v>
      </c>
      <c r="B1188" s="25" t="s">
        <v>67</v>
      </c>
      <c r="C1188" s="25" t="s">
        <v>50</v>
      </c>
      <c r="D1188" s="25" t="n">
        <v>20</v>
      </c>
      <c r="E1188" s="25" t="s">
        <v>571</v>
      </c>
      <c r="F1188" s="25" t="s">
        <v>431</v>
      </c>
      <c r="G1188" s="25" t="n">
        <v>1631</v>
      </c>
      <c r="H1188" s="25" t="s">
        <v>755</v>
      </c>
      <c r="I1188" s="25" t="n">
        <v>1</v>
      </c>
      <c r="J1188" s="26" t="n">
        <v>2700</v>
      </c>
      <c r="K1188" s="25" t="s">
        <v>546</v>
      </c>
      <c r="L1188" s="25" t="s">
        <v>547</v>
      </c>
      <c r="M1188" s="26" t="n">
        <f aca="false">IF(AND(L1188="Oui",K1188="Principal"),I1188*J1188,0)</f>
        <v>2700</v>
      </c>
      <c r="N1188" s="25" t="s">
        <v>548</v>
      </c>
      <c r="O1188" s="25"/>
      <c r="P1188" s="25" t="s">
        <v>556</v>
      </c>
      <c r="Q1188" s="25" t="s">
        <v>557</v>
      </c>
      <c r="R1188" s="26" t="n">
        <v>2000</v>
      </c>
      <c r="S1188" s="26" t="n">
        <f aca="false">IF(AND(L1188="Oui",K1188="Principal",R1188&lt;&gt;""),I1188*R1188,0)</f>
        <v>2000</v>
      </c>
      <c r="T1188" s="26" t="n">
        <f aca="false">IF(R1188&lt;&gt;"",M1188-S1188,0)</f>
        <v>700</v>
      </c>
      <c r="U1188" s="26" t="n">
        <f aca="false">IF(R1188="",M1188,0)</f>
        <v>0</v>
      </c>
    </row>
    <row r="1189" customFormat="false" ht="15" hidden="false" customHeight="false" outlineLevel="0" collapsed="false">
      <c r="A1189" s="25" t="s">
        <v>65</v>
      </c>
      <c r="B1189" s="25" t="s">
        <v>67</v>
      </c>
      <c r="C1189" s="25" t="s">
        <v>50</v>
      </c>
      <c r="D1189" s="25" t="n">
        <v>21</v>
      </c>
      <c r="E1189" s="25" t="s">
        <v>571</v>
      </c>
      <c r="F1189" s="25" t="s">
        <v>433</v>
      </c>
      <c r="G1189" s="25" t="n">
        <v>1683</v>
      </c>
      <c r="H1189" s="25" t="s">
        <v>756</v>
      </c>
      <c r="I1189" s="25" t="n">
        <v>1</v>
      </c>
      <c r="J1189" s="26" t="n">
        <v>1000</v>
      </c>
      <c r="K1189" s="25" t="s">
        <v>546</v>
      </c>
      <c r="L1189" s="25" t="s">
        <v>547</v>
      </c>
      <c r="M1189" s="26" t="n">
        <f aca="false">IF(AND(L1189="Oui",K1189="Principal"),I1189*J1189,0)</f>
        <v>1000</v>
      </c>
      <c r="N1189" s="25" t="s">
        <v>548</v>
      </c>
      <c r="O1189" s="25"/>
      <c r="P1189" s="25" t="s">
        <v>556</v>
      </c>
      <c r="Q1189" s="25" t="s">
        <v>557</v>
      </c>
      <c r="R1189" s="26"/>
      <c r="S1189" s="26" t="n">
        <f aca="false">IF(AND(L1189="Oui",K1189="Principal",R1189&lt;&gt;""),I1189*R1189,0)</f>
        <v>0</v>
      </c>
      <c r="T1189" s="26" t="n">
        <f aca="false">IF(R1189&lt;&gt;"",M1189-S1189,0)</f>
        <v>0</v>
      </c>
      <c r="U1189" s="26" t="n">
        <f aca="false">IF(R1189="",M1189,0)</f>
        <v>1000</v>
      </c>
    </row>
    <row r="1190" customFormat="false" ht="15" hidden="false" customHeight="false" outlineLevel="0" collapsed="false">
      <c r="A1190" s="33" t="s">
        <v>65</v>
      </c>
      <c r="B1190" s="33" t="s">
        <v>67</v>
      </c>
      <c r="C1190" s="33" t="s">
        <v>50</v>
      </c>
      <c r="D1190" s="33" t="n">
        <v>22</v>
      </c>
      <c r="E1190" s="33" t="s">
        <v>571</v>
      </c>
      <c r="F1190" s="33" t="s">
        <v>435</v>
      </c>
      <c r="G1190" s="33" t="n">
        <v>1269</v>
      </c>
      <c r="H1190" s="33" t="s">
        <v>757</v>
      </c>
      <c r="I1190" s="33" t="n">
        <v>1</v>
      </c>
      <c r="J1190" s="34" t="n">
        <v>1150</v>
      </c>
      <c r="K1190" s="33" t="s">
        <v>546</v>
      </c>
      <c r="L1190" s="33" t="s">
        <v>547</v>
      </c>
      <c r="M1190" s="34" t="n">
        <f aca="false">IF(AND(L1190="Oui",K1190="Principal"),I1190*J1190,0)</f>
        <v>1150</v>
      </c>
      <c r="N1190" s="33" t="s">
        <v>182</v>
      </c>
      <c r="O1190" s="33" t="s">
        <v>758</v>
      </c>
      <c r="P1190" s="33" t="s">
        <v>550</v>
      </c>
      <c r="Q1190" s="33" t="s">
        <v>557</v>
      </c>
      <c r="R1190" s="34" t="n">
        <v>850</v>
      </c>
      <c r="S1190" s="34" t="n">
        <f aca="false">IF(AND(L1190="Oui",K1190="Principal",R1190&lt;&gt;""),I1190*R1190,0)</f>
        <v>850</v>
      </c>
      <c r="T1190" s="34" t="n">
        <f aca="false">IF(R1190&lt;&gt;"",M1190-S1190,0)</f>
        <v>300</v>
      </c>
      <c r="U1190" s="34" t="n">
        <f aca="false">IF(R1190="",M1190,0)</f>
        <v>0</v>
      </c>
    </row>
    <row r="1191" customFormat="false" ht="15" hidden="false" customHeight="false" outlineLevel="0" collapsed="false">
      <c r="A1191" s="25" t="s">
        <v>65</v>
      </c>
      <c r="B1191" s="25" t="s">
        <v>67</v>
      </c>
      <c r="C1191" s="25" t="s">
        <v>50</v>
      </c>
      <c r="D1191" s="25" t="n">
        <v>23</v>
      </c>
      <c r="E1191" s="25" t="s">
        <v>573</v>
      </c>
      <c r="F1191" s="25" t="s">
        <v>176</v>
      </c>
      <c r="G1191" s="25" t="n">
        <v>19</v>
      </c>
      <c r="H1191" s="25" t="s">
        <v>615</v>
      </c>
      <c r="I1191" s="25" t="n">
        <v>1</v>
      </c>
      <c r="J1191" s="26" t="n">
        <v>2500</v>
      </c>
      <c r="K1191" s="25" t="s">
        <v>546</v>
      </c>
      <c r="L1191" s="25" t="s">
        <v>547</v>
      </c>
      <c r="M1191" s="26" t="n">
        <f aca="false">IF(AND(L1191="Oui",K1191="Principal"),I1191*J1191,0)</f>
        <v>2500</v>
      </c>
      <c r="N1191" s="25" t="s">
        <v>548</v>
      </c>
      <c r="O1191" s="25"/>
      <c r="P1191" s="25" t="s">
        <v>559</v>
      </c>
      <c r="Q1191" s="25" t="s">
        <v>551</v>
      </c>
      <c r="R1191" s="26"/>
      <c r="S1191" s="26" t="n">
        <f aca="false">IF(AND(L1191="Oui",K1191="Principal",R1191&lt;&gt;""),I1191*R1191,0)</f>
        <v>0</v>
      </c>
      <c r="T1191" s="26" t="n">
        <f aca="false">IF(R1191&lt;&gt;"",M1191-S1191,0)</f>
        <v>0</v>
      </c>
      <c r="U1191" s="26" t="n">
        <f aca="false">IF(R1191="",M1191,0)</f>
        <v>2500</v>
      </c>
    </row>
    <row r="1192" customFormat="false" ht="15" hidden="false" customHeight="false" outlineLevel="0" collapsed="false">
      <c r="A1192" s="25" t="s">
        <v>65</v>
      </c>
      <c r="B1192" s="25" t="s">
        <v>67</v>
      </c>
      <c r="C1192" s="25" t="s">
        <v>50</v>
      </c>
      <c r="D1192" s="25" t="n">
        <v>24</v>
      </c>
      <c r="E1192" s="25" t="s">
        <v>573</v>
      </c>
      <c r="F1192" s="25" t="s">
        <v>117</v>
      </c>
      <c r="G1192" s="25" t="n">
        <v>1288</v>
      </c>
      <c r="H1192" s="25" t="s">
        <v>624</v>
      </c>
      <c r="I1192" s="25" t="n">
        <v>1</v>
      </c>
      <c r="J1192" s="26" t="n">
        <v>2500</v>
      </c>
      <c r="K1192" s="25" t="s">
        <v>546</v>
      </c>
      <c r="L1192" s="25" t="s">
        <v>547</v>
      </c>
      <c r="M1192" s="26" t="n">
        <f aca="false">IF(AND(L1192="Oui",K1192="Principal"),I1192*J1192,0)</f>
        <v>2500</v>
      </c>
      <c r="N1192" s="25" t="s">
        <v>548</v>
      </c>
      <c r="O1192" s="25"/>
      <c r="P1192" s="25" t="s">
        <v>550</v>
      </c>
      <c r="Q1192" s="25" t="s">
        <v>557</v>
      </c>
      <c r="R1192" s="26" t="n">
        <v>2000</v>
      </c>
      <c r="S1192" s="26" t="n">
        <f aca="false">IF(AND(L1192="Oui",K1192="Principal",R1192&lt;&gt;""),I1192*R1192,0)</f>
        <v>2000</v>
      </c>
      <c r="T1192" s="26" t="n">
        <f aca="false">IF(R1192&lt;&gt;"",M1192-S1192,0)</f>
        <v>500</v>
      </c>
      <c r="U1192" s="26" t="n">
        <f aca="false">IF(R1192="",M1192,0)</f>
        <v>0</v>
      </c>
    </row>
    <row r="1193" customFormat="false" ht="15" hidden="false" customHeight="false" outlineLevel="0" collapsed="false">
      <c r="A1193" s="25" t="s">
        <v>65</v>
      </c>
      <c r="B1193" s="25" t="s">
        <v>67</v>
      </c>
      <c r="C1193" s="25" t="s">
        <v>50</v>
      </c>
      <c r="D1193" s="25" t="n">
        <v>25</v>
      </c>
      <c r="E1193" s="25" t="s">
        <v>573</v>
      </c>
      <c r="F1193" s="25" t="s">
        <v>321</v>
      </c>
      <c r="G1193" s="25" t="n">
        <v>1192</v>
      </c>
      <c r="H1193" s="25" t="s">
        <v>694</v>
      </c>
      <c r="I1193" s="25" t="n">
        <v>1</v>
      </c>
      <c r="J1193" s="26" t="n">
        <v>7000</v>
      </c>
      <c r="K1193" s="25" t="s">
        <v>546</v>
      </c>
      <c r="L1193" s="25" t="s">
        <v>547</v>
      </c>
      <c r="M1193" s="26" t="n">
        <f aca="false">IF(AND(L1193="Oui",K1193="Principal"),I1193*J1193,0)</f>
        <v>7000</v>
      </c>
      <c r="N1193" s="25" t="s">
        <v>548</v>
      </c>
      <c r="O1193" s="25"/>
      <c r="P1193" s="25" t="s">
        <v>550</v>
      </c>
      <c r="Q1193" s="25" t="s">
        <v>557</v>
      </c>
      <c r="R1193" s="26" t="n">
        <v>5500</v>
      </c>
      <c r="S1193" s="26" t="n">
        <f aca="false">IF(AND(L1193="Oui",K1193="Principal",R1193&lt;&gt;""),I1193*R1193,0)</f>
        <v>5500</v>
      </c>
      <c r="T1193" s="26" t="n">
        <f aca="false">IF(R1193&lt;&gt;"",M1193-S1193,0)</f>
        <v>1500</v>
      </c>
      <c r="U1193" s="26" t="n">
        <f aca="false">IF(R1193="",M1193,0)</f>
        <v>0</v>
      </c>
    </row>
    <row r="1194" customFormat="false" ht="15" hidden="false" customHeight="false" outlineLevel="0" collapsed="false">
      <c r="A1194" s="25" t="s">
        <v>65</v>
      </c>
      <c r="B1194" s="25" t="s">
        <v>67</v>
      </c>
      <c r="C1194" s="25" t="s">
        <v>50</v>
      </c>
      <c r="D1194" s="25" t="n">
        <v>26</v>
      </c>
      <c r="E1194" s="25" t="s">
        <v>686</v>
      </c>
      <c r="F1194" s="25" t="s">
        <v>444</v>
      </c>
      <c r="G1194" s="25" t="n">
        <v>1448</v>
      </c>
      <c r="H1194" s="25" t="s">
        <v>765</v>
      </c>
      <c r="I1194" s="25" t="n">
        <v>1</v>
      </c>
      <c r="J1194" s="26" t="n">
        <v>4720</v>
      </c>
      <c r="K1194" s="25" t="s">
        <v>546</v>
      </c>
      <c r="L1194" s="25" t="s">
        <v>547</v>
      </c>
      <c r="M1194" s="26" t="n">
        <f aca="false">IF(AND(L1194="Oui",K1194="Principal"),I1194*J1194,0)</f>
        <v>4720</v>
      </c>
      <c r="N1194" s="25" t="s">
        <v>548</v>
      </c>
      <c r="O1194" s="25"/>
      <c r="P1194" s="25" t="s">
        <v>550</v>
      </c>
      <c r="Q1194" s="25" t="s">
        <v>557</v>
      </c>
      <c r="R1194" s="26" t="n">
        <v>3720</v>
      </c>
      <c r="S1194" s="26" t="n">
        <f aca="false">IF(AND(L1194="Oui",K1194="Principal",R1194&lt;&gt;""),I1194*R1194,0)</f>
        <v>3720</v>
      </c>
      <c r="T1194" s="26" t="n">
        <f aca="false">IF(R1194&lt;&gt;"",M1194-S1194,0)</f>
        <v>1000</v>
      </c>
      <c r="U1194" s="26" t="n">
        <f aca="false">IF(R1194="",M1194,0)</f>
        <v>0</v>
      </c>
    </row>
    <row r="1195" customFormat="false" ht="15" hidden="false" customHeight="false" outlineLevel="0" collapsed="false">
      <c r="A1195" s="27" t="s">
        <v>65</v>
      </c>
      <c r="B1195" s="27" t="s">
        <v>67</v>
      </c>
      <c r="C1195" s="27" t="s">
        <v>50</v>
      </c>
      <c r="D1195" s="27" t="n">
        <v>27</v>
      </c>
      <c r="E1195" s="27" t="s">
        <v>689</v>
      </c>
      <c r="F1195" s="27" t="s">
        <v>446</v>
      </c>
      <c r="G1195" s="27"/>
      <c r="H1195" s="27" t="s">
        <v>585</v>
      </c>
      <c r="I1195" s="27" t="n">
        <v>1</v>
      </c>
      <c r="J1195" s="28" t="n">
        <v>0</v>
      </c>
      <c r="K1195" s="27" t="s">
        <v>546</v>
      </c>
      <c r="L1195" s="27" t="s">
        <v>579</v>
      </c>
      <c r="M1195" s="28" t="n">
        <f aca="false">IF(AND(L1195="Oui",K1195="Principal"),I1195*J1195,0)</f>
        <v>0</v>
      </c>
      <c r="N1195" s="27" t="s">
        <v>128</v>
      </c>
      <c r="O1195" s="27" t="s">
        <v>586</v>
      </c>
      <c r="P1195" s="27"/>
      <c r="Q1195" s="27"/>
      <c r="R1195" s="28"/>
      <c r="S1195" s="28" t="n">
        <f aca="false">IF(AND(L1195="Oui",K1195="Principal",R1195&lt;&gt;""),I1195*R1195,0)</f>
        <v>0</v>
      </c>
      <c r="T1195" s="28" t="n">
        <f aca="false">IF(R1195&lt;&gt;"",M1195-S1195,0)</f>
        <v>0</v>
      </c>
      <c r="U1195" s="28" t="n">
        <f aca="false">IF(R1195="",M1195,0)</f>
        <v>0</v>
      </c>
    </row>
    <row r="1196" customFormat="false" ht="15" hidden="false" customHeight="false" outlineLevel="0" collapsed="false">
      <c r="A1196" s="27" t="s">
        <v>65</v>
      </c>
      <c r="B1196" s="27" t="s">
        <v>67</v>
      </c>
      <c r="C1196" s="27" t="s">
        <v>50</v>
      </c>
      <c r="D1196" s="27" t="n">
        <v>28</v>
      </c>
      <c r="E1196" s="27" t="s">
        <v>689</v>
      </c>
      <c r="F1196" s="27" t="s">
        <v>427</v>
      </c>
      <c r="G1196" s="27"/>
      <c r="H1196" s="27" t="s">
        <v>585</v>
      </c>
      <c r="I1196" s="27" t="n">
        <v>1</v>
      </c>
      <c r="J1196" s="28" t="n">
        <v>0</v>
      </c>
      <c r="K1196" s="27" t="s">
        <v>546</v>
      </c>
      <c r="L1196" s="27" t="s">
        <v>579</v>
      </c>
      <c r="M1196" s="28" t="n">
        <f aca="false">IF(AND(L1196="Oui",K1196="Principal"),I1196*J1196,0)</f>
        <v>0</v>
      </c>
      <c r="N1196" s="27" t="s">
        <v>128</v>
      </c>
      <c r="O1196" s="27" t="s">
        <v>586</v>
      </c>
      <c r="P1196" s="27"/>
      <c r="Q1196" s="27"/>
      <c r="R1196" s="28"/>
      <c r="S1196" s="28" t="n">
        <f aca="false">IF(AND(L1196="Oui",K1196="Principal",R1196&lt;&gt;""),I1196*R1196,0)</f>
        <v>0</v>
      </c>
      <c r="T1196" s="28" t="n">
        <f aca="false">IF(R1196&lt;&gt;"",M1196-S1196,0)</f>
        <v>0</v>
      </c>
      <c r="U1196" s="28" t="n">
        <f aca="false">IF(R1196="",M1196,0)</f>
        <v>0</v>
      </c>
    </row>
    <row r="1197" customFormat="false" ht="15" hidden="false" customHeight="false" outlineLevel="0" collapsed="false">
      <c r="A1197" s="27" t="s">
        <v>65</v>
      </c>
      <c r="B1197" s="27" t="s">
        <v>67</v>
      </c>
      <c r="C1197" s="27" t="s">
        <v>50</v>
      </c>
      <c r="D1197" s="27" t="n">
        <v>29</v>
      </c>
      <c r="E1197" s="27" t="s">
        <v>686</v>
      </c>
      <c r="F1197" s="27" t="s">
        <v>447</v>
      </c>
      <c r="G1197" s="27"/>
      <c r="H1197" s="27" t="s">
        <v>585</v>
      </c>
      <c r="I1197" s="27" t="n">
        <v>1</v>
      </c>
      <c r="J1197" s="28" t="n">
        <v>0</v>
      </c>
      <c r="K1197" s="27" t="s">
        <v>546</v>
      </c>
      <c r="L1197" s="27" t="s">
        <v>579</v>
      </c>
      <c r="M1197" s="28" t="n">
        <f aca="false">IF(AND(L1197="Oui",K1197="Principal"),I1197*J1197,0)</f>
        <v>0</v>
      </c>
      <c r="N1197" s="27" t="s">
        <v>128</v>
      </c>
      <c r="O1197" s="27" t="s">
        <v>586</v>
      </c>
      <c r="P1197" s="27"/>
      <c r="Q1197" s="27"/>
      <c r="R1197" s="28"/>
      <c r="S1197" s="28" t="n">
        <f aca="false">IF(AND(L1197="Oui",K1197="Principal",R1197&lt;&gt;""),I1197*R1197,0)</f>
        <v>0</v>
      </c>
      <c r="T1197" s="28" t="n">
        <f aca="false">IF(R1197&lt;&gt;"",M1197-S1197,0)</f>
        <v>0</v>
      </c>
      <c r="U1197" s="28" t="n">
        <f aca="false">IF(R1197="",M1197,0)</f>
        <v>0</v>
      </c>
    </row>
    <row r="1198" customFormat="false" ht="15" hidden="false" customHeight="false" outlineLevel="0" collapsed="false">
      <c r="A1198" s="25" t="s">
        <v>65</v>
      </c>
      <c r="B1198" s="25" t="s">
        <v>67</v>
      </c>
      <c r="C1198" s="25" t="s">
        <v>50</v>
      </c>
      <c r="D1198" s="25" t="n">
        <v>30</v>
      </c>
      <c r="E1198" s="25" t="s">
        <v>686</v>
      </c>
      <c r="F1198" s="25" t="s">
        <v>448</v>
      </c>
      <c r="G1198" s="25" t="n">
        <v>1449</v>
      </c>
      <c r="H1198" s="25" t="s">
        <v>766</v>
      </c>
      <c r="I1198" s="25" t="n">
        <v>1</v>
      </c>
      <c r="J1198" s="26" t="n">
        <v>4720</v>
      </c>
      <c r="K1198" s="25" t="s">
        <v>546</v>
      </c>
      <c r="L1198" s="25" t="s">
        <v>547</v>
      </c>
      <c r="M1198" s="26" t="n">
        <f aca="false">IF(AND(L1198="Oui",K1198="Principal"),I1198*J1198,0)</f>
        <v>4720</v>
      </c>
      <c r="N1198" s="25" t="s">
        <v>548</v>
      </c>
      <c r="O1198" s="25"/>
      <c r="P1198" s="25" t="s">
        <v>550</v>
      </c>
      <c r="Q1198" s="25" t="s">
        <v>557</v>
      </c>
      <c r="R1198" s="26" t="n">
        <v>3720</v>
      </c>
      <c r="S1198" s="26" t="n">
        <f aca="false">IF(AND(L1198="Oui",K1198="Principal",R1198&lt;&gt;""),I1198*R1198,0)</f>
        <v>3720</v>
      </c>
      <c r="T1198" s="26" t="n">
        <f aca="false">IF(R1198&lt;&gt;"",M1198-S1198,0)</f>
        <v>1000</v>
      </c>
      <c r="U1198" s="26" t="n">
        <f aca="false">IF(R1198="",M1198,0)</f>
        <v>0</v>
      </c>
    </row>
    <row r="1199" customFormat="false" ht="15" hidden="false" customHeight="false" outlineLevel="0" collapsed="false">
      <c r="A1199" s="33" t="s">
        <v>65</v>
      </c>
      <c r="B1199" s="33" t="s">
        <v>67</v>
      </c>
      <c r="C1199" s="33" t="s">
        <v>50</v>
      </c>
      <c r="D1199" s="33" t="n">
        <v>31</v>
      </c>
      <c r="E1199" s="33" t="s">
        <v>588</v>
      </c>
      <c r="F1199" s="33" t="s">
        <v>455</v>
      </c>
      <c r="G1199" s="33" t="n">
        <v>43</v>
      </c>
      <c r="H1199" s="33" t="s">
        <v>769</v>
      </c>
      <c r="I1199" s="33" t="n">
        <v>1</v>
      </c>
      <c r="J1199" s="34" t="n">
        <v>10000</v>
      </c>
      <c r="K1199" s="33" t="s">
        <v>546</v>
      </c>
      <c r="L1199" s="33" t="s">
        <v>547</v>
      </c>
      <c r="M1199" s="34" t="n">
        <f aca="false">IF(AND(L1199="Oui",K1199="Principal"),I1199*J1199,0)</f>
        <v>10000</v>
      </c>
      <c r="N1199" s="33" t="s">
        <v>182</v>
      </c>
      <c r="O1199" s="33" t="s">
        <v>770</v>
      </c>
      <c r="P1199" s="33" t="s">
        <v>559</v>
      </c>
      <c r="Q1199" s="33" t="s">
        <v>557</v>
      </c>
      <c r="R1199" s="34" t="n">
        <v>8000</v>
      </c>
      <c r="S1199" s="34" t="n">
        <f aca="false">IF(AND(L1199="Oui",K1199="Principal",R1199&lt;&gt;""),I1199*R1199,0)</f>
        <v>8000</v>
      </c>
      <c r="T1199" s="34" t="n">
        <f aca="false">IF(R1199&lt;&gt;"",M1199-S1199,0)</f>
        <v>2000</v>
      </c>
      <c r="U1199" s="34" t="n">
        <f aca="false">IF(R1199="",M1199,0)</f>
        <v>0</v>
      </c>
    </row>
    <row r="1200" customFormat="false" ht="15" hidden="false" customHeight="false" outlineLevel="0" collapsed="false">
      <c r="A1200" s="27" t="s">
        <v>65</v>
      </c>
      <c r="B1200" s="27" t="s">
        <v>67</v>
      </c>
      <c r="C1200" s="27" t="s">
        <v>50</v>
      </c>
      <c r="D1200" s="27" t="n">
        <v>32</v>
      </c>
      <c r="E1200" s="27" t="s">
        <v>588</v>
      </c>
      <c r="F1200" s="27" t="s">
        <v>457</v>
      </c>
      <c r="G1200" s="27"/>
      <c r="H1200" s="27" t="s">
        <v>585</v>
      </c>
      <c r="I1200" s="27" t="n">
        <v>1</v>
      </c>
      <c r="J1200" s="28" t="n">
        <v>0</v>
      </c>
      <c r="K1200" s="27" t="s">
        <v>546</v>
      </c>
      <c r="L1200" s="27" t="s">
        <v>579</v>
      </c>
      <c r="M1200" s="28" t="n">
        <f aca="false">IF(AND(L1200="Oui",K1200="Principal"),I1200*J1200,0)</f>
        <v>0</v>
      </c>
      <c r="N1200" s="27" t="s">
        <v>128</v>
      </c>
      <c r="O1200" s="27" t="s">
        <v>586</v>
      </c>
      <c r="P1200" s="27"/>
      <c r="Q1200" s="27"/>
      <c r="R1200" s="28"/>
      <c r="S1200" s="28" t="n">
        <f aca="false">IF(AND(L1200="Oui",K1200="Principal",R1200&lt;&gt;""),I1200*R1200,0)</f>
        <v>0</v>
      </c>
      <c r="T1200" s="28" t="n">
        <f aca="false">IF(R1200&lt;&gt;"",M1200-S1200,0)</f>
        <v>0</v>
      </c>
      <c r="U1200" s="28" t="n">
        <f aca="false">IF(R1200="",M1200,0)</f>
        <v>0</v>
      </c>
    </row>
    <row r="1201" customFormat="false" ht="15" hidden="false" customHeight="false" outlineLevel="0" collapsed="false">
      <c r="A1201" s="27" t="s">
        <v>65</v>
      </c>
      <c r="B1201" s="27" t="s">
        <v>67</v>
      </c>
      <c r="C1201" s="27" t="s">
        <v>50</v>
      </c>
      <c r="D1201" s="27" t="n">
        <v>33</v>
      </c>
      <c r="E1201" s="27" t="s">
        <v>588</v>
      </c>
      <c r="F1201" s="27" t="s">
        <v>458</v>
      </c>
      <c r="G1201" s="27"/>
      <c r="H1201" s="27" t="s">
        <v>585</v>
      </c>
      <c r="I1201" s="27" t="n">
        <v>1</v>
      </c>
      <c r="J1201" s="28" t="n">
        <v>0</v>
      </c>
      <c r="K1201" s="27" t="s">
        <v>546</v>
      </c>
      <c r="L1201" s="27" t="s">
        <v>579</v>
      </c>
      <c r="M1201" s="28" t="n">
        <f aca="false">IF(AND(L1201="Oui",K1201="Principal"),I1201*J1201,0)</f>
        <v>0</v>
      </c>
      <c r="N1201" s="27" t="s">
        <v>128</v>
      </c>
      <c r="O1201" s="27" t="s">
        <v>771</v>
      </c>
      <c r="P1201" s="27"/>
      <c r="Q1201" s="27"/>
      <c r="R1201" s="28"/>
      <c r="S1201" s="28" t="n">
        <f aca="false">IF(AND(L1201="Oui",K1201="Principal",R1201&lt;&gt;""),I1201*R1201,0)</f>
        <v>0</v>
      </c>
      <c r="T1201" s="28" t="n">
        <f aca="false">IF(R1201&lt;&gt;"",M1201-S1201,0)</f>
        <v>0</v>
      </c>
      <c r="U1201" s="28" t="n">
        <f aca="false">IF(R1201="",M1201,0)</f>
        <v>0</v>
      </c>
    </row>
    <row r="1202" customFormat="false" ht="15" hidden="false" customHeight="false" outlineLevel="0" collapsed="false">
      <c r="A1202" s="27" t="s">
        <v>65</v>
      </c>
      <c r="B1202" s="27" t="s">
        <v>67</v>
      </c>
      <c r="C1202" s="27" t="s">
        <v>50</v>
      </c>
      <c r="D1202" s="27" t="n">
        <v>34</v>
      </c>
      <c r="E1202" s="27" t="s">
        <v>686</v>
      </c>
      <c r="F1202" s="27" t="s">
        <v>450</v>
      </c>
      <c r="G1202" s="27"/>
      <c r="H1202" s="27" t="s">
        <v>585</v>
      </c>
      <c r="I1202" s="27" t="n">
        <v>1</v>
      </c>
      <c r="J1202" s="28" t="n">
        <v>0</v>
      </c>
      <c r="K1202" s="27" t="s">
        <v>546</v>
      </c>
      <c r="L1202" s="27" t="s">
        <v>579</v>
      </c>
      <c r="M1202" s="28" t="n">
        <f aca="false">IF(AND(L1202="Oui",K1202="Principal"),I1202*J1202,0)</f>
        <v>0</v>
      </c>
      <c r="N1202" s="27" t="s">
        <v>128</v>
      </c>
      <c r="O1202" s="27" t="s">
        <v>586</v>
      </c>
      <c r="P1202" s="27"/>
      <c r="Q1202" s="27"/>
      <c r="R1202" s="28"/>
      <c r="S1202" s="28" t="n">
        <f aca="false">IF(AND(L1202="Oui",K1202="Principal",R1202&lt;&gt;""),I1202*R1202,0)</f>
        <v>0</v>
      </c>
      <c r="T1202" s="28" t="n">
        <f aca="false">IF(R1202&lt;&gt;"",M1202-S1202,0)</f>
        <v>0</v>
      </c>
      <c r="U1202" s="28" t="n">
        <f aca="false">IF(R1202="",M1202,0)</f>
        <v>0</v>
      </c>
    </row>
    <row r="1203" customFormat="false" ht="15" hidden="false" customHeight="false" outlineLevel="0" collapsed="false">
      <c r="A1203" s="27" t="s">
        <v>65</v>
      </c>
      <c r="B1203" s="27" t="s">
        <v>67</v>
      </c>
      <c r="C1203" s="27" t="s">
        <v>50</v>
      </c>
      <c r="D1203" s="27" t="n">
        <v>35</v>
      </c>
      <c r="E1203" s="27" t="s">
        <v>588</v>
      </c>
      <c r="F1203" s="27" t="s">
        <v>459</v>
      </c>
      <c r="G1203" s="27"/>
      <c r="H1203" s="27" t="s">
        <v>585</v>
      </c>
      <c r="I1203" s="27" t="n">
        <v>1</v>
      </c>
      <c r="J1203" s="28" t="n">
        <v>0</v>
      </c>
      <c r="K1203" s="27" t="s">
        <v>546</v>
      </c>
      <c r="L1203" s="27" t="s">
        <v>579</v>
      </c>
      <c r="M1203" s="28" t="n">
        <f aca="false">IF(AND(L1203="Oui",K1203="Principal"),I1203*J1203,0)</f>
        <v>0</v>
      </c>
      <c r="N1203" s="27" t="s">
        <v>128</v>
      </c>
      <c r="O1203" s="27" t="s">
        <v>586</v>
      </c>
      <c r="P1203" s="27"/>
      <c r="Q1203" s="27"/>
      <c r="R1203" s="28"/>
      <c r="S1203" s="28" t="n">
        <f aca="false">IF(AND(L1203="Oui",K1203="Principal",R1203&lt;&gt;""),I1203*R1203,0)</f>
        <v>0</v>
      </c>
      <c r="T1203" s="28" t="n">
        <f aca="false">IF(R1203&lt;&gt;"",M1203-S1203,0)</f>
        <v>0</v>
      </c>
      <c r="U1203" s="28" t="n">
        <f aca="false">IF(R1203="",M1203,0)</f>
        <v>0</v>
      </c>
    </row>
    <row r="1204" customFormat="false" ht="15" hidden="false" customHeight="false" outlineLevel="0" collapsed="false">
      <c r="A1204" s="25" t="s">
        <v>65</v>
      </c>
      <c r="B1204" s="25" t="s">
        <v>67</v>
      </c>
      <c r="C1204" s="25" t="s">
        <v>50</v>
      </c>
      <c r="D1204" s="25" t="n">
        <v>36</v>
      </c>
      <c r="E1204" s="25" t="s">
        <v>686</v>
      </c>
      <c r="F1204" s="25" t="s">
        <v>451</v>
      </c>
      <c r="G1204" s="25" t="n">
        <v>1450</v>
      </c>
      <c r="H1204" s="25" t="s">
        <v>767</v>
      </c>
      <c r="I1204" s="25" t="n">
        <v>1</v>
      </c>
      <c r="J1204" s="26" t="n">
        <v>4720</v>
      </c>
      <c r="K1204" s="25" t="s">
        <v>546</v>
      </c>
      <c r="L1204" s="25" t="s">
        <v>547</v>
      </c>
      <c r="M1204" s="26" t="n">
        <f aca="false">IF(AND(L1204="Oui",K1204="Principal"),I1204*J1204,0)</f>
        <v>4720</v>
      </c>
      <c r="N1204" s="25" t="s">
        <v>548</v>
      </c>
      <c r="O1204" s="25"/>
      <c r="P1204" s="25" t="s">
        <v>550</v>
      </c>
      <c r="Q1204" s="25" t="s">
        <v>557</v>
      </c>
      <c r="R1204" s="26" t="n">
        <v>3720</v>
      </c>
      <c r="S1204" s="26" t="n">
        <f aca="false">IF(AND(L1204="Oui",K1204="Principal",R1204&lt;&gt;""),I1204*R1204,0)</f>
        <v>3720</v>
      </c>
      <c r="T1204" s="26" t="n">
        <f aca="false">IF(R1204&lt;&gt;"",M1204-S1204,0)</f>
        <v>1000</v>
      </c>
      <c r="U1204" s="26" t="n">
        <f aca="false">IF(R1204="",M1204,0)</f>
        <v>0</v>
      </c>
    </row>
    <row r="1205" customFormat="false" ht="15" hidden="false" customHeight="false" outlineLevel="0" collapsed="false">
      <c r="A1205" s="25" t="s">
        <v>65</v>
      </c>
      <c r="B1205" s="25" t="s">
        <v>67</v>
      </c>
      <c r="C1205" s="25" t="s">
        <v>50</v>
      </c>
      <c r="D1205" s="25" t="n">
        <v>37</v>
      </c>
      <c r="E1205" s="25" t="s">
        <v>588</v>
      </c>
      <c r="F1205" s="25" t="s">
        <v>460</v>
      </c>
      <c r="G1205" s="25" t="n">
        <v>1447</v>
      </c>
      <c r="H1205" s="25" t="s">
        <v>772</v>
      </c>
      <c r="I1205" s="25" t="n">
        <v>1</v>
      </c>
      <c r="J1205" s="26" t="n">
        <v>3660</v>
      </c>
      <c r="K1205" s="25" t="s">
        <v>546</v>
      </c>
      <c r="L1205" s="25" t="s">
        <v>547</v>
      </c>
      <c r="M1205" s="26" t="n">
        <f aca="false">IF(AND(L1205="Oui",K1205="Principal"),I1205*J1205,0)</f>
        <v>3660</v>
      </c>
      <c r="N1205" s="25" t="s">
        <v>548</v>
      </c>
      <c r="O1205" s="25"/>
      <c r="P1205" s="25" t="s">
        <v>550</v>
      </c>
      <c r="Q1205" s="25" t="s">
        <v>557</v>
      </c>
      <c r="R1205" s="26" t="n">
        <v>2660</v>
      </c>
      <c r="S1205" s="26" t="n">
        <f aca="false">IF(AND(L1205="Oui",K1205="Principal",R1205&lt;&gt;""),I1205*R1205,0)</f>
        <v>2660</v>
      </c>
      <c r="T1205" s="26" t="n">
        <f aca="false">IF(R1205&lt;&gt;"",M1205-S1205,0)</f>
        <v>1000</v>
      </c>
      <c r="U1205" s="26" t="n">
        <f aca="false">IF(R1205="",M1205,0)</f>
        <v>0</v>
      </c>
    </row>
    <row r="1206" customFormat="false" ht="15" hidden="false" customHeight="false" outlineLevel="0" collapsed="false">
      <c r="A1206" s="33" t="s">
        <v>65</v>
      </c>
      <c r="B1206" s="33" t="s">
        <v>67</v>
      </c>
      <c r="C1206" s="33" t="s">
        <v>50</v>
      </c>
      <c r="D1206" s="33" t="n">
        <v>38</v>
      </c>
      <c r="E1206" s="33" t="s">
        <v>588</v>
      </c>
      <c r="F1206" s="33" t="s">
        <v>462</v>
      </c>
      <c r="G1206" s="33" t="n">
        <v>45</v>
      </c>
      <c r="H1206" s="33" t="s">
        <v>773</v>
      </c>
      <c r="I1206" s="33" t="n">
        <v>1</v>
      </c>
      <c r="J1206" s="34" t="n">
        <v>15000</v>
      </c>
      <c r="K1206" s="33" t="s">
        <v>546</v>
      </c>
      <c r="L1206" s="33" t="s">
        <v>547</v>
      </c>
      <c r="M1206" s="34" t="n">
        <f aca="false">IF(AND(L1206="Oui",K1206="Principal"),I1206*J1206,0)</f>
        <v>15000</v>
      </c>
      <c r="N1206" s="33" t="s">
        <v>182</v>
      </c>
      <c r="O1206" s="33" t="s">
        <v>774</v>
      </c>
      <c r="P1206" s="33" t="s">
        <v>559</v>
      </c>
      <c r="Q1206" s="33" t="s">
        <v>557</v>
      </c>
      <c r="R1206" s="34" t="n">
        <v>12000</v>
      </c>
      <c r="S1206" s="34" t="n">
        <f aca="false">IF(AND(L1206="Oui",K1206="Principal",R1206&lt;&gt;""),I1206*R1206,0)</f>
        <v>12000</v>
      </c>
      <c r="T1206" s="34" t="n">
        <f aca="false">IF(R1206&lt;&gt;"",M1206-S1206,0)</f>
        <v>3000</v>
      </c>
      <c r="U1206" s="34" t="n">
        <f aca="false">IF(R1206="",M1206,0)</f>
        <v>0</v>
      </c>
    </row>
    <row r="1207" customFormat="false" ht="15" hidden="false" customHeight="false" outlineLevel="0" collapsed="false">
      <c r="A1207" s="25" t="s">
        <v>65</v>
      </c>
      <c r="B1207" s="25" t="s">
        <v>67</v>
      </c>
      <c r="C1207" s="25" t="s">
        <v>50</v>
      </c>
      <c r="D1207" s="25" t="n">
        <v>39</v>
      </c>
      <c r="E1207" s="25" t="s">
        <v>686</v>
      </c>
      <c r="F1207" s="25" t="s">
        <v>453</v>
      </c>
      <c r="G1207" s="25" t="n">
        <v>1333</v>
      </c>
      <c r="H1207" s="25" t="s">
        <v>768</v>
      </c>
      <c r="I1207" s="25" t="n">
        <v>1</v>
      </c>
      <c r="J1207" s="26" t="n">
        <v>3550</v>
      </c>
      <c r="K1207" s="25" t="s">
        <v>546</v>
      </c>
      <c r="L1207" s="25" t="s">
        <v>547</v>
      </c>
      <c r="M1207" s="26" t="n">
        <f aca="false">IF(AND(L1207="Oui",K1207="Principal"),I1207*J1207,0)</f>
        <v>3550</v>
      </c>
      <c r="N1207" s="25" t="s">
        <v>548</v>
      </c>
      <c r="O1207" s="25"/>
      <c r="P1207" s="25" t="s">
        <v>550</v>
      </c>
      <c r="Q1207" s="25" t="s">
        <v>557</v>
      </c>
      <c r="R1207" s="26" t="n">
        <v>2550</v>
      </c>
      <c r="S1207" s="26" t="n">
        <f aca="false">IF(AND(L1207="Oui",K1207="Principal",R1207&lt;&gt;""),I1207*R1207,0)</f>
        <v>2550</v>
      </c>
      <c r="T1207" s="26" t="n">
        <f aca="false">IF(R1207&lt;&gt;"",M1207-S1207,0)</f>
        <v>1000</v>
      </c>
      <c r="U1207" s="26" t="n">
        <f aca="false">IF(R1207="",M1207,0)</f>
        <v>0</v>
      </c>
    </row>
    <row r="1208" customFormat="false" ht="15" hidden="false" customHeight="false" outlineLevel="0" collapsed="false">
      <c r="A1208" s="25" t="s">
        <v>65</v>
      </c>
      <c r="B1208" s="25" t="s">
        <v>68</v>
      </c>
      <c r="C1208" s="25" t="s">
        <v>48</v>
      </c>
      <c r="D1208" s="25" t="n">
        <v>1</v>
      </c>
      <c r="E1208" s="25" t="s">
        <v>544</v>
      </c>
      <c r="F1208" s="25" t="s">
        <v>295</v>
      </c>
      <c r="G1208" s="25" t="n">
        <v>1618</v>
      </c>
      <c r="H1208" s="25" t="s">
        <v>600</v>
      </c>
      <c r="I1208" s="25" t="n">
        <v>1</v>
      </c>
      <c r="J1208" s="26" t="n">
        <v>450</v>
      </c>
      <c r="K1208" s="25" t="s">
        <v>546</v>
      </c>
      <c r="L1208" s="25" t="s">
        <v>547</v>
      </c>
      <c r="M1208" s="26" t="n">
        <f aca="false">IF(AND(L1208="Oui",K1208="Principal"),I1208*J1208,0)</f>
        <v>450</v>
      </c>
      <c r="N1208" s="25" t="s">
        <v>548</v>
      </c>
      <c r="O1208" s="25"/>
      <c r="P1208" s="25" t="s">
        <v>556</v>
      </c>
      <c r="Q1208" s="25" t="s">
        <v>557</v>
      </c>
      <c r="R1208" s="26" t="n">
        <v>350</v>
      </c>
      <c r="S1208" s="26" t="n">
        <f aca="false">IF(AND(L1208="Oui",K1208="Principal",R1208&lt;&gt;""),I1208*R1208,0)</f>
        <v>350</v>
      </c>
      <c r="T1208" s="26" t="n">
        <f aca="false">IF(R1208&lt;&gt;"",M1208-S1208,0)</f>
        <v>100</v>
      </c>
      <c r="U1208" s="26" t="n">
        <f aca="false">IF(R1208="",M1208,0)</f>
        <v>0</v>
      </c>
    </row>
    <row r="1209" customFormat="false" ht="15" hidden="false" customHeight="false" outlineLevel="0" collapsed="false">
      <c r="A1209" s="25" t="s">
        <v>65</v>
      </c>
      <c r="B1209" s="25" t="s">
        <v>68</v>
      </c>
      <c r="C1209" s="25" t="s">
        <v>48</v>
      </c>
      <c r="D1209" s="25" t="n">
        <v>2</v>
      </c>
      <c r="E1209" s="25" t="s">
        <v>544</v>
      </c>
      <c r="F1209" s="25" t="s">
        <v>296</v>
      </c>
      <c r="G1209" s="25" t="n">
        <v>1</v>
      </c>
      <c r="H1209" s="25" t="s">
        <v>681</v>
      </c>
      <c r="I1209" s="25" t="n">
        <v>4</v>
      </c>
      <c r="J1209" s="26" t="n">
        <v>500</v>
      </c>
      <c r="K1209" s="25" t="s">
        <v>546</v>
      </c>
      <c r="L1209" s="25" t="s">
        <v>547</v>
      </c>
      <c r="M1209" s="26" t="n">
        <f aca="false">IF(AND(L1209="Oui",K1209="Principal"),I1209*J1209,0)</f>
        <v>2000</v>
      </c>
      <c r="N1209" s="25" t="s">
        <v>548</v>
      </c>
      <c r="O1209" s="25"/>
      <c r="P1209" s="25" t="s">
        <v>559</v>
      </c>
      <c r="Q1209" s="25" t="s">
        <v>551</v>
      </c>
      <c r="R1209" s="26"/>
      <c r="S1209" s="26" t="n">
        <f aca="false">IF(AND(L1209="Oui",K1209="Principal",R1209&lt;&gt;""),I1209*R1209,0)</f>
        <v>0</v>
      </c>
      <c r="T1209" s="26" t="n">
        <f aca="false">IF(R1209&lt;&gt;"",M1209-S1209,0)</f>
        <v>0</v>
      </c>
      <c r="U1209" s="26" t="n">
        <f aca="false">IF(R1209="",M1209,0)</f>
        <v>2000</v>
      </c>
    </row>
    <row r="1210" customFormat="false" ht="15" hidden="false" customHeight="false" outlineLevel="0" collapsed="false">
      <c r="A1210" s="25" t="s">
        <v>65</v>
      </c>
      <c r="B1210" s="25" t="s">
        <v>68</v>
      </c>
      <c r="C1210" s="25" t="s">
        <v>48</v>
      </c>
      <c r="D1210" s="25" t="n">
        <v>3</v>
      </c>
      <c r="E1210" s="25" t="s">
        <v>544</v>
      </c>
      <c r="F1210" s="25" t="s">
        <v>298</v>
      </c>
      <c r="G1210" s="25" t="n">
        <v>1576</v>
      </c>
      <c r="H1210" s="25" t="s">
        <v>682</v>
      </c>
      <c r="I1210" s="25" t="n">
        <v>2</v>
      </c>
      <c r="J1210" s="26" t="n">
        <v>500</v>
      </c>
      <c r="K1210" s="25" t="s">
        <v>546</v>
      </c>
      <c r="L1210" s="25" t="s">
        <v>547</v>
      </c>
      <c r="M1210" s="26" t="n">
        <f aca="false">IF(AND(L1210="Oui",K1210="Principal"),I1210*J1210,0)</f>
        <v>1000</v>
      </c>
      <c r="N1210" s="25" t="s">
        <v>548</v>
      </c>
      <c r="O1210" s="25"/>
      <c r="P1210" s="25" t="s">
        <v>556</v>
      </c>
      <c r="Q1210" s="25" t="s">
        <v>557</v>
      </c>
      <c r="R1210" s="26" t="n">
        <v>400</v>
      </c>
      <c r="S1210" s="26" t="n">
        <f aca="false">IF(AND(L1210="Oui",K1210="Principal",R1210&lt;&gt;""),I1210*R1210,0)</f>
        <v>800</v>
      </c>
      <c r="T1210" s="26" t="n">
        <f aca="false">IF(R1210&lt;&gt;"",M1210-S1210,0)</f>
        <v>200</v>
      </c>
      <c r="U1210" s="26" t="n">
        <f aca="false">IF(R1210="",M1210,0)</f>
        <v>0</v>
      </c>
    </row>
    <row r="1211" customFormat="false" ht="15" hidden="false" customHeight="false" outlineLevel="0" collapsed="false">
      <c r="A1211" s="25" t="s">
        <v>65</v>
      </c>
      <c r="B1211" s="25" t="s">
        <v>68</v>
      </c>
      <c r="C1211" s="25" t="s">
        <v>48</v>
      </c>
      <c r="D1211" s="25" t="n">
        <v>4</v>
      </c>
      <c r="E1211" s="25" t="s">
        <v>544</v>
      </c>
      <c r="F1211" s="25" t="s">
        <v>338</v>
      </c>
      <c r="G1211" s="25" t="n">
        <v>2</v>
      </c>
      <c r="H1211" s="25" t="s">
        <v>705</v>
      </c>
      <c r="I1211" s="25" t="n">
        <v>4</v>
      </c>
      <c r="J1211" s="26" t="n">
        <v>900</v>
      </c>
      <c r="K1211" s="25" t="s">
        <v>546</v>
      </c>
      <c r="L1211" s="25" t="s">
        <v>547</v>
      </c>
      <c r="M1211" s="26" t="n">
        <f aca="false">IF(AND(L1211="Oui",K1211="Principal"),I1211*J1211,0)</f>
        <v>3600</v>
      </c>
      <c r="N1211" s="25" t="s">
        <v>548</v>
      </c>
      <c r="O1211" s="25"/>
      <c r="P1211" s="25" t="s">
        <v>559</v>
      </c>
      <c r="Q1211" s="25" t="s">
        <v>551</v>
      </c>
      <c r="R1211" s="26"/>
      <c r="S1211" s="26" t="n">
        <f aca="false">IF(AND(L1211="Oui",K1211="Principal",R1211&lt;&gt;""),I1211*R1211,0)</f>
        <v>0</v>
      </c>
      <c r="T1211" s="26" t="n">
        <f aca="false">IF(R1211&lt;&gt;"",M1211-S1211,0)</f>
        <v>0</v>
      </c>
      <c r="U1211" s="26" t="n">
        <f aca="false">IF(R1211="",M1211,0)</f>
        <v>3600</v>
      </c>
    </row>
    <row r="1212" customFormat="false" ht="15" hidden="false" customHeight="false" outlineLevel="0" collapsed="false">
      <c r="A1212" s="25" t="s">
        <v>65</v>
      </c>
      <c r="B1212" s="25" t="s">
        <v>68</v>
      </c>
      <c r="C1212" s="25" t="s">
        <v>48</v>
      </c>
      <c r="D1212" s="25" t="n">
        <v>5</v>
      </c>
      <c r="E1212" s="25" t="s">
        <v>544</v>
      </c>
      <c r="F1212" s="25" t="s">
        <v>301</v>
      </c>
      <c r="G1212" s="25" t="n">
        <v>1728</v>
      </c>
      <c r="H1212" s="25" t="s">
        <v>545</v>
      </c>
      <c r="I1212" s="25" t="n">
        <v>1</v>
      </c>
      <c r="J1212" s="26" t="n">
        <v>900</v>
      </c>
      <c r="K1212" s="25" t="s">
        <v>546</v>
      </c>
      <c r="L1212" s="25" t="s">
        <v>547</v>
      </c>
      <c r="M1212" s="26" t="n">
        <f aca="false">IF(AND(L1212="Oui",K1212="Principal"),I1212*J1212,0)</f>
        <v>900</v>
      </c>
      <c r="N1212" s="25" t="s">
        <v>548</v>
      </c>
      <c r="O1212" s="25"/>
      <c r="P1212" s="25" t="s">
        <v>550</v>
      </c>
      <c r="Q1212" s="25" t="s">
        <v>551</v>
      </c>
      <c r="R1212" s="26"/>
      <c r="S1212" s="26" t="n">
        <f aca="false">IF(AND(L1212="Oui",K1212="Principal",R1212&lt;&gt;""),I1212*R1212,0)</f>
        <v>0</v>
      </c>
      <c r="T1212" s="26" t="n">
        <f aca="false">IF(R1212&lt;&gt;"",M1212-S1212,0)</f>
        <v>0</v>
      </c>
      <c r="U1212" s="26" t="n">
        <f aca="false">IF(R1212="",M1212,0)</f>
        <v>900</v>
      </c>
    </row>
    <row r="1213" customFormat="false" ht="15" hidden="false" customHeight="false" outlineLevel="0" collapsed="false">
      <c r="A1213" s="25" t="s">
        <v>65</v>
      </c>
      <c r="B1213" s="25" t="s">
        <v>68</v>
      </c>
      <c r="C1213" s="25" t="s">
        <v>48</v>
      </c>
      <c r="D1213" s="25" t="n">
        <v>6</v>
      </c>
      <c r="E1213" s="25" t="s">
        <v>563</v>
      </c>
      <c r="F1213" s="25" t="s">
        <v>255</v>
      </c>
      <c r="G1213" s="25" t="n">
        <v>1636</v>
      </c>
      <c r="H1213" s="25" t="s">
        <v>661</v>
      </c>
      <c r="I1213" s="25" t="n">
        <v>1</v>
      </c>
      <c r="J1213" s="26" t="n">
        <v>400</v>
      </c>
      <c r="K1213" s="25" t="s">
        <v>546</v>
      </c>
      <c r="L1213" s="25" t="s">
        <v>547</v>
      </c>
      <c r="M1213" s="26" t="n">
        <f aca="false">IF(AND(L1213="Oui",K1213="Principal"),I1213*J1213,0)</f>
        <v>400</v>
      </c>
      <c r="N1213" s="25" t="s">
        <v>548</v>
      </c>
      <c r="O1213" s="25"/>
      <c r="P1213" s="25" t="s">
        <v>556</v>
      </c>
      <c r="Q1213" s="25" t="s">
        <v>557</v>
      </c>
      <c r="R1213" s="26" t="n">
        <v>320</v>
      </c>
      <c r="S1213" s="26" t="n">
        <f aca="false">IF(AND(L1213="Oui",K1213="Principal",R1213&lt;&gt;""),I1213*R1213,0)</f>
        <v>320</v>
      </c>
      <c r="T1213" s="26" t="n">
        <f aca="false">IF(R1213&lt;&gt;"",M1213-S1213,0)</f>
        <v>80</v>
      </c>
      <c r="U1213" s="26" t="n">
        <f aca="false">IF(R1213="",M1213,0)</f>
        <v>0</v>
      </c>
    </row>
    <row r="1214" customFormat="false" ht="15" hidden="false" customHeight="false" outlineLevel="0" collapsed="false">
      <c r="A1214" s="25" t="s">
        <v>65</v>
      </c>
      <c r="B1214" s="25" t="s">
        <v>68</v>
      </c>
      <c r="C1214" s="25" t="s">
        <v>48</v>
      </c>
      <c r="D1214" s="25" t="n">
        <v>7</v>
      </c>
      <c r="E1214" s="25" t="s">
        <v>563</v>
      </c>
      <c r="F1214" s="25" t="s">
        <v>257</v>
      </c>
      <c r="G1214" s="25" t="n">
        <v>1635</v>
      </c>
      <c r="H1214" s="25" t="s">
        <v>607</v>
      </c>
      <c r="I1214" s="25" t="n">
        <v>1</v>
      </c>
      <c r="J1214" s="26" t="n">
        <v>100</v>
      </c>
      <c r="K1214" s="25" t="s">
        <v>546</v>
      </c>
      <c r="L1214" s="25" t="s">
        <v>547</v>
      </c>
      <c r="M1214" s="26" t="n">
        <f aca="false">IF(AND(L1214="Oui",K1214="Principal"),I1214*J1214,0)</f>
        <v>100</v>
      </c>
      <c r="N1214" s="25" t="s">
        <v>548</v>
      </c>
      <c r="O1214" s="25"/>
      <c r="P1214" s="25" t="s">
        <v>556</v>
      </c>
      <c r="Q1214" s="25" t="s">
        <v>557</v>
      </c>
      <c r="R1214" s="26" t="n">
        <v>80</v>
      </c>
      <c r="S1214" s="26" t="n">
        <f aca="false">IF(AND(L1214="Oui",K1214="Principal",R1214&lt;&gt;""),I1214*R1214,0)</f>
        <v>80</v>
      </c>
      <c r="T1214" s="26" t="n">
        <f aca="false">IF(R1214&lt;&gt;"",M1214-S1214,0)</f>
        <v>20</v>
      </c>
      <c r="U1214" s="26" t="n">
        <f aca="false">IF(R1214="",M1214,0)</f>
        <v>0</v>
      </c>
    </row>
    <row r="1215" customFormat="false" ht="15" hidden="false" customHeight="false" outlineLevel="0" collapsed="false">
      <c r="A1215" s="25" t="s">
        <v>65</v>
      </c>
      <c r="B1215" s="25" t="s">
        <v>68</v>
      </c>
      <c r="C1215" s="25" t="s">
        <v>48</v>
      </c>
      <c r="D1215" s="25" t="n">
        <v>8</v>
      </c>
      <c r="E1215" s="25" t="s">
        <v>563</v>
      </c>
      <c r="F1215" s="25" t="s">
        <v>97</v>
      </c>
      <c r="G1215" s="25" t="n">
        <v>1571</v>
      </c>
      <c r="H1215" s="25" t="s">
        <v>564</v>
      </c>
      <c r="I1215" s="25" t="n">
        <v>2</v>
      </c>
      <c r="J1215" s="26" t="n">
        <v>75</v>
      </c>
      <c r="K1215" s="25" t="s">
        <v>546</v>
      </c>
      <c r="L1215" s="25" t="s">
        <v>547</v>
      </c>
      <c r="M1215" s="26" t="n">
        <f aca="false">IF(AND(L1215="Oui",K1215="Principal"),I1215*J1215,0)</f>
        <v>150</v>
      </c>
      <c r="N1215" s="25" t="s">
        <v>548</v>
      </c>
      <c r="O1215" s="25"/>
      <c r="P1215" s="25" t="s">
        <v>550</v>
      </c>
      <c r="Q1215" s="25" t="s">
        <v>557</v>
      </c>
      <c r="R1215" s="26"/>
      <c r="S1215" s="26" t="n">
        <f aca="false">IF(AND(L1215="Oui",K1215="Principal",R1215&lt;&gt;""),I1215*R1215,0)</f>
        <v>0</v>
      </c>
      <c r="T1215" s="26" t="n">
        <f aca="false">IF(R1215&lt;&gt;"",M1215-S1215,0)</f>
        <v>0</v>
      </c>
      <c r="U1215" s="26" t="n">
        <f aca="false">IF(R1215="",M1215,0)</f>
        <v>150</v>
      </c>
    </row>
    <row r="1216" customFormat="false" ht="15" hidden="false" customHeight="false" outlineLevel="0" collapsed="false">
      <c r="A1216" s="25" t="s">
        <v>65</v>
      </c>
      <c r="B1216" s="25" t="s">
        <v>68</v>
      </c>
      <c r="C1216" s="25" t="s">
        <v>48</v>
      </c>
      <c r="D1216" s="25" t="n">
        <v>9</v>
      </c>
      <c r="E1216" s="25" t="s">
        <v>563</v>
      </c>
      <c r="F1216" s="25" t="s">
        <v>325</v>
      </c>
      <c r="G1216" s="25" t="n">
        <v>1248</v>
      </c>
      <c r="H1216" s="25" t="s">
        <v>697</v>
      </c>
      <c r="I1216" s="25" t="n">
        <v>1</v>
      </c>
      <c r="J1216" s="26" t="n">
        <v>400</v>
      </c>
      <c r="K1216" s="25" t="s">
        <v>546</v>
      </c>
      <c r="L1216" s="25" t="s">
        <v>547</v>
      </c>
      <c r="M1216" s="26" t="n">
        <f aca="false">IF(AND(L1216="Oui",K1216="Principal"),I1216*J1216,0)</f>
        <v>400</v>
      </c>
      <c r="N1216" s="25" t="s">
        <v>548</v>
      </c>
      <c r="O1216" s="25"/>
      <c r="P1216" s="25" t="s">
        <v>550</v>
      </c>
      <c r="Q1216" s="25" t="s">
        <v>557</v>
      </c>
      <c r="R1216" s="26" t="n">
        <v>250</v>
      </c>
      <c r="S1216" s="26" t="n">
        <f aca="false">IF(AND(L1216="Oui",K1216="Principal",R1216&lt;&gt;""),I1216*R1216,0)</f>
        <v>250</v>
      </c>
      <c r="T1216" s="26" t="n">
        <f aca="false">IF(R1216&lt;&gt;"",M1216-S1216,0)</f>
        <v>150</v>
      </c>
      <c r="U1216" s="26" t="n">
        <f aca="false">IF(R1216="",M1216,0)</f>
        <v>0</v>
      </c>
    </row>
    <row r="1217" customFormat="false" ht="15" hidden="false" customHeight="false" outlineLevel="0" collapsed="false">
      <c r="A1217" s="25" t="s">
        <v>65</v>
      </c>
      <c r="B1217" s="25" t="s">
        <v>68</v>
      </c>
      <c r="C1217" s="25" t="s">
        <v>48</v>
      </c>
      <c r="D1217" s="25" t="n">
        <v>10</v>
      </c>
      <c r="E1217" s="25" t="s">
        <v>565</v>
      </c>
      <c r="F1217" s="25" t="s">
        <v>99</v>
      </c>
      <c r="G1217" s="25" t="n">
        <v>9</v>
      </c>
      <c r="H1217" s="25" t="s">
        <v>566</v>
      </c>
      <c r="I1217" s="25" t="n">
        <v>1</v>
      </c>
      <c r="J1217" s="26" t="n">
        <v>150</v>
      </c>
      <c r="K1217" s="25" t="s">
        <v>546</v>
      </c>
      <c r="L1217" s="25" t="s">
        <v>547</v>
      </c>
      <c r="M1217" s="26" t="n">
        <f aca="false">IF(AND(L1217="Oui",K1217="Principal"),I1217*J1217,0)</f>
        <v>150</v>
      </c>
      <c r="N1217" s="25" t="s">
        <v>548</v>
      </c>
      <c r="O1217" s="25"/>
      <c r="P1217" s="25" t="s">
        <v>559</v>
      </c>
      <c r="Q1217" s="25" t="s">
        <v>551</v>
      </c>
      <c r="R1217" s="26"/>
      <c r="S1217" s="26" t="n">
        <f aca="false">IF(AND(L1217="Oui",K1217="Principal",R1217&lt;&gt;""),I1217*R1217,0)</f>
        <v>0</v>
      </c>
      <c r="T1217" s="26" t="n">
        <f aca="false">IF(R1217&lt;&gt;"",M1217-S1217,0)</f>
        <v>0</v>
      </c>
      <c r="U1217" s="26" t="n">
        <f aca="false">IF(R1217="",M1217,0)</f>
        <v>150</v>
      </c>
    </row>
    <row r="1218" customFormat="false" ht="15" hidden="false" customHeight="false" outlineLevel="0" collapsed="false">
      <c r="A1218" s="25" t="s">
        <v>65</v>
      </c>
      <c r="B1218" s="25" t="s">
        <v>68</v>
      </c>
      <c r="C1218" s="25" t="s">
        <v>48</v>
      </c>
      <c r="D1218" s="25" t="n">
        <v>11</v>
      </c>
      <c r="E1218" s="25" t="s">
        <v>565</v>
      </c>
      <c r="F1218" s="25" t="s">
        <v>164</v>
      </c>
      <c r="G1218" s="25" t="n">
        <v>10</v>
      </c>
      <c r="H1218" s="25" t="s">
        <v>608</v>
      </c>
      <c r="I1218" s="25" t="n">
        <v>1</v>
      </c>
      <c r="J1218" s="26" t="n">
        <v>200</v>
      </c>
      <c r="K1218" s="25" t="s">
        <v>546</v>
      </c>
      <c r="L1218" s="25" t="s">
        <v>547</v>
      </c>
      <c r="M1218" s="26" t="n">
        <f aca="false">IF(AND(L1218="Oui",K1218="Principal"),I1218*J1218,0)</f>
        <v>200</v>
      </c>
      <c r="N1218" s="25" t="s">
        <v>548</v>
      </c>
      <c r="O1218" s="25"/>
      <c r="P1218" s="25" t="s">
        <v>559</v>
      </c>
      <c r="Q1218" s="25" t="s">
        <v>551</v>
      </c>
      <c r="R1218" s="26"/>
      <c r="S1218" s="26" t="n">
        <f aca="false">IF(AND(L1218="Oui",K1218="Principal",R1218&lt;&gt;""),I1218*R1218,0)</f>
        <v>0</v>
      </c>
      <c r="T1218" s="26" t="n">
        <f aca="false">IF(R1218&lt;&gt;"",M1218-S1218,0)</f>
        <v>0</v>
      </c>
      <c r="U1218" s="26" t="n">
        <f aca="false">IF(R1218="",M1218,0)</f>
        <v>200</v>
      </c>
    </row>
    <row r="1219" customFormat="false" ht="15" hidden="false" customHeight="false" outlineLevel="0" collapsed="false">
      <c r="A1219" s="25" t="s">
        <v>65</v>
      </c>
      <c r="B1219" s="25" t="s">
        <v>68</v>
      </c>
      <c r="C1219" s="25" t="s">
        <v>48</v>
      </c>
      <c r="D1219" s="25" t="n">
        <v>12</v>
      </c>
      <c r="E1219" s="25" t="s">
        <v>565</v>
      </c>
      <c r="F1219" s="25" t="s">
        <v>166</v>
      </c>
      <c r="G1219" s="25" t="n">
        <v>1173</v>
      </c>
      <c r="H1219" s="25" t="s">
        <v>569</v>
      </c>
      <c r="I1219" s="25" t="n">
        <v>1</v>
      </c>
      <c r="J1219" s="26" t="n">
        <v>570</v>
      </c>
      <c r="K1219" s="25" t="s">
        <v>546</v>
      </c>
      <c r="L1219" s="25" t="s">
        <v>547</v>
      </c>
      <c r="M1219" s="26" t="n">
        <f aca="false">IF(AND(L1219="Oui",K1219="Principal"),I1219*J1219,0)</f>
        <v>570</v>
      </c>
      <c r="N1219" s="25" t="s">
        <v>548</v>
      </c>
      <c r="O1219" s="25"/>
      <c r="P1219" s="25" t="s">
        <v>550</v>
      </c>
      <c r="Q1219" s="25" t="s">
        <v>557</v>
      </c>
      <c r="R1219" s="26" t="n">
        <v>420</v>
      </c>
      <c r="S1219" s="26" t="n">
        <f aca="false">IF(AND(L1219="Oui",K1219="Principal",R1219&lt;&gt;""),I1219*R1219,0)</f>
        <v>420</v>
      </c>
      <c r="T1219" s="26" t="n">
        <f aca="false">IF(R1219&lt;&gt;"",M1219-S1219,0)</f>
        <v>150</v>
      </c>
      <c r="U1219" s="26" t="n">
        <f aca="false">IF(R1219="",M1219,0)</f>
        <v>0</v>
      </c>
    </row>
    <row r="1220" customFormat="false" ht="15" hidden="false" customHeight="false" outlineLevel="0" collapsed="false">
      <c r="A1220" s="25" t="s">
        <v>65</v>
      </c>
      <c r="B1220" s="25" t="s">
        <v>68</v>
      </c>
      <c r="C1220" s="25" t="s">
        <v>48</v>
      </c>
      <c r="D1220" s="25" t="n">
        <v>13</v>
      </c>
      <c r="E1220" s="25" t="s">
        <v>565</v>
      </c>
      <c r="F1220" s="25" t="s">
        <v>304</v>
      </c>
      <c r="G1220" s="25" t="n">
        <v>1250</v>
      </c>
      <c r="H1220" s="25" t="s">
        <v>570</v>
      </c>
      <c r="I1220" s="25" t="n">
        <v>1</v>
      </c>
      <c r="J1220" s="26" t="n">
        <v>250</v>
      </c>
      <c r="K1220" s="25" t="s">
        <v>546</v>
      </c>
      <c r="L1220" s="25" t="s">
        <v>547</v>
      </c>
      <c r="M1220" s="26" t="n">
        <f aca="false">IF(AND(L1220="Oui",K1220="Principal"),I1220*J1220,0)</f>
        <v>250</v>
      </c>
      <c r="N1220" s="25" t="s">
        <v>548</v>
      </c>
      <c r="O1220" s="25"/>
      <c r="P1220" s="25" t="s">
        <v>550</v>
      </c>
      <c r="Q1220" s="25" t="s">
        <v>557</v>
      </c>
      <c r="R1220" s="26" t="n">
        <v>100</v>
      </c>
      <c r="S1220" s="26" t="n">
        <f aca="false">IF(AND(L1220="Oui",K1220="Principal",R1220&lt;&gt;""),I1220*R1220,0)</f>
        <v>100</v>
      </c>
      <c r="T1220" s="26" t="n">
        <f aca="false">IF(R1220&lt;&gt;"",M1220-S1220,0)</f>
        <v>150</v>
      </c>
      <c r="U1220" s="26" t="n">
        <f aca="false">IF(R1220="",M1220,0)</f>
        <v>0</v>
      </c>
    </row>
    <row r="1221" customFormat="false" ht="15" hidden="false" customHeight="false" outlineLevel="0" collapsed="false">
      <c r="A1221" s="33" t="s">
        <v>65</v>
      </c>
      <c r="B1221" s="33" t="s">
        <v>68</v>
      </c>
      <c r="C1221" s="33" t="s">
        <v>48</v>
      </c>
      <c r="D1221" s="33" t="n">
        <v>14</v>
      </c>
      <c r="E1221" s="33" t="s">
        <v>609</v>
      </c>
      <c r="F1221" s="33" t="s">
        <v>199</v>
      </c>
      <c r="G1221" s="33" t="n">
        <v>1229</v>
      </c>
      <c r="H1221" s="33" t="s">
        <v>643</v>
      </c>
      <c r="I1221" s="33" t="n">
        <v>1</v>
      </c>
      <c r="J1221" s="34" t="n">
        <v>1800</v>
      </c>
      <c r="K1221" s="33" t="s">
        <v>546</v>
      </c>
      <c r="L1221" s="33" t="s">
        <v>547</v>
      </c>
      <c r="M1221" s="34" t="n">
        <f aca="false">IF(AND(L1221="Oui",K1221="Principal"),I1221*J1221,0)</f>
        <v>1800</v>
      </c>
      <c r="N1221" s="33" t="s">
        <v>182</v>
      </c>
      <c r="O1221" s="33" t="s">
        <v>644</v>
      </c>
      <c r="P1221" s="33" t="s">
        <v>550</v>
      </c>
      <c r="Q1221" s="33" t="s">
        <v>557</v>
      </c>
      <c r="R1221" s="34" t="n">
        <v>1500</v>
      </c>
      <c r="S1221" s="34" t="n">
        <f aca="false">IF(AND(L1221="Oui",K1221="Principal",R1221&lt;&gt;""),I1221*R1221,0)</f>
        <v>1500</v>
      </c>
      <c r="T1221" s="34" t="n">
        <f aca="false">IF(R1221&lt;&gt;"",M1221-S1221,0)</f>
        <v>300</v>
      </c>
      <c r="U1221" s="34" t="n">
        <f aca="false">IF(R1221="",M1221,0)</f>
        <v>0</v>
      </c>
    </row>
    <row r="1222" customFormat="false" ht="15" hidden="false" customHeight="false" outlineLevel="0" collapsed="false">
      <c r="A1222" s="25" t="s">
        <v>65</v>
      </c>
      <c r="B1222" s="25" t="s">
        <v>68</v>
      </c>
      <c r="C1222" s="25" t="s">
        <v>48</v>
      </c>
      <c r="D1222" s="25" t="n">
        <v>15</v>
      </c>
      <c r="E1222" s="25" t="s">
        <v>573</v>
      </c>
      <c r="F1222" s="25" t="s">
        <v>176</v>
      </c>
      <c r="G1222" s="25" t="n">
        <v>19</v>
      </c>
      <c r="H1222" s="25" t="s">
        <v>615</v>
      </c>
      <c r="I1222" s="25" t="n">
        <v>1</v>
      </c>
      <c r="J1222" s="26" t="n">
        <v>2500</v>
      </c>
      <c r="K1222" s="25" t="s">
        <v>546</v>
      </c>
      <c r="L1222" s="25" t="s">
        <v>547</v>
      </c>
      <c r="M1222" s="26" t="n">
        <f aca="false">IF(AND(L1222="Oui",K1222="Principal"),I1222*J1222,0)</f>
        <v>2500</v>
      </c>
      <c r="N1222" s="25" t="s">
        <v>548</v>
      </c>
      <c r="O1222" s="25"/>
      <c r="P1222" s="25" t="s">
        <v>559</v>
      </c>
      <c r="Q1222" s="25" t="s">
        <v>551</v>
      </c>
      <c r="R1222" s="26"/>
      <c r="S1222" s="26" t="n">
        <f aca="false">IF(AND(L1222="Oui",K1222="Principal",R1222&lt;&gt;""),I1222*R1222,0)</f>
        <v>0</v>
      </c>
      <c r="T1222" s="26" t="n">
        <f aca="false">IF(R1222&lt;&gt;"",M1222-S1222,0)</f>
        <v>0</v>
      </c>
      <c r="U1222" s="26" t="n">
        <f aca="false">IF(R1222="",M1222,0)</f>
        <v>2500</v>
      </c>
    </row>
    <row r="1223" customFormat="false" ht="15" hidden="false" customHeight="false" outlineLevel="0" collapsed="false">
      <c r="A1223" s="25" t="s">
        <v>65</v>
      </c>
      <c r="B1223" s="25" t="s">
        <v>68</v>
      </c>
      <c r="C1223" s="25" t="s">
        <v>48</v>
      </c>
      <c r="D1223" s="25" t="n">
        <v>16</v>
      </c>
      <c r="E1223" s="25" t="s">
        <v>689</v>
      </c>
      <c r="F1223" s="25" t="s">
        <v>465</v>
      </c>
      <c r="G1223" s="25" t="n">
        <v>1309</v>
      </c>
      <c r="H1223" s="25" t="s">
        <v>775</v>
      </c>
      <c r="I1223" s="25" t="n">
        <v>1</v>
      </c>
      <c r="J1223" s="26" t="n">
        <v>2800</v>
      </c>
      <c r="K1223" s="25" t="s">
        <v>618</v>
      </c>
      <c r="L1223" s="25" t="s">
        <v>579</v>
      </c>
      <c r="M1223" s="26" t="n">
        <f aca="false">IF(AND(L1223="Oui",K1223="Principal"),I1223*J1223,0)</f>
        <v>0</v>
      </c>
      <c r="N1223" s="25" t="s">
        <v>548</v>
      </c>
      <c r="O1223" s="25"/>
      <c r="P1223" s="25" t="s">
        <v>550</v>
      </c>
      <c r="Q1223" s="25" t="s">
        <v>557</v>
      </c>
      <c r="R1223" s="26" t="n">
        <v>1800</v>
      </c>
      <c r="S1223" s="26" t="n">
        <f aca="false">IF(AND(L1223="Oui",K1223="Principal",R1223&lt;&gt;""),I1223*R1223,0)</f>
        <v>0</v>
      </c>
      <c r="T1223" s="26" t="n">
        <f aca="false">IF(R1223&lt;&gt;"",M1223-S1223,0)</f>
        <v>0</v>
      </c>
      <c r="U1223" s="26" t="n">
        <f aca="false">IF(R1223="",M1223,0)</f>
        <v>0</v>
      </c>
    </row>
    <row r="1224" customFormat="false" ht="15" hidden="false" customHeight="false" outlineLevel="0" collapsed="false">
      <c r="A1224" s="25" t="s">
        <v>65</v>
      </c>
      <c r="B1224" s="25" t="s">
        <v>68</v>
      </c>
      <c r="C1224" s="25" t="s">
        <v>48</v>
      </c>
      <c r="D1224" s="25" t="n">
        <v>17</v>
      </c>
      <c r="E1224" s="25" t="s">
        <v>689</v>
      </c>
      <c r="F1224" s="25" t="s">
        <v>467</v>
      </c>
      <c r="G1224" s="25" t="n">
        <v>1324</v>
      </c>
      <c r="H1224" s="25" t="s">
        <v>776</v>
      </c>
      <c r="I1224" s="25" t="n">
        <v>1</v>
      </c>
      <c r="J1224" s="26" t="n">
        <v>2800</v>
      </c>
      <c r="K1224" s="25" t="s">
        <v>618</v>
      </c>
      <c r="L1224" s="25" t="s">
        <v>579</v>
      </c>
      <c r="M1224" s="26" t="n">
        <f aca="false">IF(AND(L1224="Oui",K1224="Principal"),I1224*J1224,0)</f>
        <v>0</v>
      </c>
      <c r="N1224" s="25" t="s">
        <v>548</v>
      </c>
      <c r="O1224" s="25"/>
      <c r="P1224" s="25" t="s">
        <v>550</v>
      </c>
      <c r="Q1224" s="25" t="s">
        <v>557</v>
      </c>
      <c r="R1224" s="26" t="n">
        <v>1800</v>
      </c>
      <c r="S1224" s="26" t="n">
        <f aca="false">IF(AND(L1224="Oui",K1224="Principal",R1224&lt;&gt;""),I1224*R1224,0)</f>
        <v>0</v>
      </c>
      <c r="T1224" s="26" t="n">
        <f aca="false">IF(R1224&lt;&gt;"",M1224-S1224,0)</f>
        <v>0</v>
      </c>
      <c r="U1224" s="26" t="n">
        <f aca="false">IF(R1224="",M1224,0)</f>
        <v>0</v>
      </c>
    </row>
    <row r="1225" customFormat="false" ht="15" hidden="false" customHeight="false" outlineLevel="0" collapsed="false">
      <c r="A1225" s="25" t="s">
        <v>65</v>
      </c>
      <c r="B1225" s="25" t="s">
        <v>68</v>
      </c>
      <c r="C1225" s="25" t="s">
        <v>48</v>
      </c>
      <c r="D1225" s="25" t="n">
        <v>18</v>
      </c>
      <c r="E1225" s="25" t="s">
        <v>689</v>
      </c>
      <c r="F1225" s="25" t="s">
        <v>469</v>
      </c>
      <c r="G1225" s="25" t="n">
        <v>1303</v>
      </c>
      <c r="H1225" s="25" t="s">
        <v>777</v>
      </c>
      <c r="I1225" s="25" t="n">
        <v>1</v>
      </c>
      <c r="J1225" s="26" t="n">
        <v>3500</v>
      </c>
      <c r="K1225" s="25" t="s">
        <v>618</v>
      </c>
      <c r="L1225" s="25" t="s">
        <v>579</v>
      </c>
      <c r="M1225" s="26" t="n">
        <f aca="false">IF(AND(L1225="Oui",K1225="Principal"),I1225*J1225,0)</f>
        <v>0</v>
      </c>
      <c r="N1225" s="25" t="s">
        <v>548</v>
      </c>
      <c r="O1225" s="25"/>
      <c r="P1225" s="25" t="s">
        <v>550</v>
      </c>
      <c r="Q1225" s="25" t="s">
        <v>557</v>
      </c>
      <c r="R1225" s="26" t="n">
        <v>2500</v>
      </c>
      <c r="S1225" s="26" t="n">
        <f aca="false">IF(AND(L1225="Oui",K1225="Principal",R1225&lt;&gt;""),I1225*R1225,0)</f>
        <v>0</v>
      </c>
      <c r="T1225" s="26" t="n">
        <f aca="false">IF(R1225&lt;&gt;"",M1225-S1225,0)</f>
        <v>0</v>
      </c>
      <c r="U1225" s="26" t="n">
        <f aca="false">IF(R1225="",M1225,0)</f>
        <v>0</v>
      </c>
    </row>
    <row r="1226" customFormat="false" ht="15" hidden="false" customHeight="false" outlineLevel="0" collapsed="false">
      <c r="A1226" s="25" t="s">
        <v>65</v>
      </c>
      <c r="B1226" s="25" t="s">
        <v>68</v>
      </c>
      <c r="C1226" s="25" t="s">
        <v>48</v>
      </c>
      <c r="D1226" s="25" t="n">
        <v>19</v>
      </c>
      <c r="E1226" s="25" t="s">
        <v>577</v>
      </c>
      <c r="F1226" s="25" t="s">
        <v>321</v>
      </c>
      <c r="G1226" s="25" t="n">
        <v>1192</v>
      </c>
      <c r="H1226" s="25" t="s">
        <v>694</v>
      </c>
      <c r="I1226" s="25" t="n">
        <v>1</v>
      </c>
      <c r="J1226" s="26" t="n">
        <v>7000</v>
      </c>
      <c r="K1226" s="25" t="s">
        <v>577</v>
      </c>
      <c r="L1226" s="25" t="s">
        <v>579</v>
      </c>
      <c r="M1226" s="26" t="n">
        <f aca="false">IF(AND(L1226="Oui",K1226="Principal"),I1226*J1226,0)</f>
        <v>0</v>
      </c>
      <c r="N1226" s="25" t="s">
        <v>548</v>
      </c>
      <c r="O1226" s="25"/>
      <c r="P1226" s="25" t="s">
        <v>550</v>
      </c>
      <c r="Q1226" s="25" t="s">
        <v>557</v>
      </c>
      <c r="R1226" s="26" t="n">
        <v>5500</v>
      </c>
      <c r="S1226" s="26" t="n">
        <f aca="false">IF(AND(L1226="Oui",K1226="Principal",R1226&lt;&gt;""),I1226*R1226,0)</f>
        <v>0</v>
      </c>
      <c r="T1226" s="26" t="n">
        <f aca="false">IF(R1226&lt;&gt;"",M1226-S1226,0)</f>
        <v>0</v>
      </c>
      <c r="U1226" s="26" t="n">
        <f aca="false">IF(R1226="",M1226,0)</f>
        <v>0</v>
      </c>
    </row>
    <row r="1227" customFormat="false" ht="15" hidden="false" customHeight="false" outlineLevel="0" collapsed="false">
      <c r="A1227" s="25" t="s">
        <v>65</v>
      </c>
      <c r="B1227" s="25" t="s">
        <v>68</v>
      </c>
      <c r="C1227" s="25" t="s">
        <v>49</v>
      </c>
      <c r="D1227" s="25" t="n">
        <v>1</v>
      </c>
      <c r="E1227" s="25" t="s">
        <v>544</v>
      </c>
      <c r="F1227" s="25" t="s">
        <v>295</v>
      </c>
      <c r="G1227" s="25" t="n">
        <v>1618</v>
      </c>
      <c r="H1227" s="25" t="s">
        <v>600</v>
      </c>
      <c r="I1227" s="25" t="n">
        <v>1</v>
      </c>
      <c r="J1227" s="26" t="n">
        <v>450</v>
      </c>
      <c r="K1227" s="25" t="s">
        <v>546</v>
      </c>
      <c r="L1227" s="25" t="s">
        <v>547</v>
      </c>
      <c r="M1227" s="26" t="n">
        <f aca="false">IF(AND(L1227="Oui",K1227="Principal"),I1227*J1227,0)</f>
        <v>450</v>
      </c>
      <c r="N1227" s="25" t="s">
        <v>548</v>
      </c>
      <c r="O1227" s="25"/>
      <c r="P1227" s="25" t="s">
        <v>556</v>
      </c>
      <c r="Q1227" s="25" t="s">
        <v>557</v>
      </c>
      <c r="R1227" s="26" t="n">
        <v>350</v>
      </c>
      <c r="S1227" s="26" t="n">
        <f aca="false">IF(AND(L1227="Oui",K1227="Principal",R1227&lt;&gt;""),I1227*R1227,0)</f>
        <v>350</v>
      </c>
      <c r="T1227" s="26" t="n">
        <f aca="false">IF(R1227&lt;&gt;"",M1227-S1227,0)</f>
        <v>100</v>
      </c>
      <c r="U1227" s="26" t="n">
        <f aca="false">IF(R1227="",M1227,0)</f>
        <v>0</v>
      </c>
    </row>
    <row r="1228" customFormat="false" ht="15" hidden="false" customHeight="false" outlineLevel="0" collapsed="false">
      <c r="A1228" s="25" t="s">
        <v>65</v>
      </c>
      <c r="B1228" s="25" t="s">
        <v>68</v>
      </c>
      <c r="C1228" s="25" t="s">
        <v>49</v>
      </c>
      <c r="D1228" s="25" t="n">
        <v>2</v>
      </c>
      <c r="E1228" s="25" t="s">
        <v>544</v>
      </c>
      <c r="F1228" s="25" t="s">
        <v>296</v>
      </c>
      <c r="G1228" s="25" t="n">
        <v>1</v>
      </c>
      <c r="H1228" s="25" t="s">
        <v>681</v>
      </c>
      <c r="I1228" s="25" t="n">
        <v>4</v>
      </c>
      <c r="J1228" s="26" t="n">
        <v>500</v>
      </c>
      <c r="K1228" s="25" t="s">
        <v>546</v>
      </c>
      <c r="L1228" s="25" t="s">
        <v>547</v>
      </c>
      <c r="M1228" s="26" t="n">
        <f aca="false">IF(AND(L1228="Oui",K1228="Principal"),I1228*J1228,0)</f>
        <v>2000</v>
      </c>
      <c r="N1228" s="25" t="s">
        <v>548</v>
      </c>
      <c r="O1228" s="25"/>
      <c r="P1228" s="25" t="s">
        <v>559</v>
      </c>
      <c r="Q1228" s="25" t="s">
        <v>551</v>
      </c>
      <c r="R1228" s="26"/>
      <c r="S1228" s="26" t="n">
        <f aca="false">IF(AND(L1228="Oui",K1228="Principal",R1228&lt;&gt;""),I1228*R1228,0)</f>
        <v>0</v>
      </c>
      <c r="T1228" s="26" t="n">
        <f aca="false">IF(R1228&lt;&gt;"",M1228-S1228,0)</f>
        <v>0</v>
      </c>
      <c r="U1228" s="26" t="n">
        <f aca="false">IF(R1228="",M1228,0)</f>
        <v>2000</v>
      </c>
    </row>
    <row r="1229" customFormat="false" ht="15" hidden="false" customHeight="false" outlineLevel="0" collapsed="false">
      <c r="A1229" s="25" t="s">
        <v>65</v>
      </c>
      <c r="B1229" s="25" t="s">
        <v>68</v>
      </c>
      <c r="C1229" s="25" t="s">
        <v>49</v>
      </c>
      <c r="D1229" s="25" t="n">
        <v>3</v>
      </c>
      <c r="E1229" s="25" t="s">
        <v>544</v>
      </c>
      <c r="F1229" s="25" t="s">
        <v>298</v>
      </c>
      <c r="G1229" s="25" t="n">
        <v>1616</v>
      </c>
      <c r="H1229" s="25" t="s">
        <v>695</v>
      </c>
      <c r="I1229" s="25" t="n">
        <v>2</v>
      </c>
      <c r="J1229" s="26" t="n">
        <v>900</v>
      </c>
      <c r="K1229" s="25" t="s">
        <v>546</v>
      </c>
      <c r="L1229" s="25" t="s">
        <v>547</v>
      </c>
      <c r="M1229" s="26" t="n">
        <f aca="false">IF(AND(L1229="Oui",K1229="Principal"),I1229*J1229,0)</f>
        <v>1800</v>
      </c>
      <c r="N1229" s="25" t="s">
        <v>548</v>
      </c>
      <c r="O1229" s="25"/>
      <c r="P1229" s="25" t="s">
        <v>556</v>
      </c>
      <c r="Q1229" s="25" t="s">
        <v>557</v>
      </c>
      <c r="R1229" s="26" t="n">
        <v>800</v>
      </c>
      <c r="S1229" s="26" t="n">
        <f aca="false">IF(AND(L1229="Oui",K1229="Principal",R1229&lt;&gt;""),I1229*R1229,0)</f>
        <v>1600</v>
      </c>
      <c r="T1229" s="26" t="n">
        <f aca="false">IF(R1229&lt;&gt;"",M1229-S1229,0)</f>
        <v>200</v>
      </c>
      <c r="U1229" s="26" t="n">
        <f aca="false">IF(R1229="",M1229,0)</f>
        <v>0</v>
      </c>
    </row>
    <row r="1230" customFormat="false" ht="15" hidden="false" customHeight="false" outlineLevel="0" collapsed="false">
      <c r="A1230" s="25" t="s">
        <v>65</v>
      </c>
      <c r="B1230" s="25" t="s">
        <v>68</v>
      </c>
      <c r="C1230" s="25" t="s">
        <v>49</v>
      </c>
      <c r="D1230" s="25" t="n">
        <v>4</v>
      </c>
      <c r="E1230" s="25" t="s">
        <v>544</v>
      </c>
      <c r="F1230" s="25" t="s">
        <v>338</v>
      </c>
      <c r="G1230" s="25" t="n">
        <v>1715</v>
      </c>
      <c r="H1230" s="25" t="s">
        <v>713</v>
      </c>
      <c r="I1230" s="25" t="n">
        <v>4</v>
      </c>
      <c r="J1230" s="26" t="n">
        <v>1600</v>
      </c>
      <c r="K1230" s="25" t="s">
        <v>546</v>
      </c>
      <c r="L1230" s="25" t="s">
        <v>547</v>
      </c>
      <c r="M1230" s="26" t="n">
        <f aca="false">IF(AND(L1230="Oui",K1230="Principal"),I1230*J1230,0)</f>
        <v>6400</v>
      </c>
      <c r="N1230" s="25" t="s">
        <v>548</v>
      </c>
      <c r="O1230" s="25"/>
      <c r="P1230" s="25" t="s">
        <v>550</v>
      </c>
      <c r="Q1230" s="25" t="s">
        <v>557</v>
      </c>
      <c r="R1230" s="26" t="n">
        <v>1300</v>
      </c>
      <c r="S1230" s="26" t="n">
        <f aca="false">IF(AND(L1230="Oui",K1230="Principal",R1230&lt;&gt;""),I1230*R1230,0)</f>
        <v>5200</v>
      </c>
      <c r="T1230" s="26" t="n">
        <f aca="false">IF(R1230&lt;&gt;"",M1230-S1230,0)</f>
        <v>1200</v>
      </c>
      <c r="U1230" s="26" t="n">
        <f aca="false">IF(R1230="",M1230,0)</f>
        <v>0</v>
      </c>
    </row>
    <row r="1231" customFormat="false" ht="15" hidden="false" customHeight="false" outlineLevel="0" collapsed="false">
      <c r="A1231" s="25" t="s">
        <v>65</v>
      </c>
      <c r="B1231" s="25" t="s">
        <v>68</v>
      </c>
      <c r="C1231" s="25" t="s">
        <v>49</v>
      </c>
      <c r="D1231" s="25" t="n">
        <v>5</v>
      </c>
      <c r="E1231" s="25" t="s">
        <v>544</v>
      </c>
      <c r="F1231" s="25" t="s">
        <v>301</v>
      </c>
      <c r="G1231" s="25" t="n">
        <v>1728</v>
      </c>
      <c r="H1231" s="25" t="s">
        <v>545</v>
      </c>
      <c r="I1231" s="25" t="n">
        <v>1</v>
      </c>
      <c r="J1231" s="26" t="n">
        <v>900</v>
      </c>
      <c r="K1231" s="25" t="s">
        <v>546</v>
      </c>
      <c r="L1231" s="25" t="s">
        <v>547</v>
      </c>
      <c r="M1231" s="26" t="n">
        <f aca="false">IF(AND(L1231="Oui",K1231="Principal"),I1231*J1231,0)</f>
        <v>900</v>
      </c>
      <c r="N1231" s="25" t="s">
        <v>548</v>
      </c>
      <c r="O1231" s="25"/>
      <c r="P1231" s="25" t="s">
        <v>550</v>
      </c>
      <c r="Q1231" s="25" t="s">
        <v>551</v>
      </c>
      <c r="R1231" s="26"/>
      <c r="S1231" s="26" t="n">
        <f aca="false">IF(AND(L1231="Oui",K1231="Principal",R1231&lt;&gt;""),I1231*R1231,0)</f>
        <v>0</v>
      </c>
      <c r="T1231" s="26" t="n">
        <f aca="false">IF(R1231&lt;&gt;"",M1231-S1231,0)</f>
        <v>0</v>
      </c>
      <c r="U1231" s="26" t="n">
        <f aca="false">IF(R1231="",M1231,0)</f>
        <v>900</v>
      </c>
    </row>
    <row r="1232" customFormat="false" ht="15" hidden="false" customHeight="false" outlineLevel="0" collapsed="false">
      <c r="A1232" s="25" t="s">
        <v>65</v>
      </c>
      <c r="B1232" s="25" t="s">
        <v>68</v>
      </c>
      <c r="C1232" s="25" t="s">
        <v>49</v>
      </c>
      <c r="D1232" s="25" t="n">
        <v>6</v>
      </c>
      <c r="E1232" s="25" t="s">
        <v>563</v>
      </c>
      <c r="F1232" s="25" t="s">
        <v>255</v>
      </c>
      <c r="G1232" s="25" t="n">
        <v>1636</v>
      </c>
      <c r="H1232" s="25" t="s">
        <v>661</v>
      </c>
      <c r="I1232" s="25" t="n">
        <v>1</v>
      </c>
      <c r="J1232" s="26" t="n">
        <v>400</v>
      </c>
      <c r="K1232" s="25" t="s">
        <v>546</v>
      </c>
      <c r="L1232" s="25" t="s">
        <v>547</v>
      </c>
      <c r="M1232" s="26" t="n">
        <f aca="false">IF(AND(L1232="Oui",K1232="Principal"),I1232*J1232,0)</f>
        <v>400</v>
      </c>
      <c r="N1232" s="25" t="s">
        <v>548</v>
      </c>
      <c r="O1232" s="25"/>
      <c r="P1232" s="25" t="s">
        <v>556</v>
      </c>
      <c r="Q1232" s="25" t="s">
        <v>557</v>
      </c>
      <c r="R1232" s="26" t="n">
        <v>320</v>
      </c>
      <c r="S1232" s="26" t="n">
        <f aca="false">IF(AND(L1232="Oui",K1232="Principal",R1232&lt;&gt;""),I1232*R1232,0)</f>
        <v>320</v>
      </c>
      <c r="T1232" s="26" t="n">
        <f aca="false">IF(R1232&lt;&gt;"",M1232-S1232,0)</f>
        <v>80</v>
      </c>
      <c r="U1232" s="26" t="n">
        <f aca="false">IF(R1232="",M1232,0)</f>
        <v>0</v>
      </c>
    </row>
    <row r="1233" customFormat="false" ht="15" hidden="false" customHeight="false" outlineLevel="0" collapsed="false">
      <c r="A1233" s="25" t="s">
        <v>65</v>
      </c>
      <c r="B1233" s="25" t="s">
        <v>68</v>
      </c>
      <c r="C1233" s="25" t="s">
        <v>49</v>
      </c>
      <c r="D1233" s="25" t="n">
        <v>7</v>
      </c>
      <c r="E1233" s="25" t="s">
        <v>563</v>
      </c>
      <c r="F1233" s="25" t="s">
        <v>257</v>
      </c>
      <c r="G1233" s="25" t="n">
        <v>1635</v>
      </c>
      <c r="H1233" s="25" t="s">
        <v>607</v>
      </c>
      <c r="I1233" s="25" t="n">
        <v>1</v>
      </c>
      <c r="J1233" s="26" t="n">
        <v>100</v>
      </c>
      <c r="K1233" s="25" t="s">
        <v>546</v>
      </c>
      <c r="L1233" s="25" t="s">
        <v>547</v>
      </c>
      <c r="M1233" s="26" t="n">
        <f aca="false">IF(AND(L1233="Oui",K1233="Principal"),I1233*J1233,0)</f>
        <v>100</v>
      </c>
      <c r="N1233" s="25" t="s">
        <v>548</v>
      </c>
      <c r="O1233" s="25"/>
      <c r="P1233" s="25" t="s">
        <v>556</v>
      </c>
      <c r="Q1233" s="25" t="s">
        <v>557</v>
      </c>
      <c r="R1233" s="26" t="n">
        <v>80</v>
      </c>
      <c r="S1233" s="26" t="n">
        <f aca="false">IF(AND(L1233="Oui",K1233="Principal",R1233&lt;&gt;""),I1233*R1233,0)</f>
        <v>80</v>
      </c>
      <c r="T1233" s="26" t="n">
        <f aca="false">IF(R1233&lt;&gt;"",M1233-S1233,0)</f>
        <v>20</v>
      </c>
      <c r="U1233" s="26" t="n">
        <f aca="false">IF(R1233="",M1233,0)</f>
        <v>0</v>
      </c>
    </row>
    <row r="1234" customFormat="false" ht="15" hidden="false" customHeight="false" outlineLevel="0" collapsed="false">
      <c r="A1234" s="25" t="s">
        <v>65</v>
      </c>
      <c r="B1234" s="25" t="s">
        <v>68</v>
      </c>
      <c r="C1234" s="25" t="s">
        <v>49</v>
      </c>
      <c r="D1234" s="25" t="n">
        <v>8</v>
      </c>
      <c r="E1234" s="25" t="s">
        <v>563</v>
      </c>
      <c r="F1234" s="25" t="s">
        <v>188</v>
      </c>
      <c r="G1234" s="25" t="n">
        <v>8</v>
      </c>
      <c r="H1234" s="25" t="s">
        <v>188</v>
      </c>
      <c r="I1234" s="25" t="n">
        <v>1</v>
      </c>
      <c r="J1234" s="26" t="n">
        <v>500</v>
      </c>
      <c r="K1234" s="25" t="s">
        <v>546</v>
      </c>
      <c r="L1234" s="25" t="s">
        <v>547</v>
      </c>
      <c r="M1234" s="26" t="n">
        <f aca="false">IF(AND(L1234="Oui",K1234="Principal"),I1234*J1234,0)</f>
        <v>500</v>
      </c>
      <c r="N1234" s="25" t="s">
        <v>548</v>
      </c>
      <c r="O1234" s="25"/>
      <c r="P1234" s="25" t="s">
        <v>559</v>
      </c>
      <c r="Q1234" s="25" t="s">
        <v>551</v>
      </c>
      <c r="R1234" s="26"/>
      <c r="S1234" s="26" t="n">
        <f aca="false">IF(AND(L1234="Oui",K1234="Principal",R1234&lt;&gt;""),I1234*R1234,0)</f>
        <v>0</v>
      </c>
      <c r="T1234" s="26" t="n">
        <f aca="false">IF(R1234&lt;&gt;"",M1234-S1234,0)</f>
        <v>0</v>
      </c>
      <c r="U1234" s="26" t="n">
        <f aca="false">IF(R1234="",M1234,0)</f>
        <v>500</v>
      </c>
    </row>
    <row r="1235" customFormat="false" ht="15" hidden="false" customHeight="false" outlineLevel="0" collapsed="false">
      <c r="A1235" s="25" t="s">
        <v>65</v>
      </c>
      <c r="B1235" s="25" t="s">
        <v>68</v>
      </c>
      <c r="C1235" s="25" t="s">
        <v>49</v>
      </c>
      <c r="D1235" s="25" t="n">
        <v>9</v>
      </c>
      <c r="E1235" s="25" t="s">
        <v>563</v>
      </c>
      <c r="F1235" s="25" t="s">
        <v>323</v>
      </c>
      <c r="G1235" s="25" t="n">
        <v>1607</v>
      </c>
      <c r="H1235" s="25" t="s">
        <v>696</v>
      </c>
      <c r="I1235" s="25" t="n">
        <v>1</v>
      </c>
      <c r="J1235" s="26" t="n">
        <v>2500</v>
      </c>
      <c r="K1235" s="25" t="s">
        <v>546</v>
      </c>
      <c r="L1235" s="25" t="s">
        <v>547</v>
      </c>
      <c r="M1235" s="26" t="n">
        <f aca="false">IF(AND(L1235="Oui",K1235="Principal"),I1235*J1235,0)</f>
        <v>2500</v>
      </c>
      <c r="N1235" s="25" t="s">
        <v>548</v>
      </c>
      <c r="O1235" s="25"/>
      <c r="P1235" s="25" t="s">
        <v>556</v>
      </c>
      <c r="Q1235" s="25" t="s">
        <v>557</v>
      </c>
      <c r="R1235" s="26" t="n">
        <v>2000</v>
      </c>
      <c r="S1235" s="26" t="n">
        <f aca="false">IF(AND(L1235="Oui",K1235="Principal",R1235&lt;&gt;""),I1235*R1235,0)</f>
        <v>2000</v>
      </c>
      <c r="T1235" s="26" t="n">
        <f aca="false">IF(R1235&lt;&gt;"",M1235-S1235,0)</f>
        <v>500</v>
      </c>
      <c r="U1235" s="26" t="n">
        <f aca="false">IF(R1235="",M1235,0)</f>
        <v>0</v>
      </c>
    </row>
    <row r="1236" customFormat="false" ht="15" hidden="false" customHeight="false" outlineLevel="0" collapsed="false">
      <c r="A1236" s="25" t="s">
        <v>65</v>
      </c>
      <c r="B1236" s="25" t="s">
        <v>68</v>
      </c>
      <c r="C1236" s="25" t="s">
        <v>49</v>
      </c>
      <c r="D1236" s="25" t="n">
        <v>10</v>
      </c>
      <c r="E1236" s="25" t="s">
        <v>563</v>
      </c>
      <c r="F1236" s="25" t="s">
        <v>325</v>
      </c>
      <c r="G1236" s="25" t="n">
        <v>1248</v>
      </c>
      <c r="H1236" s="25" t="s">
        <v>697</v>
      </c>
      <c r="I1236" s="25" t="n">
        <v>1</v>
      </c>
      <c r="J1236" s="26" t="n">
        <v>400</v>
      </c>
      <c r="K1236" s="25" t="s">
        <v>546</v>
      </c>
      <c r="L1236" s="25" t="s">
        <v>547</v>
      </c>
      <c r="M1236" s="26" t="n">
        <f aca="false">IF(AND(L1236="Oui",K1236="Principal"),I1236*J1236,0)</f>
        <v>400</v>
      </c>
      <c r="N1236" s="25" t="s">
        <v>548</v>
      </c>
      <c r="O1236" s="25"/>
      <c r="P1236" s="25" t="s">
        <v>550</v>
      </c>
      <c r="Q1236" s="25" t="s">
        <v>557</v>
      </c>
      <c r="R1236" s="26" t="n">
        <v>250</v>
      </c>
      <c r="S1236" s="26" t="n">
        <f aca="false">IF(AND(L1236="Oui",K1236="Principal",R1236&lt;&gt;""),I1236*R1236,0)</f>
        <v>250</v>
      </c>
      <c r="T1236" s="26" t="n">
        <f aca="false">IF(R1236&lt;&gt;"",M1236-S1236,0)</f>
        <v>150</v>
      </c>
      <c r="U1236" s="26" t="n">
        <f aca="false">IF(R1236="",M1236,0)</f>
        <v>0</v>
      </c>
    </row>
    <row r="1237" customFormat="false" ht="15" hidden="false" customHeight="false" outlineLevel="0" collapsed="false">
      <c r="A1237" s="25" t="s">
        <v>65</v>
      </c>
      <c r="B1237" s="25" t="s">
        <v>68</v>
      </c>
      <c r="C1237" s="25" t="s">
        <v>49</v>
      </c>
      <c r="D1237" s="25" t="n">
        <v>11</v>
      </c>
      <c r="E1237" s="25" t="s">
        <v>565</v>
      </c>
      <c r="F1237" s="25" t="s">
        <v>99</v>
      </c>
      <c r="G1237" s="25" t="n">
        <v>1181</v>
      </c>
      <c r="H1237" s="25" t="s">
        <v>581</v>
      </c>
      <c r="I1237" s="25" t="n">
        <v>1</v>
      </c>
      <c r="J1237" s="26" t="n">
        <v>250</v>
      </c>
      <c r="K1237" s="25" t="s">
        <v>546</v>
      </c>
      <c r="L1237" s="25" t="s">
        <v>547</v>
      </c>
      <c r="M1237" s="26" t="n">
        <f aca="false">IF(AND(L1237="Oui",K1237="Principal"),I1237*J1237,0)</f>
        <v>250</v>
      </c>
      <c r="N1237" s="25" t="s">
        <v>548</v>
      </c>
      <c r="O1237" s="25"/>
      <c r="P1237" s="25" t="s">
        <v>550</v>
      </c>
      <c r="Q1237" s="25" t="s">
        <v>557</v>
      </c>
      <c r="R1237" s="26" t="n">
        <v>110</v>
      </c>
      <c r="S1237" s="26" t="n">
        <f aca="false">IF(AND(L1237="Oui",K1237="Principal",R1237&lt;&gt;""),I1237*R1237,0)</f>
        <v>110</v>
      </c>
      <c r="T1237" s="26" t="n">
        <f aca="false">IF(R1237&lt;&gt;"",M1237-S1237,0)</f>
        <v>140</v>
      </c>
      <c r="U1237" s="26" t="n">
        <f aca="false">IF(R1237="",M1237,0)</f>
        <v>0</v>
      </c>
    </row>
    <row r="1238" customFormat="false" ht="15" hidden="false" customHeight="false" outlineLevel="0" collapsed="false">
      <c r="A1238" s="25" t="s">
        <v>65</v>
      </c>
      <c r="B1238" s="25" t="s">
        <v>68</v>
      </c>
      <c r="C1238" s="25" t="s">
        <v>49</v>
      </c>
      <c r="D1238" s="25" t="n">
        <v>12</v>
      </c>
      <c r="E1238" s="25" t="s">
        <v>565</v>
      </c>
      <c r="F1238" s="25" t="s">
        <v>164</v>
      </c>
      <c r="G1238" s="25" t="n">
        <v>1587</v>
      </c>
      <c r="H1238" s="25" t="s">
        <v>567</v>
      </c>
      <c r="I1238" s="25" t="n">
        <v>1</v>
      </c>
      <c r="J1238" s="26" t="n">
        <v>500</v>
      </c>
      <c r="K1238" s="25" t="s">
        <v>546</v>
      </c>
      <c r="L1238" s="25" t="s">
        <v>547</v>
      </c>
      <c r="M1238" s="26" t="n">
        <f aca="false">IF(AND(L1238="Oui",K1238="Principal"),I1238*J1238,0)</f>
        <v>500</v>
      </c>
      <c r="N1238" s="25" t="s">
        <v>548</v>
      </c>
      <c r="O1238" s="25"/>
      <c r="P1238" s="25" t="s">
        <v>556</v>
      </c>
      <c r="Q1238" s="25" t="s">
        <v>557</v>
      </c>
      <c r="R1238" s="26" t="n">
        <v>350</v>
      </c>
      <c r="S1238" s="26" t="n">
        <f aca="false">IF(AND(L1238="Oui",K1238="Principal",R1238&lt;&gt;""),I1238*R1238,0)</f>
        <v>350</v>
      </c>
      <c r="T1238" s="26" t="n">
        <f aca="false">IF(R1238&lt;&gt;"",M1238-S1238,0)</f>
        <v>150</v>
      </c>
      <c r="U1238" s="26" t="n">
        <f aca="false">IF(R1238="",M1238,0)</f>
        <v>0</v>
      </c>
    </row>
    <row r="1239" customFormat="false" ht="15" hidden="false" customHeight="false" outlineLevel="0" collapsed="false">
      <c r="A1239" s="25" t="s">
        <v>65</v>
      </c>
      <c r="B1239" s="25" t="s">
        <v>68</v>
      </c>
      <c r="C1239" s="25" t="s">
        <v>49</v>
      </c>
      <c r="D1239" s="25" t="n">
        <v>13</v>
      </c>
      <c r="E1239" s="25" t="s">
        <v>565</v>
      </c>
      <c r="F1239" s="25" t="s">
        <v>166</v>
      </c>
      <c r="G1239" s="25" t="n">
        <v>1604</v>
      </c>
      <c r="H1239" s="25" t="s">
        <v>582</v>
      </c>
      <c r="I1239" s="25" t="n">
        <v>2</v>
      </c>
      <c r="J1239" s="26" t="n">
        <v>700</v>
      </c>
      <c r="K1239" s="25" t="s">
        <v>546</v>
      </c>
      <c r="L1239" s="25" t="s">
        <v>547</v>
      </c>
      <c r="M1239" s="26" t="n">
        <f aca="false">IF(AND(L1239="Oui",K1239="Principal"),I1239*J1239,0)</f>
        <v>1400</v>
      </c>
      <c r="N1239" s="25" t="s">
        <v>548</v>
      </c>
      <c r="O1239" s="25"/>
      <c r="P1239" s="25" t="s">
        <v>556</v>
      </c>
      <c r="Q1239" s="25" t="s">
        <v>557</v>
      </c>
      <c r="R1239" s="26" t="n">
        <v>400</v>
      </c>
      <c r="S1239" s="26" t="n">
        <f aca="false">IF(AND(L1239="Oui",K1239="Principal",R1239&lt;&gt;""),I1239*R1239,0)</f>
        <v>800</v>
      </c>
      <c r="T1239" s="26" t="n">
        <f aca="false">IF(R1239&lt;&gt;"",M1239-S1239,0)</f>
        <v>600</v>
      </c>
      <c r="U1239" s="26" t="n">
        <f aca="false">IF(R1239="",M1239,0)</f>
        <v>0</v>
      </c>
    </row>
    <row r="1240" customFormat="false" ht="15" hidden="false" customHeight="false" outlineLevel="0" collapsed="false">
      <c r="A1240" s="25" t="s">
        <v>65</v>
      </c>
      <c r="B1240" s="25" t="s">
        <v>68</v>
      </c>
      <c r="C1240" s="25" t="s">
        <v>49</v>
      </c>
      <c r="D1240" s="25" t="n">
        <v>14</v>
      </c>
      <c r="E1240" s="25" t="s">
        <v>565</v>
      </c>
      <c r="F1240" s="25" t="s">
        <v>304</v>
      </c>
      <c r="G1240" s="25" t="n">
        <v>1586</v>
      </c>
      <c r="H1240" s="25" t="s">
        <v>583</v>
      </c>
      <c r="I1240" s="25" t="n">
        <v>1</v>
      </c>
      <c r="J1240" s="26" t="n">
        <v>900</v>
      </c>
      <c r="K1240" s="25" t="s">
        <v>546</v>
      </c>
      <c r="L1240" s="25" t="s">
        <v>547</v>
      </c>
      <c r="M1240" s="26" t="n">
        <f aca="false">IF(AND(L1240="Oui",K1240="Principal"),I1240*J1240,0)</f>
        <v>900</v>
      </c>
      <c r="N1240" s="25" t="s">
        <v>548</v>
      </c>
      <c r="O1240" s="25"/>
      <c r="P1240" s="25" t="s">
        <v>556</v>
      </c>
      <c r="Q1240" s="25" t="s">
        <v>557</v>
      </c>
      <c r="R1240" s="26" t="n">
        <v>650</v>
      </c>
      <c r="S1240" s="26" t="n">
        <f aca="false">IF(AND(L1240="Oui",K1240="Principal",R1240&lt;&gt;""),I1240*R1240,0)</f>
        <v>650</v>
      </c>
      <c r="T1240" s="26" t="n">
        <f aca="false">IF(R1240&lt;&gt;"",M1240-S1240,0)</f>
        <v>250</v>
      </c>
      <c r="U1240" s="26" t="n">
        <f aca="false">IF(R1240="",M1240,0)</f>
        <v>0</v>
      </c>
    </row>
    <row r="1241" customFormat="false" ht="15" hidden="false" customHeight="false" outlineLevel="0" collapsed="false">
      <c r="A1241" s="33" t="s">
        <v>65</v>
      </c>
      <c r="B1241" s="33" t="s">
        <v>68</v>
      </c>
      <c r="C1241" s="33" t="s">
        <v>49</v>
      </c>
      <c r="D1241" s="33" t="n">
        <v>15</v>
      </c>
      <c r="E1241" s="33" t="s">
        <v>609</v>
      </c>
      <c r="F1241" s="33" t="s">
        <v>199</v>
      </c>
      <c r="G1241" s="33" t="n">
        <v>1229</v>
      </c>
      <c r="H1241" s="33" t="s">
        <v>643</v>
      </c>
      <c r="I1241" s="33" t="n">
        <v>1</v>
      </c>
      <c r="J1241" s="34" t="n">
        <v>1800</v>
      </c>
      <c r="K1241" s="33" t="s">
        <v>546</v>
      </c>
      <c r="L1241" s="33" t="s">
        <v>547</v>
      </c>
      <c r="M1241" s="34" t="n">
        <f aca="false">IF(AND(L1241="Oui",K1241="Principal"),I1241*J1241,0)</f>
        <v>1800</v>
      </c>
      <c r="N1241" s="33" t="s">
        <v>182</v>
      </c>
      <c r="O1241" s="33" t="s">
        <v>644</v>
      </c>
      <c r="P1241" s="33" t="s">
        <v>550</v>
      </c>
      <c r="Q1241" s="33" t="s">
        <v>557</v>
      </c>
      <c r="R1241" s="34" t="n">
        <v>1500</v>
      </c>
      <c r="S1241" s="34" t="n">
        <f aca="false">IF(AND(L1241="Oui",K1241="Principal",R1241&lt;&gt;""),I1241*R1241,0)</f>
        <v>1500</v>
      </c>
      <c r="T1241" s="34" t="n">
        <f aca="false">IF(R1241&lt;&gt;"",M1241-S1241,0)</f>
        <v>300</v>
      </c>
      <c r="U1241" s="34" t="n">
        <f aca="false">IF(R1241="",M1241,0)</f>
        <v>0</v>
      </c>
    </row>
    <row r="1242" customFormat="false" ht="15" hidden="false" customHeight="false" outlineLevel="0" collapsed="false">
      <c r="A1242" s="25" t="s">
        <v>65</v>
      </c>
      <c r="B1242" s="25" t="s">
        <v>68</v>
      </c>
      <c r="C1242" s="25" t="s">
        <v>49</v>
      </c>
      <c r="D1242" s="25" t="n">
        <v>16</v>
      </c>
      <c r="E1242" s="25" t="s">
        <v>700</v>
      </c>
      <c r="F1242" s="25" t="s">
        <v>329</v>
      </c>
      <c r="G1242" s="25" t="n">
        <v>1716</v>
      </c>
      <c r="H1242" s="25" t="s">
        <v>701</v>
      </c>
      <c r="I1242" s="25" t="n">
        <v>1</v>
      </c>
      <c r="J1242" s="26" t="n">
        <v>1800</v>
      </c>
      <c r="K1242" s="25" t="s">
        <v>546</v>
      </c>
      <c r="L1242" s="25" t="s">
        <v>547</v>
      </c>
      <c r="M1242" s="26" t="n">
        <f aca="false">IF(AND(L1242="Oui",K1242="Principal"),I1242*J1242,0)</f>
        <v>1800</v>
      </c>
      <c r="N1242" s="25" t="s">
        <v>548</v>
      </c>
      <c r="O1242" s="25"/>
      <c r="P1242" s="25" t="s">
        <v>559</v>
      </c>
      <c r="Q1242" s="25" t="s">
        <v>557</v>
      </c>
      <c r="R1242" s="26" t="n">
        <v>1300</v>
      </c>
      <c r="S1242" s="26" t="n">
        <f aca="false">IF(AND(L1242="Oui",K1242="Principal",R1242&lt;&gt;""),I1242*R1242,0)</f>
        <v>1300</v>
      </c>
      <c r="T1242" s="26" t="n">
        <f aca="false">IF(R1242&lt;&gt;"",M1242-S1242,0)</f>
        <v>500</v>
      </c>
      <c r="U1242" s="26" t="n">
        <f aca="false">IF(R1242="",M1242,0)</f>
        <v>0</v>
      </c>
    </row>
    <row r="1243" customFormat="false" ht="15" hidden="false" customHeight="false" outlineLevel="0" collapsed="false">
      <c r="A1243" s="27" t="s">
        <v>65</v>
      </c>
      <c r="B1243" s="27" t="s">
        <v>68</v>
      </c>
      <c r="C1243" s="27" t="s">
        <v>49</v>
      </c>
      <c r="D1243" s="27" t="n">
        <v>17</v>
      </c>
      <c r="E1243" s="27" t="s">
        <v>700</v>
      </c>
      <c r="F1243" s="27" t="s">
        <v>382</v>
      </c>
      <c r="G1243" s="27"/>
      <c r="H1243" s="27" t="s">
        <v>585</v>
      </c>
      <c r="I1243" s="27" t="n">
        <v>1</v>
      </c>
      <c r="J1243" s="28" t="n">
        <v>0</v>
      </c>
      <c r="K1243" s="27" t="s">
        <v>546</v>
      </c>
      <c r="L1243" s="27" t="s">
        <v>579</v>
      </c>
      <c r="M1243" s="28" t="n">
        <f aca="false">IF(AND(L1243="Oui",K1243="Principal"),I1243*J1243,0)</f>
        <v>0</v>
      </c>
      <c r="N1243" s="27" t="s">
        <v>128</v>
      </c>
      <c r="O1243" s="27" t="s">
        <v>586</v>
      </c>
      <c r="P1243" s="27"/>
      <c r="Q1243" s="27"/>
      <c r="R1243" s="28"/>
      <c r="S1243" s="28" t="n">
        <f aca="false">IF(AND(L1243="Oui",K1243="Principal",R1243&lt;&gt;""),I1243*R1243,0)</f>
        <v>0</v>
      </c>
      <c r="T1243" s="28" t="n">
        <f aca="false">IF(R1243&lt;&gt;"",M1243-S1243,0)</f>
        <v>0</v>
      </c>
      <c r="U1243" s="28" t="n">
        <f aca="false">IF(R1243="",M1243,0)</f>
        <v>0</v>
      </c>
    </row>
    <row r="1244" customFormat="false" ht="15" hidden="false" customHeight="false" outlineLevel="0" collapsed="false">
      <c r="A1244" s="25" t="s">
        <v>65</v>
      </c>
      <c r="B1244" s="25" t="s">
        <v>68</v>
      </c>
      <c r="C1244" s="25" t="s">
        <v>49</v>
      </c>
      <c r="D1244" s="25" t="n">
        <v>18</v>
      </c>
      <c r="E1244" s="25" t="s">
        <v>571</v>
      </c>
      <c r="F1244" s="25" t="s">
        <v>431</v>
      </c>
      <c r="G1244" s="25" t="n">
        <v>1631</v>
      </c>
      <c r="H1244" s="25" t="s">
        <v>755</v>
      </c>
      <c r="I1244" s="25" t="n">
        <v>1</v>
      </c>
      <c r="J1244" s="26" t="n">
        <v>2700</v>
      </c>
      <c r="K1244" s="25" t="s">
        <v>546</v>
      </c>
      <c r="L1244" s="25" t="s">
        <v>547</v>
      </c>
      <c r="M1244" s="26" t="n">
        <f aca="false">IF(AND(L1244="Oui",K1244="Principal"),I1244*J1244,0)</f>
        <v>2700</v>
      </c>
      <c r="N1244" s="25" t="s">
        <v>548</v>
      </c>
      <c r="O1244" s="25"/>
      <c r="P1244" s="25" t="s">
        <v>556</v>
      </c>
      <c r="Q1244" s="25" t="s">
        <v>557</v>
      </c>
      <c r="R1244" s="26" t="n">
        <v>2000</v>
      </c>
      <c r="S1244" s="26" t="n">
        <f aca="false">IF(AND(L1244="Oui",K1244="Principal",R1244&lt;&gt;""),I1244*R1244,0)</f>
        <v>2000</v>
      </c>
      <c r="T1244" s="26" t="n">
        <f aca="false">IF(R1244&lt;&gt;"",M1244-S1244,0)</f>
        <v>700</v>
      </c>
      <c r="U1244" s="26" t="n">
        <f aca="false">IF(R1244="",M1244,0)</f>
        <v>0</v>
      </c>
    </row>
    <row r="1245" customFormat="false" ht="15" hidden="false" customHeight="false" outlineLevel="0" collapsed="false">
      <c r="A1245" s="25" t="s">
        <v>65</v>
      </c>
      <c r="B1245" s="25" t="s">
        <v>68</v>
      </c>
      <c r="C1245" s="25" t="s">
        <v>49</v>
      </c>
      <c r="D1245" s="25" t="n">
        <v>19</v>
      </c>
      <c r="E1245" s="25" t="s">
        <v>571</v>
      </c>
      <c r="F1245" s="25" t="s">
        <v>433</v>
      </c>
      <c r="G1245" s="25" t="n">
        <v>1683</v>
      </c>
      <c r="H1245" s="25" t="s">
        <v>756</v>
      </c>
      <c r="I1245" s="25" t="n">
        <v>1</v>
      </c>
      <c r="J1245" s="26" t="n">
        <v>1000</v>
      </c>
      <c r="K1245" s="25" t="s">
        <v>546</v>
      </c>
      <c r="L1245" s="25" t="s">
        <v>547</v>
      </c>
      <c r="M1245" s="26" t="n">
        <f aca="false">IF(AND(L1245="Oui",K1245="Principal"),I1245*J1245,0)</f>
        <v>1000</v>
      </c>
      <c r="N1245" s="25" t="s">
        <v>548</v>
      </c>
      <c r="O1245" s="25"/>
      <c r="P1245" s="25" t="s">
        <v>556</v>
      </c>
      <c r="Q1245" s="25" t="s">
        <v>557</v>
      </c>
      <c r="R1245" s="26"/>
      <c r="S1245" s="26" t="n">
        <f aca="false">IF(AND(L1245="Oui",K1245="Principal",R1245&lt;&gt;""),I1245*R1245,0)</f>
        <v>0</v>
      </c>
      <c r="T1245" s="26" t="n">
        <f aca="false">IF(R1245&lt;&gt;"",M1245-S1245,0)</f>
        <v>0</v>
      </c>
      <c r="U1245" s="26" t="n">
        <f aca="false">IF(R1245="",M1245,0)</f>
        <v>1000</v>
      </c>
    </row>
    <row r="1246" customFormat="false" ht="15" hidden="false" customHeight="false" outlineLevel="0" collapsed="false">
      <c r="A1246" s="33" t="s">
        <v>65</v>
      </c>
      <c r="B1246" s="33" t="s">
        <v>68</v>
      </c>
      <c r="C1246" s="33" t="s">
        <v>49</v>
      </c>
      <c r="D1246" s="33" t="n">
        <v>20</v>
      </c>
      <c r="E1246" s="33" t="s">
        <v>571</v>
      </c>
      <c r="F1246" s="33" t="s">
        <v>435</v>
      </c>
      <c r="G1246" s="33" t="n">
        <v>1269</v>
      </c>
      <c r="H1246" s="33" t="s">
        <v>757</v>
      </c>
      <c r="I1246" s="33" t="n">
        <v>1</v>
      </c>
      <c r="J1246" s="34" t="n">
        <v>1150</v>
      </c>
      <c r="K1246" s="33" t="s">
        <v>546</v>
      </c>
      <c r="L1246" s="33" t="s">
        <v>547</v>
      </c>
      <c r="M1246" s="34" t="n">
        <f aca="false">IF(AND(L1246="Oui",K1246="Principal"),I1246*J1246,0)</f>
        <v>1150</v>
      </c>
      <c r="N1246" s="33" t="s">
        <v>182</v>
      </c>
      <c r="O1246" s="33" t="s">
        <v>758</v>
      </c>
      <c r="P1246" s="33" t="s">
        <v>550</v>
      </c>
      <c r="Q1246" s="33" t="s">
        <v>557</v>
      </c>
      <c r="R1246" s="34" t="n">
        <v>850</v>
      </c>
      <c r="S1246" s="34" t="n">
        <f aca="false">IF(AND(L1246="Oui",K1246="Principal",R1246&lt;&gt;""),I1246*R1246,0)</f>
        <v>850</v>
      </c>
      <c r="T1246" s="34" t="n">
        <f aca="false">IF(R1246&lt;&gt;"",M1246-S1246,0)</f>
        <v>300</v>
      </c>
      <c r="U1246" s="34" t="n">
        <f aca="false">IF(R1246="",M1246,0)</f>
        <v>0</v>
      </c>
    </row>
    <row r="1247" customFormat="false" ht="15" hidden="false" customHeight="false" outlineLevel="0" collapsed="false">
      <c r="A1247" s="25" t="s">
        <v>65</v>
      </c>
      <c r="B1247" s="25" t="s">
        <v>68</v>
      </c>
      <c r="C1247" s="25" t="s">
        <v>49</v>
      </c>
      <c r="D1247" s="25" t="n">
        <v>21</v>
      </c>
      <c r="E1247" s="25" t="s">
        <v>573</v>
      </c>
      <c r="F1247" s="25" t="s">
        <v>176</v>
      </c>
      <c r="G1247" s="25" t="n">
        <v>19</v>
      </c>
      <c r="H1247" s="25" t="s">
        <v>615</v>
      </c>
      <c r="I1247" s="25" t="n">
        <v>1</v>
      </c>
      <c r="J1247" s="26" t="n">
        <v>2500</v>
      </c>
      <c r="K1247" s="25" t="s">
        <v>546</v>
      </c>
      <c r="L1247" s="25" t="s">
        <v>547</v>
      </c>
      <c r="M1247" s="26" t="n">
        <f aca="false">IF(AND(L1247="Oui",K1247="Principal"),I1247*J1247,0)</f>
        <v>2500</v>
      </c>
      <c r="N1247" s="25" t="s">
        <v>548</v>
      </c>
      <c r="O1247" s="25"/>
      <c r="P1247" s="25" t="s">
        <v>559</v>
      </c>
      <c r="Q1247" s="25" t="s">
        <v>551</v>
      </c>
      <c r="R1247" s="26"/>
      <c r="S1247" s="26" t="n">
        <f aca="false">IF(AND(L1247="Oui",K1247="Principal",R1247&lt;&gt;""),I1247*R1247,0)</f>
        <v>0</v>
      </c>
      <c r="T1247" s="26" t="n">
        <f aca="false">IF(R1247&lt;&gt;"",M1247-S1247,0)</f>
        <v>0</v>
      </c>
      <c r="U1247" s="26" t="n">
        <f aca="false">IF(R1247="",M1247,0)</f>
        <v>2500</v>
      </c>
    </row>
    <row r="1248" customFormat="false" ht="15" hidden="false" customHeight="false" outlineLevel="0" collapsed="false">
      <c r="A1248" s="25" t="s">
        <v>65</v>
      </c>
      <c r="B1248" s="25" t="s">
        <v>68</v>
      </c>
      <c r="C1248" s="25" t="s">
        <v>49</v>
      </c>
      <c r="D1248" s="25" t="n">
        <v>22</v>
      </c>
      <c r="E1248" s="25" t="s">
        <v>573</v>
      </c>
      <c r="F1248" s="25" t="s">
        <v>117</v>
      </c>
      <c r="G1248" s="25" t="n">
        <v>1288</v>
      </c>
      <c r="H1248" s="25" t="s">
        <v>624</v>
      </c>
      <c r="I1248" s="25" t="n">
        <v>1</v>
      </c>
      <c r="J1248" s="26" t="n">
        <v>2500</v>
      </c>
      <c r="K1248" s="25" t="s">
        <v>546</v>
      </c>
      <c r="L1248" s="25" t="s">
        <v>547</v>
      </c>
      <c r="M1248" s="26" t="n">
        <f aca="false">IF(AND(L1248="Oui",K1248="Principal"),I1248*J1248,0)</f>
        <v>2500</v>
      </c>
      <c r="N1248" s="25" t="s">
        <v>548</v>
      </c>
      <c r="O1248" s="25"/>
      <c r="P1248" s="25" t="s">
        <v>550</v>
      </c>
      <c r="Q1248" s="25" t="s">
        <v>557</v>
      </c>
      <c r="R1248" s="26" t="n">
        <v>2000</v>
      </c>
      <c r="S1248" s="26" t="n">
        <f aca="false">IF(AND(L1248="Oui",K1248="Principal",R1248&lt;&gt;""),I1248*R1248,0)</f>
        <v>2000</v>
      </c>
      <c r="T1248" s="26" t="n">
        <f aca="false">IF(R1248&lt;&gt;"",M1248-S1248,0)</f>
        <v>500</v>
      </c>
      <c r="U1248" s="26" t="n">
        <f aca="false">IF(R1248="",M1248,0)</f>
        <v>0</v>
      </c>
    </row>
    <row r="1249" customFormat="false" ht="15" hidden="false" customHeight="false" outlineLevel="0" collapsed="false">
      <c r="A1249" s="25" t="s">
        <v>65</v>
      </c>
      <c r="B1249" s="25" t="s">
        <v>68</v>
      </c>
      <c r="C1249" s="25" t="s">
        <v>49</v>
      </c>
      <c r="D1249" s="25" t="n">
        <v>23</v>
      </c>
      <c r="E1249" s="25" t="s">
        <v>573</v>
      </c>
      <c r="F1249" s="25" t="s">
        <v>321</v>
      </c>
      <c r="G1249" s="25" t="n">
        <v>1192</v>
      </c>
      <c r="H1249" s="25" t="s">
        <v>694</v>
      </c>
      <c r="I1249" s="25" t="n">
        <v>1</v>
      </c>
      <c r="J1249" s="26" t="n">
        <v>7000</v>
      </c>
      <c r="K1249" s="25" t="s">
        <v>546</v>
      </c>
      <c r="L1249" s="25" t="s">
        <v>547</v>
      </c>
      <c r="M1249" s="26" t="n">
        <f aca="false">IF(AND(L1249="Oui",K1249="Principal"),I1249*J1249,0)</f>
        <v>7000</v>
      </c>
      <c r="N1249" s="25" t="s">
        <v>548</v>
      </c>
      <c r="O1249" s="25"/>
      <c r="P1249" s="25" t="s">
        <v>550</v>
      </c>
      <c r="Q1249" s="25" t="s">
        <v>557</v>
      </c>
      <c r="R1249" s="26" t="n">
        <v>5500</v>
      </c>
      <c r="S1249" s="26" t="n">
        <f aca="false">IF(AND(L1249="Oui",K1249="Principal",R1249&lt;&gt;""),I1249*R1249,0)</f>
        <v>5500</v>
      </c>
      <c r="T1249" s="26" t="n">
        <f aca="false">IF(R1249&lt;&gt;"",M1249-S1249,0)</f>
        <v>1500</v>
      </c>
      <c r="U1249" s="26" t="n">
        <f aca="false">IF(R1249="",M1249,0)</f>
        <v>0</v>
      </c>
    </row>
    <row r="1250" customFormat="false" ht="15" hidden="false" customHeight="false" outlineLevel="0" collapsed="false">
      <c r="A1250" s="25" t="s">
        <v>65</v>
      </c>
      <c r="B1250" s="25" t="s">
        <v>68</v>
      </c>
      <c r="C1250" s="25" t="s">
        <v>49</v>
      </c>
      <c r="D1250" s="25" t="n">
        <v>24</v>
      </c>
      <c r="E1250" s="25" t="s">
        <v>689</v>
      </c>
      <c r="F1250" s="25" t="s">
        <v>465</v>
      </c>
      <c r="G1250" s="25" t="n">
        <v>1309</v>
      </c>
      <c r="H1250" s="25" t="s">
        <v>775</v>
      </c>
      <c r="I1250" s="25" t="n">
        <v>1</v>
      </c>
      <c r="J1250" s="26" t="n">
        <v>2800</v>
      </c>
      <c r="K1250" s="25" t="s">
        <v>546</v>
      </c>
      <c r="L1250" s="25" t="s">
        <v>547</v>
      </c>
      <c r="M1250" s="26" t="n">
        <f aca="false">IF(AND(L1250="Oui",K1250="Principal"),I1250*J1250,0)</f>
        <v>2800</v>
      </c>
      <c r="N1250" s="25" t="s">
        <v>548</v>
      </c>
      <c r="O1250" s="25"/>
      <c r="P1250" s="25" t="s">
        <v>550</v>
      </c>
      <c r="Q1250" s="25" t="s">
        <v>557</v>
      </c>
      <c r="R1250" s="26" t="n">
        <v>1800</v>
      </c>
      <c r="S1250" s="26" t="n">
        <f aca="false">IF(AND(L1250="Oui",K1250="Principal",R1250&lt;&gt;""),I1250*R1250,0)</f>
        <v>1800</v>
      </c>
      <c r="T1250" s="26" t="n">
        <f aca="false">IF(R1250&lt;&gt;"",M1250-S1250,0)</f>
        <v>1000</v>
      </c>
      <c r="U1250" s="26" t="n">
        <f aca="false">IF(R1250="",M1250,0)</f>
        <v>0</v>
      </c>
    </row>
    <row r="1251" customFormat="false" ht="15" hidden="false" customHeight="false" outlineLevel="0" collapsed="false">
      <c r="A1251" s="25" t="s">
        <v>65</v>
      </c>
      <c r="B1251" s="25" t="s">
        <v>68</v>
      </c>
      <c r="C1251" s="25" t="s">
        <v>49</v>
      </c>
      <c r="D1251" s="25" t="n">
        <v>25</v>
      </c>
      <c r="E1251" s="25" t="s">
        <v>689</v>
      </c>
      <c r="F1251" s="25" t="s">
        <v>467</v>
      </c>
      <c r="G1251" s="25" t="n">
        <v>1324</v>
      </c>
      <c r="H1251" s="25" t="s">
        <v>776</v>
      </c>
      <c r="I1251" s="25" t="n">
        <v>1</v>
      </c>
      <c r="J1251" s="26" t="n">
        <v>2800</v>
      </c>
      <c r="K1251" s="25" t="s">
        <v>546</v>
      </c>
      <c r="L1251" s="25" t="s">
        <v>547</v>
      </c>
      <c r="M1251" s="26" t="n">
        <f aca="false">IF(AND(L1251="Oui",K1251="Principal"),I1251*J1251,0)</f>
        <v>2800</v>
      </c>
      <c r="N1251" s="25" t="s">
        <v>548</v>
      </c>
      <c r="O1251" s="25"/>
      <c r="P1251" s="25" t="s">
        <v>550</v>
      </c>
      <c r="Q1251" s="25" t="s">
        <v>557</v>
      </c>
      <c r="R1251" s="26" t="n">
        <v>1800</v>
      </c>
      <c r="S1251" s="26" t="n">
        <f aca="false">IF(AND(L1251="Oui",K1251="Principal",R1251&lt;&gt;""),I1251*R1251,0)</f>
        <v>1800</v>
      </c>
      <c r="T1251" s="26" t="n">
        <f aca="false">IF(R1251&lt;&gt;"",M1251-S1251,0)</f>
        <v>1000</v>
      </c>
      <c r="U1251" s="26" t="n">
        <f aca="false">IF(R1251="",M1251,0)</f>
        <v>0</v>
      </c>
    </row>
    <row r="1252" customFormat="false" ht="15" hidden="false" customHeight="false" outlineLevel="0" collapsed="false">
      <c r="A1252" s="25" t="s">
        <v>65</v>
      </c>
      <c r="B1252" s="25" t="s">
        <v>68</v>
      </c>
      <c r="C1252" s="25" t="s">
        <v>49</v>
      </c>
      <c r="D1252" s="25" t="n">
        <v>26</v>
      </c>
      <c r="E1252" s="25" t="s">
        <v>689</v>
      </c>
      <c r="F1252" s="25" t="s">
        <v>469</v>
      </c>
      <c r="G1252" s="25" t="n">
        <v>1303</v>
      </c>
      <c r="H1252" s="25" t="s">
        <v>777</v>
      </c>
      <c r="I1252" s="25" t="n">
        <v>1</v>
      </c>
      <c r="J1252" s="26" t="n">
        <v>3500</v>
      </c>
      <c r="K1252" s="25" t="s">
        <v>546</v>
      </c>
      <c r="L1252" s="25" t="s">
        <v>547</v>
      </c>
      <c r="M1252" s="26" t="n">
        <f aca="false">IF(AND(L1252="Oui",K1252="Principal"),I1252*J1252,0)</f>
        <v>3500</v>
      </c>
      <c r="N1252" s="25" t="s">
        <v>548</v>
      </c>
      <c r="O1252" s="25"/>
      <c r="P1252" s="25" t="s">
        <v>550</v>
      </c>
      <c r="Q1252" s="25" t="s">
        <v>557</v>
      </c>
      <c r="R1252" s="26" t="n">
        <v>2500</v>
      </c>
      <c r="S1252" s="26" t="n">
        <f aca="false">IF(AND(L1252="Oui",K1252="Principal",R1252&lt;&gt;""),I1252*R1252,0)</f>
        <v>2500</v>
      </c>
      <c r="T1252" s="26" t="n">
        <f aca="false">IF(R1252&lt;&gt;"",M1252-S1252,0)</f>
        <v>1000</v>
      </c>
      <c r="U1252" s="26" t="n">
        <f aca="false">IF(R1252="",M1252,0)</f>
        <v>0</v>
      </c>
    </row>
    <row r="1253" customFormat="false" ht="15" hidden="false" customHeight="false" outlineLevel="0" collapsed="false">
      <c r="A1253" s="25" t="s">
        <v>65</v>
      </c>
      <c r="B1253" s="25" t="s">
        <v>68</v>
      </c>
      <c r="C1253" s="25" t="s">
        <v>50</v>
      </c>
      <c r="D1253" s="25" t="n">
        <v>1</v>
      </c>
      <c r="E1253" s="25" t="s">
        <v>544</v>
      </c>
      <c r="F1253" s="25" t="s">
        <v>295</v>
      </c>
      <c r="G1253" s="25" t="n">
        <v>1618</v>
      </c>
      <c r="H1253" s="25" t="s">
        <v>600</v>
      </c>
      <c r="I1253" s="25" t="n">
        <v>1</v>
      </c>
      <c r="J1253" s="26" t="n">
        <v>450</v>
      </c>
      <c r="K1253" s="25" t="s">
        <v>546</v>
      </c>
      <c r="L1253" s="25" t="s">
        <v>547</v>
      </c>
      <c r="M1253" s="26" t="n">
        <f aca="false">IF(AND(L1253="Oui",K1253="Principal"),I1253*J1253,0)</f>
        <v>450</v>
      </c>
      <c r="N1253" s="25" t="s">
        <v>548</v>
      </c>
      <c r="O1253" s="25"/>
      <c r="P1253" s="25" t="s">
        <v>556</v>
      </c>
      <c r="Q1253" s="25" t="s">
        <v>557</v>
      </c>
      <c r="R1253" s="26" t="n">
        <v>350</v>
      </c>
      <c r="S1253" s="26" t="n">
        <f aca="false">IF(AND(L1253="Oui",K1253="Principal",R1253&lt;&gt;""),I1253*R1253,0)</f>
        <v>350</v>
      </c>
      <c r="T1253" s="26" t="n">
        <f aca="false">IF(R1253&lt;&gt;"",M1253-S1253,0)</f>
        <v>100</v>
      </c>
      <c r="U1253" s="26" t="n">
        <f aca="false">IF(R1253="",M1253,0)</f>
        <v>0</v>
      </c>
    </row>
    <row r="1254" customFormat="false" ht="15" hidden="false" customHeight="false" outlineLevel="0" collapsed="false">
      <c r="A1254" s="25" t="s">
        <v>65</v>
      </c>
      <c r="B1254" s="25" t="s">
        <v>68</v>
      </c>
      <c r="C1254" s="25" t="s">
        <v>50</v>
      </c>
      <c r="D1254" s="25" t="n">
        <v>2</v>
      </c>
      <c r="E1254" s="25" t="s">
        <v>544</v>
      </c>
      <c r="F1254" s="25" t="s">
        <v>296</v>
      </c>
      <c r="G1254" s="25" t="n">
        <v>1</v>
      </c>
      <c r="H1254" s="25" t="s">
        <v>681</v>
      </c>
      <c r="I1254" s="25" t="n">
        <v>4</v>
      </c>
      <c r="J1254" s="26" t="n">
        <v>500</v>
      </c>
      <c r="K1254" s="25" t="s">
        <v>546</v>
      </c>
      <c r="L1254" s="25" t="s">
        <v>547</v>
      </c>
      <c r="M1254" s="26" t="n">
        <f aca="false">IF(AND(L1254="Oui",K1254="Principal"),I1254*J1254,0)</f>
        <v>2000</v>
      </c>
      <c r="N1254" s="25" t="s">
        <v>548</v>
      </c>
      <c r="O1254" s="25"/>
      <c r="P1254" s="25" t="s">
        <v>559</v>
      </c>
      <c r="Q1254" s="25" t="s">
        <v>551</v>
      </c>
      <c r="R1254" s="26"/>
      <c r="S1254" s="26" t="n">
        <f aca="false">IF(AND(L1254="Oui",K1254="Principal",R1254&lt;&gt;""),I1254*R1254,0)</f>
        <v>0</v>
      </c>
      <c r="T1254" s="26" t="n">
        <f aca="false">IF(R1254&lt;&gt;"",M1254-S1254,0)</f>
        <v>0</v>
      </c>
      <c r="U1254" s="26" t="n">
        <f aca="false">IF(R1254="",M1254,0)</f>
        <v>2000</v>
      </c>
    </row>
    <row r="1255" customFormat="false" ht="15" hidden="false" customHeight="false" outlineLevel="0" collapsed="false">
      <c r="A1255" s="25" t="s">
        <v>65</v>
      </c>
      <c r="B1255" s="25" t="s">
        <v>68</v>
      </c>
      <c r="C1255" s="25" t="s">
        <v>50</v>
      </c>
      <c r="D1255" s="25" t="n">
        <v>3</v>
      </c>
      <c r="E1255" s="25" t="s">
        <v>544</v>
      </c>
      <c r="F1255" s="25" t="s">
        <v>298</v>
      </c>
      <c r="G1255" s="25" t="n">
        <v>1616</v>
      </c>
      <c r="H1255" s="25" t="s">
        <v>695</v>
      </c>
      <c r="I1255" s="25" t="n">
        <v>2</v>
      </c>
      <c r="J1255" s="26" t="n">
        <v>900</v>
      </c>
      <c r="K1255" s="25" t="s">
        <v>546</v>
      </c>
      <c r="L1255" s="25" t="s">
        <v>547</v>
      </c>
      <c r="M1255" s="26" t="n">
        <f aca="false">IF(AND(L1255="Oui",K1255="Principal"),I1255*J1255,0)</f>
        <v>1800</v>
      </c>
      <c r="N1255" s="25" t="s">
        <v>548</v>
      </c>
      <c r="O1255" s="25"/>
      <c r="P1255" s="25" t="s">
        <v>556</v>
      </c>
      <c r="Q1255" s="25" t="s">
        <v>557</v>
      </c>
      <c r="R1255" s="26" t="n">
        <v>800</v>
      </c>
      <c r="S1255" s="26" t="n">
        <f aca="false">IF(AND(L1255="Oui",K1255="Principal",R1255&lt;&gt;""),I1255*R1255,0)</f>
        <v>1600</v>
      </c>
      <c r="T1255" s="26" t="n">
        <f aca="false">IF(R1255&lt;&gt;"",M1255-S1255,0)</f>
        <v>200</v>
      </c>
      <c r="U1255" s="26" t="n">
        <f aca="false">IF(R1255="",M1255,0)</f>
        <v>0</v>
      </c>
    </row>
    <row r="1256" customFormat="false" ht="15" hidden="false" customHeight="false" outlineLevel="0" collapsed="false">
      <c r="A1256" s="25" t="s">
        <v>65</v>
      </c>
      <c r="B1256" s="25" t="s">
        <v>68</v>
      </c>
      <c r="C1256" s="25" t="s">
        <v>50</v>
      </c>
      <c r="D1256" s="25" t="n">
        <v>4</v>
      </c>
      <c r="E1256" s="25" t="s">
        <v>544</v>
      </c>
      <c r="F1256" s="25" t="s">
        <v>338</v>
      </c>
      <c r="G1256" s="25" t="n">
        <v>1715</v>
      </c>
      <c r="H1256" s="25" t="s">
        <v>713</v>
      </c>
      <c r="I1256" s="25" t="n">
        <v>4</v>
      </c>
      <c r="J1256" s="26" t="n">
        <v>1600</v>
      </c>
      <c r="K1256" s="25" t="s">
        <v>546</v>
      </c>
      <c r="L1256" s="25" t="s">
        <v>547</v>
      </c>
      <c r="M1256" s="26" t="n">
        <f aca="false">IF(AND(L1256="Oui",K1256="Principal"),I1256*J1256,0)</f>
        <v>6400</v>
      </c>
      <c r="N1256" s="25" t="s">
        <v>548</v>
      </c>
      <c r="O1256" s="25"/>
      <c r="P1256" s="25" t="s">
        <v>550</v>
      </c>
      <c r="Q1256" s="25" t="s">
        <v>557</v>
      </c>
      <c r="R1256" s="26" t="n">
        <v>1300</v>
      </c>
      <c r="S1256" s="26" t="n">
        <f aca="false">IF(AND(L1256="Oui",K1256="Principal",R1256&lt;&gt;""),I1256*R1256,0)</f>
        <v>5200</v>
      </c>
      <c r="T1256" s="26" t="n">
        <f aca="false">IF(R1256&lt;&gt;"",M1256-S1256,0)</f>
        <v>1200</v>
      </c>
      <c r="U1256" s="26" t="n">
        <f aca="false">IF(R1256="",M1256,0)</f>
        <v>0</v>
      </c>
    </row>
    <row r="1257" customFormat="false" ht="15" hidden="false" customHeight="false" outlineLevel="0" collapsed="false">
      <c r="A1257" s="25" t="s">
        <v>65</v>
      </c>
      <c r="B1257" s="25" t="s">
        <v>68</v>
      </c>
      <c r="C1257" s="25" t="s">
        <v>50</v>
      </c>
      <c r="D1257" s="25" t="n">
        <v>5</v>
      </c>
      <c r="E1257" s="25" t="s">
        <v>544</v>
      </c>
      <c r="F1257" s="25" t="s">
        <v>301</v>
      </c>
      <c r="G1257" s="25" t="n">
        <v>1728</v>
      </c>
      <c r="H1257" s="25" t="s">
        <v>545</v>
      </c>
      <c r="I1257" s="25" t="n">
        <v>1</v>
      </c>
      <c r="J1257" s="26" t="n">
        <v>900</v>
      </c>
      <c r="K1257" s="25" t="s">
        <v>546</v>
      </c>
      <c r="L1257" s="25" t="s">
        <v>547</v>
      </c>
      <c r="M1257" s="26" t="n">
        <f aca="false">IF(AND(L1257="Oui",K1257="Principal"),I1257*J1257,0)</f>
        <v>900</v>
      </c>
      <c r="N1257" s="25" t="s">
        <v>548</v>
      </c>
      <c r="O1257" s="25"/>
      <c r="P1257" s="25" t="s">
        <v>550</v>
      </c>
      <c r="Q1257" s="25" t="s">
        <v>551</v>
      </c>
      <c r="R1257" s="26"/>
      <c r="S1257" s="26" t="n">
        <f aca="false">IF(AND(L1257="Oui",K1257="Principal",R1257&lt;&gt;""),I1257*R1257,0)</f>
        <v>0</v>
      </c>
      <c r="T1257" s="26" t="n">
        <f aca="false">IF(R1257&lt;&gt;"",M1257-S1257,0)</f>
        <v>0</v>
      </c>
      <c r="U1257" s="26" t="n">
        <f aca="false">IF(R1257="",M1257,0)</f>
        <v>900</v>
      </c>
    </row>
    <row r="1258" customFormat="false" ht="15" hidden="false" customHeight="false" outlineLevel="0" collapsed="false">
      <c r="A1258" s="25" t="s">
        <v>65</v>
      </c>
      <c r="B1258" s="25" t="s">
        <v>68</v>
      </c>
      <c r="C1258" s="25" t="s">
        <v>50</v>
      </c>
      <c r="D1258" s="25" t="n">
        <v>6</v>
      </c>
      <c r="E1258" s="25" t="s">
        <v>563</v>
      </c>
      <c r="F1258" s="25" t="s">
        <v>255</v>
      </c>
      <c r="G1258" s="25" t="n">
        <v>1636</v>
      </c>
      <c r="H1258" s="25" t="s">
        <v>661</v>
      </c>
      <c r="I1258" s="25" t="n">
        <v>1</v>
      </c>
      <c r="J1258" s="26" t="n">
        <v>400</v>
      </c>
      <c r="K1258" s="25" t="s">
        <v>546</v>
      </c>
      <c r="L1258" s="25" t="s">
        <v>547</v>
      </c>
      <c r="M1258" s="26" t="n">
        <f aca="false">IF(AND(L1258="Oui",K1258="Principal"),I1258*J1258,0)</f>
        <v>400</v>
      </c>
      <c r="N1258" s="25" t="s">
        <v>548</v>
      </c>
      <c r="O1258" s="25"/>
      <c r="P1258" s="25" t="s">
        <v>556</v>
      </c>
      <c r="Q1258" s="25" t="s">
        <v>557</v>
      </c>
      <c r="R1258" s="26" t="n">
        <v>320</v>
      </c>
      <c r="S1258" s="26" t="n">
        <f aca="false">IF(AND(L1258="Oui",K1258="Principal",R1258&lt;&gt;""),I1258*R1258,0)</f>
        <v>320</v>
      </c>
      <c r="T1258" s="26" t="n">
        <f aca="false">IF(R1258&lt;&gt;"",M1258-S1258,0)</f>
        <v>80</v>
      </c>
      <c r="U1258" s="26" t="n">
        <f aca="false">IF(R1258="",M1258,0)</f>
        <v>0</v>
      </c>
    </row>
    <row r="1259" customFormat="false" ht="15" hidden="false" customHeight="false" outlineLevel="0" collapsed="false">
      <c r="A1259" s="25" t="s">
        <v>65</v>
      </c>
      <c r="B1259" s="25" t="s">
        <v>68</v>
      </c>
      <c r="C1259" s="25" t="s">
        <v>50</v>
      </c>
      <c r="D1259" s="25" t="n">
        <v>7</v>
      </c>
      <c r="E1259" s="25" t="s">
        <v>563</v>
      </c>
      <c r="F1259" s="25" t="s">
        <v>257</v>
      </c>
      <c r="G1259" s="25" t="n">
        <v>1635</v>
      </c>
      <c r="H1259" s="25" t="s">
        <v>607</v>
      </c>
      <c r="I1259" s="25" t="n">
        <v>1</v>
      </c>
      <c r="J1259" s="26" t="n">
        <v>100</v>
      </c>
      <c r="K1259" s="25" t="s">
        <v>546</v>
      </c>
      <c r="L1259" s="25" t="s">
        <v>547</v>
      </c>
      <c r="M1259" s="26" t="n">
        <f aca="false">IF(AND(L1259="Oui",K1259="Principal"),I1259*J1259,0)</f>
        <v>100</v>
      </c>
      <c r="N1259" s="25" t="s">
        <v>548</v>
      </c>
      <c r="O1259" s="25"/>
      <c r="P1259" s="25" t="s">
        <v>556</v>
      </c>
      <c r="Q1259" s="25" t="s">
        <v>557</v>
      </c>
      <c r="R1259" s="26" t="n">
        <v>80</v>
      </c>
      <c r="S1259" s="26" t="n">
        <f aca="false">IF(AND(L1259="Oui",K1259="Principal",R1259&lt;&gt;""),I1259*R1259,0)</f>
        <v>80</v>
      </c>
      <c r="T1259" s="26" t="n">
        <f aca="false">IF(R1259&lt;&gt;"",M1259-S1259,0)</f>
        <v>20</v>
      </c>
      <c r="U1259" s="26" t="n">
        <f aca="false">IF(R1259="",M1259,0)</f>
        <v>0</v>
      </c>
    </row>
    <row r="1260" customFormat="false" ht="15" hidden="false" customHeight="false" outlineLevel="0" collapsed="false">
      <c r="A1260" s="25" t="s">
        <v>65</v>
      </c>
      <c r="B1260" s="25" t="s">
        <v>68</v>
      </c>
      <c r="C1260" s="25" t="s">
        <v>50</v>
      </c>
      <c r="D1260" s="25" t="n">
        <v>8</v>
      </c>
      <c r="E1260" s="25" t="s">
        <v>563</v>
      </c>
      <c r="F1260" s="25" t="s">
        <v>188</v>
      </c>
      <c r="G1260" s="25" t="n">
        <v>8</v>
      </c>
      <c r="H1260" s="25" t="s">
        <v>188</v>
      </c>
      <c r="I1260" s="25" t="n">
        <v>1</v>
      </c>
      <c r="J1260" s="26" t="n">
        <v>500</v>
      </c>
      <c r="K1260" s="25" t="s">
        <v>546</v>
      </c>
      <c r="L1260" s="25" t="s">
        <v>547</v>
      </c>
      <c r="M1260" s="26" t="n">
        <f aca="false">IF(AND(L1260="Oui",K1260="Principal"),I1260*J1260,0)</f>
        <v>500</v>
      </c>
      <c r="N1260" s="25" t="s">
        <v>548</v>
      </c>
      <c r="O1260" s="25"/>
      <c r="P1260" s="25" t="s">
        <v>559</v>
      </c>
      <c r="Q1260" s="25" t="s">
        <v>551</v>
      </c>
      <c r="R1260" s="26"/>
      <c r="S1260" s="26" t="n">
        <f aca="false">IF(AND(L1260="Oui",K1260="Principal",R1260&lt;&gt;""),I1260*R1260,0)</f>
        <v>0</v>
      </c>
      <c r="T1260" s="26" t="n">
        <f aca="false">IF(R1260&lt;&gt;"",M1260-S1260,0)</f>
        <v>0</v>
      </c>
      <c r="U1260" s="26" t="n">
        <f aca="false">IF(R1260="",M1260,0)</f>
        <v>500</v>
      </c>
    </row>
    <row r="1261" customFormat="false" ht="15" hidden="false" customHeight="false" outlineLevel="0" collapsed="false">
      <c r="A1261" s="25" t="s">
        <v>65</v>
      </c>
      <c r="B1261" s="25" t="s">
        <v>68</v>
      </c>
      <c r="C1261" s="25" t="s">
        <v>50</v>
      </c>
      <c r="D1261" s="25" t="n">
        <v>9</v>
      </c>
      <c r="E1261" s="25" t="s">
        <v>563</v>
      </c>
      <c r="F1261" s="25" t="s">
        <v>323</v>
      </c>
      <c r="G1261" s="25" t="n">
        <v>1607</v>
      </c>
      <c r="H1261" s="25" t="s">
        <v>696</v>
      </c>
      <c r="I1261" s="25" t="n">
        <v>1</v>
      </c>
      <c r="J1261" s="26" t="n">
        <v>2500</v>
      </c>
      <c r="K1261" s="25" t="s">
        <v>546</v>
      </c>
      <c r="L1261" s="25" t="s">
        <v>547</v>
      </c>
      <c r="M1261" s="26" t="n">
        <f aca="false">IF(AND(L1261="Oui",K1261="Principal"),I1261*J1261,0)</f>
        <v>2500</v>
      </c>
      <c r="N1261" s="25" t="s">
        <v>548</v>
      </c>
      <c r="O1261" s="25"/>
      <c r="P1261" s="25" t="s">
        <v>556</v>
      </c>
      <c r="Q1261" s="25" t="s">
        <v>557</v>
      </c>
      <c r="R1261" s="26" t="n">
        <v>2000</v>
      </c>
      <c r="S1261" s="26" t="n">
        <f aca="false">IF(AND(L1261="Oui",K1261="Principal",R1261&lt;&gt;""),I1261*R1261,0)</f>
        <v>2000</v>
      </c>
      <c r="T1261" s="26" t="n">
        <f aca="false">IF(R1261&lt;&gt;"",M1261-S1261,0)</f>
        <v>500</v>
      </c>
      <c r="U1261" s="26" t="n">
        <f aca="false">IF(R1261="",M1261,0)</f>
        <v>0</v>
      </c>
    </row>
    <row r="1262" customFormat="false" ht="15" hidden="false" customHeight="false" outlineLevel="0" collapsed="false">
      <c r="A1262" s="25" t="s">
        <v>65</v>
      </c>
      <c r="B1262" s="25" t="s">
        <v>68</v>
      </c>
      <c r="C1262" s="25" t="s">
        <v>50</v>
      </c>
      <c r="D1262" s="25" t="n">
        <v>10</v>
      </c>
      <c r="E1262" s="25" t="s">
        <v>563</v>
      </c>
      <c r="F1262" s="25" t="s">
        <v>325</v>
      </c>
      <c r="G1262" s="25" t="n">
        <v>1639</v>
      </c>
      <c r="H1262" s="25" t="s">
        <v>702</v>
      </c>
      <c r="I1262" s="25" t="n">
        <v>1</v>
      </c>
      <c r="J1262" s="26" t="n">
        <v>1000</v>
      </c>
      <c r="K1262" s="25" t="s">
        <v>546</v>
      </c>
      <c r="L1262" s="25" t="s">
        <v>547</v>
      </c>
      <c r="M1262" s="26" t="n">
        <f aca="false">IF(AND(L1262="Oui",K1262="Principal"),I1262*J1262,0)</f>
        <v>1000</v>
      </c>
      <c r="N1262" s="25" t="s">
        <v>548</v>
      </c>
      <c r="O1262" s="25"/>
      <c r="P1262" s="25" t="s">
        <v>556</v>
      </c>
      <c r="Q1262" s="25" t="s">
        <v>557</v>
      </c>
      <c r="R1262" s="26" t="n">
        <v>700</v>
      </c>
      <c r="S1262" s="26" t="n">
        <f aca="false">IF(AND(L1262="Oui",K1262="Principal",R1262&lt;&gt;""),I1262*R1262,0)</f>
        <v>700</v>
      </c>
      <c r="T1262" s="26" t="n">
        <f aca="false">IF(R1262&lt;&gt;"",M1262-S1262,0)</f>
        <v>300</v>
      </c>
      <c r="U1262" s="26" t="n">
        <f aca="false">IF(R1262="",M1262,0)</f>
        <v>0</v>
      </c>
    </row>
    <row r="1263" customFormat="false" ht="15" hidden="false" customHeight="false" outlineLevel="0" collapsed="false">
      <c r="A1263" s="25" t="s">
        <v>65</v>
      </c>
      <c r="B1263" s="25" t="s">
        <v>68</v>
      </c>
      <c r="C1263" s="25" t="s">
        <v>50</v>
      </c>
      <c r="D1263" s="25" t="n">
        <v>11</v>
      </c>
      <c r="E1263" s="25" t="s">
        <v>565</v>
      </c>
      <c r="F1263" s="25" t="s">
        <v>99</v>
      </c>
      <c r="G1263" s="25" t="n">
        <v>1181</v>
      </c>
      <c r="H1263" s="25" t="s">
        <v>581</v>
      </c>
      <c r="I1263" s="25" t="n">
        <v>1</v>
      </c>
      <c r="J1263" s="26" t="n">
        <v>250</v>
      </c>
      <c r="K1263" s="25" t="s">
        <v>546</v>
      </c>
      <c r="L1263" s="25" t="s">
        <v>547</v>
      </c>
      <c r="M1263" s="26" t="n">
        <f aca="false">IF(AND(L1263="Oui",K1263="Principal"),I1263*J1263,0)</f>
        <v>250</v>
      </c>
      <c r="N1263" s="25" t="s">
        <v>548</v>
      </c>
      <c r="O1263" s="25"/>
      <c r="P1263" s="25" t="s">
        <v>550</v>
      </c>
      <c r="Q1263" s="25" t="s">
        <v>557</v>
      </c>
      <c r="R1263" s="26" t="n">
        <v>110</v>
      </c>
      <c r="S1263" s="26" t="n">
        <f aca="false">IF(AND(L1263="Oui",K1263="Principal",R1263&lt;&gt;""),I1263*R1263,0)</f>
        <v>110</v>
      </c>
      <c r="T1263" s="26" t="n">
        <f aca="false">IF(R1263&lt;&gt;"",M1263-S1263,0)</f>
        <v>140</v>
      </c>
      <c r="U1263" s="26" t="n">
        <f aca="false">IF(R1263="",M1263,0)</f>
        <v>0</v>
      </c>
    </row>
    <row r="1264" customFormat="false" ht="15" hidden="false" customHeight="false" outlineLevel="0" collapsed="false">
      <c r="A1264" s="25" t="s">
        <v>65</v>
      </c>
      <c r="B1264" s="25" t="s">
        <v>68</v>
      </c>
      <c r="C1264" s="25" t="s">
        <v>50</v>
      </c>
      <c r="D1264" s="25" t="n">
        <v>12</v>
      </c>
      <c r="E1264" s="25" t="s">
        <v>565</v>
      </c>
      <c r="F1264" s="25" t="s">
        <v>164</v>
      </c>
      <c r="G1264" s="25" t="n">
        <v>1587</v>
      </c>
      <c r="H1264" s="25" t="s">
        <v>567</v>
      </c>
      <c r="I1264" s="25" t="n">
        <v>1</v>
      </c>
      <c r="J1264" s="26" t="n">
        <v>500</v>
      </c>
      <c r="K1264" s="25" t="s">
        <v>546</v>
      </c>
      <c r="L1264" s="25" t="s">
        <v>547</v>
      </c>
      <c r="M1264" s="26" t="n">
        <f aca="false">IF(AND(L1264="Oui",K1264="Principal"),I1264*J1264,0)</f>
        <v>500</v>
      </c>
      <c r="N1264" s="25" t="s">
        <v>548</v>
      </c>
      <c r="O1264" s="25"/>
      <c r="P1264" s="25" t="s">
        <v>556</v>
      </c>
      <c r="Q1264" s="25" t="s">
        <v>557</v>
      </c>
      <c r="R1264" s="26" t="n">
        <v>350</v>
      </c>
      <c r="S1264" s="26" t="n">
        <f aca="false">IF(AND(L1264="Oui",K1264="Principal",R1264&lt;&gt;""),I1264*R1264,0)</f>
        <v>350</v>
      </c>
      <c r="T1264" s="26" t="n">
        <f aca="false">IF(R1264&lt;&gt;"",M1264-S1264,0)</f>
        <v>150</v>
      </c>
      <c r="U1264" s="26" t="n">
        <f aca="false">IF(R1264="",M1264,0)</f>
        <v>0</v>
      </c>
    </row>
    <row r="1265" customFormat="false" ht="15" hidden="false" customHeight="false" outlineLevel="0" collapsed="false">
      <c r="A1265" s="25" t="s">
        <v>65</v>
      </c>
      <c r="B1265" s="25" t="s">
        <v>68</v>
      </c>
      <c r="C1265" s="25" t="s">
        <v>50</v>
      </c>
      <c r="D1265" s="25" t="n">
        <v>13</v>
      </c>
      <c r="E1265" s="25" t="s">
        <v>565</v>
      </c>
      <c r="F1265" s="25" t="s">
        <v>166</v>
      </c>
      <c r="G1265" s="25" t="n">
        <v>1604</v>
      </c>
      <c r="H1265" s="25" t="s">
        <v>582</v>
      </c>
      <c r="I1265" s="25" t="n">
        <v>2</v>
      </c>
      <c r="J1265" s="26" t="n">
        <v>700</v>
      </c>
      <c r="K1265" s="25" t="s">
        <v>546</v>
      </c>
      <c r="L1265" s="25" t="s">
        <v>547</v>
      </c>
      <c r="M1265" s="26" t="n">
        <f aca="false">IF(AND(L1265="Oui",K1265="Principal"),I1265*J1265,0)</f>
        <v>1400</v>
      </c>
      <c r="N1265" s="25" t="s">
        <v>548</v>
      </c>
      <c r="O1265" s="25"/>
      <c r="P1265" s="25" t="s">
        <v>556</v>
      </c>
      <c r="Q1265" s="25" t="s">
        <v>557</v>
      </c>
      <c r="R1265" s="26" t="n">
        <v>400</v>
      </c>
      <c r="S1265" s="26" t="n">
        <f aca="false">IF(AND(L1265="Oui",K1265="Principal",R1265&lt;&gt;""),I1265*R1265,0)</f>
        <v>800</v>
      </c>
      <c r="T1265" s="26" t="n">
        <f aca="false">IF(R1265&lt;&gt;"",M1265-S1265,0)</f>
        <v>600</v>
      </c>
      <c r="U1265" s="26" t="n">
        <f aca="false">IF(R1265="",M1265,0)</f>
        <v>0</v>
      </c>
    </row>
    <row r="1266" customFormat="false" ht="15" hidden="false" customHeight="false" outlineLevel="0" collapsed="false">
      <c r="A1266" s="25" t="s">
        <v>65</v>
      </c>
      <c r="B1266" s="25" t="s">
        <v>68</v>
      </c>
      <c r="C1266" s="25" t="s">
        <v>50</v>
      </c>
      <c r="D1266" s="25" t="n">
        <v>14</v>
      </c>
      <c r="E1266" s="25" t="s">
        <v>565</v>
      </c>
      <c r="F1266" s="25" t="s">
        <v>304</v>
      </c>
      <c r="G1266" s="25" t="n">
        <v>1586</v>
      </c>
      <c r="H1266" s="25" t="s">
        <v>583</v>
      </c>
      <c r="I1266" s="25" t="n">
        <v>1</v>
      </c>
      <c r="J1266" s="26" t="n">
        <v>900</v>
      </c>
      <c r="K1266" s="25" t="s">
        <v>546</v>
      </c>
      <c r="L1266" s="25" t="s">
        <v>547</v>
      </c>
      <c r="M1266" s="26" t="n">
        <f aca="false">IF(AND(L1266="Oui",K1266="Principal"),I1266*J1266,0)</f>
        <v>900</v>
      </c>
      <c r="N1266" s="25" t="s">
        <v>548</v>
      </c>
      <c r="O1266" s="25"/>
      <c r="P1266" s="25" t="s">
        <v>556</v>
      </c>
      <c r="Q1266" s="25" t="s">
        <v>557</v>
      </c>
      <c r="R1266" s="26" t="n">
        <v>650</v>
      </c>
      <c r="S1266" s="26" t="n">
        <f aca="false">IF(AND(L1266="Oui",K1266="Principal",R1266&lt;&gt;""),I1266*R1266,0)</f>
        <v>650</v>
      </c>
      <c r="T1266" s="26" t="n">
        <f aca="false">IF(R1266&lt;&gt;"",M1266-S1266,0)</f>
        <v>250</v>
      </c>
      <c r="U1266" s="26" t="n">
        <f aca="false">IF(R1266="",M1266,0)</f>
        <v>0</v>
      </c>
    </row>
    <row r="1267" customFormat="false" ht="15" hidden="false" customHeight="false" outlineLevel="0" collapsed="false">
      <c r="A1267" s="33" t="s">
        <v>65</v>
      </c>
      <c r="B1267" s="33" t="s">
        <v>68</v>
      </c>
      <c r="C1267" s="33" t="s">
        <v>50</v>
      </c>
      <c r="D1267" s="33" t="n">
        <v>15</v>
      </c>
      <c r="E1267" s="33" t="s">
        <v>609</v>
      </c>
      <c r="F1267" s="33" t="s">
        <v>199</v>
      </c>
      <c r="G1267" s="33" t="n">
        <v>1229</v>
      </c>
      <c r="H1267" s="33" t="s">
        <v>643</v>
      </c>
      <c r="I1267" s="33" t="n">
        <v>1</v>
      </c>
      <c r="J1267" s="34" t="n">
        <v>1800</v>
      </c>
      <c r="K1267" s="33" t="s">
        <v>546</v>
      </c>
      <c r="L1267" s="33" t="s">
        <v>547</v>
      </c>
      <c r="M1267" s="34" t="n">
        <f aca="false">IF(AND(L1267="Oui",K1267="Principal"),I1267*J1267,0)</f>
        <v>1800</v>
      </c>
      <c r="N1267" s="33" t="s">
        <v>182</v>
      </c>
      <c r="O1267" s="33" t="s">
        <v>644</v>
      </c>
      <c r="P1267" s="33" t="s">
        <v>550</v>
      </c>
      <c r="Q1267" s="33" t="s">
        <v>557</v>
      </c>
      <c r="R1267" s="34" t="n">
        <v>1500</v>
      </c>
      <c r="S1267" s="34" t="n">
        <f aca="false">IF(AND(L1267="Oui",K1267="Principal",R1267&lt;&gt;""),I1267*R1267,0)</f>
        <v>1500</v>
      </c>
      <c r="T1267" s="34" t="n">
        <f aca="false">IF(R1267&lt;&gt;"",M1267-S1267,0)</f>
        <v>300</v>
      </c>
      <c r="U1267" s="34" t="n">
        <f aca="false">IF(R1267="",M1267,0)</f>
        <v>0</v>
      </c>
    </row>
    <row r="1268" customFormat="false" ht="15" hidden="false" customHeight="false" outlineLevel="0" collapsed="false">
      <c r="A1268" s="25" t="s">
        <v>65</v>
      </c>
      <c r="B1268" s="25" t="s">
        <v>68</v>
      </c>
      <c r="C1268" s="25" t="s">
        <v>50</v>
      </c>
      <c r="D1268" s="25" t="n">
        <v>16</v>
      </c>
      <c r="E1268" s="25" t="s">
        <v>700</v>
      </c>
      <c r="F1268" s="25" t="s">
        <v>329</v>
      </c>
      <c r="G1268" s="25" t="n">
        <v>1716</v>
      </c>
      <c r="H1268" s="25" t="s">
        <v>701</v>
      </c>
      <c r="I1268" s="25" t="n">
        <v>1</v>
      </c>
      <c r="J1268" s="26" t="n">
        <v>1800</v>
      </c>
      <c r="K1268" s="25" t="s">
        <v>546</v>
      </c>
      <c r="L1268" s="25" t="s">
        <v>547</v>
      </c>
      <c r="M1268" s="26" t="n">
        <f aca="false">IF(AND(L1268="Oui",K1268="Principal"),I1268*J1268,0)</f>
        <v>1800</v>
      </c>
      <c r="N1268" s="25" t="s">
        <v>548</v>
      </c>
      <c r="O1268" s="25"/>
      <c r="P1268" s="25" t="s">
        <v>559</v>
      </c>
      <c r="Q1268" s="25" t="s">
        <v>557</v>
      </c>
      <c r="R1268" s="26" t="n">
        <v>1300</v>
      </c>
      <c r="S1268" s="26" t="n">
        <f aca="false">IF(AND(L1268="Oui",K1268="Principal",R1268&lt;&gt;""),I1268*R1268,0)</f>
        <v>1300</v>
      </c>
      <c r="T1268" s="26" t="n">
        <f aca="false">IF(R1268&lt;&gt;"",M1268-S1268,0)</f>
        <v>500</v>
      </c>
      <c r="U1268" s="26" t="n">
        <f aca="false">IF(R1268="",M1268,0)</f>
        <v>0</v>
      </c>
    </row>
    <row r="1269" customFormat="false" ht="15" hidden="false" customHeight="false" outlineLevel="0" collapsed="false">
      <c r="A1269" s="27" t="s">
        <v>65</v>
      </c>
      <c r="B1269" s="27" t="s">
        <v>68</v>
      </c>
      <c r="C1269" s="27" t="s">
        <v>50</v>
      </c>
      <c r="D1269" s="27" t="n">
        <v>17</v>
      </c>
      <c r="E1269" s="27" t="s">
        <v>700</v>
      </c>
      <c r="F1269" s="27" t="s">
        <v>382</v>
      </c>
      <c r="G1269" s="27"/>
      <c r="H1269" s="27" t="s">
        <v>585</v>
      </c>
      <c r="I1269" s="27" t="n">
        <v>1</v>
      </c>
      <c r="J1269" s="28" t="n">
        <v>0</v>
      </c>
      <c r="K1269" s="27" t="s">
        <v>546</v>
      </c>
      <c r="L1269" s="27" t="s">
        <v>579</v>
      </c>
      <c r="M1269" s="28" t="n">
        <f aca="false">IF(AND(L1269="Oui",K1269="Principal"),I1269*J1269,0)</f>
        <v>0</v>
      </c>
      <c r="N1269" s="27" t="s">
        <v>128</v>
      </c>
      <c r="O1269" s="27" t="s">
        <v>586</v>
      </c>
      <c r="P1269" s="27"/>
      <c r="Q1269" s="27"/>
      <c r="R1269" s="28"/>
      <c r="S1269" s="28" t="n">
        <f aca="false">IF(AND(L1269="Oui",K1269="Principal",R1269&lt;&gt;""),I1269*R1269,0)</f>
        <v>0</v>
      </c>
      <c r="T1269" s="28" t="n">
        <f aca="false">IF(R1269&lt;&gt;"",M1269-S1269,0)</f>
        <v>0</v>
      </c>
      <c r="U1269" s="28" t="n">
        <f aca="false">IF(R1269="",M1269,0)</f>
        <v>0</v>
      </c>
    </row>
    <row r="1270" customFormat="false" ht="15" hidden="false" customHeight="false" outlineLevel="0" collapsed="false">
      <c r="A1270" s="25" t="s">
        <v>65</v>
      </c>
      <c r="B1270" s="25" t="s">
        <v>68</v>
      </c>
      <c r="C1270" s="25" t="s">
        <v>50</v>
      </c>
      <c r="D1270" s="25" t="n">
        <v>18</v>
      </c>
      <c r="E1270" s="25" t="s">
        <v>571</v>
      </c>
      <c r="F1270" s="25" t="s">
        <v>431</v>
      </c>
      <c r="G1270" s="25" t="n">
        <v>1631</v>
      </c>
      <c r="H1270" s="25" t="s">
        <v>755</v>
      </c>
      <c r="I1270" s="25" t="n">
        <v>1</v>
      </c>
      <c r="J1270" s="26" t="n">
        <v>2700</v>
      </c>
      <c r="K1270" s="25" t="s">
        <v>546</v>
      </c>
      <c r="L1270" s="25" t="s">
        <v>547</v>
      </c>
      <c r="M1270" s="26" t="n">
        <f aca="false">IF(AND(L1270="Oui",K1270="Principal"),I1270*J1270,0)</f>
        <v>2700</v>
      </c>
      <c r="N1270" s="25" t="s">
        <v>548</v>
      </c>
      <c r="O1270" s="25"/>
      <c r="P1270" s="25" t="s">
        <v>556</v>
      </c>
      <c r="Q1270" s="25" t="s">
        <v>557</v>
      </c>
      <c r="R1270" s="26" t="n">
        <v>2000</v>
      </c>
      <c r="S1270" s="26" t="n">
        <f aca="false">IF(AND(L1270="Oui",K1270="Principal",R1270&lt;&gt;""),I1270*R1270,0)</f>
        <v>2000</v>
      </c>
      <c r="T1270" s="26" t="n">
        <f aca="false">IF(R1270&lt;&gt;"",M1270-S1270,0)</f>
        <v>700</v>
      </c>
      <c r="U1270" s="26" t="n">
        <f aca="false">IF(R1270="",M1270,0)</f>
        <v>0</v>
      </c>
    </row>
    <row r="1271" customFormat="false" ht="15" hidden="false" customHeight="false" outlineLevel="0" collapsed="false">
      <c r="A1271" s="25" t="s">
        <v>65</v>
      </c>
      <c r="B1271" s="25" t="s">
        <v>68</v>
      </c>
      <c r="C1271" s="25" t="s">
        <v>50</v>
      </c>
      <c r="D1271" s="25" t="n">
        <v>19</v>
      </c>
      <c r="E1271" s="25" t="s">
        <v>571</v>
      </c>
      <c r="F1271" s="25" t="s">
        <v>433</v>
      </c>
      <c r="G1271" s="25" t="n">
        <v>1683</v>
      </c>
      <c r="H1271" s="25" t="s">
        <v>756</v>
      </c>
      <c r="I1271" s="25" t="n">
        <v>1</v>
      </c>
      <c r="J1271" s="26" t="n">
        <v>1000</v>
      </c>
      <c r="K1271" s="25" t="s">
        <v>546</v>
      </c>
      <c r="L1271" s="25" t="s">
        <v>547</v>
      </c>
      <c r="M1271" s="26" t="n">
        <f aca="false">IF(AND(L1271="Oui",K1271="Principal"),I1271*J1271,0)</f>
        <v>1000</v>
      </c>
      <c r="N1271" s="25" t="s">
        <v>548</v>
      </c>
      <c r="O1271" s="25"/>
      <c r="P1271" s="25" t="s">
        <v>556</v>
      </c>
      <c r="Q1271" s="25" t="s">
        <v>557</v>
      </c>
      <c r="R1271" s="26"/>
      <c r="S1271" s="26" t="n">
        <f aca="false">IF(AND(L1271="Oui",K1271="Principal",R1271&lt;&gt;""),I1271*R1271,0)</f>
        <v>0</v>
      </c>
      <c r="T1271" s="26" t="n">
        <f aca="false">IF(R1271&lt;&gt;"",M1271-S1271,0)</f>
        <v>0</v>
      </c>
      <c r="U1271" s="26" t="n">
        <f aca="false">IF(R1271="",M1271,0)</f>
        <v>1000</v>
      </c>
    </row>
    <row r="1272" customFormat="false" ht="15" hidden="false" customHeight="false" outlineLevel="0" collapsed="false">
      <c r="A1272" s="33" t="s">
        <v>65</v>
      </c>
      <c r="B1272" s="33" t="s">
        <v>68</v>
      </c>
      <c r="C1272" s="33" t="s">
        <v>50</v>
      </c>
      <c r="D1272" s="33" t="n">
        <v>20</v>
      </c>
      <c r="E1272" s="33" t="s">
        <v>571</v>
      </c>
      <c r="F1272" s="33" t="s">
        <v>435</v>
      </c>
      <c r="G1272" s="33" t="n">
        <v>1269</v>
      </c>
      <c r="H1272" s="33" t="s">
        <v>757</v>
      </c>
      <c r="I1272" s="33" t="n">
        <v>1</v>
      </c>
      <c r="J1272" s="34" t="n">
        <v>1150</v>
      </c>
      <c r="K1272" s="33" t="s">
        <v>546</v>
      </c>
      <c r="L1272" s="33" t="s">
        <v>547</v>
      </c>
      <c r="M1272" s="34" t="n">
        <f aca="false">IF(AND(L1272="Oui",K1272="Principal"),I1272*J1272,0)</f>
        <v>1150</v>
      </c>
      <c r="N1272" s="33" t="s">
        <v>182</v>
      </c>
      <c r="O1272" s="33" t="s">
        <v>758</v>
      </c>
      <c r="P1272" s="33" t="s">
        <v>550</v>
      </c>
      <c r="Q1272" s="33" t="s">
        <v>557</v>
      </c>
      <c r="R1272" s="34" t="n">
        <v>850</v>
      </c>
      <c r="S1272" s="34" t="n">
        <f aca="false">IF(AND(L1272="Oui",K1272="Principal",R1272&lt;&gt;""),I1272*R1272,0)</f>
        <v>850</v>
      </c>
      <c r="T1272" s="34" t="n">
        <f aca="false">IF(R1272&lt;&gt;"",M1272-S1272,0)</f>
        <v>300</v>
      </c>
      <c r="U1272" s="34" t="n">
        <f aca="false">IF(R1272="",M1272,0)</f>
        <v>0</v>
      </c>
    </row>
    <row r="1273" customFormat="false" ht="15" hidden="false" customHeight="false" outlineLevel="0" collapsed="false">
      <c r="A1273" s="25" t="s">
        <v>65</v>
      </c>
      <c r="B1273" s="25" t="s">
        <v>68</v>
      </c>
      <c r="C1273" s="25" t="s">
        <v>50</v>
      </c>
      <c r="D1273" s="25" t="n">
        <v>21</v>
      </c>
      <c r="E1273" s="25" t="s">
        <v>573</v>
      </c>
      <c r="F1273" s="25" t="s">
        <v>176</v>
      </c>
      <c r="G1273" s="25" t="n">
        <v>19</v>
      </c>
      <c r="H1273" s="25" t="s">
        <v>615</v>
      </c>
      <c r="I1273" s="25" t="n">
        <v>1</v>
      </c>
      <c r="J1273" s="26" t="n">
        <v>2500</v>
      </c>
      <c r="K1273" s="25" t="s">
        <v>546</v>
      </c>
      <c r="L1273" s="25" t="s">
        <v>547</v>
      </c>
      <c r="M1273" s="26" t="n">
        <f aca="false">IF(AND(L1273="Oui",K1273="Principal"),I1273*J1273,0)</f>
        <v>2500</v>
      </c>
      <c r="N1273" s="25" t="s">
        <v>548</v>
      </c>
      <c r="O1273" s="25"/>
      <c r="P1273" s="25" t="s">
        <v>559</v>
      </c>
      <c r="Q1273" s="25" t="s">
        <v>551</v>
      </c>
      <c r="R1273" s="26"/>
      <c r="S1273" s="26" t="n">
        <f aca="false">IF(AND(L1273="Oui",K1273="Principal",R1273&lt;&gt;""),I1273*R1273,0)</f>
        <v>0</v>
      </c>
      <c r="T1273" s="26" t="n">
        <f aca="false">IF(R1273&lt;&gt;"",M1273-S1273,0)</f>
        <v>0</v>
      </c>
      <c r="U1273" s="26" t="n">
        <f aca="false">IF(R1273="",M1273,0)</f>
        <v>2500</v>
      </c>
    </row>
    <row r="1274" customFormat="false" ht="15" hidden="false" customHeight="false" outlineLevel="0" collapsed="false">
      <c r="A1274" s="25" t="s">
        <v>65</v>
      </c>
      <c r="B1274" s="25" t="s">
        <v>68</v>
      </c>
      <c r="C1274" s="25" t="s">
        <v>50</v>
      </c>
      <c r="D1274" s="25" t="n">
        <v>22</v>
      </c>
      <c r="E1274" s="25" t="s">
        <v>573</v>
      </c>
      <c r="F1274" s="25" t="s">
        <v>117</v>
      </c>
      <c r="G1274" s="25" t="n">
        <v>1288</v>
      </c>
      <c r="H1274" s="25" t="s">
        <v>624</v>
      </c>
      <c r="I1274" s="25" t="n">
        <v>1</v>
      </c>
      <c r="J1274" s="26" t="n">
        <v>2500</v>
      </c>
      <c r="K1274" s="25" t="s">
        <v>546</v>
      </c>
      <c r="L1274" s="25" t="s">
        <v>547</v>
      </c>
      <c r="M1274" s="26" t="n">
        <f aca="false">IF(AND(L1274="Oui",K1274="Principal"),I1274*J1274,0)</f>
        <v>2500</v>
      </c>
      <c r="N1274" s="25" t="s">
        <v>548</v>
      </c>
      <c r="O1274" s="25"/>
      <c r="P1274" s="25" t="s">
        <v>550</v>
      </c>
      <c r="Q1274" s="25" t="s">
        <v>557</v>
      </c>
      <c r="R1274" s="26" t="n">
        <v>2000</v>
      </c>
      <c r="S1274" s="26" t="n">
        <f aca="false">IF(AND(L1274="Oui",K1274="Principal",R1274&lt;&gt;""),I1274*R1274,0)</f>
        <v>2000</v>
      </c>
      <c r="T1274" s="26" t="n">
        <f aca="false">IF(R1274&lt;&gt;"",M1274-S1274,0)</f>
        <v>500</v>
      </c>
      <c r="U1274" s="26" t="n">
        <f aca="false">IF(R1274="",M1274,0)</f>
        <v>0</v>
      </c>
    </row>
    <row r="1275" customFormat="false" ht="15" hidden="false" customHeight="false" outlineLevel="0" collapsed="false">
      <c r="A1275" s="25" t="s">
        <v>65</v>
      </c>
      <c r="B1275" s="25" t="s">
        <v>68</v>
      </c>
      <c r="C1275" s="25" t="s">
        <v>50</v>
      </c>
      <c r="D1275" s="25" t="n">
        <v>23</v>
      </c>
      <c r="E1275" s="25" t="s">
        <v>573</v>
      </c>
      <c r="F1275" s="25" t="s">
        <v>321</v>
      </c>
      <c r="G1275" s="25" t="n">
        <v>1192</v>
      </c>
      <c r="H1275" s="25" t="s">
        <v>694</v>
      </c>
      <c r="I1275" s="25" t="n">
        <v>1</v>
      </c>
      <c r="J1275" s="26" t="n">
        <v>7000</v>
      </c>
      <c r="K1275" s="25" t="s">
        <v>546</v>
      </c>
      <c r="L1275" s="25" t="s">
        <v>547</v>
      </c>
      <c r="M1275" s="26" t="n">
        <f aca="false">IF(AND(L1275="Oui",K1275="Principal"),I1275*J1275,0)</f>
        <v>7000</v>
      </c>
      <c r="N1275" s="25" t="s">
        <v>548</v>
      </c>
      <c r="O1275" s="25"/>
      <c r="P1275" s="25" t="s">
        <v>550</v>
      </c>
      <c r="Q1275" s="25" t="s">
        <v>557</v>
      </c>
      <c r="R1275" s="26" t="n">
        <v>5500</v>
      </c>
      <c r="S1275" s="26" t="n">
        <f aca="false">IF(AND(L1275="Oui",K1275="Principal",R1275&lt;&gt;""),I1275*R1275,0)</f>
        <v>5500</v>
      </c>
      <c r="T1275" s="26" t="n">
        <f aca="false">IF(R1275&lt;&gt;"",M1275-S1275,0)</f>
        <v>1500</v>
      </c>
      <c r="U1275" s="26" t="n">
        <f aca="false">IF(R1275="",M1275,0)</f>
        <v>0</v>
      </c>
    </row>
    <row r="1276" customFormat="false" ht="15" hidden="false" customHeight="false" outlineLevel="0" collapsed="false">
      <c r="A1276" s="25" t="s">
        <v>65</v>
      </c>
      <c r="B1276" s="25" t="s">
        <v>68</v>
      </c>
      <c r="C1276" s="25" t="s">
        <v>50</v>
      </c>
      <c r="D1276" s="25" t="n">
        <v>24</v>
      </c>
      <c r="E1276" s="25" t="s">
        <v>689</v>
      </c>
      <c r="F1276" s="25" t="s">
        <v>465</v>
      </c>
      <c r="G1276" s="25" t="n">
        <v>1309</v>
      </c>
      <c r="H1276" s="25" t="s">
        <v>775</v>
      </c>
      <c r="I1276" s="25" t="n">
        <v>1</v>
      </c>
      <c r="J1276" s="26" t="n">
        <v>2800</v>
      </c>
      <c r="K1276" s="25" t="s">
        <v>546</v>
      </c>
      <c r="L1276" s="25" t="s">
        <v>547</v>
      </c>
      <c r="M1276" s="26" t="n">
        <f aca="false">IF(AND(L1276="Oui",K1276="Principal"),I1276*J1276,0)</f>
        <v>2800</v>
      </c>
      <c r="N1276" s="25" t="s">
        <v>548</v>
      </c>
      <c r="O1276" s="25"/>
      <c r="P1276" s="25" t="s">
        <v>550</v>
      </c>
      <c r="Q1276" s="25" t="s">
        <v>557</v>
      </c>
      <c r="R1276" s="26" t="n">
        <v>1800</v>
      </c>
      <c r="S1276" s="26" t="n">
        <f aca="false">IF(AND(L1276="Oui",K1276="Principal",R1276&lt;&gt;""),I1276*R1276,0)</f>
        <v>1800</v>
      </c>
      <c r="T1276" s="26" t="n">
        <f aca="false">IF(R1276&lt;&gt;"",M1276-S1276,0)</f>
        <v>1000</v>
      </c>
      <c r="U1276" s="26" t="n">
        <f aca="false">IF(R1276="",M1276,0)</f>
        <v>0</v>
      </c>
    </row>
    <row r="1277" customFormat="false" ht="15" hidden="false" customHeight="false" outlineLevel="0" collapsed="false">
      <c r="A1277" s="25" t="s">
        <v>65</v>
      </c>
      <c r="B1277" s="25" t="s">
        <v>68</v>
      </c>
      <c r="C1277" s="25" t="s">
        <v>50</v>
      </c>
      <c r="D1277" s="25" t="n">
        <v>25</v>
      </c>
      <c r="E1277" s="25" t="s">
        <v>689</v>
      </c>
      <c r="F1277" s="25" t="s">
        <v>467</v>
      </c>
      <c r="G1277" s="25" t="n">
        <v>1324</v>
      </c>
      <c r="H1277" s="25" t="s">
        <v>776</v>
      </c>
      <c r="I1277" s="25" t="n">
        <v>1</v>
      </c>
      <c r="J1277" s="26" t="n">
        <v>2800</v>
      </c>
      <c r="K1277" s="25" t="s">
        <v>546</v>
      </c>
      <c r="L1277" s="25" t="s">
        <v>547</v>
      </c>
      <c r="M1277" s="26" t="n">
        <f aca="false">IF(AND(L1277="Oui",K1277="Principal"),I1277*J1277,0)</f>
        <v>2800</v>
      </c>
      <c r="N1277" s="25" t="s">
        <v>548</v>
      </c>
      <c r="O1277" s="25"/>
      <c r="P1277" s="25" t="s">
        <v>550</v>
      </c>
      <c r="Q1277" s="25" t="s">
        <v>557</v>
      </c>
      <c r="R1277" s="26" t="n">
        <v>1800</v>
      </c>
      <c r="S1277" s="26" t="n">
        <f aca="false">IF(AND(L1277="Oui",K1277="Principal",R1277&lt;&gt;""),I1277*R1277,0)</f>
        <v>1800</v>
      </c>
      <c r="T1277" s="26" t="n">
        <f aca="false">IF(R1277&lt;&gt;"",M1277-S1277,0)</f>
        <v>1000</v>
      </c>
      <c r="U1277" s="26" t="n">
        <f aca="false">IF(R1277="",M1277,0)</f>
        <v>0</v>
      </c>
    </row>
    <row r="1278" customFormat="false" ht="15" hidden="false" customHeight="false" outlineLevel="0" collapsed="false">
      <c r="A1278" s="25" t="s">
        <v>65</v>
      </c>
      <c r="B1278" s="25" t="s">
        <v>68</v>
      </c>
      <c r="C1278" s="25" t="s">
        <v>50</v>
      </c>
      <c r="D1278" s="25" t="n">
        <v>26</v>
      </c>
      <c r="E1278" s="25" t="s">
        <v>689</v>
      </c>
      <c r="F1278" s="25" t="s">
        <v>469</v>
      </c>
      <c r="G1278" s="25" t="n">
        <v>1303</v>
      </c>
      <c r="H1278" s="25" t="s">
        <v>777</v>
      </c>
      <c r="I1278" s="25" t="n">
        <v>1</v>
      </c>
      <c r="J1278" s="26" t="n">
        <v>3500</v>
      </c>
      <c r="K1278" s="25" t="s">
        <v>546</v>
      </c>
      <c r="L1278" s="25" t="s">
        <v>547</v>
      </c>
      <c r="M1278" s="26" t="n">
        <f aca="false">IF(AND(L1278="Oui",K1278="Principal"),I1278*J1278,0)</f>
        <v>3500</v>
      </c>
      <c r="N1278" s="25" t="s">
        <v>548</v>
      </c>
      <c r="O1278" s="25" t="s">
        <v>778</v>
      </c>
      <c r="P1278" s="25" t="s">
        <v>550</v>
      </c>
      <c r="Q1278" s="25" t="s">
        <v>557</v>
      </c>
      <c r="R1278" s="26" t="n">
        <v>2500</v>
      </c>
      <c r="S1278" s="26" t="n">
        <f aca="false">IF(AND(L1278="Oui",K1278="Principal",R1278&lt;&gt;""),I1278*R1278,0)</f>
        <v>2500</v>
      </c>
      <c r="T1278" s="26" t="n">
        <f aca="false">IF(R1278&lt;&gt;"",M1278-S1278,0)</f>
        <v>1000</v>
      </c>
      <c r="U1278" s="26" t="n">
        <f aca="false">IF(R1278="",M1278,0)</f>
        <v>0</v>
      </c>
    </row>
    <row r="1279" customFormat="false" ht="15" hidden="false" customHeight="false" outlineLevel="0" collapsed="false">
      <c r="A1279" s="25" t="s">
        <v>65</v>
      </c>
      <c r="B1279" s="25" t="s">
        <v>68</v>
      </c>
      <c r="C1279" s="25" t="s">
        <v>50</v>
      </c>
      <c r="D1279" s="25" t="n">
        <v>27</v>
      </c>
      <c r="E1279" s="25" t="s">
        <v>689</v>
      </c>
      <c r="F1279" s="25" t="s">
        <v>471</v>
      </c>
      <c r="G1279" s="25" t="n">
        <v>1308</v>
      </c>
      <c r="H1279" s="25" t="s">
        <v>779</v>
      </c>
      <c r="I1279" s="25" t="n">
        <v>1</v>
      </c>
      <c r="J1279" s="26" t="n">
        <v>2800</v>
      </c>
      <c r="K1279" s="25" t="s">
        <v>546</v>
      </c>
      <c r="L1279" s="25" t="s">
        <v>547</v>
      </c>
      <c r="M1279" s="26" t="n">
        <f aca="false">IF(AND(L1279="Oui",K1279="Principal"),I1279*J1279,0)</f>
        <v>2800</v>
      </c>
      <c r="N1279" s="25" t="s">
        <v>548</v>
      </c>
      <c r="O1279" s="25"/>
      <c r="P1279" s="25" t="s">
        <v>550</v>
      </c>
      <c r="Q1279" s="25" t="s">
        <v>557</v>
      </c>
      <c r="R1279" s="26" t="n">
        <v>1800</v>
      </c>
      <c r="S1279" s="26" t="n">
        <f aca="false">IF(AND(L1279="Oui",K1279="Principal",R1279&lt;&gt;""),I1279*R1279,0)</f>
        <v>1800</v>
      </c>
      <c r="T1279" s="26" t="n">
        <f aca="false">IF(R1279&lt;&gt;"",M1279-S1279,0)</f>
        <v>1000</v>
      </c>
      <c r="U1279" s="26" t="n">
        <f aca="false">IF(R1279="",M1279,0)</f>
        <v>0</v>
      </c>
    </row>
    <row r="1280" customFormat="false" ht="15" hidden="false" customHeight="false" outlineLevel="0" collapsed="false">
      <c r="A1280" s="27" t="s">
        <v>65</v>
      </c>
      <c r="B1280" s="27" t="s">
        <v>68</v>
      </c>
      <c r="C1280" s="27" t="s">
        <v>50</v>
      </c>
      <c r="D1280" s="27" t="n">
        <v>28</v>
      </c>
      <c r="E1280" s="27" t="s">
        <v>689</v>
      </c>
      <c r="F1280" s="27" t="s">
        <v>473</v>
      </c>
      <c r="G1280" s="27"/>
      <c r="H1280" s="27" t="s">
        <v>585</v>
      </c>
      <c r="I1280" s="27" t="n">
        <v>1</v>
      </c>
      <c r="J1280" s="28" t="n">
        <v>0</v>
      </c>
      <c r="K1280" s="27" t="s">
        <v>546</v>
      </c>
      <c r="L1280" s="27" t="s">
        <v>579</v>
      </c>
      <c r="M1280" s="28" t="n">
        <f aca="false">IF(AND(L1280="Oui",K1280="Principal"),I1280*J1280,0)</f>
        <v>0</v>
      </c>
      <c r="N1280" s="27" t="s">
        <v>128</v>
      </c>
      <c r="O1280" s="27" t="s">
        <v>586</v>
      </c>
      <c r="P1280" s="27"/>
      <c r="Q1280" s="27"/>
      <c r="R1280" s="28"/>
      <c r="S1280" s="28" t="n">
        <f aca="false">IF(AND(L1280="Oui",K1280="Principal",R1280&lt;&gt;""),I1280*R1280,0)</f>
        <v>0</v>
      </c>
      <c r="T1280" s="28" t="n">
        <f aca="false">IF(R1280&lt;&gt;"",M1280-S1280,0)</f>
        <v>0</v>
      </c>
      <c r="U1280" s="28" t="n">
        <f aca="false">IF(R1280="",M1280,0)</f>
        <v>0</v>
      </c>
    </row>
    <row r="1281" customFormat="false" ht="15" hidden="false" customHeight="false" outlineLevel="0" collapsed="false">
      <c r="A1281" s="31" t="s">
        <v>65</v>
      </c>
      <c r="B1281" s="31" t="s">
        <v>68</v>
      </c>
      <c r="C1281" s="31" t="s">
        <v>50</v>
      </c>
      <c r="D1281" s="31" t="n">
        <v>29</v>
      </c>
      <c r="E1281" s="31" t="s">
        <v>588</v>
      </c>
      <c r="F1281" s="31" t="s">
        <v>437</v>
      </c>
      <c r="G1281" s="31" t="s">
        <v>759</v>
      </c>
      <c r="H1281" s="31" t="s">
        <v>760</v>
      </c>
      <c r="I1281" s="31" t="n">
        <v>1</v>
      </c>
      <c r="J1281" s="32" t="n">
        <v>2750</v>
      </c>
      <c r="K1281" s="31" t="s">
        <v>546</v>
      </c>
      <c r="L1281" s="31" t="s">
        <v>547</v>
      </c>
      <c r="M1281" s="32" t="n">
        <f aca="false">IF(AND(L1281="Oui",K1281="Principal"),I1281*J1281,0)</f>
        <v>2750</v>
      </c>
      <c r="N1281" s="31" t="s">
        <v>172</v>
      </c>
      <c r="O1281" s="31" t="s">
        <v>761</v>
      </c>
      <c r="P1281" s="31" t="s">
        <v>550</v>
      </c>
      <c r="Q1281" s="31" t="s">
        <v>557</v>
      </c>
      <c r="R1281" s="32" t="n">
        <v>2000</v>
      </c>
      <c r="S1281" s="32" t="n">
        <f aca="false">IF(AND(L1281="Oui",K1281="Principal",R1281&lt;&gt;""),I1281*R1281,0)</f>
        <v>2000</v>
      </c>
      <c r="T1281" s="32" t="n">
        <f aca="false">IF(R1281&lt;&gt;"",M1281-S1281,0)</f>
        <v>750</v>
      </c>
      <c r="U1281" s="32" t="n">
        <f aca="false">IF(R1281="",M1281,0)</f>
        <v>0</v>
      </c>
    </row>
    <row r="1282" customFormat="false" ht="15" hidden="false" customHeight="false" outlineLevel="0" collapsed="false">
      <c r="A1282" s="31" t="s">
        <v>65</v>
      </c>
      <c r="B1282" s="31" t="s">
        <v>68</v>
      </c>
      <c r="C1282" s="31" t="s">
        <v>50</v>
      </c>
      <c r="D1282" s="31" t="n">
        <v>30</v>
      </c>
      <c r="E1282" s="31" t="s">
        <v>588</v>
      </c>
      <c r="F1282" s="31" t="s">
        <v>439</v>
      </c>
      <c r="G1282" s="31" t="s">
        <v>762</v>
      </c>
      <c r="H1282" s="31" t="s">
        <v>763</v>
      </c>
      <c r="I1282" s="31" t="n">
        <v>1</v>
      </c>
      <c r="J1282" s="32" t="n">
        <v>3000</v>
      </c>
      <c r="K1282" s="31" t="s">
        <v>546</v>
      </c>
      <c r="L1282" s="31" t="s">
        <v>547</v>
      </c>
      <c r="M1282" s="32" t="n">
        <f aca="false">IF(AND(L1282="Oui",K1282="Principal"),I1282*J1282,0)</f>
        <v>3000</v>
      </c>
      <c r="N1282" s="31" t="s">
        <v>172</v>
      </c>
      <c r="O1282" s="31" t="s">
        <v>764</v>
      </c>
      <c r="P1282" s="31" t="s">
        <v>550</v>
      </c>
      <c r="Q1282" s="31" t="s">
        <v>557</v>
      </c>
      <c r="R1282" s="32" t="n">
        <v>2000</v>
      </c>
      <c r="S1282" s="32" t="n">
        <f aca="false">IF(AND(L1282="Oui",K1282="Principal",R1282&lt;&gt;""),I1282*R1282,0)</f>
        <v>2000</v>
      </c>
      <c r="T1282" s="32" t="n">
        <f aca="false">IF(R1282&lt;&gt;"",M1282-S1282,0)</f>
        <v>1000</v>
      </c>
      <c r="U1282" s="32" t="n">
        <f aca="false">IF(R1282="",M1282,0)</f>
        <v>0</v>
      </c>
    </row>
    <row r="1283" customFormat="false" ht="15" hidden="false" customHeight="false" outlineLevel="0" collapsed="false">
      <c r="A1283" s="25" t="s">
        <v>65</v>
      </c>
      <c r="B1283" s="25" t="s">
        <v>69</v>
      </c>
      <c r="C1283" s="25" t="s">
        <v>48</v>
      </c>
      <c r="D1283" s="25" t="n">
        <v>1</v>
      </c>
      <c r="E1283" s="25" t="s">
        <v>544</v>
      </c>
      <c r="F1283" s="25" t="s">
        <v>295</v>
      </c>
      <c r="G1283" s="25" t="n">
        <v>1618</v>
      </c>
      <c r="H1283" s="25" t="s">
        <v>600</v>
      </c>
      <c r="I1283" s="25" t="n">
        <v>1</v>
      </c>
      <c r="J1283" s="26" t="n">
        <v>450</v>
      </c>
      <c r="K1283" s="25" t="s">
        <v>546</v>
      </c>
      <c r="L1283" s="25" t="s">
        <v>547</v>
      </c>
      <c r="M1283" s="26" t="n">
        <f aca="false">IF(AND(L1283="Oui",K1283="Principal"),I1283*J1283,0)</f>
        <v>450</v>
      </c>
      <c r="N1283" s="25" t="s">
        <v>548</v>
      </c>
      <c r="O1283" s="25"/>
      <c r="P1283" s="25" t="s">
        <v>556</v>
      </c>
      <c r="Q1283" s="25" t="s">
        <v>557</v>
      </c>
      <c r="R1283" s="26" t="n">
        <v>350</v>
      </c>
      <c r="S1283" s="26" t="n">
        <f aca="false">IF(AND(L1283="Oui",K1283="Principal",R1283&lt;&gt;""),I1283*R1283,0)</f>
        <v>350</v>
      </c>
      <c r="T1283" s="26" t="n">
        <f aca="false">IF(R1283&lt;&gt;"",M1283-S1283,0)</f>
        <v>100</v>
      </c>
      <c r="U1283" s="26" t="n">
        <f aca="false">IF(R1283="",M1283,0)</f>
        <v>0</v>
      </c>
    </row>
    <row r="1284" customFormat="false" ht="15" hidden="false" customHeight="false" outlineLevel="0" collapsed="false">
      <c r="A1284" s="25" t="s">
        <v>65</v>
      </c>
      <c r="B1284" s="25" t="s">
        <v>69</v>
      </c>
      <c r="C1284" s="25" t="s">
        <v>48</v>
      </c>
      <c r="D1284" s="25" t="n">
        <v>2</v>
      </c>
      <c r="E1284" s="25" t="s">
        <v>544</v>
      </c>
      <c r="F1284" s="25" t="s">
        <v>296</v>
      </c>
      <c r="G1284" s="25" t="n">
        <v>1</v>
      </c>
      <c r="H1284" s="25" t="s">
        <v>681</v>
      </c>
      <c r="I1284" s="25" t="n">
        <v>4</v>
      </c>
      <c r="J1284" s="26" t="n">
        <v>500</v>
      </c>
      <c r="K1284" s="25" t="s">
        <v>546</v>
      </c>
      <c r="L1284" s="25" t="s">
        <v>547</v>
      </c>
      <c r="M1284" s="26" t="n">
        <f aca="false">IF(AND(L1284="Oui",K1284="Principal"),I1284*J1284,0)</f>
        <v>2000</v>
      </c>
      <c r="N1284" s="25" t="s">
        <v>548</v>
      </c>
      <c r="O1284" s="25"/>
      <c r="P1284" s="25" t="s">
        <v>559</v>
      </c>
      <c r="Q1284" s="25" t="s">
        <v>551</v>
      </c>
      <c r="R1284" s="26"/>
      <c r="S1284" s="26" t="n">
        <f aca="false">IF(AND(L1284="Oui",K1284="Principal",R1284&lt;&gt;""),I1284*R1284,0)</f>
        <v>0</v>
      </c>
      <c r="T1284" s="26" t="n">
        <f aca="false">IF(R1284&lt;&gt;"",M1284-S1284,0)</f>
        <v>0</v>
      </c>
      <c r="U1284" s="26" t="n">
        <f aca="false">IF(R1284="",M1284,0)</f>
        <v>2000</v>
      </c>
    </row>
    <row r="1285" customFormat="false" ht="15" hidden="false" customHeight="false" outlineLevel="0" collapsed="false">
      <c r="A1285" s="25" t="s">
        <v>65</v>
      </c>
      <c r="B1285" s="25" t="s">
        <v>69</v>
      </c>
      <c r="C1285" s="25" t="s">
        <v>48</v>
      </c>
      <c r="D1285" s="25" t="n">
        <v>3</v>
      </c>
      <c r="E1285" s="25" t="s">
        <v>544</v>
      </c>
      <c r="F1285" s="25" t="s">
        <v>298</v>
      </c>
      <c r="G1285" s="25" t="n">
        <v>1576</v>
      </c>
      <c r="H1285" s="25" t="s">
        <v>682</v>
      </c>
      <c r="I1285" s="25" t="n">
        <v>2</v>
      </c>
      <c r="J1285" s="26" t="n">
        <v>500</v>
      </c>
      <c r="K1285" s="25" t="s">
        <v>546</v>
      </c>
      <c r="L1285" s="25" t="s">
        <v>547</v>
      </c>
      <c r="M1285" s="26" t="n">
        <f aca="false">IF(AND(L1285="Oui",K1285="Principal"),I1285*J1285,0)</f>
        <v>1000</v>
      </c>
      <c r="N1285" s="25" t="s">
        <v>548</v>
      </c>
      <c r="O1285" s="25"/>
      <c r="P1285" s="25" t="s">
        <v>556</v>
      </c>
      <c r="Q1285" s="25" t="s">
        <v>557</v>
      </c>
      <c r="R1285" s="26" t="n">
        <v>400</v>
      </c>
      <c r="S1285" s="26" t="n">
        <f aca="false">IF(AND(L1285="Oui",K1285="Principal",R1285&lt;&gt;""),I1285*R1285,0)</f>
        <v>800</v>
      </c>
      <c r="T1285" s="26" t="n">
        <f aca="false">IF(R1285&lt;&gt;"",M1285-S1285,0)</f>
        <v>200</v>
      </c>
      <c r="U1285" s="26" t="n">
        <f aca="false">IF(R1285="",M1285,0)</f>
        <v>0</v>
      </c>
    </row>
    <row r="1286" customFormat="false" ht="15" hidden="false" customHeight="false" outlineLevel="0" collapsed="false">
      <c r="A1286" s="25" t="s">
        <v>65</v>
      </c>
      <c r="B1286" s="25" t="s">
        <v>69</v>
      </c>
      <c r="C1286" s="25" t="s">
        <v>48</v>
      </c>
      <c r="D1286" s="25" t="n">
        <v>4</v>
      </c>
      <c r="E1286" s="25" t="s">
        <v>544</v>
      </c>
      <c r="F1286" s="25" t="s">
        <v>338</v>
      </c>
      <c r="G1286" s="25" t="n">
        <v>2</v>
      </c>
      <c r="H1286" s="25" t="s">
        <v>705</v>
      </c>
      <c r="I1286" s="25" t="n">
        <v>4</v>
      </c>
      <c r="J1286" s="26" t="n">
        <v>900</v>
      </c>
      <c r="K1286" s="25" t="s">
        <v>546</v>
      </c>
      <c r="L1286" s="25" t="s">
        <v>547</v>
      </c>
      <c r="M1286" s="26" t="n">
        <f aca="false">IF(AND(L1286="Oui",K1286="Principal"),I1286*J1286,0)</f>
        <v>3600</v>
      </c>
      <c r="N1286" s="25" t="s">
        <v>548</v>
      </c>
      <c r="O1286" s="25"/>
      <c r="P1286" s="25" t="s">
        <v>559</v>
      </c>
      <c r="Q1286" s="25" t="s">
        <v>551</v>
      </c>
      <c r="R1286" s="26"/>
      <c r="S1286" s="26" t="n">
        <f aca="false">IF(AND(L1286="Oui",K1286="Principal",R1286&lt;&gt;""),I1286*R1286,0)</f>
        <v>0</v>
      </c>
      <c r="T1286" s="26" t="n">
        <f aca="false">IF(R1286&lt;&gt;"",M1286-S1286,0)</f>
        <v>0</v>
      </c>
      <c r="U1286" s="26" t="n">
        <f aca="false">IF(R1286="",M1286,0)</f>
        <v>3600</v>
      </c>
    </row>
    <row r="1287" customFormat="false" ht="15" hidden="false" customHeight="false" outlineLevel="0" collapsed="false">
      <c r="A1287" s="25" t="s">
        <v>65</v>
      </c>
      <c r="B1287" s="25" t="s">
        <v>69</v>
      </c>
      <c r="C1287" s="25" t="s">
        <v>48</v>
      </c>
      <c r="D1287" s="25" t="n">
        <v>5</v>
      </c>
      <c r="E1287" s="25" t="s">
        <v>544</v>
      </c>
      <c r="F1287" s="25" t="s">
        <v>301</v>
      </c>
      <c r="G1287" s="25" t="n">
        <v>1728</v>
      </c>
      <c r="H1287" s="25" t="s">
        <v>545</v>
      </c>
      <c r="I1287" s="25" t="n">
        <v>1</v>
      </c>
      <c r="J1287" s="26" t="n">
        <v>900</v>
      </c>
      <c r="K1287" s="25" t="s">
        <v>546</v>
      </c>
      <c r="L1287" s="25" t="s">
        <v>547</v>
      </c>
      <c r="M1287" s="26" t="n">
        <f aca="false">IF(AND(L1287="Oui",K1287="Principal"),I1287*J1287,0)</f>
        <v>900</v>
      </c>
      <c r="N1287" s="25" t="s">
        <v>548</v>
      </c>
      <c r="O1287" s="25"/>
      <c r="P1287" s="25" t="s">
        <v>550</v>
      </c>
      <c r="Q1287" s="25" t="s">
        <v>551</v>
      </c>
      <c r="R1287" s="26"/>
      <c r="S1287" s="26" t="n">
        <f aca="false">IF(AND(L1287="Oui",K1287="Principal",R1287&lt;&gt;""),I1287*R1287,0)</f>
        <v>0</v>
      </c>
      <c r="T1287" s="26" t="n">
        <f aca="false">IF(R1287&lt;&gt;"",M1287-S1287,0)</f>
        <v>0</v>
      </c>
      <c r="U1287" s="26" t="n">
        <f aca="false">IF(R1287="",M1287,0)</f>
        <v>900</v>
      </c>
    </row>
    <row r="1288" customFormat="false" ht="15" hidden="false" customHeight="false" outlineLevel="0" collapsed="false">
      <c r="A1288" s="25" t="s">
        <v>65</v>
      </c>
      <c r="B1288" s="25" t="s">
        <v>69</v>
      </c>
      <c r="C1288" s="25" t="s">
        <v>48</v>
      </c>
      <c r="D1288" s="25" t="n">
        <v>6</v>
      </c>
      <c r="E1288" s="25" t="s">
        <v>563</v>
      </c>
      <c r="F1288" s="25" t="s">
        <v>255</v>
      </c>
      <c r="G1288" s="25" t="n">
        <v>1636</v>
      </c>
      <c r="H1288" s="25" t="s">
        <v>661</v>
      </c>
      <c r="I1288" s="25" t="n">
        <v>1</v>
      </c>
      <c r="J1288" s="26" t="n">
        <v>400</v>
      </c>
      <c r="K1288" s="25" t="s">
        <v>546</v>
      </c>
      <c r="L1288" s="25" t="s">
        <v>547</v>
      </c>
      <c r="M1288" s="26" t="n">
        <f aca="false">IF(AND(L1288="Oui",K1288="Principal"),I1288*J1288,0)</f>
        <v>400</v>
      </c>
      <c r="N1288" s="25" t="s">
        <v>548</v>
      </c>
      <c r="O1288" s="25"/>
      <c r="P1288" s="25" t="s">
        <v>556</v>
      </c>
      <c r="Q1288" s="25" t="s">
        <v>557</v>
      </c>
      <c r="R1288" s="26" t="n">
        <v>320</v>
      </c>
      <c r="S1288" s="26" t="n">
        <f aca="false">IF(AND(L1288="Oui",K1288="Principal",R1288&lt;&gt;""),I1288*R1288,0)</f>
        <v>320</v>
      </c>
      <c r="T1288" s="26" t="n">
        <f aca="false">IF(R1288&lt;&gt;"",M1288-S1288,0)</f>
        <v>80</v>
      </c>
      <c r="U1288" s="26" t="n">
        <f aca="false">IF(R1288="",M1288,0)</f>
        <v>0</v>
      </c>
    </row>
    <row r="1289" customFormat="false" ht="15" hidden="false" customHeight="false" outlineLevel="0" collapsed="false">
      <c r="A1289" s="25" t="s">
        <v>65</v>
      </c>
      <c r="B1289" s="25" t="s">
        <v>69</v>
      </c>
      <c r="C1289" s="25" t="s">
        <v>48</v>
      </c>
      <c r="D1289" s="25" t="n">
        <v>7</v>
      </c>
      <c r="E1289" s="25" t="s">
        <v>563</v>
      </c>
      <c r="F1289" s="25" t="s">
        <v>257</v>
      </c>
      <c r="G1289" s="25" t="n">
        <v>1635</v>
      </c>
      <c r="H1289" s="25" t="s">
        <v>607</v>
      </c>
      <c r="I1289" s="25" t="n">
        <v>1</v>
      </c>
      <c r="J1289" s="26" t="n">
        <v>100</v>
      </c>
      <c r="K1289" s="25" t="s">
        <v>546</v>
      </c>
      <c r="L1289" s="25" t="s">
        <v>547</v>
      </c>
      <c r="M1289" s="26" t="n">
        <f aca="false">IF(AND(L1289="Oui",K1289="Principal"),I1289*J1289,0)</f>
        <v>100</v>
      </c>
      <c r="N1289" s="25" t="s">
        <v>548</v>
      </c>
      <c r="O1289" s="25"/>
      <c r="P1289" s="25" t="s">
        <v>556</v>
      </c>
      <c r="Q1289" s="25" t="s">
        <v>557</v>
      </c>
      <c r="R1289" s="26" t="n">
        <v>80</v>
      </c>
      <c r="S1289" s="26" t="n">
        <f aca="false">IF(AND(L1289="Oui",K1289="Principal",R1289&lt;&gt;""),I1289*R1289,0)</f>
        <v>80</v>
      </c>
      <c r="T1289" s="26" t="n">
        <f aca="false">IF(R1289&lt;&gt;"",M1289-S1289,0)</f>
        <v>20</v>
      </c>
      <c r="U1289" s="26" t="n">
        <f aca="false">IF(R1289="",M1289,0)</f>
        <v>0</v>
      </c>
    </row>
    <row r="1290" customFormat="false" ht="15" hidden="false" customHeight="false" outlineLevel="0" collapsed="false">
      <c r="A1290" s="25" t="s">
        <v>65</v>
      </c>
      <c r="B1290" s="25" t="s">
        <v>69</v>
      </c>
      <c r="C1290" s="25" t="s">
        <v>48</v>
      </c>
      <c r="D1290" s="25" t="n">
        <v>8</v>
      </c>
      <c r="E1290" s="25" t="s">
        <v>563</v>
      </c>
      <c r="F1290" s="25" t="s">
        <v>97</v>
      </c>
      <c r="G1290" s="25" t="n">
        <v>1571</v>
      </c>
      <c r="H1290" s="25" t="s">
        <v>564</v>
      </c>
      <c r="I1290" s="25" t="n">
        <v>2</v>
      </c>
      <c r="J1290" s="26" t="n">
        <v>75</v>
      </c>
      <c r="K1290" s="25" t="s">
        <v>546</v>
      </c>
      <c r="L1290" s="25" t="s">
        <v>547</v>
      </c>
      <c r="M1290" s="26" t="n">
        <f aca="false">IF(AND(L1290="Oui",K1290="Principal"),I1290*J1290,0)</f>
        <v>150</v>
      </c>
      <c r="N1290" s="25" t="s">
        <v>548</v>
      </c>
      <c r="O1290" s="25"/>
      <c r="P1290" s="25" t="s">
        <v>550</v>
      </c>
      <c r="Q1290" s="25" t="s">
        <v>557</v>
      </c>
      <c r="R1290" s="26"/>
      <c r="S1290" s="26" t="n">
        <f aca="false">IF(AND(L1290="Oui",K1290="Principal",R1290&lt;&gt;""),I1290*R1290,0)</f>
        <v>0</v>
      </c>
      <c r="T1290" s="26" t="n">
        <f aca="false">IF(R1290&lt;&gt;"",M1290-S1290,0)</f>
        <v>0</v>
      </c>
      <c r="U1290" s="26" t="n">
        <f aca="false">IF(R1290="",M1290,0)</f>
        <v>150</v>
      </c>
    </row>
    <row r="1291" customFormat="false" ht="15" hidden="false" customHeight="false" outlineLevel="0" collapsed="false">
      <c r="A1291" s="25" t="s">
        <v>65</v>
      </c>
      <c r="B1291" s="25" t="s">
        <v>69</v>
      </c>
      <c r="C1291" s="25" t="s">
        <v>48</v>
      </c>
      <c r="D1291" s="25" t="n">
        <v>9</v>
      </c>
      <c r="E1291" s="25" t="s">
        <v>563</v>
      </c>
      <c r="F1291" s="25" t="s">
        <v>325</v>
      </c>
      <c r="G1291" s="25" t="n">
        <v>1248</v>
      </c>
      <c r="H1291" s="25" t="s">
        <v>697</v>
      </c>
      <c r="I1291" s="25" t="n">
        <v>1</v>
      </c>
      <c r="J1291" s="26" t="n">
        <v>400</v>
      </c>
      <c r="K1291" s="25" t="s">
        <v>546</v>
      </c>
      <c r="L1291" s="25" t="s">
        <v>547</v>
      </c>
      <c r="M1291" s="26" t="n">
        <f aca="false">IF(AND(L1291="Oui",K1291="Principal"),I1291*J1291,0)</f>
        <v>400</v>
      </c>
      <c r="N1291" s="25" t="s">
        <v>548</v>
      </c>
      <c r="O1291" s="25"/>
      <c r="P1291" s="25" t="s">
        <v>550</v>
      </c>
      <c r="Q1291" s="25" t="s">
        <v>557</v>
      </c>
      <c r="R1291" s="26" t="n">
        <v>250</v>
      </c>
      <c r="S1291" s="26" t="n">
        <f aca="false">IF(AND(L1291="Oui",K1291="Principal",R1291&lt;&gt;""),I1291*R1291,0)</f>
        <v>250</v>
      </c>
      <c r="T1291" s="26" t="n">
        <f aca="false">IF(R1291&lt;&gt;"",M1291-S1291,0)</f>
        <v>150</v>
      </c>
      <c r="U1291" s="26" t="n">
        <f aca="false">IF(R1291="",M1291,0)</f>
        <v>0</v>
      </c>
    </row>
    <row r="1292" customFormat="false" ht="15" hidden="false" customHeight="false" outlineLevel="0" collapsed="false">
      <c r="A1292" s="25" t="s">
        <v>65</v>
      </c>
      <c r="B1292" s="25" t="s">
        <v>69</v>
      </c>
      <c r="C1292" s="25" t="s">
        <v>48</v>
      </c>
      <c r="D1292" s="25" t="n">
        <v>10</v>
      </c>
      <c r="E1292" s="25" t="s">
        <v>565</v>
      </c>
      <c r="F1292" s="25" t="s">
        <v>99</v>
      </c>
      <c r="G1292" s="25" t="n">
        <v>9</v>
      </c>
      <c r="H1292" s="25" t="s">
        <v>566</v>
      </c>
      <c r="I1292" s="25" t="n">
        <v>1</v>
      </c>
      <c r="J1292" s="26" t="n">
        <v>150</v>
      </c>
      <c r="K1292" s="25" t="s">
        <v>546</v>
      </c>
      <c r="L1292" s="25" t="s">
        <v>547</v>
      </c>
      <c r="M1292" s="26" t="n">
        <f aca="false">IF(AND(L1292="Oui",K1292="Principal"),I1292*J1292,0)</f>
        <v>150</v>
      </c>
      <c r="N1292" s="25" t="s">
        <v>548</v>
      </c>
      <c r="O1292" s="25"/>
      <c r="P1292" s="25" t="s">
        <v>559</v>
      </c>
      <c r="Q1292" s="25" t="s">
        <v>551</v>
      </c>
      <c r="R1292" s="26"/>
      <c r="S1292" s="26" t="n">
        <f aca="false">IF(AND(L1292="Oui",K1292="Principal",R1292&lt;&gt;""),I1292*R1292,0)</f>
        <v>0</v>
      </c>
      <c r="T1292" s="26" t="n">
        <f aca="false">IF(R1292&lt;&gt;"",M1292-S1292,0)</f>
        <v>0</v>
      </c>
      <c r="U1292" s="26" t="n">
        <f aca="false">IF(R1292="",M1292,0)</f>
        <v>150</v>
      </c>
    </row>
    <row r="1293" customFormat="false" ht="15" hidden="false" customHeight="false" outlineLevel="0" collapsed="false">
      <c r="A1293" s="25" t="s">
        <v>65</v>
      </c>
      <c r="B1293" s="25" t="s">
        <v>69</v>
      </c>
      <c r="C1293" s="25" t="s">
        <v>48</v>
      </c>
      <c r="D1293" s="25" t="n">
        <v>11</v>
      </c>
      <c r="E1293" s="25" t="s">
        <v>565</v>
      </c>
      <c r="F1293" s="25" t="s">
        <v>164</v>
      </c>
      <c r="G1293" s="25" t="n">
        <v>10</v>
      </c>
      <c r="H1293" s="25" t="s">
        <v>608</v>
      </c>
      <c r="I1293" s="25" t="n">
        <v>1</v>
      </c>
      <c r="J1293" s="26" t="n">
        <v>200</v>
      </c>
      <c r="K1293" s="25" t="s">
        <v>546</v>
      </c>
      <c r="L1293" s="25" t="s">
        <v>547</v>
      </c>
      <c r="M1293" s="26" t="n">
        <f aca="false">IF(AND(L1293="Oui",K1293="Principal"),I1293*J1293,0)</f>
        <v>200</v>
      </c>
      <c r="N1293" s="25" t="s">
        <v>548</v>
      </c>
      <c r="O1293" s="25"/>
      <c r="P1293" s="25" t="s">
        <v>559</v>
      </c>
      <c r="Q1293" s="25" t="s">
        <v>551</v>
      </c>
      <c r="R1293" s="26"/>
      <c r="S1293" s="26" t="n">
        <f aca="false">IF(AND(L1293="Oui",K1293="Principal",R1293&lt;&gt;""),I1293*R1293,0)</f>
        <v>0</v>
      </c>
      <c r="T1293" s="26" t="n">
        <f aca="false">IF(R1293&lt;&gt;"",M1293-S1293,0)</f>
        <v>0</v>
      </c>
      <c r="U1293" s="26" t="n">
        <f aca="false">IF(R1293="",M1293,0)</f>
        <v>200</v>
      </c>
    </row>
    <row r="1294" customFormat="false" ht="15" hidden="false" customHeight="false" outlineLevel="0" collapsed="false">
      <c r="A1294" s="25" t="s">
        <v>65</v>
      </c>
      <c r="B1294" s="25" t="s">
        <v>69</v>
      </c>
      <c r="C1294" s="25" t="s">
        <v>48</v>
      </c>
      <c r="D1294" s="25" t="n">
        <v>12</v>
      </c>
      <c r="E1294" s="25" t="s">
        <v>565</v>
      </c>
      <c r="F1294" s="25" t="s">
        <v>166</v>
      </c>
      <c r="G1294" s="25" t="n">
        <v>1173</v>
      </c>
      <c r="H1294" s="25" t="s">
        <v>569</v>
      </c>
      <c r="I1294" s="25" t="n">
        <v>1</v>
      </c>
      <c r="J1294" s="26" t="n">
        <v>570</v>
      </c>
      <c r="K1294" s="25" t="s">
        <v>546</v>
      </c>
      <c r="L1294" s="25" t="s">
        <v>547</v>
      </c>
      <c r="M1294" s="26" t="n">
        <f aca="false">IF(AND(L1294="Oui",K1294="Principal"),I1294*J1294,0)</f>
        <v>570</v>
      </c>
      <c r="N1294" s="25" t="s">
        <v>548</v>
      </c>
      <c r="O1294" s="25"/>
      <c r="P1294" s="25" t="s">
        <v>550</v>
      </c>
      <c r="Q1294" s="25" t="s">
        <v>557</v>
      </c>
      <c r="R1294" s="26" t="n">
        <v>420</v>
      </c>
      <c r="S1294" s="26" t="n">
        <f aca="false">IF(AND(L1294="Oui",K1294="Principal",R1294&lt;&gt;""),I1294*R1294,0)</f>
        <v>420</v>
      </c>
      <c r="T1294" s="26" t="n">
        <f aca="false">IF(R1294&lt;&gt;"",M1294-S1294,0)</f>
        <v>150</v>
      </c>
      <c r="U1294" s="26" t="n">
        <f aca="false">IF(R1294="",M1294,0)</f>
        <v>0</v>
      </c>
    </row>
    <row r="1295" customFormat="false" ht="15" hidden="false" customHeight="false" outlineLevel="0" collapsed="false">
      <c r="A1295" s="25" t="s">
        <v>65</v>
      </c>
      <c r="B1295" s="25" t="s">
        <v>69</v>
      </c>
      <c r="C1295" s="25" t="s">
        <v>48</v>
      </c>
      <c r="D1295" s="25" t="n">
        <v>13</v>
      </c>
      <c r="E1295" s="25" t="s">
        <v>565</v>
      </c>
      <c r="F1295" s="25" t="s">
        <v>304</v>
      </c>
      <c r="G1295" s="25" t="n">
        <v>1250</v>
      </c>
      <c r="H1295" s="25" t="s">
        <v>570</v>
      </c>
      <c r="I1295" s="25" t="n">
        <v>1</v>
      </c>
      <c r="J1295" s="26" t="n">
        <v>250</v>
      </c>
      <c r="K1295" s="25" t="s">
        <v>546</v>
      </c>
      <c r="L1295" s="25" t="s">
        <v>547</v>
      </c>
      <c r="M1295" s="26" t="n">
        <f aca="false">IF(AND(L1295="Oui",K1295="Principal"),I1295*J1295,0)</f>
        <v>250</v>
      </c>
      <c r="N1295" s="25" t="s">
        <v>548</v>
      </c>
      <c r="O1295" s="25"/>
      <c r="P1295" s="25" t="s">
        <v>550</v>
      </c>
      <c r="Q1295" s="25" t="s">
        <v>557</v>
      </c>
      <c r="R1295" s="26" t="n">
        <v>100</v>
      </c>
      <c r="S1295" s="26" t="n">
        <f aca="false">IF(AND(L1295="Oui",K1295="Principal",R1295&lt;&gt;""),I1295*R1295,0)</f>
        <v>100</v>
      </c>
      <c r="T1295" s="26" t="n">
        <f aca="false">IF(R1295&lt;&gt;"",M1295-S1295,0)</f>
        <v>150</v>
      </c>
      <c r="U1295" s="26" t="n">
        <f aca="false">IF(R1295="",M1295,0)</f>
        <v>0</v>
      </c>
    </row>
    <row r="1296" customFormat="false" ht="15" hidden="false" customHeight="false" outlineLevel="0" collapsed="false">
      <c r="A1296" s="33" t="s">
        <v>65</v>
      </c>
      <c r="B1296" s="33" t="s">
        <v>69</v>
      </c>
      <c r="C1296" s="33" t="s">
        <v>48</v>
      </c>
      <c r="D1296" s="33" t="n">
        <v>14</v>
      </c>
      <c r="E1296" s="33" t="s">
        <v>609</v>
      </c>
      <c r="F1296" s="33" t="s">
        <v>199</v>
      </c>
      <c r="G1296" s="33" t="n">
        <v>1229</v>
      </c>
      <c r="H1296" s="33" t="s">
        <v>643</v>
      </c>
      <c r="I1296" s="33" t="n">
        <v>1</v>
      </c>
      <c r="J1296" s="34" t="n">
        <v>1800</v>
      </c>
      <c r="K1296" s="33" t="s">
        <v>546</v>
      </c>
      <c r="L1296" s="33" t="s">
        <v>547</v>
      </c>
      <c r="M1296" s="34" t="n">
        <f aca="false">IF(AND(L1296="Oui",K1296="Principal"),I1296*J1296,0)</f>
        <v>1800</v>
      </c>
      <c r="N1296" s="33" t="s">
        <v>182</v>
      </c>
      <c r="O1296" s="33" t="s">
        <v>644</v>
      </c>
      <c r="P1296" s="33" t="s">
        <v>550</v>
      </c>
      <c r="Q1296" s="33" t="s">
        <v>557</v>
      </c>
      <c r="R1296" s="34" t="n">
        <v>1500</v>
      </c>
      <c r="S1296" s="34" t="n">
        <f aca="false">IF(AND(L1296="Oui",K1296="Principal",R1296&lt;&gt;""),I1296*R1296,0)</f>
        <v>1500</v>
      </c>
      <c r="T1296" s="34" t="n">
        <f aca="false">IF(R1296&lt;&gt;"",M1296-S1296,0)</f>
        <v>300</v>
      </c>
      <c r="U1296" s="34" t="n">
        <f aca="false">IF(R1296="",M1296,0)</f>
        <v>0</v>
      </c>
    </row>
    <row r="1297" customFormat="false" ht="15" hidden="false" customHeight="false" outlineLevel="0" collapsed="false">
      <c r="A1297" s="25" t="s">
        <v>65</v>
      </c>
      <c r="B1297" s="25" t="s">
        <v>69</v>
      </c>
      <c r="C1297" s="25" t="s">
        <v>48</v>
      </c>
      <c r="D1297" s="25" t="n">
        <v>15</v>
      </c>
      <c r="E1297" s="25" t="s">
        <v>573</v>
      </c>
      <c r="F1297" s="25" t="s">
        <v>176</v>
      </c>
      <c r="G1297" s="25" t="n">
        <v>19</v>
      </c>
      <c r="H1297" s="25" t="s">
        <v>615</v>
      </c>
      <c r="I1297" s="25" t="n">
        <v>1</v>
      </c>
      <c r="J1297" s="26" t="n">
        <v>2500</v>
      </c>
      <c r="K1297" s="25" t="s">
        <v>546</v>
      </c>
      <c r="L1297" s="25" t="s">
        <v>547</v>
      </c>
      <c r="M1297" s="26" t="n">
        <f aca="false">IF(AND(L1297="Oui",K1297="Principal"),I1297*J1297,0)</f>
        <v>2500</v>
      </c>
      <c r="N1297" s="25" t="s">
        <v>548</v>
      </c>
      <c r="O1297" s="25"/>
      <c r="P1297" s="25" t="s">
        <v>559</v>
      </c>
      <c r="Q1297" s="25" t="s">
        <v>551</v>
      </c>
      <c r="R1297" s="26"/>
      <c r="S1297" s="26" t="n">
        <f aca="false">IF(AND(L1297="Oui",K1297="Principal",R1297&lt;&gt;""),I1297*R1297,0)</f>
        <v>0</v>
      </c>
      <c r="T1297" s="26" t="n">
        <f aca="false">IF(R1297&lt;&gt;"",M1297-S1297,0)</f>
        <v>0</v>
      </c>
      <c r="U1297" s="26" t="n">
        <f aca="false">IF(R1297="",M1297,0)</f>
        <v>2500</v>
      </c>
    </row>
    <row r="1298" customFormat="false" ht="15" hidden="false" customHeight="false" outlineLevel="0" collapsed="false">
      <c r="A1298" s="25" t="s">
        <v>65</v>
      </c>
      <c r="B1298" s="25" t="s">
        <v>69</v>
      </c>
      <c r="C1298" s="25" t="s">
        <v>48</v>
      </c>
      <c r="D1298" s="25" t="n">
        <v>16</v>
      </c>
      <c r="E1298" s="25" t="s">
        <v>689</v>
      </c>
      <c r="F1298" s="25" t="s">
        <v>465</v>
      </c>
      <c r="G1298" s="25" t="n">
        <v>1309</v>
      </c>
      <c r="H1298" s="25" t="s">
        <v>775</v>
      </c>
      <c r="I1298" s="25" t="n">
        <v>1</v>
      </c>
      <c r="J1298" s="26" t="n">
        <v>2800</v>
      </c>
      <c r="K1298" s="25" t="s">
        <v>618</v>
      </c>
      <c r="L1298" s="25" t="s">
        <v>579</v>
      </c>
      <c r="M1298" s="26" t="n">
        <f aca="false">IF(AND(L1298="Oui",K1298="Principal"),I1298*J1298,0)</f>
        <v>0</v>
      </c>
      <c r="N1298" s="25" t="s">
        <v>548</v>
      </c>
      <c r="O1298" s="25"/>
      <c r="P1298" s="25" t="s">
        <v>550</v>
      </c>
      <c r="Q1298" s="25" t="s">
        <v>557</v>
      </c>
      <c r="R1298" s="26" t="n">
        <v>1800</v>
      </c>
      <c r="S1298" s="26" t="n">
        <f aca="false">IF(AND(L1298="Oui",K1298="Principal",R1298&lt;&gt;""),I1298*R1298,0)</f>
        <v>0</v>
      </c>
      <c r="T1298" s="26" t="n">
        <f aca="false">IF(R1298&lt;&gt;"",M1298-S1298,0)</f>
        <v>0</v>
      </c>
      <c r="U1298" s="26" t="n">
        <f aca="false">IF(R1298="",M1298,0)</f>
        <v>0</v>
      </c>
    </row>
    <row r="1299" customFormat="false" ht="15" hidden="false" customHeight="false" outlineLevel="0" collapsed="false">
      <c r="A1299" s="25" t="s">
        <v>65</v>
      </c>
      <c r="B1299" s="25" t="s">
        <v>69</v>
      </c>
      <c r="C1299" s="25" t="s">
        <v>48</v>
      </c>
      <c r="D1299" s="25" t="n">
        <v>17</v>
      </c>
      <c r="E1299" s="25" t="s">
        <v>689</v>
      </c>
      <c r="F1299" s="25" t="s">
        <v>467</v>
      </c>
      <c r="G1299" s="25" t="n">
        <v>1324</v>
      </c>
      <c r="H1299" s="25" t="s">
        <v>776</v>
      </c>
      <c r="I1299" s="25" t="n">
        <v>1</v>
      </c>
      <c r="J1299" s="26" t="n">
        <v>2800</v>
      </c>
      <c r="K1299" s="25" t="s">
        <v>618</v>
      </c>
      <c r="L1299" s="25" t="s">
        <v>579</v>
      </c>
      <c r="M1299" s="26" t="n">
        <f aca="false">IF(AND(L1299="Oui",K1299="Principal"),I1299*J1299,0)</f>
        <v>0</v>
      </c>
      <c r="N1299" s="25" t="s">
        <v>548</v>
      </c>
      <c r="O1299" s="25"/>
      <c r="P1299" s="25" t="s">
        <v>550</v>
      </c>
      <c r="Q1299" s="25" t="s">
        <v>557</v>
      </c>
      <c r="R1299" s="26" t="n">
        <v>1800</v>
      </c>
      <c r="S1299" s="26" t="n">
        <f aca="false">IF(AND(L1299="Oui",K1299="Principal",R1299&lt;&gt;""),I1299*R1299,0)</f>
        <v>0</v>
      </c>
      <c r="T1299" s="26" t="n">
        <f aca="false">IF(R1299&lt;&gt;"",M1299-S1299,0)</f>
        <v>0</v>
      </c>
      <c r="U1299" s="26" t="n">
        <f aca="false">IF(R1299="",M1299,0)</f>
        <v>0</v>
      </c>
    </row>
    <row r="1300" customFormat="false" ht="15" hidden="false" customHeight="false" outlineLevel="0" collapsed="false">
      <c r="A1300" s="25" t="s">
        <v>65</v>
      </c>
      <c r="B1300" s="25" t="s">
        <v>69</v>
      </c>
      <c r="C1300" s="25" t="s">
        <v>48</v>
      </c>
      <c r="D1300" s="25" t="n">
        <v>18</v>
      </c>
      <c r="E1300" s="25" t="s">
        <v>689</v>
      </c>
      <c r="F1300" s="25" t="s">
        <v>469</v>
      </c>
      <c r="G1300" s="25" t="n">
        <v>1303</v>
      </c>
      <c r="H1300" s="25" t="s">
        <v>777</v>
      </c>
      <c r="I1300" s="25" t="n">
        <v>1</v>
      </c>
      <c r="J1300" s="26" t="n">
        <v>3500</v>
      </c>
      <c r="K1300" s="25" t="s">
        <v>618</v>
      </c>
      <c r="L1300" s="25" t="s">
        <v>579</v>
      </c>
      <c r="M1300" s="26" t="n">
        <f aca="false">IF(AND(L1300="Oui",K1300="Principal"),I1300*J1300,0)</f>
        <v>0</v>
      </c>
      <c r="N1300" s="25" t="s">
        <v>548</v>
      </c>
      <c r="O1300" s="25"/>
      <c r="P1300" s="25" t="s">
        <v>550</v>
      </c>
      <c r="Q1300" s="25" t="s">
        <v>557</v>
      </c>
      <c r="R1300" s="26" t="n">
        <v>2500</v>
      </c>
      <c r="S1300" s="26" t="n">
        <f aca="false">IF(AND(L1300="Oui",K1300="Principal",R1300&lt;&gt;""),I1300*R1300,0)</f>
        <v>0</v>
      </c>
      <c r="T1300" s="26" t="n">
        <f aca="false">IF(R1300&lt;&gt;"",M1300-S1300,0)</f>
        <v>0</v>
      </c>
      <c r="U1300" s="26" t="n">
        <f aca="false">IF(R1300="",M1300,0)</f>
        <v>0</v>
      </c>
    </row>
    <row r="1301" customFormat="false" ht="15" hidden="false" customHeight="false" outlineLevel="0" collapsed="false">
      <c r="A1301" s="25" t="s">
        <v>65</v>
      </c>
      <c r="B1301" s="25" t="s">
        <v>69</v>
      </c>
      <c r="C1301" s="25" t="s">
        <v>48</v>
      </c>
      <c r="D1301" s="25" t="n">
        <v>19</v>
      </c>
      <c r="E1301" s="25" t="s">
        <v>577</v>
      </c>
      <c r="F1301" s="25" t="s">
        <v>321</v>
      </c>
      <c r="G1301" s="25" t="n">
        <v>1192</v>
      </c>
      <c r="H1301" s="25" t="s">
        <v>694</v>
      </c>
      <c r="I1301" s="25" t="n">
        <v>1</v>
      </c>
      <c r="J1301" s="26" t="n">
        <v>7000</v>
      </c>
      <c r="K1301" s="25" t="s">
        <v>577</v>
      </c>
      <c r="L1301" s="25" t="s">
        <v>579</v>
      </c>
      <c r="M1301" s="26" t="n">
        <f aca="false">IF(AND(L1301="Oui",K1301="Principal"),I1301*J1301,0)</f>
        <v>0</v>
      </c>
      <c r="N1301" s="25" t="s">
        <v>548</v>
      </c>
      <c r="O1301" s="25"/>
      <c r="P1301" s="25" t="s">
        <v>550</v>
      </c>
      <c r="Q1301" s="25" t="s">
        <v>557</v>
      </c>
      <c r="R1301" s="26" t="n">
        <v>5500</v>
      </c>
      <c r="S1301" s="26" t="n">
        <f aca="false">IF(AND(L1301="Oui",K1301="Principal",R1301&lt;&gt;""),I1301*R1301,0)</f>
        <v>0</v>
      </c>
      <c r="T1301" s="26" t="n">
        <f aca="false">IF(R1301&lt;&gt;"",M1301-S1301,0)</f>
        <v>0</v>
      </c>
      <c r="U1301" s="26" t="n">
        <f aca="false">IF(R1301="",M1301,0)</f>
        <v>0</v>
      </c>
    </row>
    <row r="1302" customFormat="false" ht="15" hidden="false" customHeight="false" outlineLevel="0" collapsed="false">
      <c r="A1302" s="25" t="s">
        <v>65</v>
      </c>
      <c r="B1302" s="25" t="s">
        <v>69</v>
      </c>
      <c r="C1302" s="25" t="s">
        <v>49</v>
      </c>
      <c r="D1302" s="25" t="n">
        <v>1</v>
      </c>
      <c r="E1302" s="25" t="s">
        <v>544</v>
      </c>
      <c r="F1302" s="25" t="s">
        <v>295</v>
      </c>
      <c r="G1302" s="25" t="n">
        <v>1618</v>
      </c>
      <c r="H1302" s="25" t="s">
        <v>600</v>
      </c>
      <c r="I1302" s="25" t="n">
        <v>1</v>
      </c>
      <c r="J1302" s="26" t="n">
        <v>450</v>
      </c>
      <c r="K1302" s="25" t="s">
        <v>546</v>
      </c>
      <c r="L1302" s="25" t="s">
        <v>547</v>
      </c>
      <c r="M1302" s="26" t="n">
        <f aca="false">IF(AND(L1302="Oui",K1302="Principal"),I1302*J1302,0)</f>
        <v>450</v>
      </c>
      <c r="N1302" s="25" t="s">
        <v>548</v>
      </c>
      <c r="O1302" s="25"/>
      <c r="P1302" s="25" t="s">
        <v>556</v>
      </c>
      <c r="Q1302" s="25" t="s">
        <v>557</v>
      </c>
      <c r="R1302" s="26" t="n">
        <v>350</v>
      </c>
      <c r="S1302" s="26" t="n">
        <f aca="false">IF(AND(L1302="Oui",K1302="Principal",R1302&lt;&gt;""),I1302*R1302,0)</f>
        <v>350</v>
      </c>
      <c r="T1302" s="26" t="n">
        <f aca="false">IF(R1302&lt;&gt;"",M1302-S1302,0)</f>
        <v>100</v>
      </c>
      <c r="U1302" s="26" t="n">
        <f aca="false">IF(R1302="",M1302,0)</f>
        <v>0</v>
      </c>
    </row>
    <row r="1303" customFormat="false" ht="15" hidden="false" customHeight="false" outlineLevel="0" collapsed="false">
      <c r="A1303" s="25" t="s">
        <v>65</v>
      </c>
      <c r="B1303" s="25" t="s">
        <v>69</v>
      </c>
      <c r="C1303" s="25" t="s">
        <v>49</v>
      </c>
      <c r="D1303" s="25" t="n">
        <v>2</v>
      </c>
      <c r="E1303" s="25" t="s">
        <v>544</v>
      </c>
      <c r="F1303" s="25" t="s">
        <v>296</v>
      </c>
      <c r="G1303" s="25" t="n">
        <v>1</v>
      </c>
      <c r="H1303" s="25" t="s">
        <v>681</v>
      </c>
      <c r="I1303" s="25" t="n">
        <v>4</v>
      </c>
      <c r="J1303" s="26" t="n">
        <v>500</v>
      </c>
      <c r="K1303" s="25" t="s">
        <v>546</v>
      </c>
      <c r="L1303" s="25" t="s">
        <v>547</v>
      </c>
      <c r="M1303" s="26" t="n">
        <f aca="false">IF(AND(L1303="Oui",K1303="Principal"),I1303*J1303,0)</f>
        <v>2000</v>
      </c>
      <c r="N1303" s="25" t="s">
        <v>548</v>
      </c>
      <c r="O1303" s="25"/>
      <c r="P1303" s="25" t="s">
        <v>559</v>
      </c>
      <c r="Q1303" s="25" t="s">
        <v>551</v>
      </c>
      <c r="R1303" s="26"/>
      <c r="S1303" s="26" t="n">
        <f aca="false">IF(AND(L1303="Oui",K1303="Principal",R1303&lt;&gt;""),I1303*R1303,0)</f>
        <v>0</v>
      </c>
      <c r="T1303" s="26" t="n">
        <f aca="false">IF(R1303&lt;&gt;"",M1303-S1303,0)</f>
        <v>0</v>
      </c>
      <c r="U1303" s="26" t="n">
        <f aca="false">IF(R1303="",M1303,0)</f>
        <v>2000</v>
      </c>
    </row>
    <row r="1304" customFormat="false" ht="15" hidden="false" customHeight="false" outlineLevel="0" collapsed="false">
      <c r="A1304" s="25" t="s">
        <v>65</v>
      </c>
      <c r="B1304" s="25" t="s">
        <v>69</v>
      </c>
      <c r="C1304" s="25" t="s">
        <v>49</v>
      </c>
      <c r="D1304" s="25" t="n">
        <v>3</v>
      </c>
      <c r="E1304" s="25" t="s">
        <v>544</v>
      </c>
      <c r="F1304" s="25" t="s">
        <v>298</v>
      </c>
      <c r="G1304" s="25" t="n">
        <v>1616</v>
      </c>
      <c r="H1304" s="25" t="s">
        <v>695</v>
      </c>
      <c r="I1304" s="25" t="n">
        <v>2</v>
      </c>
      <c r="J1304" s="26" t="n">
        <v>900</v>
      </c>
      <c r="K1304" s="25" t="s">
        <v>546</v>
      </c>
      <c r="L1304" s="25" t="s">
        <v>547</v>
      </c>
      <c r="M1304" s="26" t="n">
        <f aca="false">IF(AND(L1304="Oui",K1304="Principal"),I1304*J1304,0)</f>
        <v>1800</v>
      </c>
      <c r="N1304" s="25" t="s">
        <v>548</v>
      </c>
      <c r="O1304" s="25"/>
      <c r="P1304" s="25" t="s">
        <v>556</v>
      </c>
      <c r="Q1304" s="25" t="s">
        <v>557</v>
      </c>
      <c r="R1304" s="26" t="n">
        <v>800</v>
      </c>
      <c r="S1304" s="26" t="n">
        <f aca="false">IF(AND(L1304="Oui",K1304="Principal",R1304&lt;&gt;""),I1304*R1304,0)</f>
        <v>1600</v>
      </c>
      <c r="T1304" s="26" t="n">
        <f aca="false">IF(R1304&lt;&gt;"",M1304-S1304,0)</f>
        <v>200</v>
      </c>
      <c r="U1304" s="26" t="n">
        <f aca="false">IF(R1304="",M1304,0)</f>
        <v>0</v>
      </c>
    </row>
    <row r="1305" customFormat="false" ht="15" hidden="false" customHeight="false" outlineLevel="0" collapsed="false">
      <c r="A1305" s="25" t="s">
        <v>65</v>
      </c>
      <c r="B1305" s="25" t="s">
        <v>69</v>
      </c>
      <c r="C1305" s="25" t="s">
        <v>49</v>
      </c>
      <c r="D1305" s="25" t="n">
        <v>4</v>
      </c>
      <c r="E1305" s="25" t="s">
        <v>544</v>
      </c>
      <c r="F1305" s="25" t="s">
        <v>338</v>
      </c>
      <c r="G1305" s="25" t="n">
        <v>1715</v>
      </c>
      <c r="H1305" s="25" t="s">
        <v>713</v>
      </c>
      <c r="I1305" s="25" t="n">
        <v>4</v>
      </c>
      <c r="J1305" s="26" t="n">
        <v>1600</v>
      </c>
      <c r="K1305" s="25" t="s">
        <v>546</v>
      </c>
      <c r="L1305" s="25" t="s">
        <v>547</v>
      </c>
      <c r="M1305" s="26" t="n">
        <f aca="false">IF(AND(L1305="Oui",K1305="Principal"),I1305*J1305,0)</f>
        <v>6400</v>
      </c>
      <c r="N1305" s="25" t="s">
        <v>548</v>
      </c>
      <c r="O1305" s="25"/>
      <c r="P1305" s="25" t="s">
        <v>550</v>
      </c>
      <c r="Q1305" s="25" t="s">
        <v>557</v>
      </c>
      <c r="R1305" s="26" t="n">
        <v>1300</v>
      </c>
      <c r="S1305" s="26" t="n">
        <f aca="false">IF(AND(L1305="Oui",K1305="Principal",R1305&lt;&gt;""),I1305*R1305,0)</f>
        <v>5200</v>
      </c>
      <c r="T1305" s="26" t="n">
        <f aca="false">IF(R1305&lt;&gt;"",M1305-S1305,0)</f>
        <v>1200</v>
      </c>
      <c r="U1305" s="26" t="n">
        <f aca="false">IF(R1305="",M1305,0)</f>
        <v>0</v>
      </c>
    </row>
    <row r="1306" customFormat="false" ht="15" hidden="false" customHeight="false" outlineLevel="0" collapsed="false">
      <c r="A1306" s="25" t="s">
        <v>65</v>
      </c>
      <c r="B1306" s="25" t="s">
        <v>69</v>
      </c>
      <c r="C1306" s="25" t="s">
        <v>49</v>
      </c>
      <c r="D1306" s="25" t="n">
        <v>5</v>
      </c>
      <c r="E1306" s="25" t="s">
        <v>544</v>
      </c>
      <c r="F1306" s="25" t="s">
        <v>301</v>
      </c>
      <c r="G1306" s="25" t="n">
        <v>1728</v>
      </c>
      <c r="H1306" s="25" t="s">
        <v>545</v>
      </c>
      <c r="I1306" s="25" t="n">
        <v>1</v>
      </c>
      <c r="J1306" s="26" t="n">
        <v>900</v>
      </c>
      <c r="K1306" s="25" t="s">
        <v>546</v>
      </c>
      <c r="L1306" s="25" t="s">
        <v>547</v>
      </c>
      <c r="M1306" s="26" t="n">
        <f aca="false">IF(AND(L1306="Oui",K1306="Principal"),I1306*J1306,0)</f>
        <v>900</v>
      </c>
      <c r="N1306" s="25" t="s">
        <v>548</v>
      </c>
      <c r="O1306" s="25"/>
      <c r="P1306" s="25" t="s">
        <v>550</v>
      </c>
      <c r="Q1306" s="25" t="s">
        <v>551</v>
      </c>
      <c r="R1306" s="26"/>
      <c r="S1306" s="26" t="n">
        <f aca="false">IF(AND(L1306="Oui",K1306="Principal",R1306&lt;&gt;""),I1306*R1306,0)</f>
        <v>0</v>
      </c>
      <c r="T1306" s="26" t="n">
        <f aca="false">IF(R1306&lt;&gt;"",M1306-S1306,0)</f>
        <v>0</v>
      </c>
      <c r="U1306" s="26" t="n">
        <f aca="false">IF(R1306="",M1306,0)</f>
        <v>900</v>
      </c>
    </row>
    <row r="1307" customFormat="false" ht="15" hidden="false" customHeight="false" outlineLevel="0" collapsed="false">
      <c r="A1307" s="25" t="s">
        <v>65</v>
      </c>
      <c r="B1307" s="25" t="s">
        <v>69</v>
      </c>
      <c r="C1307" s="25" t="s">
        <v>49</v>
      </c>
      <c r="D1307" s="25" t="n">
        <v>6</v>
      </c>
      <c r="E1307" s="25" t="s">
        <v>563</v>
      </c>
      <c r="F1307" s="25" t="s">
        <v>255</v>
      </c>
      <c r="G1307" s="25" t="n">
        <v>1636</v>
      </c>
      <c r="H1307" s="25" t="s">
        <v>661</v>
      </c>
      <c r="I1307" s="25" t="n">
        <v>1</v>
      </c>
      <c r="J1307" s="26" t="n">
        <v>400</v>
      </c>
      <c r="K1307" s="25" t="s">
        <v>546</v>
      </c>
      <c r="L1307" s="25" t="s">
        <v>547</v>
      </c>
      <c r="M1307" s="26" t="n">
        <f aca="false">IF(AND(L1307="Oui",K1307="Principal"),I1307*J1307,0)</f>
        <v>400</v>
      </c>
      <c r="N1307" s="25" t="s">
        <v>548</v>
      </c>
      <c r="O1307" s="25"/>
      <c r="P1307" s="25" t="s">
        <v>556</v>
      </c>
      <c r="Q1307" s="25" t="s">
        <v>557</v>
      </c>
      <c r="R1307" s="26" t="n">
        <v>320</v>
      </c>
      <c r="S1307" s="26" t="n">
        <f aca="false">IF(AND(L1307="Oui",K1307="Principal",R1307&lt;&gt;""),I1307*R1307,0)</f>
        <v>320</v>
      </c>
      <c r="T1307" s="26" t="n">
        <f aca="false">IF(R1307&lt;&gt;"",M1307-S1307,0)</f>
        <v>80</v>
      </c>
      <c r="U1307" s="26" t="n">
        <f aca="false">IF(R1307="",M1307,0)</f>
        <v>0</v>
      </c>
    </row>
    <row r="1308" customFormat="false" ht="15" hidden="false" customHeight="false" outlineLevel="0" collapsed="false">
      <c r="A1308" s="25" t="s">
        <v>65</v>
      </c>
      <c r="B1308" s="25" t="s">
        <v>69</v>
      </c>
      <c r="C1308" s="25" t="s">
        <v>49</v>
      </c>
      <c r="D1308" s="25" t="n">
        <v>7</v>
      </c>
      <c r="E1308" s="25" t="s">
        <v>563</v>
      </c>
      <c r="F1308" s="25" t="s">
        <v>257</v>
      </c>
      <c r="G1308" s="25" t="n">
        <v>1635</v>
      </c>
      <c r="H1308" s="25" t="s">
        <v>607</v>
      </c>
      <c r="I1308" s="25" t="n">
        <v>1</v>
      </c>
      <c r="J1308" s="26" t="n">
        <v>100</v>
      </c>
      <c r="K1308" s="25" t="s">
        <v>546</v>
      </c>
      <c r="L1308" s="25" t="s">
        <v>547</v>
      </c>
      <c r="M1308" s="26" t="n">
        <f aca="false">IF(AND(L1308="Oui",K1308="Principal"),I1308*J1308,0)</f>
        <v>100</v>
      </c>
      <c r="N1308" s="25" t="s">
        <v>548</v>
      </c>
      <c r="O1308" s="25"/>
      <c r="P1308" s="25" t="s">
        <v>556</v>
      </c>
      <c r="Q1308" s="25" t="s">
        <v>557</v>
      </c>
      <c r="R1308" s="26" t="n">
        <v>80</v>
      </c>
      <c r="S1308" s="26" t="n">
        <f aca="false">IF(AND(L1308="Oui",K1308="Principal",R1308&lt;&gt;""),I1308*R1308,0)</f>
        <v>80</v>
      </c>
      <c r="T1308" s="26" t="n">
        <f aca="false">IF(R1308&lt;&gt;"",M1308-S1308,0)</f>
        <v>20</v>
      </c>
      <c r="U1308" s="26" t="n">
        <f aca="false">IF(R1308="",M1308,0)</f>
        <v>0</v>
      </c>
    </row>
    <row r="1309" customFormat="false" ht="15" hidden="false" customHeight="false" outlineLevel="0" collapsed="false">
      <c r="A1309" s="25" t="s">
        <v>65</v>
      </c>
      <c r="B1309" s="25" t="s">
        <v>69</v>
      </c>
      <c r="C1309" s="25" t="s">
        <v>49</v>
      </c>
      <c r="D1309" s="25" t="n">
        <v>8</v>
      </c>
      <c r="E1309" s="25" t="s">
        <v>563</v>
      </c>
      <c r="F1309" s="25" t="s">
        <v>188</v>
      </c>
      <c r="G1309" s="25" t="n">
        <v>8</v>
      </c>
      <c r="H1309" s="25" t="s">
        <v>188</v>
      </c>
      <c r="I1309" s="25" t="n">
        <v>1</v>
      </c>
      <c r="J1309" s="26" t="n">
        <v>500</v>
      </c>
      <c r="K1309" s="25" t="s">
        <v>546</v>
      </c>
      <c r="L1309" s="25" t="s">
        <v>547</v>
      </c>
      <c r="M1309" s="26" t="n">
        <f aca="false">IF(AND(L1309="Oui",K1309="Principal"),I1309*J1309,0)</f>
        <v>500</v>
      </c>
      <c r="N1309" s="25" t="s">
        <v>548</v>
      </c>
      <c r="O1309" s="25"/>
      <c r="P1309" s="25" t="s">
        <v>559</v>
      </c>
      <c r="Q1309" s="25" t="s">
        <v>551</v>
      </c>
      <c r="R1309" s="26"/>
      <c r="S1309" s="26" t="n">
        <f aca="false">IF(AND(L1309="Oui",K1309="Principal",R1309&lt;&gt;""),I1309*R1309,0)</f>
        <v>0</v>
      </c>
      <c r="T1309" s="26" t="n">
        <f aca="false">IF(R1309&lt;&gt;"",M1309-S1309,0)</f>
        <v>0</v>
      </c>
      <c r="U1309" s="26" t="n">
        <f aca="false">IF(R1309="",M1309,0)</f>
        <v>500</v>
      </c>
    </row>
    <row r="1310" customFormat="false" ht="15" hidden="false" customHeight="false" outlineLevel="0" collapsed="false">
      <c r="A1310" s="25" t="s">
        <v>65</v>
      </c>
      <c r="B1310" s="25" t="s">
        <v>69</v>
      </c>
      <c r="C1310" s="25" t="s">
        <v>49</v>
      </c>
      <c r="D1310" s="25" t="n">
        <v>9</v>
      </c>
      <c r="E1310" s="25" t="s">
        <v>563</v>
      </c>
      <c r="F1310" s="25" t="s">
        <v>323</v>
      </c>
      <c r="G1310" s="25" t="n">
        <v>1607</v>
      </c>
      <c r="H1310" s="25" t="s">
        <v>696</v>
      </c>
      <c r="I1310" s="25" t="n">
        <v>1</v>
      </c>
      <c r="J1310" s="26" t="n">
        <v>2500</v>
      </c>
      <c r="K1310" s="25" t="s">
        <v>546</v>
      </c>
      <c r="L1310" s="25" t="s">
        <v>547</v>
      </c>
      <c r="M1310" s="26" t="n">
        <f aca="false">IF(AND(L1310="Oui",K1310="Principal"),I1310*J1310,0)</f>
        <v>2500</v>
      </c>
      <c r="N1310" s="25" t="s">
        <v>548</v>
      </c>
      <c r="O1310" s="25"/>
      <c r="P1310" s="25" t="s">
        <v>556</v>
      </c>
      <c r="Q1310" s="25" t="s">
        <v>557</v>
      </c>
      <c r="R1310" s="26" t="n">
        <v>2000</v>
      </c>
      <c r="S1310" s="26" t="n">
        <f aca="false">IF(AND(L1310="Oui",K1310="Principal",R1310&lt;&gt;""),I1310*R1310,0)</f>
        <v>2000</v>
      </c>
      <c r="T1310" s="26" t="n">
        <f aca="false">IF(R1310&lt;&gt;"",M1310-S1310,0)</f>
        <v>500</v>
      </c>
      <c r="U1310" s="26" t="n">
        <f aca="false">IF(R1310="",M1310,0)</f>
        <v>0</v>
      </c>
    </row>
    <row r="1311" customFormat="false" ht="15" hidden="false" customHeight="false" outlineLevel="0" collapsed="false">
      <c r="A1311" s="25" t="s">
        <v>65</v>
      </c>
      <c r="B1311" s="25" t="s">
        <v>69</v>
      </c>
      <c r="C1311" s="25" t="s">
        <v>49</v>
      </c>
      <c r="D1311" s="25" t="n">
        <v>10</v>
      </c>
      <c r="E1311" s="25" t="s">
        <v>563</v>
      </c>
      <c r="F1311" s="25" t="s">
        <v>325</v>
      </c>
      <c r="G1311" s="25" t="n">
        <v>1248</v>
      </c>
      <c r="H1311" s="25" t="s">
        <v>697</v>
      </c>
      <c r="I1311" s="25" t="n">
        <v>1</v>
      </c>
      <c r="J1311" s="26" t="n">
        <v>400</v>
      </c>
      <c r="K1311" s="25" t="s">
        <v>546</v>
      </c>
      <c r="L1311" s="25" t="s">
        <v>547</v>
      </c>
      <c r="M1311" s="26" t="n">
        <f aca="false">IF(AND(L1311="Oui",K1311="Principal"),I1311*J1311,0)</f>
        <v>400</v>
      </c>
      <c r="N1311" s="25" t="s">
        <v>548</v>
      </c>
      <c r="O1311" s="25"/>
      <c r="P1311" s="25" t="s">
        <v>550</v>
      </c>
      <c r="Q1311" s="25" t="s">
        <v>557</v>
      </c>
      <c r="R1311" s="26" t="n">
        <v>250</v>
      </c>
      <c r="S1311" s="26" t="n">
        <f aca="false">IF(AND(L1311="Oui",K1311="Principal",R1311&lt;&gt;""),I1311*R1311,0)</f>
        <v>250</v>
      </c>
      <c r="T1311" s="26" t="n">
        <f aca="false">IF(R1311&lt;&gt;"",M1311-S1311,0)</f>
        <v>150</v>
      </c>
      <c r="U1311" s="26" t="n">
        <f aca="false">IF(R1311="",M1311,0)</f>
        <v>0</v>
      </c>
    </row>
    <row r="1312" customFormat="false" ht="15" hidden="false" customHeight="false" outlineLevel="0" collapsed="false">
      <c r="A1312" s="25" t="s">
        <v>65</v>
      </c>
      <c r="B1312" s="25" t="s">
        <v>69</v>
      </c>
      <c r="C1312" s="25" t="s">
        <v>49</v>
      </c>
      <c r="D1312" s="25" t="n">
        <v>11</v>
      </c>
      <c r="E1312" s="25" t="s">
        <v>565</v>
      </c>
      <c r="F1312" s="25" t="s">
        <v>99</v>
      </c>
      <c r="G1312" s="25" t="n">
        <v>1181</v>
      </c>
      <c r="H1312" s="25" t="s">
        <v>581</v>
      </c>
      <c r="I1312" s="25" t="n">
        <v>1</v>
      </c>
      <c r="J1312" s="26" t="n">
        <v>250</v>
      </c>
      <c r="K1312" s="25" t="s">
        <v>546</v>
      </c>
      <c r="L1312" s="25" t="s">
        <v>547</v>
      </c>
      <c r="M1312" s="26" t="n">
        <f aca="false">IF(AND(L1312="Oui",K1312="Principal"),I1312*J1312,0)</f>
        <v>250</v>
      </c>
      <c r="N1312" s="25" t="s">
        <v>548</v>
      </c>
      <c r="O1312" s="25"/>
      <c r="P1312" s="25" t="s">
        <v>550</v>
      </c>
      <c r="Q1312" s="25" t="s">
        <v>557</v>
      </c>
      <c r="R1312" s="26" t="n">
        <v>110</v>
      </c>
      <c r="S1312" s="26" t="n">
        <f aca="false">IF(AND(L1312="Oui",K1312="Principal",R1312&lt;&gt;""),I1312*R1312,0)</f>
        <v>110</v>
      </c>
      <c r="T1312" s="26" t="n">
        <f aca="false">IF(R1312&lt;&gt;"",M1312-S1312,0)</f>
        <v>140</v>
      </c>
      <c r="U1312" s="26" t="n">
        <f aca="false">IF(R1312="",M1312,0)</f>
        <v>0</v>
      </c>
    </row>
    <row r="1313" customFormat="false" ht="15" hidden="false" customHeight="false" outlineLevel="0" collapsed="false">
      <c r="A1313" s="25" t="s">
        <v>65</v>
      </c>
      <c r="B1313" s="25" t="s">
        <v>69</v>
      </c>
      <c r="C1313" s="25" t="s">
        <v>49</v>
      </c>
      <c r="D1313" s="25" t="n">
        <v>12</v>
      </c>
      <c r="E1313" s="25" t="s">
        <v>565</v>
      </c>
      <c r="F1313" s="25" t="s">
        <v>164</v>
      </c>
      <c r="G1313" s="25" t="n">
        <v>1587</v>
      </c>
      <c r="H1313" s="25" t="s">
        <v>567</v>
      </c>
      <c r="I1313" s="25" t="n">
        <v>1</v>
      </c>
      <c r="J1313" s="26" t="n">
        <v>500</v>
      </c>
      <c r="K1313" s="25" t="s">
        <v>546</v>
      </c>
      <c r="L1313" s="25" t="s">
        <v>547</v>
      </c>
      <c r="M1313" s="26" t="n">
        <f aca="false">IF(AND(L1313="Oui",K1313="Principal"),I1313*J1313,0)</f>
        <v>500</v>
      </c>
      <c r="N1313" s="25" t="s">
        <v>548</v>
      </c>
      <c r="O1313" s="25"/>
      <c r="P1313" s="25" t="s">
        <v>556</v>
      </c>
      <c r="Q1313" s="25" t="s">
        <v>557</v>
      </c>
      <c r="R1313" s="26" t="n">
        <v>350</v>
      </c>
      <c r="S1313" s="26" t="n">
        <f aca="false">IF(AND(L1313="Oui",K1313="Principal",R1313&lt;&gt;""),I1313*R1313,0)</f>
        <v>350</v>
      </c>
      <c r="T1313" s="26" t="n">
        <f aca="false">IF(R1313&lt;&gt;"",M1313-S1313,0)</f>
        <v>150</v>
      </c>
      <c r="U1313" s="26" t="n">
        <f aca="false">IF(R1313="",M1313,0)</f>
        <v>0</v>
      </c>
    </row>
    <row r="1314" customFormat="false" ht="15" hidden="false" customHeight="false" outlineLevel="0" collapsed="false">
      <c r="A1314" s="25" t="s">
        <v>65</v>
      </c>
      <c r="B1314" s="25" t="s">
        <v>69</v>
      </c>
      <c r="C1314" s="25" t="s">
        <v>49</v>
      </c>
      <c r="D1314" s="25" t="n">
        <v>13</v>
      </c>
      <c r="E1314" s="25" t="s">
        <v>565</v>
      </c>
      <c r="F1314" s="25" t="s">
        <v>166</v>
      </c>
      <c r="G1314" s="25" t="n">
        <v>1604</v>
      </c>
      <c r="H1314" s="25" t="s">
        <v>582</v>
      </c>
      <c r="I1314" s="25" t="n">
        <v>2</v>
      </c>
      <c r="J1314" s="26" t="n">
        <v>700</v>
      </c>
      <c r="K1314" s="25" t="s">
        <v>546</v>
      </c>
      <c r="L1314" s="25" t="s">
        <v>547</v>
      </c>
      <c r="M1314" s="26" t="n">
        <f aca="false">IF(AND(L1314="Oui",K1314="Principal"),I1314*J1314,0)</f>
        <v>1400</v>
      </c>
      <c r="N1314" s="25" t="s">
        <v>548</v>
      </c>
      <c r="O1314" s="25"/>
      <c r="P1314" s="25" t="s">
        <v>556</v>
      </c>
      <c r="Q1314" s="25" t="s">
        <v>557</v>
      </c>
      <c r="R1314" s="26" t="n">
        <v>400</v>
      </c>
      <c r="S1314" s="26" t="n">
        <f aca="false">IF(AND(L1314="Oui",K1314="Principal",R1314&lt;&gt;""),I1314*R1314,0)</f>
        <v>800</v>
      </c>
      <c r="T1314" s="26" t="n">
        <f aca="false">IF(R1314&lt;&gt;"",M1314-S1314,0)</f>
        <v>600</v>
      </c>
      <c r="U1314" s="26" t="n">
        <f aca="false">IF(R1314="",M1314,0)</f>
        <v>0</v>
      </c>
    </row>
    <row r="1315" customFormat="false" ht="15" hidden="false" customHeight="false" outlineLevel="0" collapsed="false">
      <c r="A1315" s="25" t="s">
        <v>65</v>
      </c>
      <c r="B1315" s="25" t="s">
        <v>69</v>
      </c>
      <c r="C1315" s="25" t="s">
        <v>49</v>
      </c>
      <c r="D1315" s="25" t="n">
        <v>14</v>
      </c>
      <c r="E1315" s="25" t="s">
        <v>565</v>
      </c>
      <c r="F1315" s="25" t="s">
        <v>304</v>
      </c>
      <c r="G1315" s="25" t="n">
        <v>1586</v>
      </c>
      <c r="H1315" s="25" t="s">
        <v>583</v>
      </c>
      <c r="I1315" s="25" t="n">
        <v>1</v>
      </c>
      <c r="J1315" s="26" t="n">
        <v>900</v>
      </c>
      <c r="K1315" s="25" t="s">
        <v>546</v>
      </c>
      <c r="L1315" s="25" t="s">
        <v>547</v>
      </c>
      <c r="M1315" s="26" t="n">
        <f aca="false">IF(AND(L1315="Oui",K1315="Principal"),I1315*J1315,0)</f>
        <v>900</v>
      </c>
      <c r="N1315" s="25" t="s">
        <v>548</v>
      </c>
      <c r="O1315" s="25"/>
      <c r="P1315" s="25" t="s">
        <v>556</v>
      </c>
      <c r="Q1315" s="25" t="s">
        <v>557</v>
      </c>
      <c r="R1315" s="26" t="n">
        <v>650</v>
      </c>
      <c r="S1315" s="26" t="n">
        <f aca="false">IF(AND(L1315="Oui",K1315="Principal",R1315&lt;&gt;""),I1315*R1315,0)</f>
        <v>650</v>
      </c>
      <c r="T1315" s="26" t="n">
        <f aca="false">IF(R1315&lt;&gt;"",M1315-S1315,0)</f>
        <v>250</v>
      </c>
      <c r="U1315" s="26" t="n">
        <f aca="false">IF(R1315="",M1315,0)</f>
        <v>0</v>
      </c>
    </row>
    <row r="1316" customFormat="false" ht="15" hidden="false" customHeight="false" outlineLevel="0" collapsed="false">
      <c r="A1316" s="33" t="s">
        <v>65</v>
      </c>
      <c r="B1316" s="33" t="s">
        <v>69</v>
      </c>
      <c r="C1316" s="33" t="s">
        <v>49</v>
      </c>
      <c r="D1316" s="33" t="n">
        <v>15</v>
      </c>
      <c r="E1316" s="33" t="s">
        <v>609</v>
      </c>
      <c r="F1316" s="33" t="s">
        <v>199</v>
      </c>
      <c r="G1316" s="33" t="n">
        <v>1229</v>
      </c>
      <c r="H1316" s="33" t="s">
        <v>643</v>
      </c>
      <c r="I1316" s="33" t="n">
        <v>1</v>
      </c>
      <c r="J1316" s="34" t="n">
        <v>1800</v>
      </c>
      <c r="K1316" s="33" t="s">
        <v>546</v>
      </c>
      <c r="L1316" s="33" t="s">
        <v>547</v>
      </c>
      <c r="M1316" s="34" t="n">
        <f aca="false">IF(AND(L1316="Oui",K1316="Principal"),I1316*J1316,0)</f>
        <v>1800</v>
      </c>
      <c r="N1316" s="33" t="s">
        <v>182</v>
      </c>
      <c r="O1316" s="33" t="s">
        <v>644</v>
      </c>
      <c r="P1316" s="33" t="s">
        <v>550</v>
      </c>
      <c r="Q1316" s="33" t="s">
        <v>557</v>
      </c>
      <c r="R1316" s="34" t="n">
        <v>1500</v>
      </c>
      <c r="S1316" s="34" t="n">
        <f aca="false">IF(AND(L1316="Oui",K1316="Principal",R1316&lt;&gt;""),I1316*R1316,0)</f>
        <v>1500</v>
      </c>
      <c r="T1316" s="34" t="n">
        <f aca="false">IF(R1316&lt;&gt;"",M1316-S1316,0)</f>
        <v>300</v>
      </c>
      <c r="U1316" s="34" t="n">
        <f aca="false">IF(R1316="",M1316,0)</f>
        <v>0</v>
      </c>
    </row>
    <row r="1317" customFormat="false" ht="15" hidden="false" customHeight="false" outlineLevel="0" collapsed="false">
      <c r="A1317" s="25" t="s">
        <v>65</v>
      </c>
      <c r="B1317" s="25" t="s">
        <v>69</v>
      </c>
      <c r="C1317" s="25" t="s">
        <v>49</v>
      </c>
      <c r="D1317" s="25" t="n">
        <v>16</v>
      </c>
      <c r="E1317" s="25" t="s">
        <v>700</v>
      </c>
      <c r="F1317" s="25" t="s">
        <v>329</v>
      </c>
      <c r="G1317" s="25" t="n">
        <v>1716</v>
      </c>
      <c r="H1317" s="25" t="s">
        <v>701</v>
      </c>
      <c r="I1317" s="25" t="n">
        <v>1</v>
      </c>
      <c r="J1317" s="26" t="n">
        <v>1800</v>
      </c>
      <c r="K1317" s="25" t="s">
        <v>546</v>
      </c>
      <c r="L1317" s="25" t="s">
        <v>547</v>
      </c>
      <c r="M1317" s="26" t="n">
        <f aca="false">IF(AND(L1317="Oui",K1317="Principal"),I1317*J1317,0)</f>
        <v>1800</v>
      </c>
      <c r="N1317" s="25" t="s">
        <v>548</v>
      </c>
      <c r="O1317" s="25"/>
      <c r="P1317" s="25" t="s">
        <v>559</v>
      </c>
      <c r="Q1317" s="25" t="s">
        <v>557</v>
      </c>
      <c r="R1317" s="26" t="n">
        <v>1300</v>
      </c>
      <c r="S1317" s="26" t="n">
        <f aca="false">IF(AND(L1317="Oui",K1317="Principal",R1317&lt;&gt;""),I1317*R1317,0)</f>
        <v>1300</v>
      </c>
      <c r="T1317" s="26" t="n">
        <f aca="false">IF(R1317&lt;&gt;"",M1317-S1317,0)</f>
        <v>500</v>
      </c>
      <c r="U1317" s="26" t="n">
        <f aca="false">IF(R1317="",M1317,0)</f>
        <v>0</v>
      </c>
    </row>
    <row r="1318" customFormat="false" ht="15" hidden="false" customHeight="false" outlineLevel="0" collapsed="false">
      <c r="A1318" s="27" t="s">
        <v>65</v>
      </c>
      <c r="B1318" s="27" t="s">
        <v>69</v>
      </c>
      <c r="C1318" s="27" t="s">
        <v>49</v>
      </c>
      <c r="D1318" s="27" t="n">
        <v>17</v>
      </c>
      <c r="E1318" s="27" t="s">
        <v>700</v>
      </c>
      <c r="F1318" s="27" t="s">
        <v>382</v>
      </c>
      <c r="G1318" s="27"/>
      <c r="H1318" s="27" t="s">
        <v>585</v>
      </c>
      <c r="I1318" s="27" t="n">
        <v>1</v>
      </c>
      <c r="J1318" s="28" t="n">
        <v>0</v>
      </c>
      <c r="K1318" s="27" t="s">
        <v>546</v>
      </c>
      <c r="L1318" s="27" t="s">
        <v>579</v>
      </c>
      <c r="M1318" s="28" t="n">
        <f aca="false">IF(AND(L1318="Oui",K1318="Principal"),I1318*J1318,0)</f>
        <v>0</v>
      </c>
      <c r="N1318" s="27" t="s">
        <v>128</v>
      </c>
      <c r="O1318" s="27" t="s">
        <v>586</v>
      </c>
      <c r="P1318" s="27"/>
      <c r="Q1318" s="27"/>
      <c r="R1318" s="28"/>
      <c r="S1318" s="28" t="n">
        <f aca="false">IF(AND(L1318="Oui",K1318="Principal",R1318&lt;&gt;""),I1318*R1318,0)</f>
        <v>0</v>
      </c>
      <c r="T1318" s="28" t="n">
        <f aca="false">IF(R1318&lt;&gt;"",M1318-S1318,0)</f>
        <v>0</v>
      </c>
      <c r="U1318" s="28" t="n">
        <f aca="false">IF(R1318="",M1318,0)</f>
        <v>0</v>
      </c>
    </row>
    <row r="1319" customFormat="false" ht="15" hidden="false" customHeight="false" outlineLevel="0" collapsed="false">
      <c r="A1319" s="25" t="s">
        <v>65</v>
      </c>
      <c r="B1319" s="25" t="s">
        <v>69</v>
      </c>
      <c r="C1319" s="25" t="s">
        <v>49</v>
      </c>
      <c r="D1319" s="25" t="n">
        <v>18</v>
      </c>
      <c r="E1319" s="25" t="s">
        <v>571</v>
      </c>
      <c r="F1319" s="25" t="s">
        <v>431</v>
      </c>
      <c r="G1319" s="25" t="n">
        <v>1631</v>
      </c>
      <c r="H1319" s="25" t="s">
        <v>755</v>
      </c>
      <c r="I1319" s="25" t="n">
        <v>1</v>
      </c>
      <c r="J1319" s="26" t="n">
        <v>2700</v>
      </c>
      <c r="K1319" s="25" t="s">
        <v>546</v>
      </c>
      <c r="L1319" s="25" t="s">
        <v>547</v>
      </c>
      <c r="M1319" s="26" t="n">
        <f aca="false">IF(AND(L1319="Oui",K1319="Principal"),I1319*J1319,0)</f>
        <v>2700</v>
      </c>
      <c r="N1319" s="25" t="s">
        <v>548</v>
      </c>
      <c r="O1319" s="25"/>
      <c r="P1319" s="25" t="s">
        <v>556</v>
      </c>
      <c r="Q1319" s="25" t="s">
        <v>557</v>
      </c>
      <c r="R1319" s="26" t="n">
        <v>2000</v>
      </c>
      <c r="S1319" s="26" t="n">
        <f aca="false">IF(AND(L1319="Oui",K1319="Principal",R1319&lt;&gt;""),I1319*R1319,0)</f>
        <v>2000</v>
      </c>
      <c r="T1319" s="26" t="n">
        <f aca="false">IF(R1319&lt;&gt;"",M1319-S1319,0)</f>
        <v>700</v>
      </c>
      <c r="U1319" s="26" t="n">
        <f aca="false">IF(R1319="",M1319,0)</f>
        <v>0</v>
      </c>
    </row>
    <row r="1320" customFormat="false" ht="15" hidden="false" customHeight="false" outlineLevel="0" collapsed="false">
      <c r="A1320" s="25" t="s">
        <v>65</v>
      </c>
      <c r="B1320" s="25" t="s">
        <v>69</v>
      </c>
      <c r="C1320" s="25" t="s">
        <v>49</v>
      </c>
      <c r="D1320" s="25" t="n">
        <v>19</v>
      </c>
      <c r="E1320" s="25" t="s">
        <v>571</v>
      </c>
      <c r="F1320" s="25" t="s">
        <v>433</v>
      </c>
      <c r="G1320" s="25" t="n">
        <v>1683</v>
      </c>
      <c r="H1320" s="25" t="s">
        <v>756</v>
      </c>
      <c r="I1320" s="25" t="n">
        <v>1</v>
      </c>
      <c r="J1320" s="26" t="n">
        <v>1000</v>
      </c>
      <c r="K1320" s="25" t="s">
        <v>546</v>
      </c>
      <c r="L1320" s="25" t="s">
        <v>547</v>
      </c>
      <c r="M1320" s="26" t="n">
        <f aca="false">IF(AND(L1320="Oui",K1320="Principal"),I1320*J1320,0)</f>
        <v>1000</v>
      </c>
      <c r="N1320" s="25" t="s">
        <v>548</v>
      </c>
      <c r="O1320" s="25"/>
      <c r="P1320" s="25" t="s">
        <v>556</v>
      </c>
      <c r="Q1320" s="25" t="s">
        <v>557</v>
      </c>
      <c r="R1320" s="26"/>
      <c r="S1320" s="26" t="n">
        <f aca="false">IF(AND(L1320="Oui",K1320="Principal",R1320&lt;&gt;""),I1320*R1320,0)</f>
        <v>0</v>
      </c>
      <c r="T1320" s="26" t="n">
        <f aca="false">IF(R1320&lt;&gt;"",M1320-S1320,0)</f>
        <v>0</v>
      </c>
      <c r="U1320" s="26" t="n">
        <f aca="false">IF(R1320="",M1320,0)</f>
        <v>1000</v>
      </c>
    </row>
    <row r="1321" customFormat="false" ht="15" hidden="false" customHeight="false" outlineLevel="0" collapsed="false">
      <c r="A1321" s="33" t="s">
        <v>65</v>
      </c>
      <c r="B1321" s="33" t="s">
        <v>69</v>
      </c>
      <c r="C1321" s="33" t="s">
        <v>49</v>
      </c>
      <c r="D1321" s="33" t="n">
        <v>20</v>
      </c>
      <c r="E1321" s="33" t="s">
        <v>571</v>
      </c>
      <c r="F1321" s="33" t="s">
        <v>435</v>
      </c>
      <c r="G1321" s="33" t="n">
        <v>1269</v>
      </c>
      <c r="H1321" s="33" t="s">
        <v>757</v>
      </c>
      <c r="I1321" s="33" t="n">
        <v>1</v>
      </c>
      <c r="J1321" s="34" t="n">
        <v>1150</v>
      </c>
      <c r="K1321" s="33" t="s">
        <v>546</v>
      </c>
      <c r="L1321" s="33" t="s">
        <v>547</v>
      </c>
      <c r="M1321" s="34" t="n">
        <f aca="false">IF(AND(L1321="Oui",K1321="Principal"),I1321*J1321,0)</f>
        <v>1150</v>
      </c>
      <c r="N1321" s="33" t="s">
        <v>182</v>
      </c>
      <c r="O1321" s="33" t="s">
        <v>758</v>
      </c>
      <c r="P1321" s="33" t="s">
        <v>550</v>
      </c>
      <c r="Q1321" s="33" t="s">
        <v>557</v>
      </c>
      <c r="R1321" s="34" t="n">
        <v>850</v>
      </c>
      <c r="S1321" s="34" t="n">
        <f aca="false">IF(AND(L1321="Oui",K1321="Principal",R1321&lt;&gt;""),I1321*R1321,0)</f>
        <v>850</v>
      </c>
      <c r="T1321" s="34" t="n">
        <f aca="false">IF(R1321&lt;&gt;"",M1321-S1321,0)</f>
        <v>300</v>
      </c>
      <c r="U1321" s="34" t="n">
        <f aca="false">IF(R1321="",M1321,0)</f>
        <v>0</v>
      </c>
    </row>
    <row r="1322" customFormat="false" ht="15" hidden="false" customHeight="false" outlineLevel="0" collapsed="false">
      <c r="A1322" s="25" t="s">
        <v>65</v>
      </c>
      <c r="B1322" s="25" t="s">
        <v>69</v>
      </c>
      <c r="C1322" s="25" t="s">
        <v>49</v>
      </c>
      <c r="D1322" s="25" t="n">
        <v>21</v>
      </c>
      <c r="E1322" s="25" t="s">
        <v>573</v>
      </c>
      <c r="F1322" s="25" t="s">
        <v>176</v>
      </c>
      <c r="G1322" s="25" t="n">
        <v>19</v>
      </c>
      <c r="H1322" s="25" t="s">
        <v>615</v>
      </c>
      <c r="I1322" s="25" t="n">
        <v>1</v>
      </c>
      <c r="J1322" s="26" t="n">
        <v>2500</v>
      </c>
      <c r="K1322" s="25" t="s">
        <v>546</v>
      </c>
      <c r="L1322" s="25" t="s">
        <v>547</v>
      </c>
      <c r="M1322" s="26" t="n">
        <f aca="false">IF(AND(L1322="Oui",K1322="Principal"),I1322*J1322,0)</f>
        <v>2500</v>
      </c>
      <c r="N1322" s="25" t="s">
        <v>548</v>
      </c>
      <c r="O1322" s="25"/>
      <c r="P1322" s="25" t="s">
        <v>559</v>
      </c>
      <c r="Q1322" s="25" t="s">
        <v>551</v>
      </c>
      <c r="R1322" s="26"/>
      <c r="S1322" s="26" t="n">
        <f aca="false">IF(AND(L1322="Oui",K1322="Principal",R1322&lt;&gt;""),I1322*R1322,0)</f>
        <v>0</v>
      </c>
      <c r="T1322" s="26" t="n">
        <f aca="false">IF(R1322&lt;&gt;"",M1322-S1322,0)</f>
        <v>0</v>
      </c>
      <c r="U1322" s="26" t="n">
        <f aca="false">IF(R1322="",M1322,0)</f>
        <v>2500</v>
      </c>
    </row>
    <row r="1323" customFormat="false" ht="15" hidden="false" customHeight="false" outlineLevel="0" collapsed="false">
      <c r="A1323" s="25" t="s">
        <v>65</v>
      </c>
      <c r="B1323" s="25" t="s">
        <v>69</v>
      </c>
      <c r="C1323" s="25" t="s">
        <v>49</v>
      </c>
      <c r="D1323" s="25" t="n">
        <v>22</v>
      </c>
      <c r="E1323" s="25" t="s">
        <v>573</v>
      </c>
      <c r="F1323" s="25" t="s">
        <v>117</v>
      </c>
      <c r="G1323" s="25" t="n">
        <v>1288</v>
      </c>
      <c r="H1323" s="25" t="s">
        <v>624</v>
      </c>
      <c r="I1323" s="25" t="n">
        <v>1</v>
      </c>
      <c r="J1323" s="26" t="n">
        <v>2500</v>
      </c>
      <c r="K1323" s="25" t="s">
        <v>546</v>
      </c>
      <c r="L1323" s="25" t="s">
        <v>547</v>
      </c>
      <c r="M1323" s="26" t="n">
        <f aca="false">IF(AND(L1323="Oui",K1323="Principal"),I1323*J1323,0)</f>
        <v>2500</v>
      </c>
      <c r="N1323" s="25" t="s">
        <v>548</v>
      </c>
      <c r="O1323" s="25"/>
      <c r="P1323" s="25" t="s">
        <v>550</v>
      </c>
      <c r="Q1323" s="25" t="s">
        <v>557</v>
      </c>
      <c r="R1323" s="26" t="n">
        <v>2000</v>
      </c>
      <c r="S1323" s="26" t="n">
        <f aca="false">IF(AND(L1323="Oui",K1323="Principal",R1323&lt;&gt;""),I1323*R1323,0)</f>
        <v>2000</v>
      </c>
      <c r="T1323" s="26" t="n">
        <f aca="false">IF(R1323&lt;&gt;"",M1323-S1323,0)</f>
        <v>500</v>
      </c>
      <c r="U1323" s="26" t="n">
        <f aca="false">IF(R1323="",M1323,0)</f>
        <v>0</v>
      </c>
    </row>
    <row r="1324" customFormat="false" ht="15" hidden="false" customHeight="false" outlineLevel="0" collapsed="false">
      <c r="A1324" s="25" t="s">
        <v>65</v>
      </c>
      <c r="B1324" s="25" t="s">
        <v>69</v>
      </c>
      <c r="C1324" s="25" t="s">
        <v>49</v>
      </c>
      <c r="D1324" s="25" t="n">
        <v>23</v>
      </c>
      <c r="E1324" s="25" t="s">
        <v>573</v>
      </c>
      <c r="F1324" s="25" t="s">
        <v>321</v>
      </c>
      <c r="G1324" s="25" t="n">
        <v>1192</v>
      </c>
      <c r="H1324" s="25" t="s">
        <v>694</v>
      </c>
      <c r="I1324" s="25" t="n">
        <v>1</v>
      </c>
      <c r="J1324" s="26" t="n">
        <v>7000</v>
      </c>
      <c r="K1324" s="25" t="s">
        <v>546</v>
      </c>
      <c r="L1324" s="25" t="s">
        <v>547</v>
      </c>
      <c r="M1324" s="26" t="n">
        <f aca="false">IF(AND(L1324="Oui",K1324="Principal"),I1324*J1324,0)</f>
        <v>7000</v>
      </c>
      <c r="N1324" s="25" t="s">
        <v>548</v>
      </c>
      <c r="O1324" s="25"/>
      <c r="P1324" s="25" t="s">
        <v>550</v>
      </c>
      <c r="Q1324" s="25" t="s">
        <v>557</v>
      </c>
      <c r="R1324" s="26" t="n">
        <v>5500</v>
      </c>
      <c r="S1324" s="26" t="n">
        <f aca="false">IF(AND(L1324="Oui",K1324="Principal",R1324&lt;&gt;""),I1324*R1324,0)</f>
        <v>5500</v>
      </c>
      <c r="T1324" s="26" t="n">
        <f aca="false">IF(R1324&lt;&gt;"",M1324-S1324,0)</f>
        <v>1500</v>
      </c>
      <c r="U1324" s="26" t="n">
        <f aca="false">IF(R1324="",M1324,0)</f>
        <v>0</v>
      </c>
    </row>
    <row r="1325" customFormat="false" ht="15" hidden="false" customHeight="false" outlineLevel="0" collapsed="false">
      <c r="A1325" s="25" t="s">
        <v>65</v>
      </c>
      <c r="B1325" s="25" t="s">
        <v>69</v>
      </c>
      <c r="C1325" s="25" t="s">
        <v>49</v>
      </c>
      <c r="D1325" s="25" t="n">
        <v>24</v>
      </c>
      <c r="E1325" s="25" t="s">
        <v>689</v>
      </c>
      <c r="F1325" s="25" t="s">
        <v>465</v>
      </c>
      <c r="G1325" s="25" t="n">
        <v>1309</v>
      </c>
      <c r="H1325" s="25" t="s">
        <v>775</v>
      </c>
      <c r="I1325" s="25" t="n">
        <v>1</v>
      </c>
      <c r="J1325" s="26" t="n">
        <v>2800</v>
      </c>
      <c r="K1325" s="25" t="s">
        <v>546</v>
      </c>
      <c r="L1325" s="25" t="s">
        <v>547</v>
      </c>
      <c r="M1325" s="26" t="n">
        <f aca="false">IF(AND(L1325="Oui",K1325="Principal"),I1325*J1325,0)</f>
        <v>2800</v>
      </c>
      <c r="N1325" s="25" t="s">
        <v>548</v>
      </c>
      <c r="O1325" s="25"/>
      <c r="P1325" s="25" t="s">
        <v>550</v>
      </c>
      <c r="Q1325" s="25" t="s">
        <v>557</v>
      </c>
      <c r="R1325" s="26" t="n">
        <v>1800</v>
      </c>
      <c r="S1325" s="26" t="n">
        <f aca="false">IF(AND(L1325="Oui",K1325="Principal",R1325&lt;&gt;""),I1325*R1325,0)</f>
        <v>1800</v>
      </c>
      <c r="T1325" s="26" t="n">
        <f aca="false">IF(R1325&lt;&gt;"",M1325-S1325,0)</f>
        <v>1000</v>
      </c>
      <c r="U1325" s="26" t="n">
        <f aca="false">IF(R1325="",M1325,0)</f>
        <v>0</v>
      </c>
    </row>
    <row r="1326" customFormat="false" ht="15" hidden="false" customHeight="false" outlineLevel="0" collapsed="false">
      <c r="A1326" s="25" t="s">
        <v>65</v>
      </c>
      <c r="B1326" s="25" t="s">
        <v>69</v>
      </c>
      <c r="C1326" s="25" t="s">
        <v>49</v>
      </c>
      <c r="D1326" s="25" t="n">
        <v>25</v>
      </c>
      <c r="E1326" s="25" t="s">
        <v>689</v>
      </c>
      <c r="F1326" s="25" t="s">
        <v>467</v>
      </c>
      <c r="G1326" s="25" t="n">
        <v>1324</v>
      </c>
      <c r="H1326" s="25" t="s">
        <v>776</v>
      </c>
      <c r="I1326" s="25" t="n">
        <v>1</v>
      </c>
      <c r="J1326" s="26" t="n">
        <v>2800</v>
      </c>
      <c r="K1326" s="25" t="s">
        <v>546</v>
      </c>
      <c r="L1326" s="25" t="s">
        <v>547</v>
      </c>
      <c r="M1326" s="26" t="n">
        <f aca="false">IF(AND(L1326="Oui",K1326="Principal"),I1326*J1326,0)</f>
        <v>2800</v>
      </c>
      <c r="N1326" s="25" t="s">
        <v>548</v>
      </c>
      <c r="O1326" s="25"/>
      <c r="P1326" s="25" t="s">
        <v>550</v>
      </c>
      <c r="Q1326" s="25" t="s">
        <v>557</v>
      </c>
      <c r="R1326" s="26" t="n">
        <v>1800</v>
      </c>
      <c r="S1326" s="26" t="n">
        <f aca="false">IF(AND(L1326="Oui",K1326="Principal",R1326&lt;&gt;""),I1326*R1326,0)</f>
        <v>1800</v>
      </c>
      <c r="T1326" s="26" t="n">
        <f aca="false">IF(R1326&lt;&gt;"",M1326-S1326,0)</f>
        <v>1000</v>
      </c>
      <c r="U1326" s="26" t="n">
        <f aca="false">IF(R1326="",M1326,0)</f>
        <v>0</v>
      </c>
    </row>
    <row r="1327" customFormat="false" ht="15" hidden="false" customHeight="false" outlineLevel="0" collapsed="false">
      <c r="A1327" s="25" t="s">
        <v>65</v>
      </c>
      <c r="B1327" s="25" t="s">
        <v>69</v>
      </c>
      <c r="C1327" s="25" t="s">
        <v>49</v>
      </c>
      <c r="D1327" s="25" t="n">
        <v>26</v>
      </c>
      <c r="E1327" s="25" t="s">
        <v>689</v>
      </c>
      <c r="F1327" s="25" t="s">
        <v>469</v>
      </c>
      <c r="G1327" s="25" t="n">
        <v>1303</v>
      </c>
      <c r="H1327" s="25" t="s">
        <v>777</v>
      </c>
      <c r="I1327" s="25" t="n">
        <v>1</v>
      </c>
      <c r="J1327" s="26" t="n">
        <v>3500</v>
      </c>
      <c r="K1327" s="25" t="s">
        <v>546</v>
      </c>
      <c r="L1327" s="25" t="s">
        <v>547</v>
      </c>
      <c r="M1327" s="26" t="n">
        <f aca="false">IF(AND(L1327="Oui",K1327="Principal"),I1327*J1327,0)</f>
        <v>3500</v>
      </c>
      <c r="N1327" s="25" t="s">
        <v>548</v>
      </c>
      <c r="O1327" s="25"/>
      <c r="P1327" s="25" t="s">
        <v>550</v>
      </c>
      <c r="Q1327" s="25" t="s">
        <v>557</v>
      </c>
      <c r="R1327" s="26" t="n">
        <v>2500</v>
      </c>
      <c r="S1327" s="26" t="n">
        <f aca="false">IF(AND(L1327="Oui",K1327="Principal",R1327&lt;&gt;""),I1327*R1327,0)</f>
        <v>2500</v>
      </c>
      <c r="T1327" s="26" t="n">
        <f aca="false">IF(R1327&lt;&gt;"",M1327-S1327,0)</f>
        <v>1000</v>
      </c>
      <c r="U1327" s="26" t="n">
        <f aca="false">IF(R1327="",M1327,0)</f>
        <v>0</v>
      </c>
    </row>
    <row r="1328" customFormat="false" ht="15" hidden="false" customHeight="false" outlineLevel="0" collapsed="false">
      <c r="A1328" s="25" t="s">
        <v>65</v>
      </c>
      <c r="B1328" s="25" t="s">
        <v>69</v>
      </c>
      <c r="C1328" s="25" t="s">
        <v>50</v>
      </c>
      <c r="D1328" s="25" t="n">
        <v>1</v>
      </c>
      <c r="E1328" s="25" t="s">
        <v>544</v>
      </c>
      <c r="F1328" s="25" t="s">
        <v>295</v>
      </c>
      <c r="G1328" s="25" t="n">
        <v>1618</v>
      </c>
      <c r="H1328" s="25" t="s">
        <v>600</v>
      </c>
      <c r="I1328" s="25" t="n">
        <v>1</v>
      </c>
      <c r="J1328" s="26" t="n">
        <v>450</v>
      </c>
      <c r="K1328" s="25" t="s">
        <v>546</v>
      </c>
      <c r="L1328" s="25" t="s">
        <v>547</v>
      </c>
      <c r="M1328" s="26" t="n">
        <f aca="false">IF(AND(L1328="Oui",K1328="Principal"),I1328*J1328,0)</f>
        <v>450</v>
      </c>
      <c r="N1328" s="25" t="s">
        <v>548</v>
      </c>
      <c r="O1328" s="25"/>
      <c r="P1328" s="25" t="s">
        <v>556</v>
      </c>
      <c r="Q1328" s="25" t="s">
        <v>557</v>
      </c>
      <c r="R1328" s="26" t="n">
        <v>350</v>
      </c>
      <c r="S1328" s="26" t="n">
        <f aca="false">IF(AND(L1328="Oui",K1328="Principal",R1328&lt;&gt;""),I1328*R1328,0)</f>
        <v>350</v>
      </c>
      <c r="T1328" s="26" t="n">
        <f aca="false">IF(R1328&lt;&gt;"",M1328-S1328,0)</f>
        <v>100</v>
      </c>
      <c r="U1328" s="26" t="n">
        <f aca="false">IF(R1328="",M1328,0)</f>
        <v>0</v>
      </c>
    </row>
    <row r="1329" customFormat="false" ht="15" hidden="false" customHeight="false" outlineLevel="0" collapsed="false">
      <c r="A1329" s="25" t="s">
        <v>65</v>
      </c>
      <c r="B1329" s="25" t="s">
        <v>69</v>
      </c>
      <c r="C1329" s="25" t="s">
        <v>50</v>
      </c>
      <c r="D1329" s="25" t="n">
        <v>2</v>
      </c>
      <c r="E1329" s="25" t="s">
        <v>544</v>
      </c>
      <c r="F1329" s="25" t="s">
        <v>296</v>
      </c>
      <c r="G1329" s="25" t="n">
        <v>1</v>
      </c>
      <c r="H1329" s="25" t="s">
        <v>681</v>
      </c>
      <c r="I1329" s="25" t="n">
        <v>4</v>
      </c>
      <c r="J1329" s="26" t="n">
        <v>500</v>
      </c>
      <c r="K1329" s="25" t="s">
        <v>546</v>
      </c>
      <c r="L1329" s="25" t="s">
        <v>547</v>
      </c>
      <c r="M1329" s="26" t="n">
        <f aca="false">IF(AND(L1329="Oui",K1329="Principal"),I1329*J1329,0)</f>
        <v>2000</v>
      </c>
      <c r="N1329" s="25" t="s">
        <v>548</v>
      </c>
      <c r="O1329" s="25"/>
      <c r="P1329" s="25" t="s">
        <v>559</v>
      </c>
      <c r="Q1329" s="25" t="s">
        <v>551</v>
      </c>
      <c r="R1329" s="26"/>
      <c r="S1329" s="26" t="n">
        <f aca="false">IF(AND(L1329="Oui",K1329="Principal",R1329&lt;&gt;""),I1329*R1329,0)</f>
        <v>0</v>
      </c>
      <c r="T1329" s="26" t="n">
        <f aca="false">IF(R1329&lt;&gt;"",M1329-S1329,0)</f>
        <v>0</v>
      </c>
      <c r="U1329" s="26" t="n">
        <f aca="false">IF(R1329="",M1329,0)</f>
        <v>2000</v>
      </c>
    </row>
    <row r="1330" customFormat="false" ht="15" hidden="false" customHeight="false" outlineLevel="0" collapsed="false">
      <c r="A1330" s="25" t="s">
        <v>65</v>
      </c>
      <c r="B1330" s="25" t="s">
        <v>69</v>
      </c>
      <c r="C1330" s="25" t="s">
        <v>50</v>
      </c>
      <c r="D1330" s="25" t="n">
        <v>3</v>
      </c>
      <c r="E1330" s="25" t="s">
        <v>544</v>
      </c>
      <c r="F1330" s="25" t="s">
        <v>298</v>
      </c>
      <c r="G1330" s="25" t="n">
        <v>1616</v>
      </c>
      <c r="H1330" s="25" t="s">
        <v>695</v>
      </c>
      <c r="I1330" s="25" t="n">
        <v>2</v>
      </c>
      <c r="J1330" s="26" t="n">
        <v>900</v>
      </c>
      <c r="K1330" s="25" t="s">
        <v>546</v>
      </c>
      <c r="L1330" s="25" t="s">
        <v>547</v>
      </c>
      <c r="M1330" s="26" t="n">
        <f aca="false">IF(AND(L1330="Oui",K1330="Principal"),I1330*J1330,0)</f>
        <v>1800</v>
      </c>
      <c r="N1330" s="25" t="s">
        <v>548</v>
      </c>
      <c r="O1330" s="25"/>
      <c r="P1330" s="25" t="s">
        <v>556</v>
      </c>
      <c r="Q1330" s="25" t="s">
        <v>557</v>
      </c>
      <c r="R1330" s="26" t="n">
        <v>800</v>
      </c>
      <c r="S1330" s="26" t="n">
        <f aca="false">IF(AND(L1330="Oui",K1330="Principal",R1330&lt;&gt;""),I1330*R1330,0)</f>
        <v>1600</v>
      </c>
      <c r="T1330" s="26" t="n">
        <f aca="false">IF(R1330&lt;&gt;"",M1330-S1330,0)</f>
        <v>200</v>
      </c>
      <c r="U1330" s="26" t="n">
        <f aca="false">IF(R1330="",M1330,0)</f>
        <v>0</v>
      </c>
    </row>
    <row r="1331" customFormat="false" ht="15" hidden="false" customHeight="false" outlineLevel="0" collapsed="false">
      <c r="A1331" s="25" t="s">
        <v>65</v>
      </c>
      <c r="B1331" s="25" t="s">
        <v>69</v>
      </c>
      <c r="C1331" s="25" t="s">
        <v>50</v>
      </c>
      <c r="D1331" s="25" t="n">
        <v>4</v>
      </c>
      <c r="E1331" s="25" t="s">
        <v>544</v>
      </c>
      <c r="F1331" s="25" t="s">
        <v>338</v>
      </c>
      <c r="G1331" s="25" t="n">
        <v>1715</v>
      </c>
      <c r="H1331" s="25" t="s">
        <v>713</v>
      </c>
      <c r="I1331" s="25" t="n">
        <v>4</v>
      </c>
      <c r="J1331" s="26" t="n">
        <v>1600</v>
      </c>
      <c r="K1331" s="25" t="s">
        <v>546</v>
      </c>
      <c r="L1331" s="25" t="s">
        <v>547</v>
      </c>
      <c r="M1331" s="26" t="n">
        <f aca="false">IF(AND(L1331="Oui",K1331="Principal"),I1331*J1331,0)</f>
        <v>6400</v>
      </c>
      <c r="N1331" s="25" t="s">
        <v>548</v>
      </c>
      <c r="O1331" s="25"/>
      <c r="P1331" s="25" t="s">
        <v>550</v>
      </c>
      <c r="Q1331" s="25" t="s">
        <v>557</v>
      </c>
      <c r="R1331" s="26" t="n">
        <v>1300</v>
      </c>
      <c r="S1331" s="26" t="n">
        <f aca="false">IF(AND(L1331="Oui",K1331="Principal",R1331&lt;&gt;""),I1331*R1331,0)</f>
        <v>5200</v>
      </c>
      <c r="T1331" s="26" t="n">
        <f aca="false">IF(R1331&lt;&gt;"",M1331-S1331,0)</f>
        <v>1200</v>
      </c>
      <c r="U1331" s="26" t="n">
        <f aca="false">IF(R1331="",M1331,0)</f>
        <v>0</v>
      </c>
    </row>
    <row r="1332" customFormat="false" ht="15" hidden="false" customHeight="false" outlineLevel="0" collapsed="false">
      <c r="A1332" s="25" t="s">
        <v>65</v>
      </c>
      <c r="B1332" s="25" t="s">
        <v>69</v>
      </c>
      <c r="C1332" s="25" t="s">
        <v>50</v>
      </c>
      <c r="D1332" s="25" t="n">
        <v>5</v>
      </c>
      <c r="E1332" s="25" t="s">
        <v>544</v>
      </c>
      <c r="F1332" s="25" t="s">
        <v>301</v>
      </c>
      <c r="G1332" s="25" t="n">
        <v>1728</v>
      </c>
      <c r="H1332" s="25" t="s">
        <v>545</v>
      </c>
      <c r="I1332" s="25" t="n">
        <v>1</v>
      </c>
      <c r="J1332" s="26" t="n">
        <v>900</v>
      </c>
      <c r="K1332" s="25" t="s">
        <v>546</v>
      </c>
      <c r="L1332" s="25" t="s">
        <v>547</v>
      </c>
      <c r="M1332" s="26" t="n">
        <f aca="false">IF(AND(L1332="Oui",K1332="Principal"),I1332*J1332,0)</f>
        <v>900</v>
      </c>
      <c r="N1332" s="25" t="s">
        <v>548</v>
      </c>
      <c r="O1332" s="25"/>
      <c r="P1332" s="25" t="s">
        <v>550</v>
      </c>
      <c r="Q1332" s="25" t="s">
        <v>551</v>
      </c>
      <c r="R1332" s="26"/>
      <c r="S1332" s="26" t="n">
        <f aca="false">IF(AND(L1332="Oui",K1332="Principal",R1332&lt;&gt;""),I1332*R1332,0)</f>
        <v>0</v>
      </c>
      <c r="T1332" s="26" t="n">
        <f aca="false">IF(R1332&lt;&gt;"",M1332-S1332,0)</f>
        <v>0</v>
      </c>
      <c r="U1332" s="26" t="n">
        <f aca="false">IF(R1332="",M1332,0)</f>
        <v>900</v>
      </c>
    </row>
    <row r="1333" customFormat="false" ht="15" hidden="false" customHeight="false" outlineLevel="0" collapsed="false">
      <c r="A1333" s="25" t="s">
        <v>65</v>
      </c>
      <c r="B1333" s="25" t="s">
        <v>69</v>
      </c>
      <c r="C1333" s="25" t="s">
        <v>50</v>
      </c>
      <c r="D1333" s="25" t="n">
        <v>6</v>
      </c>
      <c r="E1333" s="25" t="s">
        <v>563</v>
      </c>
      <c r="F1333" s="25" t="s">
        <v>255</v>
      </c>
      <c r="G1333" s="25" t="n">
        <v>1636</v>
      </c>
      <c r="H1333" s="25" t="s">
        <v>661</v>
      </c>
      <c r="I1333" s="25" t="n">
        <v>1</v>
      </c>
      <c r="J1333" s="26" t="n">
        <v>400</v>
      </c>
      <c r="K1333" s="25" t="s">
        <v>546</v>
      </c>
      <c r="L1333" s="25" t="s">
        <v>547</v>
      </c>
      <c r="M1333" s="26" t="n">
        <f aca="false">IF(AND(L1333="Oui",K1333="Principal"),I1333*J1333,0)</f>
        <v>400</v>
      </c>
      <c r="N1333" s="25" t="s">
        <v>548</v>
      </c>
      <c r="O1333" s="25"/>
      <c r="P1333" s="25" t="s">
        <v>556</v>
      </c>
      <c r="Q1333" s="25" t="s">
        <v>557</v>
      </c>
      <c r="R1333" s="26" t="n">
        <v>320</v>
      </c>
      <c r="S1333" s="26" t="n">
        <f aca="false">IF(AND(L1333="Oui",K1333="Principal",R1333&lt;&gt;""),I1333*R1333,0)</f>
        <v>320</v>
      </c>
      <c r="T1333" s="26" t="n">
        <f aca="false">IF(R1333&lt;&gt;"",M1333-S1333,0)</f>
        <v>80</v>
      </c>
      <c r="U1333" s="26" t="n">
        <f aca="false">IF(R1333="",M1333,0)</f>
        <v>0</v>
      </c>
    </row>
    <row r="1334" customFormat="false" ht="15" hidden="false" customHeight="false" outlineLevel="0" collapsed="false">
      <c r="A1334" s="25" t="s">
        <v>65</v>
      </c>
      <c r="B1334" s="25" t="s">
        <v>69</v>
      </c>
      <c r="C1334" s="25" t="s">
        <v>50</v>
      </c>
      <c r="D1334" s="25" t="n">
        <v>7</v>
      </c>
      <c r="E1334" s="25" t="s">
        <v>563</v>
      </c>
      <c r="F1334" s="25" t="s">
        <v>257</v>
      </c>
      <c r="G1334" s="25" t="n">
        <v>1635</v>
      </c>
      <c r="H1334" s="25" t="s">
        <v>607</v>
      </c>
      <c r="I1334" s="25" t="n">
        <v>1</v>
      </c>
      <c r="J1334" s="26" t="n">
        <v>100</v>
      </c>
      <c r="K1334" s="25" t="s">
        <v>546</v>
      </c>
      <c r="L1334" s="25" t="s">
        <v>547</v>
      </c>
      <c r="M1334" s="26" t="n">
        <f aca="false">IF(AND(L1334="Oui",K1334="Principal"),I1334*J1334,0)</f>
        <v>100</v>
      </c>
      <c r="N1334" s="25" t="s">
        <v>548</v>
      </c>
      <c r="O1334" s="25"/>
      <c r="P1334" s="25" t="s">
        <v>556</v>
      </c>
      <c r="Q1334" s="25" t="s">
        <v>557</v>
      </c>
      <c r="R1334" s="26" t="n">
        <v>80</v>
      </c>
      <c r="S1334" s="26" t="n">
        <f aca="false">IF(AND(L1334="Oui",K1334="Principal",R1334&lt;&gt;""),I1334*R1334,0)</f>
        <v>80</v>
      </c>
      <c r="T1334" s="26" t="n">
        <f aca="false">IF(R1334&lt;&gt;"",M1334-S1334,0)</f>
        <v>20</v>
      </c>
      <c r="U1334" s="26" t="n">
        <f aca="false">IF(R1334="",M1334,0)</f>
        <v>0</v>
      </c>
    </row>
    <row r="1335" customFormat="false" ht="15" hidden="false" customHeight="false" outlineLevel="0" collapsed="false">
      <c r="A1335" s="25" t="s">
        <v>65</v>
      </c>
      <c r="B1335" s="25" t="s">
        <v>69</v>
      </c>
      <c r="C1335" s="25" t="s">
        <v>50</v>
      </c>
      <c r="D1335" s="25" t="n">
        <v>8</v>
      </c>
      <c r="E1335" s="25" t="s">
        <v>563</v>
      </c>
      <c r="F1335" s="25" t="s">
        <v>188</v>
      </c>
      <c r="G1335" s="25" t="n">
        <v>8</v>
      </c>
      <c r="H1335" s="25" t="s">
        <v>188</v>
      </c>
      <c r="I1335" s="25" t="n">
        <v>1</v>
      </c>
      <c r="J1335" s="26" t="n">
        <v>500</v>
      </c>
      <c r="K1335" s="25" t="s">
        <v>546</v>
      </c>
      <c r="L1335" s="25" t="s">
        <v>547</v>
      </c>
      <c r="M1335" s="26" t="n">
        <f aca="false">IF(AND(L1335="Oui",K1335="Principal"),I1335*J1335,0)</f>
        <v>500</v>
      </c>
      <c r="N1335" s="25" t="s">
        <v>548</v>
      </c>
      <c r="O1335" s="25"/>
      <c r="P1335" s="25" t="s">
        <v>559</v>
      </c>
      <c r="Q1335" s="25" t="s">
        <v>551</v>
      </c>
      <c r="R1335" s="26"/>
      <c r="S1335" s="26" t="n">
        <f aca="false">IF(AND(L1335="Oui",K1335="Principal",R1335&lt;&gt;""),I1335*R1335,0)</f>
        <v>0</v>
      </c>
      <c r="T1335" s="26" t="n">
        <f aca="false">IF(R1335&lt;&gt;"",M1335-S1335,0)</f>
        <v>0</v>
      </c>
      <c r="U1335" s="26" t="n">
        <f aca="false">IF(R1335="",M1335,0)</f>
        <v>500</v>
      </c>
    </row>
    <row r="1336" customFormat="false" ht="15" hidden="false" customHeight="false" outlineLevel="0" collapsed="false">
      <c r="A1336" s="25" t="s">
        <v>65</v>
      </c>
      <c r="B1336" s="25" t="s">
        <v>69</v>
      </c>
      <c r="C1336" s="25" t="s">
        <v>50</v>
      </c>
      <c r="D1336" s="25" t="n">
        <v>9</v>
      </c>
      <c r="E1336" s="25" t="s">
        <v>563</v>
      </c>
      <c r="F1336" s="25" t="s">
        <v>323</v>
      </c>
      <c r="G1336" s="25" t="n">
        <v>1607</v>
      </c>
      <c r="H1336" s="25" t="s">
        <v>696</v>
      </c>
      <c r="I1336" s="25" t="n">
        <v>1</v>
      </c>
      <c r="J1336" s="26" t="n">
        <v>2500</v>
      </c>
      <c r="K1336" s="25" t="s">
        <v>546</v>
      </c>
      <c r="L1336" s="25" t="s">
        <v>547</v>
      </c>
      <c r="M1336" s="26" t="n">
        <f aca="false">IF(AND(L1336="Oui",K1336="Principal"),I1336*J1336,0)</f>
        <v>2500</v>
      </c>
      <c r="N1336" s="25" t="s">
        <v>548</v>
      </c>
      <c r="O1336" s="25"/>
      <c r="P1336" s="25" t="s">
        <v>556</v>
      </c>
      <c r="Q1336" s="25" t="s">
        <v>557</v>
      </c>
      <c r="R1336" s="26" t="n">
        <v>2000</v>
      </c>
      <c r="S1336" s="26" t="n">
        <f aca="false">IF(AND(L1336="Oui",K1336="Principal",R1336&lt;&gt;""),I1336*R1336,0)</f>
        <v>2000</v>
      </c>
      <c r="T1336" s="26" t="n">
        <f aca="false">IF(R1336&lt;&gt;"",M1336-S1336,0)</f>
        <v>500</v>
      </c>
      <c r="U1336" s="26" t="n">
        <f aca="false">IF(R1336="",M1336,0)</f>
        <v>0</v>
      </c>
    </row>
    <row r="1337" customFormat="false" ht="15" hidden="false" customHeight="false" outlineLevel="0" collapsed="false">
      <c r="A1337" s="25" t="s">
        <v>65</v>
      </c>
      <c r="B1337" s="25" t="s">
        <v>69</v>
      </c>
      <c r="C1337" s="25" t="s">
        <v>50</v>
      </c>
      <c r="D1337" s="25" t="n">
        <v>10</v>
      </c>
      <c r="E1337" s="25" t="s">
        <v>563</v>
      </c>
      <c r="F1337" s="25" t="s">
        <v>325</v>
      </c>
      <c r="G1337" s="25" t="n">
        <v>1639</v>
      </c>
      <c r="H1337" s="25" t="s">
        <v>702</v>
      </c>
      <c r="I1337" s="25" t="n">
        <v>1</v>
      </c>
      <c r="J1337" s="26" t="n">
        <v>1000</v>
      </c>
      <c r="K1337" s="25" t="s">
        <v>546</v>
      </c>
      <c r="L1337" s="25" t="s">
        <v>547</v>
      </c>
      <c r="M1337" s="26" t="n">
        <f aca="false">IF(AND(L1337="Oui",K1337="Principal"),I1337*J1337,0)</f>
        <v>1000</v>
      </c>
      <c r="N1337" s="25" t="s">
        <v>548</v>
      </c>
      <c r="O1337" s="25"/>
      <c r="P1337" s="25" t="s">
        <v>556</v>
      </c>
      <c r="Q1337" s="25" t="s">
        <v>557</v>
      </c>
      <c r="R1337" s="26" t="n">
        <v>700</v>
      </c>
      <c r="S1337" s="26" t="n">
        <f aca="false">IF(AND(L1337="Oui",K1337="Principal",R1337&lt;&gt;""),I1337*R1337,0)</f>
        <v>700</v>
      </c>
      <c r="T1337" s="26" t="n">
        <f aca="false">IF(R1337&lt;&gt;"",M1337-S1337,0)</f>
        <v>300</v>
      </c>
      <c r="U1337" s="26" t="n">
        <f aca="false">IF(R1337="",M1337,0)</f>
        <v>0</v>
      </c>
    </row>
    <row r="1338" customFormat="false" ht="15" hidden="false" customHeight="false" outlineLevel="0" collapsed="false">
      <c r="A1338" s="25" t="s">
        <v>65</v>
      </c>
      <c r="B1338" s="25" t="s">
        <v>69</v>
      </c>
      <c r="C1338" s="25" t="s">
        <v>50</v>
      </c>
      <c r="D1338" s="25" t="n">
        <v>11</v>
      </c>
      <c r="E1338" s="25" t="s">
        <v>565</v>
      </c>
      <c r="F1338" s="25" t="s">
        <v>99</v>
      </c>
      <c r="G1338" s="25" t="n">
        <v>1181</v>
      </c>
      <c r="H1338" s="25" t="s">
        <v>581</v>
      </c>
      <c r="I1338" s="25" t="n">
        <v>1</v>
      </c>
      <c r="J1338" s="26" t="n">
        <v>250</v>
      </c>
      <c r="K1338" s="25" t="s">
        <v>546</v>
      </c>
      <c r="L1338" s="25" t="s">
        <v>547</v>
      </c>
      <c r="M1338" s="26" t="n">
        <f aca="false">IF(AND(L1338="Oui",K1338="Principal"),I1338*J1338,0)</f>
        <v>250</v>
      </c>
      <c r="N1338" s="25" t="s">
        <v>548</v>
      </c>
      <c r="O1338" s="25"/>
      <c r="P1338" s="25" t="s">
        <v>550</v>
      </c>
      <c r="Q1338" s="25" t="s">
        <v>557</v>
      </c>
      <c r="R1338" s="26" t="n">
        <v>110</v>
      </c>
      <c r="S1338" s="26" t="n">
        <f aca="false">IF(AND(L1338="Oui",K1338="Principal",R1338&lt;&gt;""),I1338*R1338,0)</f>
        <v>110</v>
      </c>
      <c r="T1338" s="26" t="n">
        <f aca="false">IF(R1338&lt;&gt;"",M1338-S1338,0)</f>
        <v>140</v>
      </c>
      <c r="U1338" s="26" t="n">
        <f aca="false">IF(R1338="",M1338,0)</f>
        <v>0</v>
      </c>
    </row>
    <row r="1339" customFormat="false" ht="15" hidden="false" customHeight="false" outlineLevel="0" collapsed="false">
      <c r="A1339" s="25" t="s">
        <v>65</v>
      </c>
      <c r="B1339" s="25" t="s">
        <v>69</v>
      </c>
      <c r="C1339" s="25" t="s">
        <v>50</v>
      </c>
      <c r="D1339" s="25" t="n">
        <v>12</v>
      </c>
      <c r="E1339" s="25" t="s">
        <v>565</v>
      </c>
      <c r="F1339" s="25" t="s">
        <v>164</v>
      </c>
      <c r="G1339" s="25" t="n">
        <v>1587</v>
      </c>
      <c r="H1339" s="25" t="s">
        <v>567</v>
      </c>
      <c r="I1339" s="25" t="n">
        <v>1</v>
      </c>
      <c r="J1339" s="26" t="n">
        <v>500</v>
      </c>
      <c r="K1339" s="25" t="s">
        <v>546</v>
      </c>
      <c r="L1339" s="25" t="s">
        <v>547</v>
      </c>
      <c r="M1339" s="26" t="n">
        <f aca="false">IF(AND(L1339="Oui",K1339="Principal"),I1339*J1339,0)</f>
        <v>500</v>
      </c>
      <c r="N1339" s="25" t="s">
        <v>548</v>
      </c>
      <c r="O1339" s="25"/>
      <c r="P1339" s="25" t="s">
        <v>556</v>
      </c>
      <c r="Q1339" s="25" t="s">
        <v>557</v>
      </c>
      <c r="R1339" s="26" t="n">
        <v>350</v>
      </c>
      <c r="S1339" s="26" t="n">
        <f aca="false">IF(AND(L1339="Oui",K1339="Principal",R1339&lt;&gt;""),I1339*R1339,0)</f>
        <v>350</v>
      </c>
      <c r="T1339" s="26" t="n">
        <f aca="false">IF(R1339&lt;&gt;"",M1339-S1339,0)</f>
        <v>150</v>
      </c>
      <c r="U1339" s="26" t="n">
        <f aca="false">IF(R1339="",M1339,0)</f>
        <v>0</v>
      </c>
    </row>
    <row r="1340" customFormat="false" ht="15" hidden="false" customHeight="false" outlineLevel="0" collapsed="false">
      <c r="A1340" s="25" t="s">
        <v>65</v>
      </c>
      <c r="B1340" s="25" t="s">
        <v>69</v>
      </c>
      <c r="C1340" s="25" t="s">
        <v>50</v>
      </c>
      <c r="D1340" s="25" t="n">
        <v>13</v>
      </c>
      <c r="E1340" s="25" t="s">
        <v>565</v>
      </c>
      <c r="F1340" s="25" t="s">
        <v>166</v>
      </c>
      <c r="G1340" s="25" t="n">
        <v>1604</v>
      </c>
      <c r="H1340" s="25" t="s">
        <v>582</v>
      </c>
      <c r="I1340" s="25" t="n">
        <v>2</v>
      </c>
      <c r="J1340" s="26" t="n">
        <v>700</v>
      </c>
      <c r="K1340" s="25" t="s">
        <v>546</v>
      </c>
      <c r="L1340" s="25" t="s">
        <v>547</v>
      </c>
      <c r="M1340" s="26" t="n">
        <f aca="false">IF(AND(L1340="Oui",K1340="Principal"),I1340*J1340,0)</f>
        <v>1400</v>
      </c>
      <c r="N1340" s="25" t="s">
        <v>548</v>
      </c>
      <c r="O1340" s="25"/>
      <c r="P1340" s="25" t="s">
        <v>556</v>
      </c>
      <c r="Q1340" s="25" t="s">
        <v>557</v>
      </c>
      <c r="R1340" s="26" t="n">
        <v>400</v>
      </c>
      <c r="S1340" s="26" t="n">
        <f aca="false">IF(AND(L1340="Oui",K1340="Principal",R1340&lt;&gt;""),I1340*R1340,0)</f>
        <v>800</v>
      </c>
      <c r="T1340" s="26" t="n">
        <f aca="false">IF(R1340&lt;&gt;"",M1340-S1340,0)</f>
        <v>600</v>
      </c>
      <c r="U1340" s="26" t="n">
        <f aca="false">IF(R1340="",M1340,0)</f>
        <v>0</v>
      </c>
    </row>
    <row r="1341" customFormat="false" ht="15" hidden="false" customHeight="false" outlineLevel="0" collapsed="false">
      <c r="A1341" s="25" t="s">
        <v>65</v>
      </c>
      <c r="B1341" s="25" t="s">
        <v>69</v>
      </c>
      <c r="C1341" s="25" t="s">
        <v>50</v>
      </c>
      <c r="D1341" s="25" t="n">
        <v>14</v>
      </c>
      <c r="E1341" s="25" t="s">
        <v>565</v>
      </c>
      <c r="F1341" s="25" t="s">
        <v>304</v>
      </c>
      <c r="G1341" s="25" t="n">
        <v>1586</v>
      </c>
      <c r="H1341" s="25" t="s">
        <v>583</v>
      </c>
      <c r="I1341" s="25" t="n">
        <v>1</v>
      </c>
      <c r="J1341" s="26" t="n">
        <v>900</v>
      </c>
      <c r="K1341" s="25" t="s">
        <v>546</v>
      </c>
      <c r="L1341" s="25" t="s">
        <v>547</v>
      </c>
      <c r="M1341" s="26" t="n">
        <f aca="false">IF(AND(L1341="Oui",K1341="Principal"),I1341*J1341,0)</f>
        <v>900</v>
      </c>
      <c r="N1341" s="25" t="s">
        <v>548</v>
      </c>
      <c r="O1341" s="25"/>
      <c r="P1341" s="25" t="s">
        <v>556</v>
      </c>
      <c r="Q1341" s="25" t="s">
        <v>557</v>
      </c>
      <c r="R1341" s="26" t="n">
        <v>650</v>
      </c>
      <c r="S1341" s="26" t="n">
        <f aca="false">IF(AND(L1341="Oui",K1341="Principal",R1341&lt;&gt;""),I1341*R1341,0)</f>
        <v>650</v>
      </c>
      <c r="T1341" s="26" t="n">
        <f aca="false">IF(R1341&lt;&gt;"",M1341-S1341,0)</f>
        <v>250</v>
      </c>
      <c r="U1341" s="26" t="n">
        <f aca="false">IF(R1341="",M1341,0)</f>
        <v>0</v>
      </c>
    </row>
    <row r="1342" customFormat="false" ht="15" hidden="false" customHeight="false" outlineLevel="0" collapsed="false">
      <c r="A1342" s="33" t="s">
        <v>65</v>
      </c>
      <c r="B1342" s="33" t="s">
        <v>69</v>
      </c>
      <c r="C1342" s="33" t="s">
        <v>50</v>
      </c>
      <c r="D1342" s="33" t="n">
        <v>15</v>
      </c>
      <c r="E1342" s="33" t="s">
        <v>609</v>
      </c>
      <c r="F1342" s="33" t="s">
        <v>199</v>
      </c>
      <c r="G1342" s="33" t="n">
        <v>1229</v>
      </c>
      <c r="H1342" s="33" t="s">
        <v>643</v>
      </c>
      <c r="I1342" s="33" t="n">
        <v>1</v>
      </c>
      <c r="J1342" s="34" t="n">
        <v>1800</v>
      </c>
      <c r="K1342" s="33" t="s">
        <v>546</v>
      </c>
      <c r="L1342" s="33" t="s">
        <v>547</v>
      </c>
      <c r="M1342" s="34" t="n">
        <f aca="false">IF(AND(L1342="Oui",K1342="Principal"),I1342*J1342,0)</f>
        <v>1800</v>
      </c>
      <c r="N1342" s="33" t="s">
        <v>182</v>
      </c>
      <c r="O1342" s="33" t="s">
        <v>644</v>
      </c>
      <c r="P1342" s="33" t="s">
        <v>550</v>
      </c>
      <c r="Q1342" s="33" t="s">
        <v>557</v>
      </c>
      <c r="R1342" s="34" t="n">
        <v>1500</v>
      </c>
      <c r="S1342" s="34" t="n">
        <f aca="false">IF(AND(L1342="Oui",K1342="Principal",R1342&lt;&gt;""),I1342*R1342,0)</f>
        <v>1500</v>
      </c>
      <c r="T1342" s="34" t="n">
        <f aca="false">IF(R1342&lt;&gt;"",M1342-S1342,0)</f>
        <v>300</v>
      </c>
      <c r="U1342" s="34" t="n">
        <f aca="false">IF(R1342="",M1342,0)</f>
        <v>0</v>
      </c>
    </row>
    <row r="1343" customFormat="false" ht="15" hidden="false" customHeight="false" outlineLevel="0" collapsed="false">
      <c r="A1343" s="25" t="s">
        <v>65</v>
      </c>
      <c r="B1343" s="25" t="s">
        <v>69</v>
      </c>
      <c r="C1343" s="25" t="s">
        <v>50</v>
      </c>
      <c r="D1343" s="25" t="n">
        <v>16</v>
      </c>
      <c r="E1343" s="25" t="s">
        <v>700</v>
      </c>
      <c r="F1343" s="25" t="s">
        <v>329</v>
      </c>
      <c r="G1343" s="25" t="n">
        <v>1716</v>
      </c>
      <c r="H1343" s="25" t="s">
        <v>701</v>
      </c>
      <c r="I1343" s="25" t="n">
        <v>1</v>
      </c>
      <c r="J1343" s="26" t="n">
        <v>1800</v>
      </c>
      <c r="K1343" s="25" t="s">
        <v>546</v>
      </c>
      <c r="L1343" s="25" t="s">
        <v>547</v>
      </c>
      <c r="M1343" s="26" t="n">
        <f aca="false">IF(AND(L1343="Oui",K1343="Principal"),I1343*J1343,0)</f>
        <v>1800</v>
      </c>
      <c r="N1343" s="25" t="s">
        <v>548</v>
      </c>
      <c r="O1343" s="25"/>
      <c r="P1343" s="25" t="s">
        <v>559</v>
      </c>
      <c r="Q1343" s="25" t="s">
        <v>557</v>
      </c>
      <c r="R1343" s="26" t="n">
        <v>1300</v>
      </c>
      <c r="S1343" s="26" t="n">
        <f aca="false">IF(AND(L1343="Oui",K1343="Principal",R1343&lt;&gt;""),I1343*R1343,0)</f>
        <v>1300</v>
      </c>
      <c r="T1343" s="26" t="n">
        <f aca="false">IF(R1343&lt;&gt;"",M1343-S1343,0)</f>
        <v>500</v>
      </c>
      <c r="U1343" s="26" t="n">
        <f aca="false">IF(R1343="",M1343,0)</f>
        <v>0</v>
      </c>
    </row>
    <row r="1344" customFormat="false" ht="15" hidden="false" customHeight="false" outlineLevel="0" collapsed="false">
      <c r="A1344" s="27" t="s">
        <v>65</v>
      </c>
      <c r="B1344" s="27" t="s">
        <v>69</v>
      </c>
      <c r="C1344" s="27" t="s">
        <v>50</v>
      </c>
      <c r="D1344" s="27" t="n">
        <v>17</v>
      </c>
      <c r="E1344" s="27" t="s">
        <v>700</v>
      </c>
      <c r="F1344" s="27" t="s">
        <v>382</v>
      </c>
      <c r="G1344" s="27"/>
      <c r="H1344" s="27" t="s">
        <v>585</v>
      </c>
      <c r="I1344" s="27" t="n">
        <v>1</v>
      </c>
      <c r="J1344" s="28" t="n">
        <v>0</v>
      </c>
      <c r="K1344" s="27" t="s">
        <v>546</v>
      </c>
      <c r="L1344" s="27" t="s">
        <v>579</v>
      </c>
      <c r="M1344" s="28" t="n">
        <f aca="false">IF(AND(L1344="Oui",K1344="Principal"),I1344*J1344,0)</f>
        <v>0</v>
      </c>
      <c r="N1344" s="27" t="s">
        <v>128</v>
      </c>
      <c r="O1344" s="27" t="s">
        <v>586</v>
      </c>
      <c r="P1344" s="27"/>
      <c r="Q1344" s="27"/>
      <c r="R1344" s="28"/>
      <c r="S1344" s="28" t="n">
        <f aca="false">IF(AND(L1344="Oui",K1344="Principal",R1344&lt;&gt;""),I1344*R1344,0)</f>
        <v>0</v>
      </c>
      <c r="T1344" s="28" t="n">
        <f aca="false">IF(R1344&lt;&gt;"",M1344-S1344,0)</f>
        <v>0</v>
      </c>
      <c r="U1344" s="28" t="n">
        <f aca="false">IF(R1344="",M1344,0)</f>
        <v>0</v>
      </c>
    </row>
    <row r="1345" customFormat="false" ht="15" hidden="false" customHeight="false" outlineLevel="0" collapsed="false">
      <c r="A1345" s="25" t="s">
        <v>65</v>
      </c>
      <c r="B1345" s="25" t="s">
        <v>69</v>
      </c>
      <c r="C1345" s="25" t="s">
        <v>50</v>
      </c>
      <c r="D1345" s="25" t="n">
        <v>18</v>
      </c>
      <c r="E1345" s="25" t="s">
        <v>571</v>
      </c>
      <c r="F1345" s="25" t="s">
        <v>431</v>
      </c>
      <c r="G1345" s="25" t="n">
        <v>1631</v>
      </c>
      <c r="H1345" s="25" t="s">
        <v>755</v>
      </c>
      <c r="I1345" s="25" t="n">
        <v>1</v>
      </c>
      <c r="J1345" s="26" t="n">
        <v>2700</v>
      </c>
      <c r="K1345" s="25" t="s">
        <v>546</v>
      </c>
      <c r="L1345" s="25" t="s">
        <v>547</v>
      </c>
      <c r="M1345" s="26" t="n">
        <f aca="false">IF(AND(L1345="Oui",K1345="Principal"),I1345*J1345,0)</f>
        <v>2700</v>
      </c>
      <c r="N1345" s="25" t="s">
        <v>548</v>
      </c>
      <c r="O1345" s="25"/>
      <c r="P1345" s="25" t="s">
        <v>556</v>
      </c>
      <c r="Q1345" s="25" t="s">
        <v>557</v>
      </c>
      <c r="R1345" s="26" t="n">
        <v>2000</v>
      </c>
      <c r="S1345" s="26" t="n">
        <f aca="false">IF(AND(L1345="Oui",K1345="Principal",R1345&lt;&gt;""),I1345*R1345,0)</f>
        <v>2000</v>
      </c>
      <c r="T1345" s="26" t="n">
        <f aca="false">IF(R1345&lt;&gt;"",M1345-S1345,0)</f>
        <v>700</v>
      </c>
      <c r="U1345" s="26" t="n">
        <f aca="false">IF(R1345="",M1345,0)</f>
        <v>0</v>
      </c>
    </row>
    <row r="1346" customFormat="false" ht="15" hidden="false" customHeight="false" outlineLevel="0" collapsed="false">
      <c r="A1346" s="25" t="s">
        <v>65</v>
      </c>
      <c r="B1346" s="25" t="s">
        <v>69</v>
      </c>
      <c r="C1346" s="25" t="s">
        <v>50</v>
      </c>
      <c r="D1346" s="25" t="n">
        <v>19</v>
      </c>
      <c r="E1346" s="25" t="s">
        <v>571</v>
      </c>
      <c r="F1346" s="25" t="s">
        <v>433</v>
      </c>
      <c r="G1346" s="25" t="n">
        <v>1683</v>
      </c>
      <c r="H1346" s="25" t="s">
        <v>756</v>
      </c>
      <c r="I1346" s="25" t="n">
        <v>1</v>
      </c>
      <c r="J1346" s="26" t="n">
        <v>1000</v>
      </c>
      <c r="K1346" s="25" t="s">
        <v>546</v>
      </c>
      <c r="L1346" s="25" t="s">
        <v>547</v>
      </c>
      <c r="M1346" s="26" t="n">
        <f aca="false">IF(AND(L1346="Oui",K1346="Principal"),I1346*J1346,0)</f>
        <v>1000</v>
      </c>
      <c r="N1346" s="25" t="s">
        <v>548</v>
      </c>
      <c r="O1346" s="25"/>
      <c r="P1346" s="25" t="s">
        <v>556</v>
      </c>
      <c r="Q1346" s="25" t="s">
        <v>557</v>
      </c>
      <c r="R1346" s="26"/>
      <c r="S1346" s="26" t="n">
        <f aca="false">IF(AND(L1346="Oui",K1346="Principal",R1346&lt;&gt;""),I1346*R1346,0)</f>
        <v>0</v>
      </c>
      <c r="T1346" s="26" t="n">
        <f aca="false">IF(R1346&lt;&gt;"",M1346-S1346,0)</f>
        <v>0</v>
      </c>
      <c r="U1346" s="26" t="n">
        <f aca="false">IF(R1346="",M1346,0)</f>
        <v>1000</v>
      </c>
    </row>
    <row r="1347" customFormat="false" ht="15" hidden="false" customHeight="false" outlineLevel="0" collapsed="false">
      <c r="A1347" s="33" t="s">
        <v>65</v>
      </c>
      <c r="B1347" s="33" t="s">
        <v>69</v>
      </c>
      <c r="C1347" s="33" t="s">
        <v>50</v>
      </c>
      <c r="D1347" s="33" t="n">
        <v>20</v>
      </c>
      <c r="E1347" s="33" t="s">
        <v>571</v>
      </c>
      <c r="F1347" s="33" t="s">
        <v>435</v>
      </c>
      <c r="G1347" s="33" t="n">
        <v>1269</v>
      </c>
      <c r="H1347" s="33" t="s">
        <v>757</v>
      </c>
      <c r="I1347" s="33" t="n">
        <v>1</v>
      </c>
      <c r="J1347" s="34" t="n">
        <v>1150</v>
      </c>
      <c r="K1347" s="33" t="s">
        <v>546</v>
      </c>
      <c r="L1347" s="33" t="s">
        <v>547</v>
      </c>
      <c r="M1347" s="34" t="n">
        <f aca="false">IF(AND(L1347="Oui",K1347="Principal"),I1347*J1347,0)</f>
        <v>1150</v>
      </c>
      <c r="N1347" s="33" t="s">
        <v>182</v>
      </c>
      <c r="O1347" s="33" t="s">
        <v>758</v>
      </c>
      <c r="P1347" s="33" t="s">
        <v>550</v>
      </c>
      <c r="Q1347" s="33" t="s">
        <v>557</v>
      </c>
      <c r="R1347" s="34" t="n">
        <v>850</v>
      </c>
      <c r="S1347" s="34" t="n">
        <f aca="false">IF(AND(L1347="Oui",K1347="Principal",R1347&lt;&gt;""),I1347*R1347,0)</f>
        <v>850</v>
      </c>
      <c r="T1347" s="34" t="n">
        <f aca="false">IF(R1347&lt;&gt;"",M1347-S1347,0)</f>
        <v>300</v>
      </c>
      <c r="U1347" s="34" t="n">
        <f aca="false">IF(R1347="",M1347,0)</f>
        <v>0</v>
      </c>
    </row>
    <row r="1348" customFormat="false" ht="15" hidden="false" customHeight="false" outlineLevel="0" collapsed="false">
      <c r="A1348" s="25" t="s">
        <v>65</v>
      </c>
      <c r="B1348" s="25" t="s">
        <v>69</v>
      </c>
      <c r="C1348" s="25" t="s">
        <v>50</v>
      </c>
      <c r="D1348" s="25" t="n">
        <v>21</v>
      </c>
      <c r="E1348" s="25" t="s">
        <v>573</v>
      </c>
      <c r="F1348" s="25" t="s">
        <v>176</v>
      </c>
      <c r="G1348" s="25" t="n">
        <v>19</v>
      </c>
      <c r="H1348" s="25" t="s">
        <v>615</v>
      </c>
      <c r="I1348" s="25" t="n">
        <v>1</v>
      </c>
      <c r="J1348" s="26" t="n">
        <v>2500</v>
      </c>
      <c r="K1348" s="25" t="s">
        <v>546</v>
      </c>
      <c r="L1348" s="25" t="s">
        <v>547</v>
      </c>
      <c r="M1348" s="26" t="n">
        <f aca="false">IF(AND(L1348="Oui",K1348="Principal"),I1348*J1348,0)</f>
        <v>2500</v>
      </c>
      <c r="N1348" s="25" t="s">
        <v>548</v>
      </c>
      <c r="O1348" s="25"/>
      <c r="P1348" s="25" t="s">
        <v>559</v>
      </c>
      <c r="Q1348" s="25" t="s">
        <v>551</v>
      </c>
      <c r="R1348" s="26"/>
      <c r="S1348" s="26" t="n">
        <f aca="false">IF(AND(L1348="Oui",K1348="Principal",R1348&lt;&gt;""),I1348*R1348,0)</f>
        <v>0</v>
      </c>
      <c r="T1348" s="26" t="n">
        <f aca="false">IF(R1348&lt;&gt;"",M1348-S1348,0)</f>
        <v>0</v>
      </c>
      <c r="U1348" s="26" t="n">
        <f aca="false">IF(R1348="",M1348,0)</f>
        <v>2500</v>
      </c>
    </row>
    <row r="1349" customFormat="false" ht="15" hidden="false" customHeight="false" outlineLevel="0" collapsed="false">
      <c r="A1349" s="25" t="s">
        <v>65</v>
      </c>
      <c r="B1349" s="25" t="s">
        <v>69</v>
      </c>
      <c r="C1349" s="25" t="s">
        <v>50</v>
      </c>
      <c r="D1349" s="25" t="n">
        <v>22</v>
      </c>
      <c r="E1349" s="25" t="s">
        <v>573</v>
      </c>
      <c r="F1349" s="25" t="s">
        <v>117</v>
      </c>
      <c r="G1349" s="25" t="n">
        <v>1288</v>
      </c>
      <c r="H1349" s="25" t="s">
        <v>624</v>
      </c>
      <c r="I1349" s="25" t="n">
        <v>1</v>
      </c>
      <c r="J1349" s="26" t="n">
        <v>2500</v>
      </c>
      <c r="K1349" s="25" t="s">
        <v>546</v>
      </c>
      <c r="L1349" s="25" t="s">
        <v>547</v>
      </c>
      <c r="M1349" s="26" t="n">
        <f aca="false">IF(AND(L1349="Oui",K1349="Principal"),I1349*J1349,0)</f>
        <v>2500</v>
      </c>
      <c r="N1349" s="25" t="s">
        <v>548</v>
      </c>
      <c r="O1349" s="25"/>
      <c r="P1349" s="25" t="s">
        <v>550</v>
      </c>
      <c r="Q1349" s="25" t="s">
        <v>557</v>
      </c>
      <c r="R1349" s="26" t="n">
        <v>2000</v>
      </c>
      <c r="S1349" s="26" t="n">
        <f aca="false">IF(AND(L1349="Oui",K1349="Principal",R1349&lt;&gt;""),I1349*R1349,0)</f>
        <v>2000</v>
      </c>
      <c r="T1349" s="26" t="n">
        <f aca="false">IF(R1349&lt;&gt;"",M1349-S1349,0)</f>
        <v>500</v>
      </c>
      <c r="U1349" s="26" t="n">
        <f aca="false">IF(R1349="",M1349,0)</f>
        <v>0</v>
      </c>
    </row>
    <row r="1350" customFormat="false" ht="15" hidden="false" customHeight="false" outlineLevel="0" collapsed="false">
      <c r="A1350" s="25" t="s">
        <v>65</v>
      </c>
      <c r="B1350" s="25" t="s">
        <v>69</v>
      </c>
      <c r="C1350" s="25" t="s">
        <v>50</v>
      </c>
      <c r="D1350" s="25" t="n">
        <v>23</v>
      </c>
      <c r="E1350" s="25" t="s">
        <v>573</v>
      </c>
      <c r="F1350" s="25" t="s">
        <v>321</v>
      </c>
      <c r="G1350" s="25" t="n">
        <v>1192</v>
      </c>
      <c r="H1350" s="25" t="s">
        <v>694</v>
      </c>
      <c r="I1350" s="25" t="n">
        <v>1</v>
      </c>
      <c r="J1350" s="26" t="n">
        <v>7000</v>
      </c>
      <c r="K1350" s="25" t="s">
        <v>546</v>
      </c>
      <c r="L1350" s="25" t="s">
        <v>547</v>
      </c>
      <c r="M1350" s="26" t="n">
        <f aca="false">IF(AND(L1350="Oui",K1350="Principal"),I1350*J1350,0)</f>
        <v>7000</v>
      </c>
      <c r="N1350" s="25" t="s">
        <v>548</v>
      </c>
      <c r="O1350" s="25"/>
      <c r="P1350" s="25" t="s">
        <v>550</v>
      </c>
      <c r="Q1350" s="25" t="s">
        <v>557</v>
      </c>
      <c r="R1350" s="26" t="n">
        <v>5500</v>
      </c>
      <c r="S1350" s="26" t="n">
        <f aca="false">IF(AND(L1350="Oui",K1350="Principal",R1350&lt;&gt;""),I1350*R1350,0)</f>
        <v>5500</v>
      </c>
      <c r="T1350" s="26" t="n">
        <f aca="false">IF(R1350&lt;&gt;"",M1350-S1350,0)</f>
        <v>1500</v>
      </c>
      <c r="U1350" s="26" t="n">
        <f aca="false">IF(R1350="",M1350,0)</f>
        <v>0</v>
      </c>
    </row>
    <row r="1351" customFormat="false" ht="15" hidden="false" customHeight="false" outlineLevel="0" collapsed="false">
      <c r="A1351" s="25" t="s">
        <v>65</v>
      </c>
      <c r="B1351" s="25" t="s">
        <v>69</v>
      </c>
      <c r="C1351" s="25" t="s">
        <v>50</v>
      </c>
      <c r="D1351" s="25" t="n">
        <v>24</v>
      </c>
      <c r="E1351" s="25" t="s">
        <v>689</v>
      </c>
      <c r="F1351" s="25" t="s">
        <v>465</v>
      </c>
      <c r="G1351" s="25" t="n">
        <v>1309</v>
      </c>
      <c r="H1351" s="25" t="s">
        <v>775</v>
      </c>
      <c r="I1351" s="25" t="n">
        <v>1</v>
      </c>
      <c r="J1351" s="26" t="n">
        <v>2800</v>
      </c>
      <c r="K1351" s="25" t="s">
        <v>546</v>
      </c>
      <c r="L1351" s="25" t="s">
        <v>547</v>
      </c>
      <c r="M1351" s="26" t="n">
        <f aca="false">IF(AND(L1351="Oui",K1351="Principal"),I1351*J1351,0)</f>
        <v>2800</v>
      </c>
      <c r="N1351" s="25" t="s">
        <v>548</v>
      </c>
      <c r="O1351" s="25"/>
      <c r="P1351" s="25" t="s">
        <v>550</v>
      </c>
      <c r="Q1351" s="25" t="s">
        <v>557</v>
      </c>
      <c r="R1351" s="26" t="n">
        <v>1800</v>
      </c>
      <c r="S1351" s="26" t="n">
        <f aca="false">IF(AND(L1351="Oui",K1351="Principal",R1351&lt;&gt;""),I1351*R1351,0)</f>
        <v>1800</v>
      </c>
      <c r="T1351" s="26" t="n">
        <f aca="false">IF(R1351&lt;&gt;"",M1351-S1351,0)</f>
        <v>1000</v>
      </c>
      <c r="U1351" s="26" t="n">
        <f aca="false">IF(R1351="",M1351,0)</f>
        <v>0</v>
      </c>
    </row>
    <row r="1352" customFormat="false" ht="15" hidden="false" customHeight="false" outlineLevel="0" collapsed="false">
      <c r="A1352" s="25" t="s">
        <v>65</v>
      </c>
      <c r="B1352" s="25" t="s">
        <v>69</v>
      </c>
      <c r="C1352" s="25" t="s">
        <v>50</v>
      </c>
      <c r="D1352" s="25" t="n">
        <v>25</v>
      </c>
      <c r="E1352" s="25" t="s">
        <v>689</v>
      </c>
      <c r="F1352" s="25" t="s">
        <v>467</v>
      </c>
      <c r="G1352" s="25" t="n">
        <v>1324</v>
      </c>
      <c r="H1352" s="25" t="s">
        <v>776</v>
      </c>
      <c r="I1352" s="25" t="n">
        <v>1</v>
      </c>
      <c r="J1352" s="26" t="n">
        <v>2800</v>
      </c>
      <c r="K1352" s="25" t="s">
        <v>546</v>
      </c>
      <c r="L1352" s="25" t="s">
        <v>547</v>
      </c>
      <c r="M1352" s="26" t="n">
        <f aca="false">IF(AND(L1352="Oui",K1352="Principal"),I1352*J1352,0)</f>
        <v>2800</v>
      </c>
      <c r="N1352" s="25" t="s">
        <v>548</v>
      </c>
      <c r="O1352" s="25"/>
      <c r="P1352" s="25" t="s">
        <v>550</v>
      </c>
      <c r="Q1352" s="25" t="s">
        <v>557</v>
      </c>
      <c r="R1352" s="26" t="n">
        <v>1800</v>
      </c>
      <c r="S1352" s="26" t="n">
        <f aca="false">IF(AND(L1352="Oui",K1352="Principal",R1352&lt;&gt;""),I1352*R1352,0)</f>
        <v>1800</v>
      </c>
      <c r="T1352" s="26" t="n">
        <f aca="false">IF(R1352&lt;&gt;"",M1352-S1352,0)</f>
        <v>1000</v>
      </c>
      <c r="U1352" s="26" t="n">
        <f aca="false">IF(R1352="",M1352,0)</f>
        <v>0</v>
      </c>
    </row>
    <row r="1353" customFormat="false" ht="15" hidden="false" customHeight="false" outlineLevel="0" collapsed="false">
      <c r="A1353" s="25" t="s">
        <v>65</v>
      </c>
      <c r="B1353" s="25" t="s">
        <v>69</v>
      </c>
      <c r="C1353" s="25" t="s">
        <v>50</v>
      </c>
      <c r="D1353" s="25" t="n">
        <v>26</v>
      </c>
      <c r="E1353" s="25" t="s">
        <v>689</v>
      </c>
      <c r="F1353" s="25" t="s">
        <v>469</v>
      </c>
      <c r="G1353" s="25" t="n">
        <v>1303</v>
      </c>
      <c r="H1353" s="25" t="s">
        <v>777</v>
      </c>
      <c r="I1353" s="25" t="n">
        <v>1</v>
      </c>
      <c r="J1353" s="26" t="n">
        <v>3500</v>
      </c>
      <c r="K1353" s="25" t="s">
        <v>546</v>
      </c>
      <c r="L1353" s="25" t="s">
        <v>547</v>
      </c>
      <c r="M1353" s="26" t="n">
        <f aca="false">IF(AND(L1353="Oui",K1353="Principal"),I1353*J1353,0)</f>
        <v>3500</v>
      </c>
      <c r="N1353" s="25" t="s">
        <v>548</v>
      </c>
      <c r="O1353" s="25" t="s">
        <v>778</v>
      </c>
      <c r="P1353" s="25" t="s">
        <v>550</v>
      </c>
      <c r="Q1353" s="25" t="s">
        <v>557</v>
      </c>
      <c r="R1353" s="26" t="n">
        <v>2500</v>
      </c>
      <c r="S1353" s="26" t="n">
        <f aca="false">IF(AND(L1353="Oui",K1353="Principal",R1353&lt;&gt;""),I1353*R1353,0)</f>
        <v>2500</v>
      </c>
      <c r="T1353" s="26" t="n">
        <f aca="false">IF(R1353&lt;&gt;"",M1353-S1353,0)</f>
        <v>1000</v>
      </c>
      <c r="U1353" s="26" t="n">
        <f aca="false">IF(R1353="",M1353,0)</f>
        <v>0</v>
      </c>
    </row>
    <row r="1354" customFormat="false" ht="15" hidden="false" customHeight="false" outlineLevel="0" collapsed="false">
      <c r="A1354" s="25" t="s">
        <v>65</v>
      </c>
      <c r="B1354" s="25" t="s">
        <v>69</v>
      </c>
      <c r="C1354" s="25" t="s">
        <v>50</v>
      </c>
      <c r="D1354" s="25" t="n">
        <v>27</v>
      </c>
      <c r="E1354" s="25" t="s">
        <v>689</v>
      </c>
      <c r="F1354" s="25" t="s">
        <v>471</v>
      </c>
      <c r="G1354" s="25" t="n">
        <v>1308</v>
      </c>
      <c r="H1354" s="25" t="s">
        <v>779</v>
      </c>
      <c r="I1354" s="25" t="n">
        <v>1</v>
      </c>
      <c r="J1354" s="26" t="n">
        <v>2800</v>
      </c>
      <c r="K1354" s="25" t="s">
        <v>546</v>
      </c>
      <c r="L1354" s="25" t="s">
        <v>547</v>
      </c>
      <c r="M1354" s="26" t="n">
        <f aca="false">IF(AND(L1354="Oui",K1354="Principal"),I1354*J1354,0)</f>
        <v>2800</v>
      </c>
      <c r="N1354" s="25" t="s">
        <v>548</v>
      </c>
      <c r="O1354" s="25"/>
      <c r="P1354" s="25" t="s">
        <v>550</v>
      </c>
      <c r="Q1354" s="25" t="s">
        <v>557</v>
      </c>
      <c r="R1354" s="26" t="n">
        <v>1800</v>
      </c>
      <c r="S1354" s="26" t="n">
        <f aca="false">IF(AND(L1354="Oui",K1354="Principal",R1354&lt;&gt;""),I1354*R1354,0)</f>
        <v>1800</v>
      </c>
      <c r="T1354" s="26" t="n">
        <f aca="false">IF(R1354&lt;&gt;"",M1354-S1354,0)</f>
        <v>1000</v>
      </c>
      <c r="U1354" s="26" t="n">
        <f aca="false">IF(R1354="",M1354,0)</f>
        <v>0</v>
      </c>
    </row>
    <row r="1355" customFormat="false" ht="15" hidden="false" customHeight="false" outlineLevel="0" collapsed="false">
      <c r="A1355" s="27" t="s">
        <v>65</v>
      </c>
      <c r="B1355" s="27" t="s">
        <v>69</v>
      </c>
      <c r="C1355" s="27" t="s">
        <v>50</v>
      </c>
      <c r="D1355" s="27" t="n">
        <v>28</v>
      </c>
      <c r="E1355" s="27" t="s">
        <v>689</v>
      </c>
      <c r="F1355" s="27" t="s">
        <v>473</v>
      </c>
      <c r="G1355" s="27"/>
      <c r="H1355" s="27" t="s">
        <v>585</v>
      </c>
      <c r="I1355" s="27" t="n">
        <v>1</v>
      </c>
      <c r="J1355" s="28" t="n">
        <v>0</v>
      </c>
      <c r="K1355" s="27" t="s">
        <v>546</v>
      </c>
      <c r="L1355" s="27" t="s">
        <v>579</v>
      </c>
      <c r="M1355" s="28" t="n">
        <f aca="false">IF(AND(L1355="Oui",K1355="Principal"),I1355*J1355,0)</f>
        <v>0</v>
      </c>
      <c r="N1355" s="27" t="s">
        <v>128</v>
      </c>
      <c r="O1355" s="27" t="s">
        <v>586</v>
      </c>
      <c r="P1355" s="27"/>
      <c r="Q1355" s="27"/>
      <c r="R1355" s="28"/>
      <c r="S1355" s="28" t="n">
        <f aca="false">IF(AND(L1355="Oui",K1355="Principal",R1355&lt;&gt;""),I1355*R1355,0)</f>
        <v>0</v>
      </c>
      <c r="T1355" s="28" t="n">
        <f aca="false">IF(R1355&lt;&gt;"",M1355-S1355,0)</f>
        <v>0</v>
      </c>
      <c r="U1355" s="28" t="n">
        <f aca="false">IF(R1355="",M1355,0)</f>
        <v>0</v>
      </c>
    </row>
    <row r="1356" customFormat="false" ht="15" hidden="false" customHeight="false" outlineLevel="0" collapsed="false">
      <c r="A1356" s="31" t="s">
        <v>65</v>
      </c>
      <c r="B1356" s="31" t="s">
        <v>69</v>
      </c>
      <c r="C1356" s="31" t="s">
        <v>50</v>
      </c>
      <c r="D1356" s="31" t="n">
        <v>29</v>
      </c>
      <c r="E1356" s="31" t="s">
        <v>588</v>
      </c>
      <c r="F1356" s="31" t="s">
        <v>437</v>
      </c>
      <c r="G1356" s="31" t="s">
        <v>759</v>
      </c>
      <c r="H1356" s="31" t="s">
        <v>760</v>
      </c>
      <c r="I1356" s="31" t="n">
        <v>1</v>
      </c>
      <c r="J1356" s="32" t="n">
        <v>2750</v>
      </c>
      <c r="K1356" s="31" t="s">
        <v>546</v>
      </c>
      <c r="L1356" s="31" t="s">
        <v>547</v>
      </c>
      <c r="M1356" s="32" t="n">
        <f aca="false">IF(AND(L1356="Oui",K1356="Principal"),I1356*J1356,0)</f>
        <v>2750</v>
      </c>
      <c r="N1356" s="31" t="s">
        <v>172</v>
      </c>
      <c r="O1356" s="31" t="s">
        <v>761</v>
      </c>
      <c r="P1356" s="31" t="s">
        <v>550</v>
      </c>
      <c r="Q1356" s="31" t="s">
        <v>557</v>
      </c>
      <c r="R1356" s="32" t="n">
        <v>2000</v>
      </c>
      <c r="S1356" s="32" t="n">
        <f aca="false">IF(AND(L1356="Oui",K1356="Principal",R1356&lt;&gt;""),I1356*R1356,0)</f>
        <v>2000</v>
      </c>
      <c r="T1356" s="32" t="n">
        <f aca="false">IF(R1356&lt;&gt;"",M1356-S1356,0)</f>
        <v>750</v>
      </c>
      <c r="U1356" s="32" t="n">
        <f aca="false">IF(R1356="",M1356,0)</f>
        <v>0</v>
      </c>
    </row>
    <row r="1357" customFormat="false" ht="15" hidden="false" customHeight="false" outlineLevel="0" collapsed="false">
      <c r="A1357" s="31" t="s">
        <v>65</v>
      </c>
      <c r="B1357" s="31" t="s">
        <v>69</v>
      </c>
      <c r="C1357" s="31" t="s">
        <v>50</v>
      </c>
      <c r="D1357" s="31" t="n">
        <v>30</v>
      </c>
      <c r="E1357" s="31" t="s">
        <v>588</v>
      </c>
      <c r="F1357" s="31" t="s">
        <v>439</v>
      </c>
      <c r="G1357" s="31" t="s">
        <v>762</v>
      </c>
      <c r="H1357" s="31" t="s">
        <v>763</v>
      </c>
      <c r="I1357" s="31" t="n">
        <v>1</v>
      </c>
      <c r="J1357" s="32" t="n">
        <v>3000</v>
      </c>
      <c r="K1357" s="31" t="s">
        <v>546</v>
      </c>
      <c r="L1357" s="31" t="s">
        <v>547</v>
      </c>
      <c r="M1357" s="32" t="n">
        <f aca="false">IF(AND(L1357="Oui",K1357="Principal"),I1357*J1357,0)</f>
        <v>3000</v>
      </c>
      <c r="N1357" s="31" t="s">
        <v>172</v>
      </c>
      <c r="O1357" s="31" t="s">
        <v>764</v>
      </c>
      <c r="P1357" s="31" t="s">
        <v>550</v>
      </c>
      <c r="Q1357" s="31" t="s">
        <v>557</v>
      </c>
      <c r="R1357" s="32" t="n">
        <v>2000</v>
      </c>
      <c r="S1357" s="32" t="n">
        <f aca="false">IF(AND(L1357="Oui",K1357="Principal",R1357&lt;&gt;""),I1357*R1357,0)</f>
        <v>2000</v>
      </c>
      <c r="T1357" s="32" t="n">
        <f aca="false">IF(R1357&lt;&gt;"",M1357-S1357,0)</f>
        <v>1000</v>
      </c>
      <c r="U1357" s="32" t="n">
        <f aca="false">IF(R1357="",M1357,0)</f>
        <v>0</v>
      </c>
    </row>
    <row r="1358" customFormat="false" ht="15" hidden="false" customHeight="false" outlineLevel="0" collapsed="false">
      <c r="A1358" s="25" t="s">
        <v>65</v>
      </c>
      <c r="B1358" s="25" t="s">
        <v>70</v>
      </c>
      <c r="C1358" s="25" t="s">
        <v>48</v>
      </c>
      <c r="D1358" s="25" t="n">
        <v>1</v>
      </c>
      <c r="E1358" s="25" t="s">
        <v>544</v>
      </c>
      <c r="F1358" s="25" t="s">
        <v>295</v>
      </c>
      <c r="G1358" s="25" t="n">
        <v>1618</v>
      </c>
      <c r="H1358" s="25" t="s">
        <v>600</v>
      </c>
      <c r="I1358" s="25" t="n">
        <v>2</v>
      </c>
      <c r="J1358" s="26" t="n">
        <v>450</v>
      </c>
      <c r="K1358" s="25" t="s">
        <v>546</v>
      </c>
      <c r="L1358" s="25" t="s">
        <v>547</v>
      </c>
      <c r="M1358" s="26" t="n">
        <f aca="false">IF(AND(L1358="Oui",K1358="Principal"),I1358*J1358,0)</f>
        <v>900</v>
      </c>
      <c r="N1358" s="25" t="s">
        <v>548</v>
      </c>
      <c r="O1358" s="25"/>
      <c r="P1358" s="25" t="s">
        <v>556</v>
      </c>
      <c r="Q1358" s="25" t="s">
        <v>557</v>
      </c>
      <c r="R1358" s="26" t="n">
        <v>350</v>
      </c>
      <c r="S1358" s="26" t="n">
        <f aca="false">IF(AND(L1358="Oui",K1358="Principal",R1358&lt;&gt;""),I1358*R1358,0)</f>
        <v>700</v>
      </c>
      <c r="T1358" s="26" t="n">
        <f aca="false">IF(R1358&lt;&gt;"",M1358-S1358,0)</f>
        <v>200</v>
      </c>
      <c r="U1358" s="26" t="n">
        <f aca="false">IF(R1358="",M1358,0)</f>
        <v>0</v>
      </c>
    </row>
    <row r="1359" customFormat="false" ht="15" hidden="false" customHeight="false" outlineLevel="0" collapsed="false">
      <c r="A1359" s="25" t="s">
        <v>65</v>
      </c>
      <c r="B1359" s="25" t="s">
        <v>70</v>
      </c>
      <c r="C1359" s="25" t="s">
        <v>48</v>
      </c>
      <c r="D1359" s="25" t="n">
        <v>2</v>
      </c>
      <c r="E1359" s="25" t="s">
        <v>544</v>
      </c>
      <c r="F1359" s="25" t="s">
        <v>296</v>
      </c>
      <c r="G1359" s="25" t="n">
        <v>1</v>
      </c>
      <c r="H1359" s="25" t="s">
        <v>681</v>
      </c>
      <c r="I1359" s="25" t="n">
        <v>4</v>
      </c>
      <c r="J1359" s="26" t="n">
        <v>500</v>
      </c>
      <c r="K1359" s="25" t="s">
        <v>546</v>
      </c>
      <c r="L1359" s="25" t="s">
        <v>547</v>
      </c>
      <c r="M1359" s="26" t="n">
        <f aca="false">IF(AND(L1359="Oui",K1359="Principal"),I1359*J1359,0)</f>
        <v>2000</v>
      </c>
      <c r="N1359" s="25" t="s">
        <v>548</v>
      </c>
      <c r="O1359" s="25"/>
      <c r="P1359" s="25" t="s">
        <v>559</v>
      </c>
      <c r="Q1359" s="25" t="s">
        <v>551</v>
      </c>
      <c r="R1359" s="26"/>
      <c r="S1359" s="26" t="n">
        <f aca="false">IF(AND(L1359="Oui",K1359="Principal",R1359&lt;&gt;""),I1359*R1359,0)</f>
        <v>0</v>
      </c>
      <c r="T1359" s="26" t="n">
        <f aca="false">IF(R1359&lt;&gt;"",M1359-S1359,0)</f>
        <v>0</v>
      </c>
      <c r="U1359" s="26" t="n">
        <f aca="false">IF(R1359="",M1359,0)</f>
        <v>2000</v>
      </c>
    </row>
    <row r="1360" customFormat="false" ht="15" hidden="false" customHeight="false" outlineLevel="0" collapsed="false">
      <c r="A1360" s="25" t="s">
        <v>65</v>
      </c>
      <c r="B1360" s="25" t="s">
        <v>70</v>
      </c>
      <c r="C1360" s="25" t="s">
        <v>48</v>
      </c>
      <c r="D1360" s="25" t="n">
        <v>3</v>
      </c>
      <c r="E1360" s="25" t="s">
        <v>544</v>
      </c>
      <c r="F1360" s="25" t="s">
        <v>298</v>
      </c>
      <c r="G1360" s="25" t="n">
        <v>1576</v>
      </c>
      <c r="H1360" s="25" t="s">
        <v>682</v>
      </c>
      <c r="I1360" s="25" t="n">
        <v>2</v>
      </c>
      <c r="J1360" s="26" t="n">
        <v>500</v>
      </c>
      <c r="K1360" s="25" t="s">
        <v>546</v>
      </c>
      <c r="L1360" s="25" t="s">
        <v>547</v>
      </c>
      <c r="M1360" s="26" t="n">
        <f aca="false">IF(AND(L1360="Oui",K1360="Principal"),I1360*J1360,0)</f>
        <v>1000</v>
      </c>
      <c r="N1360" s="25" t="s">
        <v>548</v>
      </c>
      <c r="O1360" s="25"/>
      <c r="P1360" s="25" t="s">
        <v>556</v>
      </c>
      <c r="Q1360" s="25" t="s">
        <v>557</v>
      </c>
      <c r="R1360" s="26" t="n">
        <v>400</v>
      </c>
      <c r="S1360" s="26" t="n">
        <f aca="false">IF(AND(L1360="Oui",K1360="Principal",R1360&lt;&gt;""),I1360*R1360,0)</f>
        <v>800</v>
      </c>
      <c r="T1360" s="26" t="n">
        <f aca="false">IF(R1360&lt;&gt;"",M1360-S1360,0)</f>
        <v>200</v>
      </c>
      <c r="U1360" s="26" t="n">
        <f aca="false">IF(R1360="",M1360,0)</f>
        <v>0</v>
      </c>
    </row>
    <row r="1361" customFormat="false" ht="15" hidden="false" customHeight="false" outlineLevel="0" collapsed="false">
      <c r="A1361" s="25" t="s">
        <v>65</v>
      </c>
      <c r="B1361" s="25" t="s">
        <v>70</v>
      </c>
      <c r="C1361" s="25" t="s">
        <v>48</v>
      </c>
      <c r="D1361" s="25" t="n">
        <v>4</v>
      </c>
      <c r="E1361" s="25" t="s">
        <v>544</v>
      </c>
      <c r="F1361" s="25" t="s">
        <v>338</v>
      </c>
      <c r="G1361" s="25" t="n">
        <v>2</v>
      </c>
      <c r="H1361" s="25" t="s">
        <v>705</v>
      </c>
      <c r="I1361" s="25" t="n">
        <v>5</v>
      </c>
      <c r="J1361" s="26" t="n">
        <v>900</v>
      </c>
      <c r="K1361" s="25" t="s">
        <v>546</v>
      </c>
      <c r="L1361" s="25" t="s">
        <v>547</v>
      </c>
      <c r="M1361" s="26" t="n">
        <f aca="false">IF(AND(L1361="Oui",K1361="Principal"),I1361*J1361,0)</f>
        <v>4500</v>
      </c>
      <c r="N1361" s="25" t="s">
        <v>548</v>
      </c>
      <c r="O1361" s="25"/>
      <c r="P1361" s="25" t="s">
        <v>559</v>
      </c>
      <c r="Q1361" s="25" t="s">
        <v>551</v>
      </c>
      <c r="R1361" s="26"/>
      <c r="S1361" s="26" t="n">
        <f aca="false">IF(AND(L1361="Oui",K1361="Principal",R1361&lt;&gt;""),I1361*R1361,0)</f>
        <v>0</v>
      </c>
      <c r="T1361" s="26" t="n">
        <f aca="false">IF(R1361&lt;&gt;"",M1361-S1361,0)</f>
        <v>0</v>
      </c>
      <c r="U1361" s="26" t="n">
        <f aca="false">IF(R1361="",M1361,0)</f>
        <v>4500</v>
      </c>
    </row>
    <row r="1362" customFormat="false" ht="15" hidden="false" customHeight="false" outlineLevel="0" collapsed="false">
      <c r="A1362" s="25" t="s">
        <v>65</v>
      </c>
      <c r="B1362" s="25" t="s">
        <v>70</v>
      </c>
      <c r="C1362" s="25" t="s">
        <v>48</v>
      </c>
      <c r="D1362" s="25" t="n">
        <v>5</v>
      </c>
      <c r="E1362" s="25" t="s">
        <v>544</v>
      </c>
      <c r="F1362" s="25" t="s">
        <v>442</v>
      </c>
      <c r="G1362" s="25" t="n">
        <v>1729</v>
      </c>
      <c r="H1362" s="25" t="s">
        <v>552</v>
      </c>
      <c r="I1362" s="25" t="n">
        <v>1</v>
      </c>
      <c r="J1362" s="26" t="n">
        <v>1300</v>
      </c>
      <c r="K1362" s="25" t="s">
        <v>546</v>
      </c>
      <c r="L1362" s="25" t="s">
        <v>547</v>
      </c>
      <c r="M1362" s="26" t="n">
        <f aca="false">IF(AND(L1362="Oui",K1362="Principal"),I1362*J1362,0)</f>
        <v>1300</v>
      </c>
      <c r="N1362" s="25" t="s">
        <v>548</v>
      </c>
      <c r="O1362" s="25"/>
      <c r="P1362" s="25" t="s">
        <v>550</v>
      </c>
      <c r="Q1362" s="25" t="s">
        <v>551</v>
      </c>
      <c r="R1362" s="26"/>
      <c r="S1362" s="26" t="n">
        <f aca="false">IF(AND(L1362="Oui",K1362="Principal",R1362&lt;&gt;""),I1362*R1362,0)</f>
        <v>0</v>
      </c>
      <c r="T1362" s="26" t="n">
        <f aca="false">IF(R1362&lt;&gt;"",M1362-S1362,0)</f>
        <v>0</v>
      </c>
      <c r="U1362" s="26" t="n">
        <f aca="false">IF(R1362="",M1362,0)</f>
        <v>1300</v>
      </c>
    </row>
    <row r="1363" customFormat="false" ht="15" hidden="false" customHeight="false" outlineLevel="0" collapsed="false">
      <c r="A1363" s="25" t="s">
        <v>65</v>
      </c>
      <c r="B1363" s="25" t="s">
        <v>70</v>
      </c>
      <c r="C1363" s="25" t="s">
        <v>48</v>
      </c>
      <c r="D1363" s="25" t="n">
        <v>6</v>
      </c>
      <c r="E1363" s="25" t="s">
        <v>563</v>
      </c>
      <c r="F1363" s="25" t="s">
        <v>255</v>
      </c>
      <c r="G1363" s="25" t="n">
        <v>1636</v>
      </c>
      <c r="H1363" s="25" t="s">
        <v>661</v>
      </c>
      <c r="I1363" s="25" t="n">
        <v>1</v>
      </c>
      <c r="J1363" s="26" t="n">
        <v>400</v>
      </c>
      <c r="K1363" s="25" t="s">
        <v>546</v>
      </c>
      <c r="L1363" s="25" t="s">
        <v>547</v>
      </c>
      <c r="M1363" s="26" t="n">
        <f aca="false">IF(AND(L1363="Oui",K1363="Principal"),I1363*J1363,0)</f>
        <v>400</v>
      </c>
      <c r="N1363" s="25" t="s">
        <v>548</v>
      </c>
      <c r="O1363" s="25"/>
      <c r="P1363" s="25" t="s">
        <v>556</v>
      </c>
      <c r="Q1363" s="25" t="s">
        <v>557</v>
      </c>
      <c r="R1363" s="26" t="n">
        <v>320</v>
      </c>
      <c r="S1363" s="26" t="n">
        <f aca="false">IF(AND(L1363="Oui",K1363="Principal",R1363&lt;&gt;""),I1363*R1363,0)</f>
        <v>320</v>
      </c>
      <c r="T1363" s="26" t="n">
        <f aca="false">IF(R1363&lt;&gt;"",M1363-S1363,0)</f>
        <v>80</v>
      </c>
      <c r="U1363" s="26" t="n">
        <f aca="false">IF(R1363="",M1363,0)</f>
        <v>0</v>
      </c>
    </row>
    <row r="1364" customFormat="false" ht="15" hidden="false" customHeight="false" outlineLevel="0" collapsed="false">
      <c r="A1364" s="25" t="s">
        <v>65</v>
      </c>
      <c r="B1364" s="25" t="s">
        <v>70</v>
      </c>
      <c r="C1364" s="25" t="s">
        <v>48</v>
      </c>
      <c r="D1364" s="25" t="n">
        <v>7</v>
      </c>
      <c r="E1364" s="25" t="s">
        <v>563</v>
      </c>
      <c r="F1364" s="25" t="s">
        <v>257</v>
      </c>
      <c r="G1364" s="25" t="n">
        <v>1635</v>
      </c>
      <c r="H1364" s="25" t="s">
        <v>607</v>
      </c>
      <c r="I1364" s="25" t="n">
        <v>1</v>
      </c>
      <c r="J1364" s="26" t="n">
        <v>100</v>
      </c>
      <c r="K1364" s="25" t="s">
        <v>546</v>
      </c>
      <c r="L1364" s="25" t="s">
        <v>547</v>
      </c>
      <c r="M1364" s="26" t="n">
        <f aca="false">IF(AND(L1364="Oui",K1364="Principal"),I1364*J1364,0)</f>
        <v>100</v>
      </c>
      <c r="N1364" s="25" t="s">
        <v>548</v>
      </c>
      <c r="O1364" s="25"/>
      <c r="P1364" s="25" t="s">
        <v>556</v>
      </c>
      <c r="Q1364" s="25" t="s">
        <v>557</v>
      </c>
      <c r="R1364" s="26" t="n">
        <v>80</v>
      </c>
      <c r="S1364" s="26" t="n">
        <f aca="false">IF(AND(L1364="Oui",K1364="Principal",R1364&lt;&gt;""),I1364*R1364,0)</f>
        <v>80</v>
      </c>
      <c r="T1364" s="26" t="n">
        <f aca="false">IF(R1364&lt;&gt;"",M1364-S1364,0)</f>
        <v>20</v>
      </c>
      <c r="U1364" s="26" t="n">
        <f aca="false">IF(R1364="",M1364,0)</f>
        <v>0</v>
      </c>
    </row>
    <row r="1365" customFormat="false" ht="15" hidden="false" customHeight="false" outlineLevel="0" collapsed="false">
      <c r="A1365" s="25" t="s">
        <v>65</v>
      </c>
      <c r="B1365" s="25" t="s">
        <v>70</v>
      </c>
      <c r="C1365" s="25" t="s">
        <v>48</v>
      </c>
      <c r="D1365" s="25" t="n">
        <v>8</v>
      </c>
      <c r="E1365" s="25" t="s">
        <v>563</v>
      </c>
      <c r="F1365" s="25" t="s">
        <v>97</v>
      </c>
      <c r="G1365" s="25" t="n">
        <v>1571</v>
      </c>
      <c r="H1365" s="25" t="s">
        <v>564</v>
      </c>
      <c r="I1365" s="25" t="n">
        <v>2</v>
      </c>
      <c r="J1365" s="26" t="n">
        <v>75</v>
      </c>
      <c r="K1365" s="25" t="s">
        <v>546</v>
      </c>
      <c r="L1365" s="25" t="s">
        <v>547</v>
      </c>
      <c r="M1365" s="26" t="n">
        <f aca="false">IF(AND(L1365="Oui",K1365="Principal"),I1365*J1365,0)</f>
        <v>150</v>
      </c>
      <c r="N1365" s="25" t="s">
        <v>548</v>
      </c>
      <c r="O1365" s="25"/>
      <c r="P1365" s="25" t="s">
        <v>550</v>
      </c>
      <c r="Q1365" s="25" t="s">
        <v>557</v>
      </c>
      <c r="R1365" s="26"/>
      <c r="S1365" s="26" t="n">
        <f aca="false">IF(AND(L1365="Oui",K1365="Principal",R1365&lt;&gt;""),I1365*R1365,0)</f>
        <v>0</v>
      </c>
      <c r="T1365" s="26" t="n">
        <f aca="false">IF(R1365&lt;&gt;"",M1365-S1365,0)</f>
        <v>0</v>
      </c>
      <c r="U1365" s="26" t="n">
        <f aca="false">IF(R1365="",M1365,0)</f>
        <v>150</v>
      </c>
    </row>
    <row r="1366" customFormat="false" ht="15" hidden="false" customHeight="false" outlineLevel="0" collapsed="false">
      <c r="A1366" s="25" t="s">
        <v>65</v>
      </c>
      <c r="B1366" s="25" t="s">
        <v>70</v>
      </c>
      <c r="C1366" s="25" t="s">
        <v>48</v>
      </c>
      <c r="D1366" s="25" t="n">
        <v>9</v>
      </c>
      <c r="E1366" s="25" t="s">
        <v>563</v>
      </c>
      <c r="F1366" s="25" t="s">
        <v>325</v>
      </c>
      <c r="G1366" s="25" t="n">
        <v>1248</v>
      </c>
      <c r="H1366" s="25" t="s">
        <v>697</v>
      </c>
      <c r="I1366" s="25" t="n">
        <v>1</v>
      </c>
      <c r="J1366" s="26" t="n">
        <v>400</v>
      </c>
      <c r="K1366" s="25" t="s">
        <v>546</v>
      </c>
      <c r="L1366" s="25" t="s">
        <v>547</v>
      </c>
      <c r="M1366" s="26" t="n">
        <f aca="false">IF(AND(L1366="Oui",K1366="Principal"),I1366*J1366,0)</f>
        <v>400</v>
      </c>
      <c r="N1366" s="25" t="s">
        <v>548</v>
      </c>
      <c r="O1366" s="25"/>
      <c r="P1366" s="25" t="s">
        <v>550</v>
      </c>
      <c r="Q1366" s="25" t="s">
        <v>557</v>
      </c>
      <c r="R1366" s="26" t="n">
        <v>250</v>
      </c>
      <c r="S1366" s="26" t="n">
        <f aca="false">IF(AND(L1366="Oui",K1366="Principal",R1366&lt;&gt;""),I1366*R1366,0)</f>
        <v>250</v>
      </c>
      <c r="T1366" s="26" t="n">
        <f aca="false">IF(R1366&lt;&gt;"",M1366-S1366,0)</f>
        <v>150</v>
      </c>
      <c r="U1366" s="26" t="n">
        <f aca="false">IF(R1366="",M1366,0)</f>
        <v>0</v>
      </c>
    </row>
    <row r="1367" customFormat="false" ht="15" hidden="false" customHeight="false" outlineLevel="0" collapsed="false">
      <c r="A1367" s="25" t="s">
        <v>65</v>
      </c>
      <c r="B1367" s="25" t="s">
        <v>70</v>
      </c>
      <c r="C1367" s="25" t="s">
        <v>48</v>
      </c>
      <c r="D1367" s="25" t="n">
        <v>10</v>
      </c>
      <c r="E1367" s="25" t="s">
        <v>565</v>
      </c>
      <c r="F1367" s="25" t="s">
        <v>99</v>
      </c>
      <c r="G1367" s="25" t="n">
        <v>9</v>
      </c>
      <c r="H1367" s="25" t="s">
        <v>566</v>
      </c>
      <c r="I1367" s="25" t="n">
        <v>1</v>
      </c>
      <c r="J1367" s="26" t="n">
        <v>150</v>
      </c>
      <c r="K1367" s="25" t="s">
        <v>546</v>
      </c>
      <c r="L1367" s="25" t="s">
        <v>547</v>
      </c>
      <c r="M1367" s="26" t="n">
        <f aca="false">IF(AND(L1367="Oui",K1367="Principal"),I1367*J1367,0)</f>
        <v>150</v>
      </c>
      <c r="N1367" s="25" t="s">
        <v>548</v>
      </c>
      <c r="O1367" s="25"/>
      <c r="P1367" s="25" t="s">
        <v>559</v>
      </c>
      <c r="Q1367" s="25" t="s">
        <v>551</v>
      </c>
      <c r="R1367" s="26"/>
      <c r="S1367" s="26" t="n">
        <f aca="false">IF(AND(L1367="Oui",K1367="Principal",R1367&lt;&gt;""),I1367*R1367,0)</f>
        <v>0</v>
      </c>
      <c r="T1367" s="26" t="n">
        <f aca="false">IF(R1367&lt;&gt;"",M1367-S1367,0)</f>
        <v>0</v>
      </c>
      <c r="U1367" s="26" t="n">
        <f aca="false">IF(R1367="",M1367,0)</f>
        <v>150</v>
      </c>
    </row>
    <row r="1368" customFormat="false" ht="15" hidden="false" customHeight="false" outlineLevel="0" collapsed="false">
      <c r="A1368" s="25" t="s">
        <v>65</v>
      </c>
      <c r="B1368" s="25" t="s">
        <v>70</v>
      </c>
      <c r="C1368" s="25" t="s">
        <v>48</v>
      </c>
      <c r="D1368" s="25" t="n">
        <v>11</v>
      </c>
      <c r="E1368" s="25" t="s">
        <v>565</v>
      </c>
      <c r="F1368" s="25" t="s">
        <v>164</v>
      </c>
      <c r="G1368" s="25" t="n">
        <v>10</v>
      </c>
      <c r="H1368" s="25" t="s">
        <v>608</v>
      </c>
      <c r="I1368" s="25" t="n">
        <v>1</v>
      </c>
      <c r="J1368" s="26" t="n">
        <v>200</v>
      </c>
      <c r="K1368" s="25" t="s">
        <v>546</v>
      </c>
      <c r="L1368" s="25" t="s">
        <v>547</v>
      </c>
      <c r="M1368" s="26" t="n">
        <f aca="false">IF(AND(L1368="Oui",K1368="Principal"),I1368*J1368,0)</f>
        <v>200</v>
      </c>
      <c r="N1368" s="25" t="s">
        <v>548</v>
      </c>
      <c r="O1368" s="25"/>
      <c r="P1368" s="25" t="s">
        <v>559</v>
      </c>
      <c r="Q1368" s="25" t="s">
        <v>551</v>
      </c>
      <c r="R1368" s="26"/>
      <c r="S1368" s="26" t="n">
        <f aca="false">IF(AND(L1368="Oui",K1368="Principal",R1368&lt;&gt;""),I1368*R1368,0)</f>
        <v>0</v>
      </c>
      <c r="T1368" s="26" t="n">
        <f aca="false">IF(R1368&lt;&gt;"",M1368-S1368,0)</f>
        <v>0</v>
      </c>
      <c r="U1368" s="26" t="n">
        <f aca="false">IF(R1368="",M1368,0)</f>
        <v>200</v>
      </c>
    </row>
    <row r="1369" customFormat="false" ht="15" hidden="false" customHeight="false" outlineLevel="0" collapsed="false">
      <c r="A1369" s="25" t="s">
        <v>65</v>
      </c>
      <c r="B1369" s="25" t="s">
        <v>70</v>
      </c>
      <c r="C1369" s="25" t="s">
        <v>48</v>
      </c>
      <c r="D1369" s="25" t="n">
        <v>12</v>
      </c>
      <c r="E1369" s="25" t="s">
        <v>565</v>
      </c>
      <c r="F1369" s="25" t="s">
        <v>166</v>
      </c>
      <c r="G1369" s="25" t="n">
        <v>1173</v>
      </c>
      <c r="H1369" s="25" t="s">
        <v>569</v>
      </c>
      <c r="I1369" s="25" t="n">
        <v>1</v>
      </c>
      <c r="J1369" s="26" t="n">
        <v>570</v>
      </c>
      <c r="K1369" s="25" t="s">
        <v>546</v>
      </c>
      <c r="L1369" s="25" t="s">
        <v>547</v>
      </c>
      <c r="M1369" s="26" t="n">
        <f aca="false">IF(AND(L1369="Oui",K1369="Principal"),I1369*J1369,0)</f>
        <v>570</v>
      </c>
      <c r="N1369" s="25" t="s">
        <v>548</v>
      </c>
      <c r="O1369" s="25"/>
      <c r="P1369" s="25" t="s">
        <v>550</v>
      </c>
      <c r="Q1369" s="25" t="s">
        <v>557</v>
      </c>
      <c r="R1369" s="26" t="n">
        <v>420</v>
      </c>
      <c r="S1369" s="26" t="n">
        <f aca="false">IF(AND(L1369="Oui",K1369="Principal",R1369&lt;&gt;""),I1369*R1369,0)</f>
        <v>420</v>
      </c>
      <c r="T1369" s="26" t="n">
        <f aca="false">IF(R1369&lt;&gt;"",M1369-S1369,0)</f>
        <v>150</v>
      </c>
      <c r="U1369" s="26" t="n">
        <f aca="false">IF(R1369="",M1369,0)</f>
        <v>0</v>
      </c>
    </row>
    <row r="1370" customFormat="false" ht="15" hidden="false" customHeight="false" outlineLevel="0" collapsed="false">
      <c r="A1370" s="25" t="s">
        <v>65</v>
      </c>
      <c r="B1370" s="25" t="s">
        <v>70</v>
      </c>
      <c r="C1370" s="25" t="s">
        <v>48</v>
      </c>
      <c r="D1370" s="25" t="n">
        <v>13</v>
      </c>
      <c r="E1370" s="25" t="s">
        <v>565</v>
      </c>
      <c r="F1370" s="25" t="s">
        <v>304</v>
      </c>
      <c r="G1370" s="25" t="n">
        <v>1250</v>
      </c>
      <c r="H1370" s="25" t="s">
        <v>570</v>
      </c>
      <c r="I1370" s="25" t="n">
        <v>1</v>
      </c>
      <c r="J1370" s="26" t="n">
        <v>250</v>
      </c>
      <c r="K1370" s="25" t="s">
        <v>546</v>
      </c>
      <c r="L1370" s="25" t="s">
        <v>547</v>
      </c>
      <c r="M1370" s="26" t="n">
        <f aca="false">IF(AND(L1370="Oui",K1370="Principal"),I1370*J1370,0)</f>
        <v>250</v>
      </c>
      <c r="N1370" s="25" t="s">
        <v>548</v>
      </c>
      <c r="O1370" s="25"/>
      <c r="P1370" s="25" t="s">
        <v>550</v>
      </c>
      <c r="Q1370" s="25" t="s">
        <v>557</v>
      </c>
      <c r="R1370" s="26" t="n">
        <v>100</v>
      </c>
      <c r="S1370" s="26" t="n">
        <f aca="false">IF(AND(L1370="Oui",K1370="Principal",R1370&lt;&gt;""),I1370*R1370,0)</f>
        <v>100</v>
      </c>
      <c r="T1370" s="26" t="n">
        <f aca="false">IF(R1370&lt;&gt;"",M1370-S1370,0)</f>
        <v>150</v>
      </c>
      <c r="U1370" s="26" t="n">
        <f aca="false">IF(R1370="",M1370,0)</f>
        <v>0</v>
      </c>
    </row>
    <row r="1371" customFormat="false" ht="15" hidden="false" customHeight="false" outlineLevel="0" collapsed="false">
      <c r="A1371" s="33" t="s">
        <v>65</v>
      </c>
      <c r="B1371" s="33" t="s">
        <v>70</v>
      </c>
      <c r="C1371" s="33" t="s">
        <v>48</v>
      </c>
      <c r="D1371" s="33" t="n">
        <v>14</v>
      </c>
      <c r="E1371" s="33" t="s">
        <v>609</v>
      </c>
      <c r="F1371" s="33" t="s">
        <v>199</v>
      </c>
      <c r="G1371" s="33" t="n">
        <v>1229</v>
      </c>
      <c r="H1371" s="33" t="s">
        <v>643</v>
      </c>
      <c r="I1371" s="33" t="n">
        <v>1</v>
      </c>
      <c r="J1371" s="34" t="n">
        <v>1800</v>
      </c>
      <c r="K1371" s="33" t="s">
        <v>546</v>
      </c>
      <c r="L1371" s="33" t="s">
        <v>547</v>
      </c>
      <c r="M1371" s="34" t="n">
        <f aca="false">IF(AND(L1371="Oui",K1371="Principal"),I1371*J1371,0)</f>
        <v>1800</v>
      </c>
      <c r="N1371" s="33" t="s">
        <v>182</v>
      </c>
      <c r="O1371" s="33" t="s">
        <v>644</v>
      </c>
      <c r="P1371" s="33" t="s">
        <v>550</v>
      </c>
      <c r="Q1371" s="33" t="s">
        <v>557</v>
      </c>
      <c r="R1371" s="34" t="n">
        <v>1500</v>
      </c>
      <c r="S1371" s="34" t="n">
        <f aca="false">IF(AND(L1371="Oui",K1371="Principal",R1371&lt;&gt;""),I1371*R1371,0)</f>
        <v>1500</v>
      </c>
      <c r="T1371" s="34" t="n">
        <f aca="false">IF(R1371&lt;&gt;"",M1371-S1371,0)</f>
        <v>300</v>
      </c>
      <c r="U1371" s="34" t="n">
        <f aca="false">IF(R1371="",M1371,0)</f>
        <v>0</v>
      </c>
    </row>
    <row r="1372" customFormat="false" ht="15" hidden="false" customHeight="false" outlineLevel="0" collapsed="false">
      <c r="A1372" s="25" t="s">
        <v>65</v>
      </c>
      <c r="B1372" s="25" t="s">
        <v>70</v>
      </c>
      <c r="C1372" s="25" t="s">
        <v>48</v>
      </c>
      <c r="D1372" s="25" t="n">
        <v>15</v>
      </c>
      <c r="E1372" s="25" t="s">
        <v>609</v>
      </c>
      <c r="F1372" s="25" t="s">
        <v>443</v>
      </c>
      <c r="G1372" s="25" t="n">
        <v>1727</v>
      </c>
      <c r="H1372" s="25" t="s">
        <v>698</v>
      </c>
      <c r="I1372" s="25" t="n">
        <v>1</v>
      </c>
      <c r="J1372" s="26" t="n">
        <v>4750</v>
      </c>
      <c r="K1372" s="25" t="s">
        <v>546</v>
      </c>
      <c r="L1372" s="25" t="s">
        <v>547</v>
      </c>
      <c r="M1372" s="26" t="n">
        <f aca="false">IF(AND(L1372="Oui",K1372="Principal"),I1372*J1372,0)</f>
        <v>4750</v>
      </c>
      <c r="N1372" s="25" t="s">
        <v>548</v>
      </c>
      <c r="O1372" s="25"/>
      <c r="P1372" s="25" t="s">
        <v>559</v>
      </c>
      <c r="Q1372" s="25" t="s">
        <v>557</v>
      </c>
      <c r="R1372" s="26" t="n">
        <v>3700</v>
      </c>
      <c r="S1372" s="26" t="n">
        <f aca="false">IF(AND(L1372="Oui",K1372="Principal",R1372&lt;&gt;""),I1372*R1372,0)</f>
        <v>3700</v>
      </c>
      <c r="T1372" s="26" t="n">
        <f aca="false">IF(R1372&lt;&gt;"",M1372-S1372,0)</f>
        <v>1050</v>
      </c>
      <c r="U1372" s="26" t="n">
        <f aca="false">IF(R1372="",M1372,0)</f>
        <v>0</v>
      </c>
    </row>
    <row r="1373" customFormat="false" ht="15" hidden="false" customHeight="false" outlineLevel="0" collapsed="false">
      <c r="A1373" s="25" t="s">
        <v>65</v>
      </c>
      <c r="B1373" s="25" t="s">
        <v>70</v>
      </c>
      <c r="C1373" s="25" t="s">
        <v>48</v>
      </c>
      <c r="D1373" s="25" t="n">
        <v>16</v>
      </c>
      <c r="E1373" s="25" t="s">
        <v>573</v>
      </c>
      <c r="F1373" s="25" t="s">
        <v>176</v>
      </c>
      <c r="G1373" s="25" t="n">
        <v>19</v>
      </c>
      <c r="H1373" s="25" t="s">
        <v>615</v>
      </c>
      <c r="I1373" s="25" t="n">
        <v>1</v>
      </c>
      <c r="J1373" s="26" t="n">
        <v>2500</v>
      </c>
      <c r="K1373" s="25" t="s">
        <v>546</v>
      </c>
      <c r="L1373" s="25" t="s">
        <v>547</v>
      </c>
      <c r="M1373" s="26" t="n">
        <f aca="false">IF(AND(L1373="Oui",K1373="Principal"),I1373*J1373,0)</f>
        <v>2500</v>
      </c>
      <c r="N1373" s="25" t="s">
        <v>548</v>
      </c>
      <c r="O1373" s="25"/>
      <c r="P1373" s="25" t="s">
        <v>559</v>
      </c>
      <c r="Q1373" s="25" t="s">
        <v>551</v>
      </c>
      <c r="R1373" s="26"/>
      <c r="S1373" s="26" t="n">
        <f aca="false">IF(AND(L1373="Oui",K1373="Principal",R1373&lt;&gt;""),I1373*R1373,0)</f>
        <v>0</v>
      </c>
      <c r="T1373" s="26" t="n">
        <f aca="false">IF(R1373&lt;&gt;"",M1373-S1373,0)</f>
        <v>0</v>
      </c>
      <c r="U1373" s="26" t="n">
        <f aca="false">IF(R1373="",M1373,0)</f>
        <v>2500</v>
      </c>
    </row>
    <row r="1374" customFormat="false" ht="15" hidden="false" customHeight="false" outlineLevel="0" collapsed="false">
      <c r="A1374" s="25" t="s">
        <v>65</v>
      </c>
      <c r="B1374" s="25" t="s">
        <v>70</v>
      </c>
      <c r="C1374" s="25" t="s">
        <v>48</v>
      </c>
      <c r="D1374" s="25" t="n">
        <v>17</v>
      </c>
      <c r="E1374" s="25" t="s">
        <v>689</v>
      </c>
      <c r="F1374" s="25" t="s">
        <v>465</v>
      </c>
      <c r="G1374" s="25" t="n">
        <v>1309</v>
      </c>
      <c r="H1374" s="25" t="s">
        <v>775</v>
      </c>
      <c r="I1374" s="25" t="n">
        <v>1</v>
      </c>
      <c r="J1374" s="26" t="n">
        <v>2800</v>
      </c>
      <c r="K1374" s="25" t="s">
        <v>618</v>
      </c>
      <c r="L1374" s="25" t="s">
        <v>579</v>
      </c>
      <c r="M1374" s="26" t="n">
        <f aca="false">IF(AND(L1374="Oui",K1374="Principal"),I1374*J1374,0)</f>
        <v>0</v>
      </c>
      <c r="N1374" s="25" t="s">
        <v>548</v>
      </c>
      <c r="O1374" s="25"/>
      <c r="P1374" s="25" t="s">
        <v>550</v>
      </c>
      <c r="Q1374" s="25" t="s">
        <v>557</v>
      </c>
      <c r="R1374" s="26" t="n">
        <v>1800</v>
      </c>
      <c r="S1374" s="26" t="n">
        <f aca="false">IF(AND(L1374="Oui",K1374="Principal",R1374&lt;&gt;""),I1374*R1374,0)</f>
        <v>0</v>
      </c>
      <c r="T1374" s="26" t="n">
        <f aca="false">IF(R1374&lt;&gt;"",M1374-S1374,0)</f>
        <v>0</v>
      </c>
      <c r="U1374" s="26" t="n">
        <f aca="false">IF(R1374="",M1374,0)</f>
        <v>0</v>
      </c>
    </row>
    <row r="1375" customFormat="false" ht="15" hidden="false" customHeight="false" outlineLevel="0" collapsed="false">
      <c r="A1375" s="25" t="s">
        <v>65</v>
      </c>
      <c r="B1375" s="25" t="s">
        <v>70</v>
      </c>
      <c r="C1375" s="25" t="s">
        <v>48</v>
      </c>
      <c r="D1375" s="25" t="n">
        <v>18</v>
      </c>
      <c r="E1375" s="25" t="s">
        <v>689</v>
      </c>
      <c r="F1375" s="25" t="s">
        <v>467</v>
      </c>
      <c r="G1375" s="25" t="n">
        <v>1324</v>
      </c>
      <c r="H1375" s="25" t="s">
        <v>776</v>
      </c>
      <c r="I1375" s="25" t="n">
        <v>1</v>
      </c>
      <c r="J1375" s="26" t="n">
        <v>2800</v>
      </c>
      <c r="K1375" s="25" t="s">
        <v>618</v>
      </c>
      <c r="L1375" s="25" t="s">
        <v>579</v>
      </c>
      <c r="M1375" s="26" t="n">
        <f aca="false">IF(AND(L1375="Oui",K1375="Principal"),I1375*J1375,0)</f>
        <v>0</v>
      </c>
      <c r="N1375" s="25" t="s">
        <v>548</v>
      </c>
      <c r="O1375" s="25"/>
      <c r="P1375" s="25" t="s">
        <v>550</v>
      </c>
      <c r="Q1375" s="25" t="s">
        <v>557</v>
      </c>
      <c r="R1375" s="26" t="n">
        <v>1800</v>
      </c>
      <c r="S1375" s="26" t="n">
        <f aca="false">IF(AND(L1375="Oui",K1375="Principal",R1375&lt;&gt;""),I1375*R1375,0)</f>
        <v>0</v>
      </c>
      <c r="T1375" s="26" t="n">
        <f aca="false">IF(R1375&lt;&gt;"",M1375-S1375,0)</f>
        <v>0</v>
      </c>
      <c r="U1375" s="26" t="n">
        <f aca="false">IF(R1375="",M1375,0)</f>
        <v>0</v>
      </c>
    </row>
    <row r="1376" customFormat="false" ht="15" hidden="false" customHeight="false" outlineLevel="0" collapsed="false">
      <c r="A1376" s="33" t="s">
        <v>65</v>
      </c>
      <c r="B1376" s="33" t="s">
        <v>70</v>
      </c>
      <c r="C1376" s="33" t="s">
        <v>48</v>
      </c>
      <c r="D1376" s="33" t="n">
        <v>19</v>
      </c>
      <c r="E1376" s="33" t="s">
        <v>588</v>
      </c>
      <c r="F1376" s="33" t="s">
        <v>476</v>
      </c>
      <c r="G1376" s="33" t="n">
        <v>47</v>
      </c>
      <c r="H1376" s="33" t="s">
        <v>780</v>
      </c>
      <c r="I1376" s="33" t="n">
        <v>1</v>
      </c>
      <c r="J1376" s="34" t="n">
        <v>15000</v>
      </c>
      <c r="K1376" s="33" t="s">
        <v>618</v>
      </c>
      <c r="L1376" s="33" t="s">
        <v>579</v>
      </c>
      <c r="M1376" s="34" t="n">
        <f aca="false">IF(AND(L1376="Oui",K1376="Principal"),I1376*J1376,0)</f>
        <v>0</v>
      </c>
      <c r="N1376" s="33" t="s">
        <v>182</v>
      </c>
      <c r="O1376" s="33" t="s">
        <v>781</v>
      </c>
      <c r="P1376" s="33" t="s">
        <v>559</v>
      </c>
      <c r="Q1376" s="33" t="s">
        <v>557</v>
      </c>
      <c r="R1376" s="34" t="n">
        <v>12000</v>
      </c>
      <c r="S1376" s="34" t="n">
        <f aca="false">IF(AND(L1376="Oui",K1376="Principal",R1376&lt;&gt;""),I1376*R1376,0)</f>
        <v>0</v>
      </c>
      <c r="T1376" s="34" t="n">
        <f aca="false">IF(R1376&lt;&gt;"",M1376-S1376,0)</f>
        <v>0</v>
      </c>
      <c r="U1376" s="34" t="n">
        <f aca="false">IF(R1376="",M1376,0)</f>
        <v>0</v>
      </c>
    </row>
    <row r="1377" customFormat="false" ht="15" hidden="false" customHeight="false" outlineLevel="0" collapsed="false">
      <c r="A1377" s="33" t="s">
        <v>65</v>
      </c>
      <c r="B1377" s="33" t="s">
        <v>70</v>
      </c>
      <c r="C1377" s="33" t="s">
        <v>48</v>
      </c>
      <c r="D1377" s="33" t="n">
        <v>20</v>
      </c>
      <c r="E1377" s="33" t="s">
        <v>588</v>
      </c>
      <c r="F1377" s="33" t="s">
        <v>478</v>
      </c>
      <c r="G1377" s="33" t="n">
        <v>51</v>
      </c>
      <c r="H1377" s="33" t="s">
        <v>782</v>
      </c>
      <c r="I1377" s="33" t="n">
        <v>1</v>
      </c>
      <c r="J1377" s="34" t="n">
        <v>8000</v>
      </c>
      <c r="K1377" s="33" t="s">
        <v>618</v>
      </c>
      <c r="L1377" s="33" t="s">
        <v>579</v>
      </c>
      <c r="M1377" s="34" t="n">
        <f aca="false">IF(AND(L1377="Oui",K1377="Principal"),I1377*J1377,0)</f>
        <v>0</v>
      </c>
      <c r="N1377" s="33" t="s">
        <v>182</v>
      </c>
      <c r="O1377" s="33" t="s">
        <v>783</v>
      </c>
      <c r="P1377" s="33" t="s">
        <v>559</v>
      </c>
      <c r="Q1377" s="33" t="s">
        <v>557</v>
      </c>
      <c r="R1377" s="34" t="n">
        <v>6400</v>
      </c>
      <c r="S1377" s="34" t="n">
        <f aca="false">IF(AND(L1377="Oui",K1377="Principal",R1377&lt;&gt;""),I1377*R1377,0)</f>
        <v>0</v>
      </c>
      <c r="T1377" s="34" t="n">
        <f aca="false">IF(R1377&lt;&gt;"",M1377-S1377,0)</f>
        <v>0</v>
      </c>
      <c r="U1377" s="34" t="n">
        <f aca="false">IF(R1377="",M1377,0)</f>
        <v>0</v>
      </c>
    </row>
    <row r="1378" customFormat="false" ht="15" hidden="false" customHeight="false" outlineLevel="0" collapsed="false">
      <c r="A1378" s="33" t="s">
        <v>65</v>
      </c>
      <c r="B1378" s="33" t="s">
        <v>70</v>
      </c>
      <c r="C1378" s="33" t="s">
        <v>48</v>
      </c>
      <c r="D1378" s="33" t="n">
        <v>21</v>
      </c>
      <c r="E1378" s="33" t="s">
        <v>588</v>
      </c>
      <c r="F1378" s="33" t="s">
        <v>480</v>
      </c>
      <c r="G1378" s="33" t="n">
        <v>54</v>
      </c>
      <c r="H1378" s="33" t="s">
        <v>784</v>
      </c>
      <c r="I1378" s="33" t="n">
        <v>1</v>
      </c>
      <c r="J1378" s="34" t="n">
        <v>15000</v>
      </c>
      <c r="K1378" s="33" t="s">
        <v>618</v>
      </c>
      <c r="L1378" s="33" t="s">
        <v>579</v>
      </c>
      <c r="M1378" s="34" t="n">
        <f aca="false">IF(AND(L1378="Oui",K1378="Principal"),I1378*J1378,0)</f>
        <v>0</v>
      </c>
      <c r="N1378" s="33" t="s">
        <v>182</v>
      </c>
      <c r="O1378" s="33" t="s">
        <v>785</v>
      </c>
      <c r="P1378" s="33" t="s">
        <v>559</v>
      </c>
      <c r="Q1378" s="33" t="s">
        <v>557</v>
      </c>
      <c r="R1378" s="34" t="n">
        <v>12000</v>
      </c>
      <c r="S1378" s="34" t="n">
        <f aca="false">IF(AND(L1378="Oui",K1378="Principal",R1378&lt;&gt;""),I1378*R1378,0)</f>
        <v>0</v>
      </c>
      <c r="T1378" s="34" t="n">
        <f aca="false">IF(R1378&lt;&gt;"",M1378-S1378,0)</f>
        <v>0</v>
      </c>
      <c r="U1378" s="34" t="n">
        <f aca="false">IF(R1378="",M1378,0)</f>
        <v>0</v>
      </c>
    </row>
    <row r="1379" customFormat="false" ht="15" hidden="false" customHeight="false" outlineLevel="0" collapsed="false">
      <c r="A1379" s="25" t="s">
        <v>65</v>
      </c>
      <c r="B1379" s="25" t="s">
        <v>70</v>
      </c>
      <c r="C1379" s="25" t="s">
        <v>48</v>
      </c>
      <c r="D1379" s="25" t="n">
        <v>22</v>
      </c>
      <c r="E1379" s="25" t="s">
        <v>588</v>
      </c>
      <c r="F1379" s="25" t="s">
        <v>482</v>
      </c>
      <c r="G1379" s="25" t="n">
        <v>57</v>
      </c>
      <c r="H1379" s="25" t="s">
        <v>786</v>
      </c>
      <c r="I1379" s="25" t="n">
        <v>1</v>
      </c>
      <c r="J1379" s="26" t="n">
        <v>15000</v>
      </c>
      <c r="K1379" s="25" t="s">
        <v>618</v>
      </c>
      <c r="L1379" s="25" t="s">
        <v>579</v>
      </c>
      <c r="M1379" s="26" t="n">
        <f aca="false">IF(AND(L1379="Oui",K1379="Principal"),I1379*J1379,0)</f>
        <v>0</v>
      </c>
      <c r="N1379" s="25" t="s">
        <v>548</v>
      </c>
      <c r="O1379" s="25"/>
      <c r="P1379" s="25" t="s">
        <v>559</v>
      </c>
      <c r="Q1379" s="25" t="s">
        <v>557</v>
      </c>
      <c r="R1379" s="26" t="n">
        <v>12000</v>
      </c>
      <c r="S1379" s="26" t="n">
        <f aca="false">IF(AND(L1379="Oui",K1379="Principal",R1379&lt;&gt;""),I1379*R1379,0)</f>
        <v>0</v>
      </c>
      <c r="T1379" s="26" t="n">
        <f aca="false">IF(R1379&lt;&gt;"",M1379-S1379,0)</f>
        <v>0</v>
      </c>
      <c r="U1379" s="26" t="n">
        <f aca="false">IF(R1379="",M1379,0)</f>
        <v>0</v>
      </c>
    </row>
    <row r="1380" customFormat="false" ht="15" hidden="false" customHeight="false" outlineLevel="0" collapsed="false">
      <c r="A1380" s="25" t="s">
        <v>65</v>
      </c>
      <c r="B1380" s="25" t="s">
        <v>70</v>
      </c>
      <c r="C1380" s="25" t="s">
        <v>48</v>
      </c>
      <c r="D1380" s="25" t="n">
        <v>23</v>
      </c>
      <c r="E1380" s="25" t="s">
        <v>588</v>
      </c>
      <c r="F1380" s="25" t="s">
        <v>484</v>
      </c>
      <c r="G1380" s="25" t="n">
        <v>56</v>
      </c>
      <c r="H1380" s="25" t="s">
        <v>787</v>
      </c>
      <c r="I1380" s="25" t="n">
        <v>1</v>
      </c>
      <c r="J1380" s="26" t="n">
        <v>15000</v>
      </c>
      <c r="K1380" s="25" t="s">
        <v>618</v>
      </c>
      <c r="L1380" s="25" t="s">
        <v>579</v>
      </c>
      <c r="M1380" s="26" t="n">
        <f aca="false">IF(AND(L1380="Oui",K1380="Principal"),I1380*J1380,0)</f>
        <v>0</v>
      </c>
      <c r="N1380" s="25" t="s">
        <v>548</v>
      </c>
      <c r="O1380" s="25"/>
      <c r="P1380" s="25" t="s">
        <v>559</v>
      </c>
      <c r="Q1380" s="25" t="s">
        <v>557</v>
      </c>
      <c r="R1380" s="26" t="n">
        <v>12000</v>
      </c>
      <c r="S1380" s="26" t="n">
        <f aca="false">IF(AND(L1380="Oui",K1380="Principal",R1380&lt;&gt;""),I1380*R1380,0)</f>
        <v>0</v>
      </c>
      <c r="T1380" s="26" t="n">
        <f aca="false">IF(R1380&lt;&gt;"",M1380-S1380,0)</f>
        <v>0</v>
      </c>
      <c r="U1380" s="26" t="n">
        <f aca="false">IF(R1380="",M1380,0)</f>
        <v>0</v>
      </c>
    </row>
    <row r="1381" customFormat="false" ht="15" hidden="false" customHeight="false" outlineLevel="0" collapsed="false">
      <c r="A1381" s="25" t="s">
        <v>65</v>
      </c>
      <c r="B1381" s="25" t="s">
        <v>70</v>
      </c>
      <c r="C1381" s="25" t="s">
        <v>48</v>
      </c>
      <c r="D1381" s="25" t="n">
        <v>24</v>
      </c>
      <c r="E1381" s="25" t="s">
        <v>588</v>
      </c>
      <c r="F1381" s="25" t="s">
        <v>486</v>
      </c>
      <c r="G1381" s="25" t="n">
        <v>75</v>
      </c>
      <c r="H1381" s="25" t="s">
        <v>788</v>
      </c>
      <c r="I1381" s="25" t="n">
        <v>1</v>
      </c>
      <c r="J1381" s="26" t="n">
        <v>15000</v>
      </c>
      <c r="K1381" s="25" t="s">
        <v>618</v>
      </c>
      <c r="L1381" s="25" t="s">
        <v>579</v>
      </c>
      <c r="M1381" s="26" t="n">
        <f aca="false">IF(AND(L1381="Oui",K1381="Principal"),I1381*J1381,0)</f>
        <v>0</v>
      </c>
      <c r="N1381" s="25" t="s">
        <v>548</v>
      </c>
      <c r="O1381" s="25" t="s">
        <v>789</v>
      </c>
      <c r="P1381" s="25" t="s">
        <v>559</v>
      </c>
      <c r="Q1381" s="25" t="s">
        <v>557</v>
      </c>
      <c r="R1381" s="26" t="n">
        <v>12000</v>
      </c>
      <c r="S1381" s="26" t="n">
        <f aca="false">IF(AND(L1381="Oui",K1381="Principal",R1381&lt;&gt;""),I1381*R1381,0)</f>
        <v>0</v>
      </c>
      <c r="T1381" s="26" t="n">
        <f aca="false">IF(R1381&lt;&gt;"",M1381-S1381,0)</f>
        <v>0</v>
      </c>
      <c r="U1381" s="26" t="n">
        <f aca="false">IF(R1381="",M1381,0)</f>
        <v>0</v>
      </c>
    </row>
    <row r="1382" customFormat="false" ht="15" hidden="false" customHeight="false" outlineLevel="0" collapsed="false">
      <c r="A1382" s="25" t="s">
        <v>65</v>
      </c>
      <c r="B1382" s="25" t="s">
        <v>70</v>
      </c>
      <c r="C1382" s="25" t="s">
        <v>48</v>
      </c>
      <c r="D1382" s="25" t="n">
        <v>25</v>
      </c>
      <c r="E1382" s="25" t="s">
        <v>577</v>
      </c>
      <c r="F1382" s="25" t="s">
        <v>321</v>
      </c>
      <c r="G1382" s="25" t="n">
        <v>1192</v>
      </c>
      <c r="H1382" s="25" t="s">
        <v>694</v>
      </c>
      <c r="I1382" s="25" t="n">
        <v>1</v>
      </c>
      <c r="J1382" s="26" t="n">
        <v>7000</v>
      </c>
      <c r="K1382" s="25" t="s">
        <v>577</v>
      </c>
      <c r="L1382" s="25" t="s">
        <v>579</v>
      </c>
      <c r="M1382" s="26" t="n">
        <f aca="false">IF(AND(L1382="Oui",K1382="Principal"),I1382*J1382,0)</f>
        <v>0</v>
      </c>
      <c r="N1382" s="25" t="s">
        <v>548</v>
      </c>
      <c r="O1382" s="25"/>
      <c r="P1382" s="25" t="s">
        <v>550</v>
      </c>
      <c r="Q1382" s="25" t="s">
        <v>557</v>
      </c>
      <c r="R1382" s="26" t="n">
        <v>5500</v>
      </c>
      <c r="S1382" s="26" t="n">
        <f aca="false">IF(AND(L1382="Oui",K1382="Principal",R1382&lt;&gt;""),I1382*R1382,0)</f>
        <v>0</v>
      </c>
      <c r="T1382" s="26" t="n">
        <f aca="false">IF(R1382&lt;&gt;"",M1382-S1382,0)</f>
        <v>0</v>
      </c>
      <c r="U1382" s="26" t="n">
        <f aca="false">IF(R1382="",M1382,0)</f>
        <v>0</v>
      </c>
    </row>
    <row r="1383" customFormat="false" ht="15" hidden="false" customHeight="false" outlineLevel="0" collapsed="false">
      <c r="A1383" s="25" t="s">
        <v>65</v>
      </c>
      <c r="B1383" s="25" t="s">
        <v>70</v>
      </c>
      <c r="C1383" s="25" t="s">
        <v>49</v>
      </c>
      <c r="D1383" s="25" t="n">
        <v>1</v>
      </c>
      <c r="E1383" s="25" t="s">
        <v>544</v>
      </c>
      <c r="F1383" s="25" t="s">
        <v>295</v>
      </c>
      <c r="G1383" s="25" t="n">
        <v>1618</v>
      </c>
      <c r="H1383" s="25" t="s">
        <v>600</v>
      </c>
      <c r="I1383" s="25" t="n">
        <v>2</v>
      </c>
      <c r="J1383" s="26" t="n">
        <v>450</v>
      </c>
      <c r="K1383" s="25" t="s">
        <v>546</v>
      </c>
      <c r="L1383" s="25" t="s">
        <v>547</v>
      </c>
      <c r="M1383" s="26" t="n">
        <f aca="false">IF(AND(L1383="Oui",K1383="Principal"),I1383*J1383,0)</f>
        <v>900</v>
      </c>
      <c r="N1383" s="25" t="s">
        <v>548</v>
      </c>
      <c r="O1383" s="25"/>
      <c r="P1383" s="25" t="s">
        <v>556</v>
      </c>
      <c r="Q1383" s="25" t="s">
        <v>557</v>
      </c>
      <c r="R1383" s="26" t="n">
        <v>350</v>
      </c>
      <c r="S1383" s="26" t="n">
        <f aca="false">IF(AND(L1383="Oui",K1383="Principal",R1383&lt;&gt;""),I1383*R1383,0)</f>
        <v>700</v>
      </c>
      <c r="T1383" s="26" t="n">
        <f aca="false">IF(R1383&lt;&gt;"",M1383-S1383,0)</f>
        <v>200</v>
      </c>
      <c r="U1383" s="26" t="n">
        <f aca="false">IF(R1383="",M1383,0)</f>
        <v>0</v>
      </c>
    </row>
    <row r="1384" customFormat="false" ht="15" hidden="false" customHeight="false" outlineLevel="0" collapsed="false">
      <c r="A1384" s="25" t="s">
        <v>65</v>
      </c>
      <c r="B1384" s="25" t="s">
        <v>70</v>
      </c>
      <c r="C1384" s="25" t="s">
        <v>49</v>
      </c>
      <c r="D1384" s="25" t="n">
        <v>2</v>
      </c>
      <c r="E1384" s="25" t="s">
        <v>544</v>
      </c>
      <c r="F1384" s="25" t="s">
        <v>296</v>
      </c>
      <c r="G1384" s="25" t="n">
        <v>1</v>
      </c>
      <c r="H1384" s="25" t="s">
        <v>681</v>
      </c>
      <c r="I1384" s="25" t="n">
        <v>4</v>
      </c>
      <c r="J1384" s="26" t="n">
        <v>500</v>
      </c>
      <c r="K1384" s="25" t="s">
        <v>546</v>
      </c>
      <c r="L1384" s="25" t="s">
        <v>547</v>
      </c>
      <c r="M1384" s="26" t="n">
        <f aca="false">IF(AND(L1384="Oui",K1384="Principal"),I1384*J1384,0)</f>
        <v>2000</v>
      </c>
      <c r="N1384" s="25" t="s">
        <v>548</v>
      </c>
      <c r="O1384" s="25"/>
      <c r="P1384" s="25" t="s">
        <v>559</v>
      </c>
      <c r="Q1384" s="25" t="s">
        <v>551</v>
      </c>
      <c r="R1384" s="26"/>
      <c r="S1384" s="26" t="n">
        <f aca="false">IF(AND(L1384="Oui",K1384="Principal",R1384&lt;&gt;""),I1384*R1384,0)</f>
        <v>0</v>
      </c>
      <c r="T1384" s="26" t="n">
        <f aca="false">IF(R1384&lt;&gt;"",M1384-S1384,0)</f>
        <v>0</v>
      </c>
      <c r="U1384" s="26" t="n">
        <f aca="false">IF(R1384="",M1384,0)</f>
        <v>2000</v>
      </c>
    </row>
    <row r="1385" customFormat="false" ht="15" hidden="false" customHeight="false" outlineLevel="0" collapsed="false">
      <c r="A1385" s="25" t="s">
        <v>65</v>
      </c>
      <c r="B1385" s="25" t="s">
        <v>70</v>
      </c>
      <c r="C1385" s="25" t="s">
        <v>49</v>
      </c>
      <c r="D1385" s="25" t="n">
        <v>3</v>
      </c>
      <c r="E1385" s="25" t="s">
        <v>544</v>
      </c>
      <c r="F1385" s="25" t="s">
        <v>298</v>
      </c>
      <c r="G1385" s="25" t="n">
        <v>1616</v>
      </c>
      <c r="H1385" s="25" t="s">
        <v>695</v>
      </c>
      <c r="I1385" s="25" t="n">
        <v>2</v>
      </c>
      <c r="J1385" s="26" t="n">
        <v>900</v>
      </c>
      <c r="K1385" s="25" t="s">
        <v>546</v>
      </c>
      <c r="L1385" s="25" t="s">
        <v>547</v>
      </c>
      <c r="M1385" s="26" t="n">
        <f aca="false">IF(AND(L1385="Oui",K1385="Principal"),I1385*J1385,0)</f>
        <v>1800</v>
      </c>
      <c r="N1385" s="25" t="s">
        <v>548</v>
      </c>
      <c r="O1385" s="25"/>
      <c r="P1385" s="25" t="s">
        <v>556</v>
      </c>
      <c r="Q1385" s="25" t="s">
        <v>557</v>
      </c>
      <c r="R1385" s="26" t="n">
        <v>800</v>
      </c>
      <c r="S1385" s="26" t="n">
        <f aca="false">IF(AND(L1385="Oui",K1385="Principal",R1385&lt;&gt;""),I1385*R1385,0)</f>
        <v>1600</v>
      </c>
      <c r="T1385" s="26" t="n">
        <f aca="false">IF(R1385&lt;&gt;"",M1385-S1385,0)</f>
        <v>200</v>
      </c>
      <c r="U1385" s="26" t="n">
        <f aca="false">IF(R1385="",M1385,0)</f>
        <v>0</v>
      </c>
    </row>
    <row r="1386" customFormat="false" ht="15" hidden="false" customHeight="false" outlineLevel="0" collapsed="false">
      <c r="A1386" s="25" t="s">
        <v>65</v>
      </c>
      <c r="B1386" s="25" t="s">
        <v>70</v>
      </c>
      <c r="C1386" s="25" t="s">
        <v>49</v>
      </c>
      <c r="D1386" s="25" t="n">
        <v>4</v>
      </c>
      <c r="E1386" s="25" t="s">
        <v>544</v>
      </c>
      <c r="F1386" s="25" t="s">
        <v>338</v>
      </c>
      <c r="G1386" s="25" t="n">
        <v>1715</v>
      </c>
      <c r="H1386" s="25" t="s">
        <v>713</v>
      </c>
      <c r="I1386" s="25" t="n">
        <v>5</v>
      </c>
      <c r="J1386" s="26" t="n">
        <v>1600</v>
      </c>
      <c r="K1386" s="25" t="s">
        <v>546</v>
      </c>
      <c r="L1386" s="25" t="s">
        <v>547</v>
      </c>
      <c r="M1386" s="26" t="n">
        <f aca="false">IF(AND(L1386="Oui",K1386="Principal"),I1386*J1386,0)</f>
        <v>8000</v>
      </c>
      <c r="N1386" s="25" t="s">
        <v>548</v>
      </c>
      <c r="O1386" s="25"/>
      <c r="P1386" s="25" t="s">
        <v>550</v>
      </c>
      <c r="Q1386" s="25" t="s">
        <v>557</v>
      </c>
      <c r="R1386" s="26" t="n">
        <v>1300</v>
      </c>
      <c r="S1386" s="26" t="n">
        <f aca="false">IF(AND(L1386="Oui",K1386="Principal",R1386&lt;&gt;""),I1386*R1386,0)</f>
        <v>6500</v>
      </c>
      <c r="T1386" s="26" t="n">
        <f aca="false">IF(R1386&lt;&gt;"",M1386-S1386,0)</f>
        <v>1500</v>
      </c>
      <c r="U1386" s="26" t="n">
        <f aca="false">IF(R1386="",M1386,0)</f>
        <v>0</v>
      </c>
    </row>
    <row r="1387" customFormat="false" ht="15" hidden="false" customHeight="false" outlineLevel="0" collapsed="false">
      <c r="A1387" s="25" t="s">
        <v>65</v>
      </c>
      <c r="B1387" s="25" t="s">
        <v>70</v>
      </c>
      <c r="C1387" s="25" t="s">
        <v>49</v>
      </c>
      <c r="D1387" s="25" t="n">
        <v>5</v>
      </c>
      <c r="E1387" s="25" t="s">
        <v>544</v>
      </c>
      <c r="F1387" s="25" t="s">
        <v>442</v>
      </c>
      <c r="G1387" s="25" t="n">
        <v>1729</v>
      </c>
      <c r="H1387" s="25" t="s">
        <v>552</v>
      </c>
      <c r="I1387" s="25" t="n">
        <v>1</v>
      </c>
      <c r="J1387" s="26" t="n">
        <v>1300</v>
      </c>
      <c r="K1387" s="25" t="s">
        <v>546</v>
      </c>
      <c r="L1387" s="25" t="s">
        <v>547</v>
      </c>
      <c r="M1387" s="26" t="n">
        <f aca="false">IF(AND(L1387="Oui",K1387="Principal"),I1387*J1387,0)</f>
        <v>1300</v>
      </c>
      <c r="N1387" s="25" t="s">
        <v>548</v>
      </c>
      <c r="O1387" s="25"/>
      <c r="P1387" s="25" t="s">
        <v>550</v>
      </c>
      <c r="Q1387" s="25" t="s">
        <v>551</v>
      </c>
      <c r="R1387" s="26"/>
      <c r="S1387" s="26" t="n">
        <f aca="false">IF(AND(L1387="Oui",K1387="Principal",R1387&lt;&gt;""),I1387*R1387,0)</f>
        <v>0</v>
      </c>
      <c r="T1387" s="26" t="n">
        <f aca="false">IF(R1387&lt;&gt;"",M1387-S1387,0)</f>
        <v>0</v>
      </c>
      <c r="U1387" s="26" t="n">
        <f aca="false">IF(R1387="",M1387,0)</f>
        <v>1300</v>
      </c>
    </row>
    <row r="1388" customFormat="false" ht="15" hidden="false" customHeight="false" outlineLevel="0" collapsed="false">
      <c r="A1388" s="25" t="s">
        <v>65</v>
      </c>
      <c r="B1388" s="25" t="s">
        <v>70</v>
      </c>
      <c r="C1388" s="25" t="s">
        <v>49</v>
      </c>
      <c r="D1388" s="25" t="n">
        <v>6</v>
      </c>
      <c r="E1388" s="25" t="s">
        <v>563</v>
      </c>
      <c r="F1388" s="25" t="s">
        <v>255</v>
      </c>
      <c r="G1388" s="25" t="n">
        <v>1636</v>
      </c>
      <c r="H1388" s="25" t="s">
        <v>661</v>
      </c>
      <c r="I1388" s="25" t="n">
        <v>1</v>
      </c>
      <c r="J1388" s="26" t="n">
        <v>400</v>
      </c>
      <c r="K1388" s="25" t="s">
        <v>546</v>
      </c>
      <c r="L1388" s="25" t="s">
        <v>547</v>
      </c>
      <c r="M1388" s="26" t="n">
        <f aca="false">IF(AND(L1388="Oui",K1388="Principal"),I1388*J1388,0)</f>
        <v>400</v>
      </c>
      <c r="N1388" s="25" t="s">
        <v>548</v>
      </c>
      <c r="O1388" s="25"/>
      <c r="P1388" s="25" t="s">
        <v>556</v>
      </c>
      <c r="Q1388" s="25" t="s">
        <v>557</v>
      </c>
      <c r="R1388" s="26" t="n">
        <v>320</v>
      </c>
      <c r="S1388" s="26" t="n">
        <f aca="false">IF(AND(L1388="Oui",K1388="Principal",R1388&lt;&gt;""),I1388*R1388,0)</f>
        <v>320</v>
      </c>
      <c r="T1388" s="26" t="n">
        <f aca="false">IF(R1388&lt;&gt;"",M1388-S1388,0)</f>
        <v>80</v>
      </c>
      <c r="U1388" s="26" t="n">
        <f aca="false">IF(R1388="",M1388,0)</f>
        <v>0</v>
      </c>
    </row>
    <row r="1389" customFormat="false" ht="15" hidden="false" customHeight="false" outlineLevel="0" collapsed="false">
      <c r="A1389" s="25" t="s">
        <v>65</v>
      </c>
      <c r="B1389" s="25" t="s">
        <v>70</v>
      </c>
      <c r="C1389" s="25" t="s">
        <v>49</v>
      </c>
      <c r="D1389" s="25" t="n">
        <v>7</v>
      </c>
      <c r="E1389" s="25" t="s">
        <v>563</v>
      </c>
      <c r="F1389" s="25" t="s">
        <v>257</v>
      </c>
      <c r="G1389" s="25" t="n">
        <v>1635</v>
      </c>
      <c r="H1389" s="25" t="s">
        <v>607</v>
      </c>
      <c r="I1389" s="25" t="n">
        <v>1</v>
      </c>
      <c r="J1389" s="26" t="n">
        <v>100</v>
      </c>
      <c r="K1389" s="25" t="s">
        <v>546</v>
      </c>
      <c r="L1389" s="25" t="s">
        <v>547</v>
      </c>
      <c r="M1389" s="26" t="n">
        <f aca="false">IF(AND(L1389="Oui",K1389="Principal"),I1389*J1389,0)</f>
        <v>100</v>
      </c>
      <c r="N1389" s="25" t="s">
        <v>548</v>
      </c>
      <c r="O1389" s="25"/>
      <c r="P1389" s="25" t="s">
        <v>556</v>
      </c>
      <c r="Q1389" s="25" t="s">
        <v>557</v>
      </c>
      <c r="R1389" s="26" t="n">
        <v>80</v>
      </c>
      <c r="S1389" s="26" t="n">
        <f aca="false">IF(AND(L1389="Oui",K1389="Principal",R1389&lt;&gt;""),I1389*R1389,0)</f>
        <v>80</v>
      </c>
      <c r="T1389" s="26" t="n">
        <f aca="false">IF(R1389&lt;&gt;"",M1389-S1389,0)</f>
        <v>20</v>
      </c>
      <c r="U1389" s="26" t="n">
        <f aca="false">IF(R1389="",M1389,0)</f>
        <v>0</v>
      </c>
    </row>
    <row r="1390" customFormat="false" ht="15" hidden="false" customHeight="false" outlineLevel="0" collapsed="false">
      <c r="A1390" s="25" t="s">
        <v>65</v>
      </c>
      <c r="B1390" s="25" t="s">
        <v>70</v>
      </c>
      <c r="C1390" s="25" t="s">
        <v>49</v>
      </c>
      <c r="D1390" s="25" t="n">
        <v>8</v>
      </c>
      <c r="E1390" s="25" t="s">
        <v>563</v>
      </c>
      <c r="F1390" s="25" t="s">
        <v>188</v>
      </c>
      <c r="G1390" s="25" t="n">
        <v>8</v>
      </c>
      <c r="H1390" s="25" t="s">
        <v>188</v>
      </c>
      <c r="I1390" s="25" t="n">
        <v>1</v>
      </c>
      <c r="J1390" s="26" t="n">
        <v>500</v>
      </c>
      <c r="K1390" s="25" t="s">
        <v>546</v>
      </c>
      <c r="L1390" s="25" t="s">
        <v>547</v>
      </c>
      <c r="M1390" s="26" t="n">
        <f aca="false">IF(AND(L1390="Oui",K1390="Principal"),I1390*J1390,0)</f>
        <v>500</v>
      </c>
      <c r="N1390" s="25" t="s">
        <v>548</v>
      </c>
      <c r="O1390" s="25"/>
      <c r="P1390" s="25" t="s">
        <v>559</v>
      </c>
      <c r="Q1390" s="25" t="s">
        <v>551</v>
      </c>
      <c r="R1390" s="26"/>
      <c r="S1390" s="26" t="n">
        <f aca="false">IF(AND(L1390="Oui",K1390="Principal",R1390&lt;&gt;""),I1390*R1390,0)</f>
        <v>0</v>
      </c>
      <c r="T1390" s="26" t="n">
        <f aca="false">IF(R1390&lt;&gt;"",M1390-S1390,0)</f>
        <v>0</v>
      </c>
      <c r="U1390" s="26" t="n">
        <f aca="false">IF(R1390="",M1390,0)</f>
        <v>500</v>
      </c>
    </row>
    <row r="1391" customFormat="false" ht="15" hidden="false" customHeight="false" outlineLevel="0" collapsed="false">
      <c r="A1391" s="25" t="s">
        <v>65</v>
      </c>
      <c r="B1391" s="25" t="s">
        <v>70</v>
      </c>
      <c r="C1391" s="25" t="s">
        <v>49</v>
      </c>
      <c r="D1391" s="25" t="n">
        <v>9</v>
      </c>
      <c r="E1391" s="25" t="s">
        <v>563</v>
      </c>
      <c r="F1391" s="25" t="s">
        <v>323</v>
      </c>
      <c r="G1391" s="25" t="n">
        <v>1607</v>
      </c>
      <c r="H1391" s="25" t="s">
        <v>696</v>
      </c>
      <c r="I1391" s="25" t="n">
        <v>1</v>
      </c>
      <c r="J1391" s="26" t="n">
        <v>2500</v>
      </c>
      <c r="K1391" s="25" t="s">
        <v>546</v>
      </c>
      <c r="L1391" s="25" t="s">
        <v>547</v>
      </c>
      <c r="M1391" s="26" t="n">
        <f aca="false">IF(AND(L1391="Oui",K1391="Principal"),I1391*J1391,0)</f>
        <v>2500</v>
      </c>
      <c r="N1391" s="25" t="s">
        <v>548</v>
      </c>
      <c r="O1391" s="25"/>
      <c r="P1391" s="25" t="s">
        <v>556</v>
      </c>
      <c r="Q1391" s="25" t="s">
        <v>557</v>
      </c>
      <c r="R1391" s="26" t="n">
        <v>2000</v>
      </c>
      <c r="S1391" s="26" t="n">
        <f aca="false">IF(AND(L1391="Oui",K1391="Principal",R1391&lt;&gt;""),I1391*R1391,0)</f>
        <v>2000</v>
      </c>
      <c r="T1391" s="26" t="n">
        <f aca="false">IF(R1391&lt;&gt;"",M1391-S1391,0)</f>
        <v>500</v>
      </c>
      <c r="U1391" s="26" t="n">
        <f aca="false">IF(R1391="",M1391,0)</f>
        <v>0</v>
      </c>
    </row>
    <row r="1392" customFormat="false" ht="15" hidden="false" customHeight="false" outlineLevel="0" collapsed="false">
      <c r="A1392" s="25" t="s">
        <v>65</v>
      </c>
      <c r="B1392" s="25" t="s">
        <v>70</v>
      </c>
      <c r="C1392" s="25" t="s">
        <v>49</v>
      </c>
      <c r="D1392" s="25" t="n">
        <v>10</v>
      </c>
      <c r="E1392" s="25" t="s">
        <v>563</v>
      </c>
      <c r="F1392" s="25" t="s">
        <v>325</v>
      </c>
      <c r="G1392" s="25" t="n">
        <v>1248</v>
      </c>
      <c r="H1392" s="25" t="s">
        <v>697</v>
      </c>
      <c r="I1392" s="25" t="n">
        <v>1</v>
      </c>
      <c r="J1392" s="26" t="n">
        <v>400</v>
      </c>
      <c r="K1392" s="25" t="s">
        <v>546</v>
      </c>
      <c r="L1392" s="25" t="s">
        <v>547</v>
      </c>
      <c r="M1392" s="26" t="n">
        <f aca="false">IF(AND(L1392="Oui",K1392="Principal"),I1392*J1392,0)</f>
        <v>400</v>
      </c>
      <c r="N1392" s="25" t="s">
        <v>548</v>
      </c>
      <c r="O1392" s="25"/>
      <c r="P1392" s="25" t="s">
        <v>550</v>
      </c>
      <c r="Q1392" s="25" t="s">
        <v>557</v>
      </c>
      <c r="R1392" s="26" t="n">
        <v>250</v>
      </c>
      <c r="S1392" s="26" t="n">
        <f aca="false">IF(AND(L1392="Oui",K1392="Principal",R1392&lt;&gt;""),I1392*R1392,0)</f>
        <v>250</v>
      </c>
      <c r="T1392" s="26" t="n">
        <f aca="false">IF(R1392&lt;&gt;"",M1392-S1392,0)</f>
        <v>150</v>
      </c>
      <c r="U1392" s="26" t="n">
        <f aca="false">IF(R1392="",M1392,0)</f>
        <v>0</v>
      </c>
    </row>
    <row r="1393" customFormat="false" ht="15" hidden="false" customHeight="false" outlineLevel="0" collapsed="false">
      <c r="A1393" s="25" t="s">
        <v>65</v>
      </c>
      <c r="B1393" s="25" t="s">
        <v>70</v>
      </c>
      <c r="C1393" s="25" t="s">
        <v>49</v>
      </c>
      <c r="D1393" s="25" t="n">
        <v>11</v>
      </c>
      <c r="E1393" s="25" t="s">
        <v>565</v>
      </c>
      <c r="F1393" s="25" t="s">
        <v>99</v>
      </c>
      <c r="G1393" s="25" t="n">
        <v>1181</v>
      </c>
      <c r="H1393" s="25" t="s">
        <v>581</v>
      </c>
      <c r="I1393" s="25" t="n">
        <v>1</v>
      </c>
      <c r="J1393" s="26" t="n">
        <v>250</v>
      </c>
      <c r="K1393" s="25" t="s">
        <v>546</v>
      </c>
      <c r="L1393" s="25" t="s">
        <v>547</v>
      </c>
      <c r="M1393" s="26" t="n">
        <f aca="false">IF(AND(L1393="Oui",K1393="Principal"),I1393*J1393,0)</f>
        <v>250</v>
      </c>
      <c r="N1393" s="25" t="s">
        <v>548</v>
      </c>
      <c r="O1393" s="25"/>
      <c r="P1393" s="25" t="s">
        <v>550</v>
      </c>
      <c r="Q1393" s="25" t="s">
        <v>557</v>
      </c>
      <c r="R1393" s="26" t="n">
        <v>110</v>
      </c>
      <c r="S1393" s="26" t="n">
        <f aca="false">IF(AND(L1393="Oui",K1393="Principal",R1393&lt;&gt;""),I1393*R1393,0)</f>
        <v>110</v>
      </c>
      <c r="T1393" s="26" t="n">
        <f aca="false">IF(R1393&lt;&gt;"",M1393-S1393,0)</f>
        <v>140</v>
      </c>
      <c r="U1393" s="26" t="n">
        <f aca="false">IF(R1393="",M1393,0)</f>
        <v>0</v>
      </c>
    </row>
    <row r="1394" customFormat="false" ht="15" hidden="false" customHeight="false" outlineLevel="0" collapsed="false">
      <c r="A1394" s="25" t="s">
        <v>65</v>
      </c>
      <c r="B1394" s="25" t="s">
        <v>70</v>
      </c>
      <c r="C1394" s="25" t="s">
        <v>49</v>
      </c>
      <c r="D1394" s="25" t="n">
        <v>12</v>
      </c>
      <c r="E1394" s="25" t="s">
        <v>565</v>
      </c>
      <c r="F1394" s="25" t="s">
        <v>164</v>
      </c>
      <c r="G1394" s="25" t="n">
        <v>1587</v>
      </c>
      <c r="H1394" s="25" t="s">
        <v>567</v>
      </c>
      <c r="I1394" s="25" t="n">
        <v>1</v>
      </c>
      <c r="J1394" s="26" t="n">
        <v>500</v>
      </c>
      <c r="K1394" s="25" t="s">
        <v>546</v>
      </c>
      <c r="L1394" s="25" t="s">
        <v>547</v>
      </c>
      <c r="M1394" s="26" t="n">
        <f aca="false">IF(AND(L1394="Oui",K1394="Principal"),I1394*J1394,0)</f>
        <v>500</v>
      </c>
      <c r="N1394" s="25" t="s">
        <v>548</v>
      </c>
      <c r="O1394" s="25"/>
      <c r="P1394" s="25" t="s">
        <v>556</v>
      </c>
      <c r="Q1394" s="25" t="s">
        <v>557</v>
      </c>
      <c r="R1394" s="26" t="n">
        <v>350</v>
      </c>
      <c r="S1394" s="26" t="n">
        <f aca="false">IF(AND(L1394="Oui",K1394="Principal",R1394&lt;&gt;""),I1394*R1394,0)</f>
        <v>350</v>
      </c>
      <c r="T1394" s="26" t="n">
        <f aca="false">IF(R1394&lt;&gt;"",M1394-S1394,0)</f>
        <v>150</v>
      </c>
      <c r="U1394" s="26" t="n">
        <f aca="false">IF(R1394="",M1394,0)</f>
        <v>0</v>
      </c>
    </row>
    <row r="1395" customFormat="false" ht="15" hidden="false" customHeight="false" outlineLevel="0" collapsed="false">
      <c r="A1395" s="25" t="s">
        <v>65</v>
      </c>
      <c r="B1395" s="25" t="s">
        <v>70</v>
      </c>
      <c r="C1395" s="25" t="s">
        <v>49</v>
      </c>
      <c r="D1395" s="25" t="n">
        <v>13</v>
      </c>
      <c r="E1395" s="25" t="s">
        <v>565</v>
      </c>
      <c r="F1395" s="25" t="s">
        <v>166</v>
      </c>
      <c r="G1395" s="25" t="n">
        <v>1604</v>
      </c>
      <c r="H1395" s="25" t="s">
        <v>582</v>
      </c>
      <c r="I1395" s="25" t="n">
        <v>2</v>
      </c>
      <c r="J1395" s="26" t="n">
        <v>700</v>
      </c>
      <c r="K1395" s="25" t="s">
        <v>546</v>
      </c>
      <c r="L1395" s="25" t="s">
        <v>547</v>
      </c>
      <c r="M1395" s="26" t="n">
        <f aca="false">IF(AND(L1395="Oui",K1395="Principal"),I1395*J1395,0)</f>
        <v>1400</v>
      </c>
      <c r="N1395" s="25" t="s">
        <v>548</v>
      </c>
      <c r="O1395" s="25"/>
      <c r="P1395" s="25" t="s">
        <v>556</v>
      </c>
      <c r="Q1395" s="25" t="s">
        <v>557</v>
      </c>
      <c r="R1395" s="26" t="n">
        <v>400</v>
      </c>
      <c r="S1395" s="26" t="n">
        <f aca="false">IF(AND(L1395="Oui",K1395="Principal",R1395&lt;&gt;""),I1395*R1395,0)</f>
        <v>800</v>
      </c>
      <c r="T1395" s="26" t="n">
        <f aca="false">IF(R1395&lt;&gt;"",M1395-S1395,0)</f>
        <v>600</v>
      </c>
      <c r="U1395" s="26" t="n">
        <f aca="false">IF(R1395="",M1395,0)</f>
        <v>0</v>
      </c>
    </row>
    <row r="1396" customFormat="false" ht="15" hidden="false" customHeight="false" outlineLevel="0" collapsed="false">
      <c r="A1396" s="25" t="s">
        <v>65</v>
      </c>
      <c r="B1396" s="25" t="s">
        <v>70</v>
      </c>
      <c r="C1396" s="25" t="s">
        <v>49</v>
      </c>
      <c r="D1396" s="25" t="n">
        <v>14</v>
      </c>
      <c r="E1396" s="25" t="s">
        <v>565</v>
      </c>
      <c r="F1396" s="25" t="s">
        <v>304</v>
      </c>
      <c r="G1396" s="25" t="n">
        <v>1586</v>
      </c>
      <c r="H1396" s="25" t="s">
        <v>583</v>
      </c>
      <c r="I1396" s="25" t="n">
        <v>1</v>
      </c>
      <c r="J1396" s="26" t="n">
        <v>900</v>
      </c>
      <c r="K1396" s="25" t="s">
        <v>546</v>
      </c>
      <c r="L1396" s="25" t="s">
        <v>547</v>
      </c>
      <c r="M1396" s="26" t="n">
        <f aca="false">IF(AND(L1396="Oui",K1396="Principal"),I1396*J1396,0)</f>
        <v>900</v>
      </c>
      <c r="N1396" s="25" t="s">
        <v>548</v>
      </c>
      <c r="O1396" s="25"/>
      <c r="P1396" s="25" t="s">
        <v>556</v>
      </c>
      <c r="Q1396" s="25" t="s">
        <v>557</v>
      </c>
      <c r="R1396" s="26" t="n">
        <v>650</v>
      </c>
      <c r="S1396" s="26" t="n">
        <f aca="false">IF(AND(L1396="Oui",K1396="Principal",R1396&lt;&gt;""),I1396*R1396,0)</f>
        <v>650</v>
      </c>
      <c r="T1396" s="26" t="n">
        <f aca="false">IF(R1396&lt;&gt;"",M1396-S1396,0)</f>
        <v>250</v>
      </c>
      <c r="U1396" s="26" t="n">
        <f aca="false">IF(R1396="",M1396,0)</f>
        <v>0</v>
      </c>
    </row>
    <row r="1397" customFormat="false" ht="15" hidden="false" customHeight="false" outlineLevel="0" collapsed="false">
      <c r="A1397" s="33" t="s">
        <v>65</v>
      </c>
      <c r="B1397" s="33" t="s">
        <v>70</v>
      </c>
      <c r="C1397" s="33" t="s">
        <v>49</v>
      </c>
      <c r="D1397" s="33" t="n">
        <v>15</v>
      </c>
      <c r="E1397" s="33" t="s">
        <v>609</v>
      </c>
      <c r="F1397" s="33" t="s">
        <v>199</v>
      </c>
      <c r="G1397" s="33" t="n">
        <v>1229</v>
      </c>
      <c r="H1397" s="33" t="s">
        <v>643</v>
      </c>
      <c r="I1397" s="33" t="n">
        <v>1</v>
      </c>
      <c r="J1397" s="34" t="n">
        <v>1800</v>
      </c>
      <c r="K1397" s="33" t="s">
        <v>546</v>
      </c>
      <c r="L1397" s="33" t="s">
        <v>547</v>
      </c>
      <c r="M1397" s="34" t="n">
        <f aca="false">IF(AND(L1397="Oui",K1397="Principal"),I1397*J1397,0)</f>
        <v>1800</v>
      </c>
      <c r="N1397" s="33" t="s">
        <v>182</v>
      </c>
      <c r="O1397" s="33" t="s">
        <v>644</v>
      </c>
      <c r="P1397" s="33" t="s">
        <v>550</v>
      </c>
      <c r="Q1397" s="33" t="s">
        <v>557</v>
      </c>
      <c r="R1397" s="34" t="n">
        <v>1500</v>
      </c>
      <c r="S1397" s="34" t="n">
        <f aca="false">IF(AND(L1397="Oui",K1397="Principal",R1397&lt;&gt;""),I1397*R1397,0)</f>
        <v>1500</v>
      </c>
      <c r="T1397" s="34" t="n">
        <f aca="false">IF(R1397&lt;&gt;"",M1397-S1397,0)</f>
        <v>300</v>
      </c>
      <c r="U1397" s="34" t="n">
        <f aca="false">IF(R1397="",M1397,0)</f>
        <v>0</v>
      </c>
    </row>
    <row r="1398" customFormat="false" ht="15" hidden="false" customHeight="false" outlineLevel="0" collapsed="false">
      <c r="A1398" s="25" t="s">
        <v>65</v>
      </c>
      <c r="B1398" s="25" t="s">
        <v>70</v>
      </c>
      <c r="C1398" s="25" t="s">
        <v>49</v>
      </c>
      <c r="D1398" s="25" t="n">
        <v>16</v>
      </c>
      <c r="E1398" s="25" t="s">
        <v>609</v>
      </c>
      <c r="F1398" s="25" t="s">
        <v>443</v>
      </c>
      <c r="G1398" s="25" t="n">
        <v>1727</v>
      </c>
      <c r="H1398" s="25" t="s">
        <v>698</v>
      </c>
      <c r="I1398" s="25" t="n">
        <v>1</v>
      </c>
      <c r="J1398" s="26" t="n">
        <v>4750</v>
      </c>
      <c r="K1398" s="25" t="s">
        <v>546</v>
      </c>
      <c r="L1398" s="25" t="s">
        <v>547</v>
      </c>
      <c r="M1398" s="26" t="n">
        <f aca="false">IF(AND(L1398="Oui",K1398="Principal"),I1398*J1398,0)</f>
        <v>4750</v>
      </c>
      <c r="N1398" s="25" t="s">
        <v>548</v>
      </c>
      <c r="O1398" s="25"/>
      <c r="P1398" s="25" t="s">
        <v>559</v>
      </c>
      <c r="Q1398" s="25" t="s">
        <v>557</v>
      </c>
      <c r="R1398" s="26" t="n">
        <v>3700</v>
      </c>
      <c r="S1398" s="26" t="n">
        <f aca="false">IF(AND(L1398="Oui",K1398="Principal",R1398&lt;&gt;""),I1398*R1398,0)</f>
        <v>3700</v>
      </c>
      <c r="T1398" s="26" t="n">
        <f aca="false">IF(R1398&lt;&gt;"",M1398-S1398,0)</f>
        <v>1050</v>
      </c>
      <c r="U1398" s="26" t="n">
        <f aca="false">IF(R1398="",M1398,0)</f>
        <v>0</v>
      </c>
    </row>
    <row r="1399" customFormat="false" ht="15" hidden="false" customHeight="false" outlineLevel="0" collapsed="false">
      <c r="A1399" s="25" t="s">
        <v>65</v>
      </c>
      <c r="B1399" s="25" t="s">
        <v>70</v>
      </c>
      <c r="C1399" s="25" t="s">
        <v>49</v>
      </c>
      <c r="D1399" s="25" t="n">
        <v>17</v>
      </c>
      <c r="E1399" s="25" t="s">
        <v>700</v>
      </c>
      <c r="F1399" s="25" t="s">
        <v>329</v>
      </c>
      <c r="G1399" s="25" t="n">
        <v>1716</v>
      </c>
      <c r="H1399" s="25" t="s">
        <v>701</v>
      </c>
      <c r="I1399" s="25" t="n">
        <v>1</v>
      </c>
      <c r="J1399" s="26" t="n">
        <v>1800</v>
      </c>
      <c r="K1399" s="25" t="s">
        <v>546</v>
      </c>
      <c r="L1399" s="25" t="s">
        <v>547</v>
      </c>
      <c r="M1399" s="26" t="n">
        <f aca="false">IF(AND(L1399="Oui",K1399="Principal"),I1399*J1399,0)</f>
        <v>1800</v>
      </c>
      <c r="N1399" s="25" t="s">
        <v>548</v>
      </c>
      <c r="O1399" s="25"/>
      <c r="P1399" s="25" t="s">
        <v>559</v>
      </c>
      <c r="Q1399" s="25" t="s">
        <v>557</v>
      </c>
      <c r="R1399" s="26" t="n">
        <v>1300</v>
      </c>
      <c r="S1399" s="26" t="n">
        <f aca="false">IF(AND(L1399="Oui",K1399="Principal",R1399&lt;&gt;""),I1399*R1399,0)</f>
        <v>1300</v>
      </c>
      <c r="T1399" s="26" t="n">
        <f aca="false">IF(R1399&lt;&gt;"",M1399-S1399,0)</f>
        <v>500</v>
      </c>
      <c r="U1399" s="26" t="n">
        <f aca="false">IF(R1399="",M1399,0)</f>
        <v>0</v>
      </c>
    </row>
    <row r="1400" customFormat="false" ht="15" hidden="false" customHeight="false" outlineLevel="0" collapsed="false">
      <c r="A1400" s="27" t="s">
        <v>65</v>
      </c>
      <c r="B1400" s="27" t="s">
        <v>70</v>
      </c>
      <c r="C1400" s="27" t="s">
        <v>49</v>
      </c>
      <c r="D1400" s="27" t="n">
        <v>18</v>
      </c>
      <c r="E1400" s="27" t="s">
        <v>700</v>
      </c>
      <c r="F1400" s="27" t="s">
        <v>430</v>
      </c>
      <c r="G1400" s="27"/>
      <c r="H1400" s="27" t="s">
        <v>585</v>
      </c>
      <c r="I1400" s="27" t="n">
        <v>1</v>
      </c>
      <c r="J1400" s="28" t="n">
        <v>0</v>
      </c>
      <c r="K1400" s="27" t="s">
        <v>546</v>
      </c>
      <c r="L1400" s="27" t="s">
        <v>579</v>
      </c>
      <c r="M1400" s="28" t="n">
        <f aca="false">IF(AND(L1400="Oui",K1400="Principal"),I1400*J1400,0)</f>
        <v>0</v>
      </c>
      <c r="N1400" s="27" t="s">
        <v>128</v>
      </c>
      <c r="O1400" s="27" t="s">
        <v>586</v>
      </c>
      <c r="P1400" s="27"/>
      <c r="Q1400" s="27"/>
      <c r="R1400" s="28"/>
      <c r="S1400" s="28" t="n">
        <f aca="false">IF(AND(L1400="Oui",K1400="Principal",R1400&lt;&gt;""),I1400*R1400,0)</f>
        <v>0</v>
      </c>
      <c r="T1400" s="28" t="n">
        <f aca="false">IF(R1400&lt;&gt;"",M1400-S1400,0)</f>
        <v>0</v>
      </c>
      <c r="U1400" s="28" t="n">
        <f aca="false">IF(R1400="",M1400,0)</f>
        <v>0</v>
      </c>
    </row>
    <row r="1401" customFormat="false" ht="15" hidden="false" customHeight="false" outlineLevel="0" collapsed="false">
      <c r="A1401" s="27" t="s">
        <v>65</v>
      </c>
      <c r="B1401" s="27" t="s">
        <v>70</v>
      </c>
      <c r="C1401" s="27" t="s">
        <v>49</v>
      </c>
      <c r="D1401" s="27" t="n">
        <v>19</v>
      </c>
      <c r="E1401" s="27" t="s">
        <v>700</v>
      </c>
      <c r="F1401" s="27" t="s">
        <v>382</v>
      </c>
      <c r="G1401" s="27"/>
      <c r="H1401" s="27" t="s">
        <v>585</v>
      </c>
      <c r="I1401" s="27" t="n">
        <v>1</v>
      </c>
      <c r="J1401" s="28" t="n">
        <v>0</v>
      </c>
      <c r="K1401" s="27" t="s">
        <v>546</v>
      </c>
      <c r="L1401" s="27" t="s">
        <v>579</v>
      </c>
      <c r="M1401" s="28" t="n">
        <f aca="false">IF(AND(L1401="Oui",K1401="Principal"),I1401*J1401,0)</f>
        <v>0</v>
      </c>
      <c r="N1401" s="27" t="s">
        <v>128</v>
      </c>
      <c r="O1401" s="27" t="s">
        <v>586</v>
      </c>
      <c r="P1401" s="27"/>
      <c r="Q1401" s="27"/>
      <c r="R1401" s="28"/>
      <c r="S1401" s="28" t="n">
        <f aca="false">IF(AND(L1401="Oui",K1401="Principal",R1401&lt;&gt;""),I1401*R1401,0)</f>
        <v>0</v>
      </c>
      <c r="T1401" s="28" t="n">
        <f aca="false">IF(R1401&lt;&gt;"",M1401-S1401,0)</f>
        <v>0</v>
      </c>
      <c r="U1401" s="28" t="n">
        <f aca="false">IF(R1401="",M1401,0)</f>
        <v>0</v>
      </c>
    </row>
    <row r="1402" customFormat="false" ht="15" hidden="false" customHeight="false" outlineLevel="0" collapsed="false">
      <c r="A1402" s="25" t="s">
        <v>65</v>
      </c>
      <c r="B1402" s="25" t="s">
        <v>70</v>
      </c>
      <c r="C1402" s="25" t="s">
        <v>49</v>
      </c>
      <c r="D1402" s="25" t="n">
        <v>20</v>
      </c>
      <c r="E1402" s="25" t="s">
        <v>571</v>
      </c>
      <c r="F1402" s="25" t="s">
        <v>431</v>
      </c>
      <c r="G1402" s="25" t="n">
        <v>1631</v>
      </c>
      <c r="H1402" s="25" t="s">
        <v>755</v>
      </c>
      <c r="I1402" s="25" t="n">
        <v>1</v>
      </c>
      <c r="J1402" s="26" t="n">
        <v>2700</v>
      </c>
      <c r="K1402" s="25" t="s">
        <v>546</v>
      </c>
      <c r="L1402" s="25" t="s">
        <v>547</v>
      </c>
      <c r="M1402" s="26" t="n">
        <f aca="false">IF(AND(L1402="Oui",K1402="Principal"),I1402*J1402,0)</f>
        <v>2700</v>
      </c>
      <c r="N1402" s="25" t="s">
        <v>548</v>
      </c>
      <c r="O1402" s="25"/>
      <c r="P1402" s="25" t="s">
        <v>556</v>
      </c>
      <c r="Q1402" s="25" t="s">
        <v>557</v>
      </c>
      <c r="R1402" s="26" t="n">
        <v>2000</v>
      </c>
      <c r="S1402" s="26" t="n">
        <f aca="false">IF(AND(L1402="Oui",K1402="Principal",R1402&lt;&gt;""),I1402*R1402,0)</f>
        <v>2000</v>
      </c>
      <c r="T1402" s="26" t="n">
        <f aca="false">IF(R1402&lt;&gt;"",M1402-S1402,0)</f>
        <v>700</v>
      </c>
      <c r="U1402" s="26" t="n">
        <f aca="false">IF(R1402="",M1402,0)</f>
        <v>0</v>
      </c>
    </row>
    <row r="1403" customFormat="false" ht="15" hidden="false" customHeight="false" outlineLevel="0" collapsed="false">
      <c r="A1403" s="25" t="s">
        <v>65</v>
      </c>
      <c r="B1403" s="25" t="s">
        <v>70</v>
      </c>
      <c r="C1403" s="25" t="s">
        <v>49</v>
      </c>
      <c r="D1403" s="25" t="n">
        <v>21</v>
      </c>
      <c r="E1403" s="25" t="s">
        <v>571</v>
      </c>
      <c r="F1403" s="25" t="s">
        <v>433</v>
      </c>
      <c r="G1403" s="25" t="n">
        <v>1683</v>
      </c>
      <c r="H1403" s="25" t="s">
        <v>756</v>
      </c>
      <c r="I1403" s="25" t="n">
        <v>1</v>
      </c>
      <c r="J1403" s="26" t="n">
        <v>1000</v>
      </c>
      <c r="K1403" s="25" t="s">
        <v>546</v>
      </c>
      <c r="L1403" s="25" t="s">
        <v>547</v>
      </c>
      <c r="M1403" s="26" t="n">
        <f aca="false">IF(AND(L1403="Oui",K1403="Principal"),I1403*J1403,0)</f>
        <v>1000</v>
      </c>
      <c r="N1403" s="25" t="s">
        <v>548</v>
      </c>
      <c r="O1403" s="25"/>
      <c r="P1403" s="25" t="s">
        <v>556</v>
      </c>
      <c r="Q1403" s="25" t="s">
        <v>557</v>
      </c>
      <c r="R1403" s="26"/>
      <c r="S1403" s="26" t="n">
        <f aca="false">IF(AND(L1403="Oui",K1403="Principal",R1403&lt;&gt;""),I1403*R1403,0)</f>
        <v>0</v>
      </c>
      <c r="T1403" s="26" t="n">
        <f aca="false">IF(R1403&lt;&gt;"",M1403-S1403,0)</f>
        <v>0</v>
      </c>
      <c r="U1403" s="26" t="n">
        <f aca="false">IF(R1403="",M1403,0)</f>
        <v>1000</v>
      </c>
    </row>
    <row r="1404" customFormat="false" ht="15" hidden="false" customHeight="false" outlineLevel="0" collapsed="false">
      <c r="A1404" s="33" t="s">
        <v>65</v>
      </c>
      <c r="B1404" s="33" t="s">
        <v>70</v>
      </c>
      <c r="C1404" s="33" t="s">
        <v>49</v>
      </c>
      <c r="D1404" s="33" t="n">
        <v>22</v>
      </c>
      <c r="E1404" s="33" t="s">
        <v>571</v>
      </c>
      <c r="F1404" s="33" t="s">
        <v>435</v>
      </c>
      <c r="G1404" s="33" t="n">
        <v>1269</v>
      </c>
      <c r="H1404" s="33" t="s">
        <v>757</v>
      </c>
      <c r="I1404" s="33" t="n">
        <v>1</v>
      </c>
      <c r="J1404" s="34" t="n">
        <v>1150</v>
      </c>
      <c r="K1404" s="33" t="s">
        <v>546</v>
      </c>
      <c r="L1404" s="33" t="s">
        <v>547</v>
      </c>
      <c r="M1404" s="34" t="n">
        <f aca="false">IF(AND(L1404="Oui",K1404="Principal"),I1404*J1404,0)</f>
        <v>1150</v>
      </c>
      <c r="N1404" s="33" t="s">
        <v>182</v>
      </c>
      <c r="O1404" s="33" t="s">
        <v>758</v>
      </c>
      <c r="P1404" s="33" t="s">
        <v>550</v>
      </c>
      <c r="Q1404" s="33" t="s">
        <v>557</v>
      </c>
      <c r="R1404" s="34" t="n">
        <v>850</v>
      </c>
      <c r="S1404" s="34" t="n">
        <f aca="false">IF(AND(L1404="Oui",K1404="Principal",R1404&lt;&gt;""),I1404*R1404,0)</f>
        <v>850</v>
      </c>
      <c r="T1404" s="34" t="n">
        <f aca="false">IF(R1404&lt;&gt;"",M1404-S1404,0)</f>
        <v>300</v>
      </c>
      <c r="U1404" s="34" t="n">
        <f aca="false">IF(R1404="",M1404,0)</f>
        <v>0</v>
      </c>
    </row>
    <row r="1405" customFormat="false" ht="15" hidden="false" customHeight="false" outlineLevel="0" collapsed="false">
      <c r="A1405" s="25" t="s">
        <v>65</v>
      </c>
      <c r="B1405" s="25" t="s">
        <v>70</v>
      </c>
      <c r="C1405" s="25" t="s">
        <v>49</v>
      </c>
      <c r="D1405" s="25" t="n">
        <v>23</v>
      </c>
      <c r="E1405" s="25" t="s">
        <v>573</v>
      </c>
      <c r="F1405" s="25" t="s">
        <v>176</v>
      </c>
      <c r="G1405" s="25" t="n">
        <v>19</v>
      </c>
      <c r="H1405" s="25" t="s">
        <v>615</v>
      </c>
      <c r="I1405" s="25" t="n">
        <v>1</v>
      </c>
      <c r="J1405" s="26" t="n">
        <v>2500</v>
      </c>
      <c r="K1405" s="25" t="s">
        <v>546</v>
      </c>
      <c r="L1405" s="25" t="s">
        <v>547</v>
      </c>
      <c r="M1405" s="26" t="n">
        <f aca="false">IF(AND(L1405="Oui",K1405="Principal"),I1405*J1405,0)</f>
        <v>2500</v>
      </c>
      <c r="N1405" s="25" t="s">
        <v>548</v>
      </c>
      <c r="O1405" s="25"/>
      <c r="P1405" s="25" t="s">
        <v>559</v>
      </c>
      <c r="Q1405" s="25" t="s">
        <v>551</v>
      </c>
      <c r="R1405" s="26"/>
      <c r="S1405" s="26" t="n">
        <f aca="false">IF(AND(L1405="Oui",K1405="Principal",R1405&lt;&gt;""),I1405*R1405,0)</f>
        <v>0</v>
      </c>
      <c r="T1405" s="26" t="n">
        <f aca="false">IF(R1405&lt;&gt;"",M1405-S1405,0)</f>
        <v>0</v>
      </c>
      <c r="U1405" s="26" t="n">
        <f aca="false">IF(R1405="",M1405,0)</f>
        <v>2500</v>
      </c>
    </row>
    <row r="1406" customFormat="false" ht="15" hidden="false" customHeight="false" outlineLevel="0" collapsed="false">
      <c r="A1406" s="25" t="s">
        <v>65</v>
      </c>
      <c r="B1406" s="25" t="s">
        <v>70</v>
      </c>
      <c r="C1406" s="25" t="s">
        <v>49</v>
      </c>
      <c r="D1406" s="25" t="n">
        <v>24</v>
      </c>
      <c r="E1406" s="25" t="s">
        <v>573</v>
      </c>
      <c r="F1406" s="25" t="s">
        <v>117</v>
      </c>
      <c r="G1406" s="25" t="n">
        <v>1288</v>
      </c>
      <c r="H1406" s="25" t="s">
        <v>624</v>
      </c>
      <c r="I1406" s="25" t="n">
        <v>1</v>
      </c>
      <c r="J1406" s="26" t="n">
        <v>2500</v>
      </c>
      <c r="K1406" s="25" t="s">
        <v>546</v>
      </c>
      <c r="L1406" s="25" t="s">
        <v>547</v>
      </c>
      <c r="M1406" s="26" t="n">
        <f aca="false">IF(AND(L1406="Oui",K1406="Principal"),I1406*J1406,0)</f>
        <v>2500</v>
      </c>
      <c r="N1406" s="25" t="s">
        <v>548</v>
      </c>
      <c r="O1406" s="25"/>
      <c r="P1406" s="25" t="s">
        <v>550</v>
      </c>
      <c r="Q1406" s="25" t="s">
        <v>557</v>
      </c>
      <c r="R1406" s="26" t="n">
        <v>2000</v>
      </c>
      <c r="S1406" s="26" t="n">
        <f aca="false">IF(AND(L1406="Oui",K1406="Principal",R1406&lt;&gt;""),I1406*R1406,0)</f>
        <v>2000</v>
      </c>
      <c r="T1406" s="26" t="n">
        <f aca="false">IF(R1406&lt;&gt;"",M1406-S1406,0)</f>
        <v>500</v>
      </c>
      <c r="U1406" s="26" t="n">
        <f aca="false">IF(R1406="",M1406,0)</f>
        <v>0</v>
      </c>
    </row>
    <row r="1407" customFormat="false" ht="15" hidden="false" customHeight="false" outlineLevel="0" collapsed="false">
      <c r="A1407" s="25" t="s">
        <v>65</v>
      </c>
      <c r="B1407" s="25" t="s">
        <v>70</v>
      </c>
      <c r="C1407" s="25" t="s">
        <v>49</v>
      </c>
      <c r="D1407" s="25" t="n">
        <v>25</v>
      </c>
      <c r="E1407" s="25" t="s">
        <v>573</v>
      </c>
      <c r="F1407" s="25" t="s">
        <v>321</v>
      </c>
      <c r="G1407" s="25" t="n">
        <v>1192</v>
      </c>
      <c r="H1407" s="25" t="s">
        <v>694</v>
      </c>
      <c r="I1407" s="25" t="n">
        <v>1</v>
      </c>
      <c r="J1407" s="26" t="n">
        <v>7000</v>
      </c>
      <c r="K1407" s="25" t="s">
        <v>546</v>
      </c>
      <c r="L1407" s="25" t="s">
        <v>547</v>
      </c>
      <c r="M1407" s="26" t="n">
        <f aca="false">IF(AND(L1407="Oui",K1407="Principal"),I1407*J1407,0)</f>
        <v>7000</v>
      </c>
      <c r="N1407" s="25" t="s">
        <v>548</v>
      </c>
      <c r="O1407" s="25"/>
      <c r="P1407" s="25" t="s">
        <v>550</v>
      </c>
      <c r="Q1407" s="25" t="s">
        <v>557</v>
      </c>
      <c r="R1407" s="26" t="n">
        <v>5500</v>
      </c>
      <c r="S1407" s="26" t="n">
        <f aca="false">IF(AND(L1407="Oui",K1407="Principal",R1407&lt;&gt;""),I1407*R1407,0)</f>
        <v>5500</v>
      </c>
      <c r="T1407" s="26" t="n">
        <f aca="false">IF(R1407&lt;&gt;"",M1407-S1407,0)</f>
        <v>1500</v>
      </c>
      <c r="U1407" s="26" t="n">
        <f aca="false">IF(R1407="",M1407,0)</f>
        <v>0</v>
      </c>
    </row>
    <row r="1408" customFormat="false" ht="15" hidden="false" customHeight="false" outlineLevel="0" collapsed="false">
      <c r="A1408" s="25" t="s">
        <v>65</v>
      </c>
      <c r="B1408" s="25" t="s">
        <v>70</v>
      </c>
      <c r="C1408" s="25" t="s">
        <v>49</v>
      </c>
      <c r="D1408" s="25" t="n">
        <v>26</v>
      </c>
      <c r="E1408" s="25" t="s">
        <v>689</v>
      </c>
      <c r="F1408" s="25" t="s">
        <v>465</v>
      </c>
      <c r="G1408" s="25" t="n">
        <v>1309</v>
      </c>
      <c r="H1408" s="25" t="s">
        <v>775</v>
      </c>
      <c r="I1408" s="25" t="n">
        <v>1</v>
      </c>
      <c r="J1408" s="26" t="n">
        <v>2800</v>
      </c>
      <c r="K1408" s="25" t="s">
        <v>546</v>
      </c>
      <c r="L1408" s="25" t="s">
        <v>547</v>
      </c>
      <c r="M1408" s="26" t="n">
        <f aca="false">IF(AND(L1408="Oui",K1408="Principal"),I1408*J1408,0)</f>
        <v>2800</v>
      </c>
      <c r="N1408" s="25" t="s">
        <v>548</v>
      </c>
      <c r="O1408" s="25"/>
      <c r="P1408" s="25" t="s">
        <v>550</v>
      </c>
      <c r="Q1408" s="25" t="s">
        <v>557</v>
      </c>
      <c r="R1408" s="26" t="n">
        <v>1800</v>
      </c>
      <c r="S1408" s="26" t="n">
        <f aca="false">IF(AND(L1408="Oui",K1408="Principal",R1408&lt;&gt;""),I1408*R1408,0)</f>
        <v>1800</v>
      </c>
      <c r="T1408" s="26" t="n">
        <f aca="false">IF(R1408&lt;&gt;"",M1408-S1408,0)</f>
        <v>1000</v>
      </c>
      <c r="U1408" s="26" t="n">
        <f aca="false">IF(R1408="",M1408,0)</f>
        <v>0</v>
      </c>
    </row>
    <row r="1409" customFormat="false" ht="15" hidden="false" customHeight="false" outlineLevel="0" collapsed="false">
      <c r="A1409" s="25" t="s">
        <v>65</v>
      </c>
      <c r="B1409" s="25" t="s">
        <v>70</v>
      </c>
      <c r="C1409" s="25" t="s">
        <v>49</v>
      </c>
      <c r="D1409" s="25" t="n">
        <v>27</v>
      </c>
      <c r="E1409" s="25" t="s">
        <v>689</v>
      </c>
      <c r="F1409" s="25" t="s">
        <v>467</v>
      </c>
      <c r="G1409" s="25" t="n">
        <v>1324</v>
      </c>
      <c r="H1409" s="25" t="s">
        <v>776</v>
      </c>
      <c r="I1409" s="25" t="n">
        <v>1</v>
      </c>
      <c r="J1409" s="26" t="n">
        <v>2800</v>
      </c>
      <c r="K1409" s="25" t="s">
        <v>546</v>
      </c>
      <c r="L1409" s="25" t="s">
        <v>547</v>
      </c>
      <c r="M1409" s="26" t="n">
        <f aca="false">IF(AND(L1409="Oui",K1409="Principal"),I1409*J1409,0)</f>
        <v>2800</v>
      </c>
      <c r="N1409" s="25" t="s">
        <v>548</v>
      </c>
      <c r="O1409" s="25"/>
      <c r="P1409" s="25" t="s">
        <v>550</v>
      </c>
      <c r="Q1409" s="25" t="s">
        <v>557</v>
      </c>
      <c r="R1409" s="26" t="n">
        <v>1800</v>
      </c>
      <c r="S1409" s="26" t="n">
        <f aca="false">IF(AND(L1409="Oui",K1409="Principal",R1409&lt;&gt;""),I1409*R1409,0)</f>
        <v>1800</v>
      </c>
      <c r="T1409" s="26" t="n">
        <f aca="false">IF(R1409&lt;&gt;"",M1409-S1409,0)</f>
        <v>1000</v>
      </c>
      <c r="U1409" s="26" t="n">
        <f aca="false">IF(R1409="",M1409,0)</f>
        <v>0</v>
      </c>
    </row>
    <row r="1410" customFormat="false" ht="15" hidden="false" customHeight="false" outlineLevel="0" collapsed="false">
      <c r="A1410" s="33" t="s">
        <v>65</v>
      </c>
      <c r="B1410" s="33" t="s">
        <v>70</v>
      </c>
      <c r="C1410" s="33" t="s">
        <v>49</v>
      </c>
      <c r="D1410" s="33" t="n">
        <v>28</v>
      </c>
      <c r="E1410" s="33" t="s">
        <v>588</v>
      </c>
      <c r="F1410" s="33" t="s">
        <v>476</v>
      </c>
      <c r="G1410" s="33" t="n">
        <v>47</v>
      </c>
      <c r="H1410" s="33" t="s">
        <v>780</v>
      </c>
      <c r="I1410" s="33" t="n">
        <v>1</v>
      </c>
      <c r="J1410" s="34" t="n">
        <v>15000</v>
      </c>
      <c r="K1410" s="33" t="s">
        <v>546</v>
      </c>
      <c r="L1410" s="33" t="s">
        <v>547</v>
      </c>
      <c r="M1410" s="34" t="n">
        <f aca="false">IF(AND(L1410="Oui",K1410="Principal"),I1410*J1410,0)</f>
        <v>15000</v>
      </c>
      <c r="N1410" s="33" t="s">
        <v>182</v>
      </c>
      <c r="O1410" s="33" t="s">
        <v>781</v>
      </c>
      <c r="P1410" s="33" t="s">
        <v>559</v>
      </c>
      <c r="Q1410" s="33" t="s">
        <v>557</v>
      </c>
      <c r="R1410" s="34" t="n">
        <v>12000</v>
      </c>
      <c r="S1410" s="34" t="n">
        <f aca="false">IF(AND(L1410="Oui",K1410="Principal",R1410&lt;&gt;""),I1410*R1410,0)</f>
        <v>12000</v>
      </c>
      <c r="T1410" s="34" t="n">
        <f aca="false">IF(R1410&lt;&gt;"",M1410-S1410,0)</f>
        <v>3000</v>
      </c>
      <c r="U1410" s="34" t="n">
        <f aca="false">IF(R1410="",M1410,0)</f>
        <v>0</v>
      </c>
    </row>
    <row r="1411" customFormat="false" ht="15" hidden="false" customHeight="false" outlineLevel="0" collapsed="false">
      <c r="A1411" s="33" t="s">
        <v>65</v>
      </c>
      <c r="B1411" s="33" t="s">
        <v>70</v>
      </c>
      <c r="C1411" s="33" t="s">
        <v>49</v>
      </c>
      <c r="D1411" s="33" t="n">
        <v>29</v>
      </c>
      <c r="E1411" s="33" t="s">
        <v>588</v>
      </c>
      <c r="F1411" s="33" t="s">
        <v>478</v>
      </c>
      <c r="G1411" s="33" t="n">
        <v>51</v>
      </c>
      <c r="H1411" s="33" t="s">
        <v>782</v>
      </c>
      <c r="I1411" s="33" t="n">
        <v>1</v>
      </c>
      <c r="J1411" s="34" t="n">
        <v>8000</v>
      </c>
      <c r="K1411" s="33" t="s">
        <v>546</v>
      </c>
      <c r="L1411" s="33" t="s">
        <v>547</v>
      </c>
      <c r="M1411" s="34" t="n">
        <f aca="false">IF(AND(L1411="Oui",K1411="Principal"),I1411*J1411,0)</f>
        <v>8000</v>
      </c>
      <c r="N1411" s="33" t="s">
        <v>182</v>
      </c>
      <c r="O1411" s="33" t="s">
        <v>783</v>
      </c>
      <c r="P1411" s="33" t="s">
        <v>559</v>
      </c>
      <c r="Q1411" s="33" t="s">
        <v>557</v>
      </c>
      <c r="R1411" s="34" t="n">
        <v>6400</v>
      </c>
      <c r="S1411" s="34" t="n">
        <f aca="false">IF(AND(L1411="Oui",K1411="Principal",R1411&lt;&gt;""),I1411*R1411,0)</f>
        <v>6400</v>
      </c>
      <c r="T1411" s="34" t="n">
        <f aca="false">IF(R1411&lt;&gt;"",M1411-S1411,0)</f>
        <v>1600</v>
      </c>
      <c r="U1411" s="34" t="n">
        <f aca="false">IF(R1411="",M1411,0)</f>
        <v>0</v>
      </c>
    </row>
    <row r="1412" customFormat="false" ht="15" hidden="false" customHeight="false" outlineLevel="0" collapsed="false">
      <c r="A1412" s="33" t="s">
        <v>65</v>
      </c>
      <c r="B1412" s="33" t="s">
        <v>70</v>
      </c>
      <c r="C1412" s="33" t="s">
        <v>49</v>
      </c>
      <c r="D1412" s="33" t="n">
        <v>30</v>
      </c>
      <c r="E1412" s="33" t="s">
        <v>588</v>
      </c>
      <c r="F1412" s="33" t="s">
        <v>480</v>
      </c>
      <c r="G1412" s="33" t="n">
        <v>54</v>
      </c>
      <c r="H1412" s="33" t="s">
        <v>784</v>
      </c>
      <c r="I1412" s="33" t="n">
        <v>1</v>
      </c>
      <c r="J1412" s="34" t="n">
        <v>15000</v>
      </c>
      <c r="K1412" s="33" t="s">
        <v>546</v>
      </c>
      <c r="L1412" s="33" t="s">
        <v>547</v>
      </c>
      <c r="M1412" s="34" t="n">
        <f aca="false">IF(AND(L1412="Oui",K1412="Principal"),I1412*J1412,0)</f>
        <v>15000</v>
      </c>
      <c r="N1412" s="33" t="s">
        <v>182</v>
      </c>
      <c r="O1412" s="33" t="s">
        <v>785</v>
      </c>
      <c r="P1412" s="33" t="s">
        <v>559</v>
      </c>
      <c r="Q1412" s="33" t="s">
        <v>557</v>
      </c>
      <c r="R1412" s="34" t="n">
        <v>12000</v>
      </c>
      <c r="S1412" s="34" t="n">
        <f aca="false">IF(AND(L1412="Oui",K1412="Principal",R1412&lt;&gt;""),I1412*R1412,0)</f>
        <v>12000</v>
      </c>
      <c r="T1412" s="34" t="n">
        <f aca="false">IF(R1412&lt;&gt;"",M1412-S1412,0)</f>
        <v>3000</v>
      </c>
      <c r="U1412" s="34" t="n">
        <f aca="false">IF(R1412="",M1412,0)</f>
        <v>0</v>
      </c>
    </row>
    <row r="1413" customFormat="false" ht="15" hidden="false" customHeight="false" outlineLevel="0" collapsed="false">
      <c r="A1413" s="25" t="s">
        <v>65</v>
      </c>
      <c r="B1413" s="25" t="s">
        <v>70</v>
      </c>
      <c r="C1413" s="25" t="s">
        <v>49</v>
      </c>
      <c r="D1413" s="25" t="n">
        <v>31</v>
      </c>
      <c r="E1413" s="25" t="s">
        <v>588</v>
      </c>
      <c r="F1413" s="25" t="s">
        <v>482</v>
      </c>
      <c r="G1413" s="25" t="n">
        <v>57</v>
      </c>
      <c r="H1413" s="25" t="s">
        <v>786</v>
      </c>
      <c r="I1413" s="25" t="n">
        <v>1</v>
      </c>
      <c r="J1413" s="26" t="n">
        <v>15000</v>
      </c>
      <c r="K1413" s="25" t="s">
        <v>546</v>
      </c>
      <c r="L1413" s="25" t="s">
        <v>547</v>
      </c>
      <c r="M1413" s="26" t="n">
        <f aca="false">IF(AND(L1413="Oui",K1413="Principal"),I1413*J1413,0)</f>
        <v>15000</v>
      </c>
      <c r="N1413" s="25" t="s">
        <v>548</v>
      </c>
      <c r="O1413" s="25"/>
      <c r="P1413" s="25" t="s">
        <v>559</v>
      </c>
      <c r="Q1413" s="25" t="s">
        <v>557</v>
      </c>
      <c r="R1413" s="26" t="n">
        <v>12000</v>
      </c>
      <c r="S1413" s="26" t="n">
        <f aca="false">IF(AND(L1413="Oui",K1413="Principal",R1413&lt;&gt;""),I1413*R1413,0)</f>
        <v>12000</v>
      </c>
      <c r="T1413" s="26" t="n">
        <f aca="false">IF(R1413&lt;&gt;"",M1413-S1413,0)</f>
        <v>3000</v>
      </c>
      <c r="U1413" s="26" t="n">
        <f aca="false">IF(R1413="",M1413,0)</f>
        <v>0</v>
      </c>
    </row>
    <row r="1414" customFormat="false" ht="15" hidden="false" customHeight="false" outlineLevel="0" collapsed="false">
      <c r="A1414" s="25" t="s">
        <v>65</v>
      </c>
      <c r="B1414" s="25" t="s">
        <v>70</v>
      </c>
      <c r="C1414" s="25" t="s">
        <v>49</v>
      </c>
      <c r="D1414" s="25" t="n">
        <v>32</v>
      </c>
      <c r="E1414" s="25" t="s">
        <v>588</v>
      </c>
      <c r="F1414" s="25" t="s">
        <v>484</v>
      </c>
      <c r="G1414" s="25" t="n">
        <v>56</v>
      </c>
      <c r="H1414" s="25" t="s">
        <v>787</v>
      </c>
      <c r="I1414" s="25" t="n">
        <v>1</v>
      </c>
      <c r="J1414" s="26" t="n">
        <v>15000</v>
      </c>
      <c r="K1414" s="25" t="s">
        <v>546</v>
      </c>
      <c r="L1414" s="25" t="s">
        <v>547</v>
      </c>
      <c r="M1414" s="26" t="n">
        <f aca="false">IF(AND(L1414="Oui",K1414="Principal"),I1414*J1414,0)</f>
        <v>15000</v>
      </c>
      <c r="N1414" s="25" t="s">
        <v>548</v>
      </c>
      <c r="O1414" s="25"/>
      <c r="P1414" s="25" t="s">
        <v>559</v>
      </c>
      <c r="Q1414" s="25" t="s">
        <v>557</v>
      </c>
      <c r="R1414" s="26" t="n">
        <v>12000</v>
      </c>
      <c r="S1414" s="26" t="n">
        <f aca="false">IF(AND(L1414="Oui",K1414="Principal",R1414&lt;&gt;""),I1414*R1414,0)</f>
        <v>12000</v>
      </c>
      <c r="T1414" s="26" t="n">
        <f aca="false">IF(R1414&lt;&gt;"",M1414-S1414,0)</f>
        <v>3000</v>
      </c>
      <c r="U1414" s="26" t="n">
        <f aca="false">IF(R1414="",M1414,0)</f>
        <v>0</v>
      </c>
    </row>
    <row r="1415" customFormat="false" ht="15" hidden="false" customHeight="false" outlineLevel="0" collapsed="false">
      <c r="A1415" s="25" t="s">
        <v>65</v>
      </c>
      <c r="B1415" s="25" t="s">
        <v>70</v>
      </c>
      <c r="C1415" s="25" t="s">
        <v>49</v>
      </c>
      <c r="D1415" s="25" t="n">
        <v>33</v>
      </c>
      <c r="E1415" s="25" t="s">
        <v>588</v>
      </c>
      <c r="F1415" s="25" t="s">
        <v>486</v>
      </c>
      <c r="G1415" s="25" t="n">
        <v>75</v>
      </c>
      <c r="H1415" s="25" t="s">
        <v>788</v>
      </c>
      <c r="I1415" s="25" t="n">
        <v>1</v>
      </c>
      <c r="J1415" s="26" t="n">
        <v>15000</v>
      </c>
      <c r="K1415" s="25" t="s">
        <v>546</v>
      </c>
      <c r="L1415" s="25" t="s">
        <v>547</v>
      </c>
      <c r="M1415" s="26" t="n">
        <f aca="false">IF(AND(L1415="Oui",K1415="Principal"),I1415*J1415,0)</f>
        <v>15000</v>
      </c>
      <c r="N1415" s="25" t="s">
        <v>548</v>
      </c>
      <c r="O1415" s="25" t="s">
        <v>789</v>
      </c>
      <c r="P1415" s="25" t="s">
        <v>559</v>
      </c>
      <c r="Q1415" s="25" t="s">
        <v>557</v>
      </c>
      <c r="R1415" s="26" t="n">
        <v>12000</v>
      </c>
      <c r="S1415" s="26" t="n">
        <f aca="false">IF(AND(L1415="Oui",K1415="Principal",R1415&lt;&gt;""),I1415*R1415,0)</f>
        <v>12000</v>
      </c>
      <c r="T1415" s="26" t="n">
        <f aca="false">IF(R1415&lt;&gt;"",M1415-S1415,0)</f>
        <v>3000</v>
      </c>
      <c r="U1415" s="26" t="n">
        <f aca="false">IF(R1415="",M1415,0)</f>
        <v>0</v>
      </c>
    </row>
    <row r="1416" customFormat="false" ht="15" hidden="false" customHeight="false" outlineLevel="0" collapsed="false">
      <c r="A1416" s="25" t="s">
        <v>65</v>
      </c>
      <c r="B1416" s="25" t="s">
        <v>70</v>
      </c>
      <c r="C1416" s="25" t="s">
        <v>50</v>
      </c>
      <c r="D1416" s="25" t="n">
        <v>1</v>
      </c>
      <c r="E1416" s="25" t="s">
        <v>544</v>
      </c>
      <c r="F1416" s="25" t="s">
        <v>295</v>
      </c>
      <c r="G1416" s="25" t="n">
        <v>1618</v>
      </c>
      <c r="H1416" s="25" t="s">
        <v>600</v>
      </c>
      <c r="I1416" s="25" t="n">
        <v>2</v>
      </c>
      <c r="J1416" s="26" t="n">
        <v>450</v>
      </c>
      <c r="K1416" s="25" t="s">
        <v>546</v>
      </c>
      <c r="L1416" s="25" t="s">
        <v>547</v>
      </c>
      <c r="M1416" s="26" t="n">
        <f aca="false">IF(AND(L1416="Oui",K1416="Principal"),I1416*J1416,0)</f>
        <v>900</v>
      </c>
      <c r="N1416" s="25" t="s">
        <v>548</v>
      </c>
      <c r="O1416" s="25"/>
      <c r="P1416" s="25" t="s">
        <v>556</v>
      </c>
      <c r="Q1416" s="25" t="s">
        <v>557</v>
      </c>
      <c r="R1416" s="26" t="n">
        <v>350</v>
      </c>
      <c r="S1416" s="26" t="n">
        <f aca="false">IF(AND(L1416="Oui",K1416="Principal",R1416&lt;&gt;""),I1416*R1416,0)</f>
        <v>700</v>
      </c>
      <c r="T1416" s="26" t="n">
        <f aca="false">IF(R1416&lt;&gt;"",M1416-S1416,0)</f>
        <v>200</v>
      </c>
      <c r="U1416" s="26" t="n">
        <f aca="false">IF(R1416="",M1416,0)</f>
        <v>0</v>
      </c>
    </row>
    <row r="1417" customFormat="false" ht="15" hidden="false" customHeight="false" outlineLevel="0" collapsed="false">
      <c r="A1417" s="25" t="s">
        <v>65</v>
      </c>
      <c r="B1417" s="25" t="s">
        <v>70</v>
      </c>
      <c r="C1417" s="25" t="s">
        <v>50</v>
      </c>
      <c r="D1417" s="25" t="n">
        <v>2</v>
      </c>
      <c r="E1417" s="25" t="s">
        <v>544</v>
      </c>
      <c r="F1417" s="25" t="s">
        <v>296</v>
      </c>
      <c r="G1417" s="25" t="n">
        <v>1</v>
      </c>
      <c r="H1417" s="25" t="s">
        <v>681</v>
      </c>
      <c r="I1417" s="25" t="n">
        <v>4</v>
      </c>
      <c r="J1417" s="26" t="n">
        <v>500</v>
      </c>
      <c r="K1417" s="25" t="s">
        <v>546</v>
      </c>
      <c r="L1417" s="25" t="s">
        <v>547</v>
      </c>
      <c r="M1417" s="26" t="n">
        <f aca="false">IF(AND(L1417="Oui",K1417="Principal"),I1417*J1417,0)</f>
        <v>2000</v>
      </c>
      <c r="N1417" s="25" t="s">
        <v>548</v>
      </c>
      <c r="O1417" s="25"/>
      <c r="P1417" s="25" t="s">
        <v>559</v>
      </c>
      <c r="Q1417" s="25" t="s">
        <v>551</v>
      </c>
      <c r="R1417" s="26"/>
      <c r="S1417" s="26" t="n">
        <f aca="false">IF(AND(L1417="Oui",K1417="Principal",R1417&lt;&gt;""),I1417*R1417,0)</f>
        <v>0</v>
      </c>
      <c r="T1417" s="26" t="n">
        <f aca="false">IF(R1417&lt;&gt;"",M1417-S1417,0)</f>
        <v>0</v>
      </c>
      <c r="U1417" s="26" t="n">
        <f aca="false">IF(R1417="",M1417,0)</f>
        <v>2000</v>
      </c>
    </row>
    <row r="1418" customFormat="false" ht="15" hidden="false" customHeight="false" outlineLevel="0" collapsed="false">
      <c r="A1418" s="25" t="s">
        <v>65</v>
      </c>
      <c r="B1418" s="25" t="s">
        <v>70</v>
      </c>
      <c r="C1418" s="25" t="s">
        <v>50</v>
      </c>
      <c r="D1418" s="25" t="n">
        <v>3</v>
      </c>
      <c r="E1418" s="25" t="s">
        <v>544</v>
      </c>
      <c r="F1418" s="25" t="s">
        <v>298</v>
      </c>
      <c r="G1418" s="25" t="n">
        <v>1616</v>
      </c>
      <c r="H1418" s="25" t="s">
        <v>695</v>
      </c>
      <c r="I1418" s="25" t="n">
        <v>2</v>
      </c>
      <c r="J1418" s="26" t="n">
        <v>900</v>
      </c>
      <c r="K1418" s="25" t="s">
        <v>546</v>
      </c>
      <c r="L1418" s="25" t="s">
        <v>547</v>
      </c>
      <c r="M1418" s="26" t="n">
        <f aca="false">IF(AND(L1418="Oui",K1418="Principal"),I1418*J1418,0)</f>
        <v>1800</v>
      </c>
      <c r="N1418" s="25" t="s">
        <v>548</v>
      </c>
      <c r="O1418" s="25"/>
      <c r="P1418" s="25" t="s">
        <v>556</v>
      </c>
      <c r="Q1418" s="25" t="s">
        <v>557</v>
      </c>
      <c r="R1418" s="26" t="n">
        <v>800</v>
      </c>
      <c r="S1418" s="26" t="n">
        <f aca="false">IF(AND(L1418="Oui",K1418="Principal",R1418&lt;&gt;""),I1418*R1418,0)</f>
        <v>1600</v>
      </c>
      <c r="T1418" s="26" t="n">
        <f aca="false">IF(R1418&lt;&gt;"",M1418-S1418,0)</f>
        <v>200</v>
      </c>
      <c r="U1418" s="26" t="n">
        <f aca="false">IF(R1418="",M1418,0)</f>
        <v>0</v>
      </c>
    </row>
    <row r="1419" customFormat="false" ht="15" hidden="false" customHeight="false" outlineLevel="0" collapsed="false">
      <c r="A1419" s="25" t="s">
        <v>65</v>
      </c>
      <c r="B1419" s="25" t="s">
        <v>70</v>
      </c>
      <c r="C1419" s="25" t="s">
        <v>50</v>
      </c>
      <c r="D1419" s="25" t="n">
        <v>4</v>
      </c>
      <c r="E1419" s="25" t="s">
        <v>544</v>
      </c>
      <c r="F1419" s="25" t="s">
        <v>338</v>
      </c>
      <c r="G1419" s="25" t="n">
        <v>1715</v>
      </c>
      <c r="H1419" s="25" t="s">
        <v>713</v>
      </c>
      <c r="I1419" s="25" t="n">
        <v>5</v>
      </c>
      <c r="J1419" s="26" t="n">
        <v>1600</v>
      </c>
      <c r="K1419" s="25" t="s">
        <v>546</v>
      </c>
      <c r="L1419" s="25" t="s">
        <v>547</v>
      </c>
      <c r="M1419" s="26" t="n">
        <f aca="false">IF(AND(L1419="Oui",K1419="Principal"),I1419*J1419,0)</f>
        <v>8000</v>
      </c>
      <c r="N1419" s="25" t="s">
        <v>548</v>
      </c>
      <c r="O1419" s="25"/>
      <c r="P1419" s="25" t="s">
        <v>550</v>
      </c>
      <c r="Q1419" s="25" t="s">
        <v>557</v>
      </c>
      <c r="R1419" s="26" t="n">
        <v>1300</v>
      </c>
      <c r="S1419" s="26" t="n">
        <f aca="false">IF(AND(L1419="Oui",K1419="Principal",R1419&lt;&gt;""),I1419*R1419,0)</f>
        <v>6500</v>
      </c>
      <c r="T1419" s="26" t="n">
        <f aca="false">IF(R1419&lt;&gt;"",M1419-S1419,0)</f>
        <v>1500</v>
      </c>
      <c r="U1419" s="26" t="n">
        <f aca="false">IF(R1419="",M1419,0)</f>
        <v>0</v>
      </c>
    </row>
    <row r="1420" customFormat="false" ht="15" hidden="false" customHeight="false" outlineLevel="0" collapsed="false">
      <c r="A1420" s="25" t="s">
        <v>65</v>
      </c>
      <c r="B1420" s="25" t="s">
        <v>70</v>
      </c>
      <c r="C1420" s="25" t="s">
        <v>50</v>
      </c>
      <c r="D1420" s="25" t="n">
        <v>5</v>
      </c>
      <c r="E1420" s="25" t="s">
        <v>544</v>
      </c>
      <c r="F1420" s="25" t="s">
        <v>442</v>
      </c>
      <c r="G1420" s="25" t="n">
        <v>1729</v>
      </c>
      <c r="H1420" s="25" t="s">
        <v>552</v>
      </c>
      <c r="I1420" s="25" t="n">
        <v>1</v>
      </c>
      <c r="J1420" s="26" t="n">
        <v>1300</v>
      </c>
      <c r="K1420" s="25" t="s">
        <v>546</v>
      </c>
      <c r="L1420" s="25" t="s">
        <v>547</v>
      </c>
      <c r="M1420" s="26" t="n">
        <f aca="false">IF(AND(L1420="Oui",K1420="Principal"),I1420*J1420,0)</f>
        <v>1300</v>
      </c>
      <c r="N1420" s="25" t="s">
        <v>548</v>
      </c>
      <c r="O1420" s="25"/>
      <c r="P1420" s="25" t="s">
        <v>550</v>
      </c>
      <c r="Q1420" s="25" t="s">
        <v>551</v>
      </c>
      <c r="R1420" s="26"/>
      <c r="S1420" s="26" t="n">
        <f aca="false">IF(AND(L1420="Oui",K1420="Principal",R1420&lt;&gt;""),I1420*R1420,0)</f>
        <v>0</v>
      </c>
      <c r="T1420" s="26" t="n">
        <f aca="false">IF(R1420&lt;&gt;"",M1420-S1420,0)</f>
        <v>0</v>
      </c>
      <c r="U1420" s="26" t="n">
        <f aca="false">IF(R1420="",M1420,0)</f>
        <v>1300</v>
      </c>
    </row>
    <row r="1421" customFormat="false" ht="15" hidden="false" customHeight="false" outlineLevel="0" collapsed="false">
      <c r="A1421" s="25" t="s">
        <v>65</v>
      </c>
      <c r="B1421" s="25" t="s">
        <v>70</v>
      </c>
      <c r="C1421" s="25" t="s">
        <v>50</v>
      </c>
      <c r="D1421" s="25" t="n">
        <v>6</v>
      </c>
      <c r="E1421" s="25" t="s">
        <v>563</v>
      </c>
      <c r="F1421" s="25" t="s">
        <v>255</v>
      </c>
      <c r="G1421" s="25" t="n">
        <v>1636</v>
      </c>
      <c r="H1421" s="25" t="s">
        <v>661</v>
      </c>
      <c r="I1421" s="25" t="n">
        <v>1</v>
      </c>
      <c r="J1421" s="26" t="n">
        <v>400</v>
      </c>
      <c r="K1421" s="25" t="s">
        <v>546</v>
      </c>
      <c r="L1421" s="25" t="s">
        <v>547</v>
      </c>
      <c r="M1421" s="26" t="n">
        <f aca="false">IF(AND(L1421="Oui",K1421="Principal"),I1421*J1421,0)</f>
        <v>400</v>
      </c>
      <c r="N1421" s="25" t="s">
        <v>548</v>
      </c>
      <c r="O1421" s="25"/>
      <c r="P1421" s="25" t="s">
        <v>556</v>
      </c>
      <c r="Q1421" s="25" t="s">
        <v>557</v>
      </c>
      <c r="R1421" s="26" t="n">
        <v>320</v>
      </c>
      <c r="S1421" s="26" t="n">
        <f aca="false">IF(AND(L1421="Oui",K1421="Principal",R1421&lt;&gt;""),I1421*R1421,0)</f>
        <v>320</v>
      </c>
      <c r="T1421" s="26" t="n">
        <f aca="false">IF(R1421&lt;&gt;"",M1421-S1421,0)</f>
        <v>80</v>
      </c>
      <c r="U1421" s="26" t="n">
        <f aca="false">IF(R1421="",M1421,0)</f>
        <v>0</v>
      </c>
    </row>
    <row r="1422" customFormat="false" ht="15" hidden="false" customHeight="false" outlineLevel="0" collapsed="false">
      <c r="A1422" s="25" t="s">
        <v>65</v>
      </c>
      <c r="B1422" s="25" t="s">
        <v>70</v>
      </c>
      <c r="C1422" s="25" t="s">
        <v>50</v>
      </c>
      <c r="D1422" s="25" t="n">
        <v>7</v>
      </c>
      <c r="E1422" s="25" t="s">
        <v>563</v>
      </c>
      <c r="F1422" s="25" t="s">
        <v>257</v>
      </c>
      <c r="G1422" s="25" t="n">
        <v>1635</v>
      </c>
      <c r="H1422" s="25" t="s">
        <v>607</v>
      </c>
      <c r="I1422" s="25" t="n">
        <v>1</v>
      </c>
      <c r="J1422" s="26" t="n">
        <v>100</v>
      </c>
      <c r="K1422" s="25" t="s">
        <v>546</v>
      </c>
      <c r="L1422" s="25" t="s">
        <v>547</v>
      </c>
      <c r="M1422" s="26" t="n">
        <f aca="false">IF(AND(L1422="Oui",K1422="Principal"),I1422*J1422,0)</f>
        <v>100</v>
      </c>
      <c r="N1422" s="25" t="s">
        <v>548</v>
      </c>
      <c r="O1422" s="25"/>
      <c r="P1422" s="25" t="s">
        <v>556</v>
      </c>
      <c r="Q1422" s="25" t="s">
        <v>557</v>
      </c>
      <c r="R1422" s="26" t="n">
        <v>80</v>
      </c>
      <c r="S1422" s="26" t="n">
        <f aca="false">IF(AND(L1422="Oui",K1422="Principal",R1422&lt;&gt;""),I1422*R1422,0)</f>
        <v>80</v>
      </c>
      <c r="T1422" s="26" t="n">
        <f aca="false">IF(R1422&lt;&gt;"",M1422-S1422,0)</f>
        <v>20</v>
      </c>
      <c r="U1422" s="26" t="n">
        <f aca="false">IF(R1422="",M1422,0)</f>
        <v>0</v>
      </c>
    </row>
    <row r="1423" customFormat="false" ht="15" hidden="false" customHeight="false" outlineLevel="0" collapsed="false">
      <c r="A1423" s="25" t="s">
        <v>65</v>
      </c>
      <c r="B1423" s="25" t="s">
        <v>70</v>
      </c>
      <c r="C1423" s="25" t="s">
        <v>50</v>
      </c>
      <c r="D1423" s="25" t="n">
        <v>8</v>
      </c>
      <c r="E1423" s="25" t="s">
        <v>563</v>
      </c>
      <c r="F1423" s="25" t="s">
        <v>188</v>
      </c>
      <c r="G1423" s="25" t="n">
        <v>8</v>
      </c>
      <c r="H1423" s="25" t="s">
        <v>188</v>
      </c>
      <c r="I1423" s="25" t="n">
        <v>1</v>
      </c>
      <c r="J1423" s="26" t="n">
        <v>500</v>
      </c>
      <c r="K1423" s="25" t="s">
        <v>546</v>
      </c>
      <c r="L1423" s="25" t="s">
        <v>547</v>
      </c>
      <c r="M1423" s="26" t="n">
        <f aca="false">IF(AND(L1423="Oui",K1423="Principal"),I1423*J1423,0)</f>
        <v>500</v>
      </c>
      <c r="N1423" s="25" t="s">
        <v>548</v>
      </c>
      <c r="O1423" s="25"/>
      <c r="P1423" s="25" t="s">
        <v>559</v>
      </c>
      <c r="Q1423" s="25" t="s">
        <v>551</v>
      </c>
      <c r="R1423" s="26"/>
      <c r="S1423" s="26" t="n">
        <f aca="false">IF(AND(L1423="Oui",K1423="Principal",R1423&lt;&gt;""),I1423*R1423,0)</f>
        <v>0</v>
      </c>
      <c r="T1423" s="26" t="n">
        <f aca="false">IF(R1423&lt;&gt;"",M1423-S1423,0)</f>
        <v>0</v>
      </c>
      <c r="U1423" s="26" t="n">
        <f aca="false">IF(R1423="",M1423,0)</f>
        <v>500</v>
      </c>
    </row>
    <row r="1424" customFormat="false" ht="15" hidden="false" customHeight="false" outlineLevel="0" collapsed="false">
      <c r="A1424" s="25" t="s">
        <v>65</v>
      </c>
      <c r="B1424" s="25" t="s">
        <v>70</v>
      </c>
      <c r="C1424" s="25" t="s">
        <v>50</v>
      </c>
      <c r="D1424" s="25" t="n">
        <v>9</v>
      </c>
      <c r="E1424" s="25" t="s">
        <v>563</v>
      </c>
      <c r="F1424" s="25" t="s">
        <v>323</v>
      </c>
      <c r="G1424" s="25" t="n">
        <v>1607</v>
      </c>
      <c r="H1424" s="25" t="s">
        <v>696</v>
      </c>
      <c r="I1424" s="25" t="n">
        <v>1</v>
      </c>
      <c r="J1424" s="26" t="n">
        <v>2500</v>
      </c>
      <c r="K1424" s="25" t="s">
        <v>546</v>
      </c>
      <c r="L1424" s="25" t="s">
        <v>547</v>
      </c>
      <c r="M1424" s="26" t="n">
        <f aca="false">IF(AND(L1424="Oui",K1424="Principal"),I1424*J1424,0)</f>
        <v>2500</v>
      </c>
      <c r="N1424" s="25" t="s">
        <v>548</v>
      </c>
      <c r="O1424" s="25"/>
      <c r="P1424" s="25" t="s">
        <v>556</v>
      </c>
      <c r="Q1424" s="25" t="s">
        <v>557</v>
      </c>
      <c r="R1424" s="26" t="n">
        <v>2000</v>
      </c>
      <c r="S1424" s="26" t="n">
        <f aca="false">IF(AND(L1424="Oui",K1424="Principal",R1424&lt;&gt;""),I1424*R1424,0)</f>
        <v>2000</v>
      </c>
      <c r="T1424" s="26" t="n">
        <f aca="false">IF(R1424&lt;&gt;"",M1424-S1424,0)</f>
        <v>500</v>
      </c>
      <c r="U1424" s="26" t="n">
        <f aca="false">IF(R1424="",M1424,0)</f>
        <v>0</v>
      </c>
    </row>
    <row r="1425" customFormat="false" ht="15" hidden="false" customHeight="false" outlineLevel="0" collapsed="false">
      <c r="A1425" s="25" t="s">
        <v>65</v>
      </c>
      <c r="B1425" s="25" t="s">
        <v>70</v>
      </c>
      <c r="C1425" s="25" t="s">
        <v>50</v>
      </c>
      <c r="D1425" s="25" t="n">
        <v>10</v>
      </c>
      <c r="E1425" s="25" t="s">
        <v>563</v>
      </c>
      <c r="F1425" s="25" t="s">
        <v>325</v>
      </c>
      <c r="G1425" s="25" t="n">
        <v>1639</v>
      </c>
      <c r="H1425" s="25" t="s">
        <v>702</v>
      </c>
      <c r="I1425" s="25" t="n">
        <v>1</v>
      </c>
      <c r="J1425" s="26" t="n">
        <v>1000</v>
      </c>
      <c r="K1425" s="25" t="s">
        <v>546</v>
      </c>
      <c r="L1425" s="25" t="s">
        <v>547</v>
      </c>
      <c r="M1425" s="26" t="n">
        <f aca="false">IF(AND(L1425="Oui",K1425="Principal"),I1425*J1425,0)</f>
        <v>1000</v>
      </c>
      <c r="N1425" s="25" t="s">
        <v>548</v>
      </c>
      <c r="O1425" s="25"/>
      <c r="P1425" s="25" t="s">
        <v>556</v>
      </c>
      <c r="Q1425" s="25" t="s">
        <v>557</v>
      </c>
      <c r="R1425" s="26" t="n">
        <v>700</v>
      </c>
      <c r="S1425" s="26" t="n">
        <f aca="false">IF(AND(L1425="Oui",K1425="Principal",R1425&lt;&gt;""),I1425*R1425,0)</f>
        <v>700</v>
      </c>
      <c r="T1425" s="26" t="n">
        <f aca="false">IF(R1425&lt;&gt;"",M1425-S1425,0)</f>
        <v>300</v>
      </c>
      <c r="U1425" s="26" t="n">
        <f aca="false">IF(R1425="",M1425,0)</f>
        <v>0</v>
      </c>
    </row>
    <row r="1426" customFormat="false" ht="15" hidden="false" customHeight="false" outlineLevel="0" collapsed="false">
      <c r="A1426" s="25" t="s">
        <v>65</v>
      </c>
      <c r="B1426" s="25" t="s">
        <v>70</v>
      </c>
      <c r="C1426" s="25" t="s">
        <v>50</v>
      </c>
      <c r="D1426" s="25" t="n">
        <v>11</v>
      </c>
      <c r="E1426" s="25" t="s">
        <v>565</v>
      </c>
      <c r="F1426" s="25" t="s">
        <v>99</v>
      </c>
      <c r="G1426" s="25" t="n">
        <v>1181</v>
      </c>
      <c r="H1426" s="25" t="s">
        <v>581</v>
      </c>
      <c r="I1426" s="25" t="n">
        <v>1</v>
      </c>
      <c r="J1426" s="26" t="n">
        <v>250</v>
      </c>
      <c r="K1426" s="25" t="s">
        <v>546</v>
      </c>
      <c r="L1426" s="25" t="s">
        <v>547</v>
      </c>
      <c r="M1426" s="26" t="n">
        <f aca="false">IF(AND(L1426="Oui",K1426="Principal"),I1426*J1426,0)</f>
        <v>250</v>
      </c>
      <c r="N1426" s="25" t="s">
        <v>548</v>
      </c>
      <c r="O1426" s="25"/>
      <c r="P1426" s="25" t="s">
        <v>550</v>
      </c>
      <c r="Q1426" s="25" t="s">
        <v>557</v>
      </c>
      <c r="R1426" s="26" t="n">
        <v>110</v>
      </c>
      <c r="S1426" s="26" t="n">
        <f aca="false">IF(AND(L1426="Oui",K1426="Principal",R1426&lt;&gt;""),I1426*R1426,0)</f>
        <v>110</v>
      </c>
      <c r="T1426" s="26" t="n">
        <f aca="false">IF(R1426&lt;&gt;"",M1426-S1426,0)</f>
        <v>140</v>
      </c>
      <c r="U1426" s="26" t="n">
        <f aca="false">IF(R1426="",M1426,0)</f>
        <v>0</v>
      </c>
    </row>
    <row r="1427" customFormat="false" ht="15" hidden="false" customHeight="false" outlineLevel="0" collapsed="false">
      <c r="A1427" s="25" t="s">
        <v>65</v>
      </c>
      <c r="B1427" s="25" t="s">
        <v>70</v>
      </c>
      <c r="C1427" s="25" t="s">
        <v>50</v>
      </c>
      <c r="D1427" s="25" t="n">
        <v>12</v>
      </c>
      <c r="E1427" s="25" t="s">
        <v>565</v>
      </c>
      <c r="F1427" s="25" t="s">
        <v>164</v>
      </c>
      <c r="G1427" s="25" t="n">
        <v>1587</v>
      </c>
      <c r="H1427" s="25" t="s">
        <v>567</v>
      </c>
      <c r="I1427" s="25" t="n">
        <v>1</v>
      </c>
      <c r="J1427" s="26" t="n">
        <v>500</v>
      </c>
      <c r="K1427" s="25" t="s">
        <v>546</v>
      </c>
      <c r="L1427" s="25" t="s">
        <v>547</v>
      </c>
      <c r="M1427" s="26" t="n">
        <f aca="false">IF(AND(L1427="Oui",K1427="Principal"),I1427*J1427,0)</f>
        <v>500</v>
      </c>
      <c r="N1427" s="25" t="s">
        <v>548</v>
      </c>
      <c r="O1427" s="25"/>
      <c r="P1427" s="25" t="s">
        <v>556</v>
      </c>
      <c r="Q1427" s="25" t="s">
        <v>557</v>
      </c>
      <c r="R1427" s="26" t="n">
        <v>350</v>
      </c>
      <c r="S1427" s="26" t="n">
        <f aca="false">IF(AND(L1427="Oui",K1427="Principal",R1427&lt;&gt;""),I1427*R1427,0)</f>
        <v>350</v>
      </c>
      <c r="T1427" s="26" t="n">
        <f aca="false">IF(R1427&lt;&gt;"",M1427-S1427,0)</f>
        <v>150</v>
      </c>
      <c r="U1427" s="26" t="n">
        <f aca="false">IF(R1427="",M1427,0)</f>
        <v>0</v>
      </c>
    </row>
    <row r="1428" customFormat="false" ht="15" hidden="false" customHeight="false" outlineLevel="0" collapsed="false">
      <c r="A1428" s="25" t="s">
        <v>65</v>
      </c>
      <c r="B1428" s="25" t="s">
        <v>70</v>
      </c>
      <c r="C1428" s="25" t="s">
        <v>50</v>
      </c>
      <c r="D1428" s="25" t="n">
        <v>13</v>
      </c>
      <c r="E1428" s="25" t="s">
        <v>565</v>
      </c>
      <c r="F1428" s="25" t="s">
        <v>166</v>
      </c>
      <c r="G1428" s="25" t="n">
        <v>1604</v>
      </c>
      <c r="H1428" s="25" t="s">
        <v>582</v>
      </c>
      <c r="I1428" s="25" t="n">
        <v>2</v>
      </c>
      <c r="J1428" s="26" t="n">
        <v>700</v>
      </c>
      <c r="K1428" s="25" t="s">
        <v>546</v>
      </c>
      <c r="L1428" s="25" t="s">
        <v>547</v>
      </c>
      <c r="M1428" s="26" t="n">
        <f aca="false">IF(AND(L1428="Oui",K1428="Principal"),I1428*J1428,0)</f>
        <v>1400</v>
      </c>
      <c r="N1428" s="25" t="s">
        <v>548</v>
      </c>
      <c r="O1428" s="25"/>
      <c r="P1428" s="25" t="s">
        <v>556</v>
      </c>
      <c r="Q1428" s="25" t="s">
        <v>557</v>
      </c>
      <c r="R1428" s="26" t="n">
        <v>400</v>
      </c>
      <c r="S1428" s="26" t="n">
        <f aca="false">IF(AND(L1428="Oui",K1428="Principal",R1428&lt;&gt;""),I1428*R1428,0)</f>
        <v>800</v>
      </c>
      <c r="T1428" s="26" t="n">
        <f aca="false">IF(R1428&lt;&gt;"",M1428-S1428,0)</f>
        <v>600</v>
      </c>
      <c r="U1428" s="26" t="n">
        <f aca="false">IF(R1428="",M1428,0)</f>
        <v>0</v>
      </c>
    </row>
    <row r="1429" customFormat="false" ht="15" hidden="false" customHeight="false" outlineLevel="0" collapsed="false">
      <c r="A1429" s="25" t="s">
        <v>65</v>
      </c>
      <c r="B1429" s="25" t="s">
        <v>70</v>
      </c>
      <c r="C1429" s="25" t="s">
        <v>50</v>
      </c>
      <c r="D1429" s="25" t="n">
        <v>14</v>
      </c>
      <c r="E1429" s="25" t="s">
        <v>565</v>
      </c>
      <c r="F1429" s="25" t="s">
        <v>304</v>
      </c>
      <c r="G1429" s="25" t="n">
        <v>1586</v>
      </c>
      <c r="H1429" s="25" t="s">
        <v>583</v>
      </c>
      <c r="I1429" s="25" t="n">
        <v>1</v>
      </c>
      <c r="J1429" s="26" t="n">
        <v>900</v>
      </c>
      <c r="K1429" s="25" t="s">
        <v>546</v>
      </c>
      <c r="L1429" s="25" t="s">
        <v>547</v>
      </c>
      <c r="M1429" s="26" t="n">
        <f aca="false">IF(AND(L1429="Oui",K1429="Principal"),I1429*J1429,0)</f>
        <v>900</v>
      </c>
      <c r="N1429" s="25" t="s">
        <v>548</v>
      </c>
      <c r="O1429" s="25"/>
      <c r="P1429" s="25" t="s">
        <v>556</v>
      </c>
      <c r="Q1429" s="25" t="s">
        <v>557</v>
      </c>
      <c r="R1429" s="26" t="n">
        <v>650</v>
      </c>
      <c r="S1429" s="26" t="n">
        <f aca="false">IF(AND(L1429="Oui",K1429="Principal",R1429&lt;&gt;""),I1429*R1429,0)</f>
        <v>650</v>
      </c>
      <c r="T1429" s="26" t="n">
        <f aca="false">IF(R1429&lt;&gt;"",M1429-S1429,0)</f>
        <v>250</v>
      </c>
      <c r="U1429" s="26" t="n">
        <f aca="false">IF(R1429="",M1429,0)</f>
        <v>0</v>
      </c>
    </row>
    <row r="1430" customFormat="false" ht="15" hidden="false" customHeight="false" outlineLevel="0" collapsed="false">
      <c r="A1430" s="33" t="s">
        <v>65</v>
      </c>
      <c r="B1430" s="33" t="s">
        <v>70</v>
      </c>
      <c r="C1430" s="33" t="s">
        <v>50</v>
      </c>
      <c r="D1430" s="33" t="n">
        <v>15</v>
      </c>
      <c r="E1430" s="33" t="s">
        <v>609</v>
      </c>
      <c r="F1430" s="33" t="s">
        <v>199</v>
      </c>
      <c r="G1430" s="33" t="n">
        <v>1229</v>
      </c>
      <c r="H1430" s="33" t="s">
        <v>643</v>
      </c>
      <c r="I1430" s="33" t="n">
        <v>1</v>
      </c>
      <c r="J1430" s="34" t="n">
        <v>1800</v>
      </c>
      <c r="K1430" s="33" t="s">
        <v>546</v>
      </c>
      <c r="L1430" s="33" t="s">
        <v>547</v>
      </c>
      <c r="M1430" s="34" t="n">
        <f aca="false">IF(AND(L1430="Oui",K1430="Principal"),I1430*J1430,0)</f>
        <v>1800</v>
      </c>
      <c r="N1430" s="33" t="s">
        <v>182</v>
      </c>
      <c r="O1430" s="33" t="s">
        <v>644</v>
      </c>
      <c r="P1430" s="33" t="s">
        <v>550</v>
      </c>
      <c r="Q1430" s="33" t="s">
        <v>557</v>
      </c>
      <c r="R1430" s="34" t="n">
        <v>1500</v>
      </c>
      <c r="S1430" s="34" t="n">
        <f aca="false">IF(AND(L1430="Oui",K1430="Principal",R1430&lt;&gt;""),I1430*R1430,0)</f>
        <v>1500</v>
      </c>
      <c r="T1430" s="34" t="n">
        <f aca="false">IF(R1430&lt;&gt;"",M1430-S1430,0)</f>
        <v>300</v>
      </c>
      <c r="U1430" s="34" t="n">
        <f aca="false">IF(R1430="",M1430,0)</f>
        <v>0</v>
      </c>
    </row>
    <row r="1431" customFormat="false" ht="15" hidden="false" customHeight="false" outlineLevel="0" collapsed="false">
      <c r="A1431" s="25" t="s">
        <v>65</v>
      </c>
      <c r="B1431" s="25" t="s">
        <v>70</v>
      </c>
      <c r="C1431" s="25" t="s">
        <v>50</v>
      </c>
      <c r="D1431" s="25" t="n">
        <v>16</v>
      </c>
      <c r="E1431" s="25" t="s">
        <v>609</v>
      </c>
      <c r="F1431" s="25" t="s">
        <v>443</v>
      </c>
      <c r="G1431" s="25" t="n">
        <v>1727</v>
      </c>
      <c r="H1431" s="25" t="s">
        <v>698</v>
      </c>
      <c r="I1431" s="25" t="n">
        <v>1</v>
      </c>
      <c r="J1431" s="26" t="n">
        <v>4750</v>
      </c>
      <c r="K1431" s="25" t="s">
        <v>546</v>
      </c>
      <c r="L1431" s="25" t="s">
        <v>547</v>
      </c>
      <c r="M1431" s="26" t="n">
        <f aca="false">IF(AND(L1431="Oui",K1431="Principal"),I1431*J1431,0)</f>
        <v>4750</v>
      </c>
      <c r="N1431" s="25" t="s">
        <v>548</v>
      </c>
      <c r="O1431" s="25"/>
      <c r="P1431" s="25" t="s">
        <v>559</v>
      </c>
      <c r="Q1431" s="25" t="s">
        <v>557</v>
      </c>
      <c r="R1431" s="26" t="n">
        <v>3700</v>
      </c>
      <c r="S1431" s="26" t="n">
        <f aca="false">IF(AND(L1431="Oui",K1431="Principal",R1431&lt;&gt;""),I1431*R1431,0)</f>
        <v>3700</v>
      </c>
      <c r="T1431" s="26" t="n">
        <f aca="false">IF(R1431&lt;&gt;"",M1431-S1431,0)</f>
        <v>1050</v>
      </c>
      <c r="U1431" s="26" t="n">
        <f aca="false">IF(R1431="",M1431,0)</f>
        <v>0</v>
      </c>
    </row>
    <row r="1432" customFormat="false" ht="15" hidden="false" customHeight="false" outlineLevel="0" collapsed="false">
      <c r="A1432" s="25" t="s">
        <v>65</v>
      </c>
      <c r="B1432" s="25" t="s">
        <v>70</v>
      </c>
      <c r="C1432" s="25" t="s">
        <v>50</v>
      </c>
      <c r="D1432" s="25" t="n">
        <v>17</v>
      </c>
      <c r="E1432" s="25" t="s">
        <v>700</v>
      </c>
      <c r="F1432" s="25" t="s">
        <v>329</v>
      </c>
      <c r="G1432" s="25" t="n">
        <v>1716</v>
      </c>
      <c r="H1432" s="25" t="s">
        <v>701</v>
      </c>
      <c r="I1432" s="25" t="n">
        <v>1</v>
      </c>
      <c r="J1432" s="26" t="n">
        <v>1800</v>
      </c>
      <c r="K1432" s="25" t="s">
        <v>546</v>
      </c>
      <c r="L1432" s="25" t="s">
        <v>547</v>
      </c>
      <c r="M1432" s="26" t="n">
        <f aca="false">IF(AND(L1432="Oui",K1432="Principal"),I1432*J1432,0)</f>
        <v>1800</v>
      </c>
      <c r="N1432" s="25" t="s">
        <v>548</v>
      </c>
      <c r="O1432" s="25"/>
      <c r="P1432" s="25" t="s">
        <v>559</v>
      </c>
      <c r="Q1432" s="25" t="s">
        <v>557</v>
      </c>
      <c r="R1432" s="26" t="n">
        <v>1300</v>
      </c>
      <c r="S1432" s="26" t="n">
        <f aca="false">IF(AND(L1432="Oui",K1432="Principal",R1432&lt;&gt;""),I1432*R1432,0)</f>
        <v>1300</v>
      </c>
      <c r="T1432" s="26" t="n">
        <f aca="false">IF(R1432&lt;&gt;"",M1432-S1432,0)</f>
        <v>500</v>
      </c>
      <c r="U1432" s="26" t="n">
        <f aca="false">IF(R1432="",M1432,0)</f>
        <v>0</v>
      </c>
    </row>
    <row r="1433" customFormat="false" ht="15" hidden="false" customHeight="false" outlineLevel="0" collapsed="false">
      <c r="A1433" s="27" t="s">
        <v>65</v>
      </c>
      <c r="B1433" s="27" t="s">
        <v>70</v>
      </c>
      <c r="C1433" s="27" t="s">
        <v>50</v>
      </c>
      <c r="D1433" s="27" t="n">
        <v>18</v>
      </c>
      <c r="E1433" s="27" t="s">
        <v>700</v>
      </c>
      <c r="F1433" s="27" t="s">
        <v>430</v>
      </c>
      <c r="G1433" s="27"/>
      <c r="H1433" s="27" t="s">
        <v>585</v>
      </c>
      <c r="I1433" s="27" t="n">
        <v>1</v>
      </c>
      <c r="J1433" s="28" t="n">
        <v>0</v>
      </c>
      <c r="K1433" s="27" t="s">
        <v>546</v>
      </c>
      <c r="L1433" s="27" t="s">
        <v>579</v>
      </c>
      <c r="M1433" s="28" t="n">
        <f aca="false">IF(AND(L1433="Oui",K1433="Principal"),I1433*J1433,0)</f>
        <v>0</v>
      </c>
      <c r="N1433" s="27" t="s">
        <v>128</v>
      </c>
      <c r="O1433" s="27" t="s">
        <v>586</v>
      </c>
      <c r="P1433" s="27"/>
      <c r="Q1433" s="27"/>
      <c r="R1433" s="28"/>
      <c r="S1433" s="28" t="n">
        <f aca="false">IF(AND(L1433="Oui",K1433="Principal",R1433&lt;&gt;""),I1433*R1433,0)</f>
        <v>0</v>
      </c>
      <c r="T1433" s="28" t="n">
        <f aca="false">IF(R1433&lt;&gt;"",M1433-S1433,0)</f>
        <v>0</v>
      </c>
      <c r="U1433" s="28" t="n">
        <f aca="false">IF(R1433="",M1433,0)</f>
        <v>0</v>
      </c>
    </row>
    <row r="1434" customFormat="false" ht="15" hidden="false" customHeight="false" outlineLevel="0" collapsed="false">
      <c r="A1434" s="27" t="s">
        <v>65</v>
      </c>
      <c r="B1434" s="27" t="s">
        <v>70</v>
      </c>
      <c r="C1434" s="27" t="s">
        <v>50</v>
      </c>
      <c r="D1434" s="27" t="n">
        <v>19</v>
      </c>
      <c r="E1434" s="27" t="s">
        <v>700</v>
      </c>
      <c r="F1434" s="27" t="s">
        <v>382</v>
      </c>
      <c r="G1434" s="27"/>
      <c r="H1434" s="27" t="s">
        <v>585</v>
      </c>
      <c r="I1434" s="27" t="n">
        <v>1</v>
      </c>
      <c r="J1434" s="28" t="n">
        <v>0</v>
      </c>
      <c r="K1434" s="27" t="s">
        <v>546</v>
      </c>
      <c r="L1434" s="27" t="s">
        <v>579</v>
      </c>
      <c r="M1434" s="28" t="n">
        <f aca="false">IF(AND(L1434="Oui",K1434="Principal"),I1434*J1434,0)</f>
        <v>0</v>
      </c>
      <c r="N1434" s="27" t="s">
        <v>128</v>
      </c>
      <c r="O1434" s="27" t="s">
        <v>586</v>
      </c>
      <c r="P1434" s="27"/>
      <c r="Q1434" s="27"/>
      <c r="R1434" s="28"/>
      <c r="S1434" s="28" t="n">
        <f aca="false">IF(AND(L1434="Oui",K1434="Principal",R1434&lt;&gt;""),I1434*R1434,0)</f>
        <v>0</v>
      </c>
      <c r="T1434" s="28" t="n">
        <f aca="false">IF(R1434&lt;&gt;"",M1434-S1434,0)</f>
        <v>0</v>
      </c>
      <c r="U1434" s="28" t="n">
        <f aca="false">IF(R1434="",M1434,0)</f>
        <v>0</v>
      </c>
    </row>
    <row r="1435" customFormat="false" ht="15" hidden="false" customHeight="false" outlineLevel="0" collapsed="false">
      <c r="A1435" s="25" t="s">
        <v>65</v>
      </c>
      <c r="B1435" s="25" t="s">
        <v>70</v>
      </c>
      <c r="C1435" s="25" t="s">
        <v>50</v>
      </c>
      <c r="D1435" s="25" t="n">
        <v>20</v>
      </c>
      <c r="E1435" s="25" t="s">
        <v>571</v>
      </c>
      <c r="F1435" s="25" t="s">
        <v>431</v>
      </c>
      <c r="G1435" s="25" t="n">
        <v>1631</v>
      </c>
      <c r="H1435" s="25" t="s">
        <v>755</v>
      </c>
      <c r="I1435" s="25" t="n">
        <v>1</v>
      </c>
      <c r="J1435" s="26" t="n">
        <v>2700</v>
      </c>
      <c r="K1435" s="25" t="s">
        <v>546</v>
      </c>
      <c r="L1435" s="25" t="s">
        <v>547</v>
      </c>
      <c r="M1435" s="26" t="n">
        <f aca="false">IF(AND(L1435="Oui",K1435="Principal"),I1435*J1435,0)</f>
        <v>2700</v>
      </c>
      <c r="N1435" s="25" t="s">
        <v>548</v>
      </c>
      <c r="O1435" s="25"/>
      <c r="P1435" s="25" t="s">
        <v>556</v>
      </c>
      <c r="Q1435" s="25" t="s">
        <v>557</v>
      </c>
      <c r="R1435" s="26" t="n">
        <v>2000</v>
      </c>
      <c r="S1435" s="26" t="n">
        <f aca="false">IF(AND(L1435="Oui",K1435="Principal",R1435&lt;&gt;""),I1435*R1435,0)</f>
        <v>2000</v>
      </c>
      <c r="T1435" s="26" t="n">
        <f aca="false">IF(R1435&lt;&gt;"",M1435-S1435,0)</f>
        <v>700</v>
      </c>
      <c r="U1435" s="26" t="n">
        <f aca="false">IF(R1435="",M1435,0)</f>
        <v>0</v>
      </c>
    </row>
    <row r="1436" customFormat="false" ht="15" hidden="false" customHeight="false" outlineLevel="0" collapsed="false">
      <c r="A1436" s="25" t="s">
        <v>65</v>
      </c>
      <c r="B1436" s="25" t="s">
        <v>70</v>
      </c>
      <c r="C1436" s="25" t="s">
        <v>50</v>
      </c>
      <c r="D1436" s="25" t="n">
        <v>21</v>
      </c>
      <c r="E1436" s="25" t="s">
        <v>571</v>
      </c>
      <c r="F1436" s="25" t="s">
        <v>433</v>
      </c>
      <c r="G1436" s="25" t="n">
        <v>1683</v>
      </c>
      <c r="H1436" s="25" t="s">
        <v>756</v>
      </c>
      <c r="I1436" s="25" t="n">
        <v>1</v>
      </c>
      <c r="J1436" s="26" t="n">
        <v>1000</v>
      </c>
      <c r="K1436" s="25" t="s">
        <v>546</v>
      </c>
      <c r="L1436" s="25" t="s">
        <v>547</v>
      </c>
      <c r="M1436" s="26" t="n">
        <f aca="false">IF(AND(L1436="Oui",K1436="Principal"),I1436*J1436,0)</f>
        <v>1000</v>
      </c>
      <c r="N1436" s="25" t="s">
        <v>548</v>
      </c>
      <c r="O1436" s="25"/>
      <c r="P1436" s="25" t="s">
        <v>556</v>
      </c>
      <c r="Q1436" s="25" t="s">
        <v>557</v>
      </c>
      <c r="R1436" s="26"/>
      <c r="S1436" s="26" t="n">
        <f aca="false">IF(AND(L1436="Oui",K1436="Principal",R1436&lt;&gt;""),I1436*R1436,0)</f>
        <v>0</v>
      </c>
      <c r="T1436" s="26" t="n">
        <f aca="false">IF(R1436&lt;&gt;"",M1436-S1436,0)</f>
        <v>0</v>
      </c>
      <c r="U1436" s="26" t="n">
        <f aca="false">IF(R1436="",M1436,0)</f>
        <v>1000</v>
      </c>
    </row>
    <row r="1437" customFormat="false" ht="15" hidden="false" customHeight="false" outlineLevel="0" collapsed="false">
      <c r="A1437" s="33" t="s">
        <v>65</v>
      </c>
      <c r="B1437" s="33" t="s">
        <v>70</v>
      </c>
      <c r="C1437" s="33" t="s">
        <v>50</v>
      </c>
      <c r="D1437" s="33" t="n">
        <v>22</v>
      </c>
      <c r="E1437" s="33" t="s">
        <v>571</v>
      </c>
      <c r="F1437" s="33" t="s">
        <v>435</v>
      </c>
      <c r="G1437" s="33" t="n">
        <v>1269</v>
      </c>
      <c r="H1437" s="33" t="s">
        <v>757</v>
      </c>
      <c r="I1437" s="33" t="n">
        <v>1</v>
      </c>
      <c r="J1437" s="34" t="n">
        <v>1150</v>
      </c>
      <c r="K1437" s="33" t="s">
        <v>546</v>
      </c>
      <c r="L1437" s="33" t="s">
        <v>547</v>
      </c>
      <c r="M1437" s="34" t="n">
        <f aca="false">IF(AND(L1437="Oui",K1437="Principal"),I1437*J1437,0)</f>
        <v>1150</v>
      </c>
      <c r="N1437" s="33" t="s">
        <v>182</v>
      </c>
      <c r="O1437" s="33" t="s">
        <v>758</v>
      </c>
      <c r="P1437" s="33" t="s">
        <v>550</v>
      </c>
      <c r="Q1437" s="33" t="s">
        <v>557</v>
      </c>
      <c r="R1437" s="34" t="n">
        <v>850</v>
      </c>
      <c r="S1437" s="34" t="n">
        <f aca="false">IF(AND(L1437="Oui",K1437="Principal",R1437&lt;&gt;""),I1437*R1437,0)</f>
        <v>850</v>
      </c>
      <c r="T1437" s="34" t="n">
        <f aca="false">IF(R1437&lt;&gt;"",M1437-S1437,0)</f>
        <v>300</v>
      </c>
      <c r="U1437" s="34" t="n">
        <f aca="false">IF(R1437="",M1437,0)</f>
        <v>0</v>
      </c>
    </row>
    <row r="1438" customFormat="false" ht="15" hidden="false" customHeight="false" outlineLevel="0" collapsed="false">
      <c r="A1438" s="25" t="s">
        <v>65</v>
      </c>
      <c r="B1438" s="25" t="s">
        <v>70</v>
      </c>
      <c r="C1438" s="25" t="s">
        <v>50</v>
      </c>
      <c r="D1438" s="25" t="n">
        <v>23</v>
      </c>
      <c r="E1438" s="25" t="s">
        <v>573</v>
      </c>
      <c r="F1438" s="25" t="s">
        <v>176</v>
      </c>
      <c r="G1438" s="25" t="n">
        <v>19</v>
      </c>
      <c r="H1438" s="25" t="s">
        <v>615</v>
      </c>
      <c r="I1438" s="25" t="n">
        <v>1</v>
      </c>
      <c r="J1438" s="26" t="n">
        <v>2500</v>
      </c>
      <c r="K1438" s="25" t="s">
        <v>546</v>
      </c>
      <c r="L1438" s="25" t="s">
        <v>547</v>
      </c>
      <c r="M1438" s="26" t="n">
        <f aca="false">IF(AND(L1438="Oui",K1438="Principal"),I1438*J1438,0)</f>
        <v>2500</v>
      </c>
      <c r="N1438" s="25" t="s">
        <v>548</v>
      </c>
      <c r="O1438" s="25"/>
      <c r="P1438" s="25" t="s">
        <v>559</v>
      </c>
      <c r="Q1438" s="25" t="s">
        <v>551</v>
      </c>
      <c r="R1438" s="26"/>
      <c r="S1438" s="26" t="n">
        <f aca="false">IF(AND(L1438="Oui",K1438="Principal",R1438&lt;&gt;""),I1438*R1438,0)</f>
        <v>0</v>
      </c>
      <c r="T1438" s="26" t="n">
        <f aca="false">IF(R1438&lt;&gt;"",M1438-S1438,0)</f>
        <v>0</v>
      </c>
      <c r="U1438" s="26" t="n">
        <f aca="false">IF(R1438="",M1438,0)</f>
        <v>2500</v>
      </c>
    </row>
    <row r="1439" customFormat="false" ht="15" hidden="false" customHeight="false" outlineLevel="0" collapsed="false">
      <c r="A1439" s="25" t="s">
        <v>65</v>
      </c>
      <c r="B1439" s="25" t="s">
        <v>70</v>
      </c>
      <c r="C1439" s="25" t="s">
        <v>50</v>
      </c>
      <c r="D1439" s="25" t="n">
        <v>24</v>
      </c>
      <c r="E1439" s="25" t="s">
        <v>573</v>
      </c>
      <c r="F1439" s="25" t="s">
        <v>117</v>
      </c>
      <c r="G1439" s="25" t="n">
        <v>1288</v>
      </c>
      <c r="H1439" s="25" t="s">
        <v>624</v>
      </c>
      <c r="I1439" s="25" t="n">
        <v>1</v>
      </c>
      <c r="J1439" s="26" t="n">
        <v>2500</v>
      </c>
      <c r="K1439" s="25" t="s">
        <v>546</v>
      </c>
      <c r="L1439" s="25" t="s">
        <v>547</v>
      </c>
      <c r="M1439" s="26" t="n">
        <f aca="false">IF(AND(L1439="Oui",K1439="Principal"),I1439*J1439,0)</f>
        <v>2500</v>
      </c>
      <c r="N1439" s="25" t="s">
        <v>548</v>
      </c>
      <c r="O1439" s="25"/>
      <c r="P1439" s="25" t="s">
        <v>550</v>
      </c>
      <c r="Q1439" s="25" t="s">
        <v>557</v>
      </c>
      <c r="R1439" s="26" t="n">
        <v>2000</v>
      </c>
      <c r="S1439" s="26" t="n">
        <f aca="false">IF(AND(L1439="Oui",K1439="Principal",R1439&lt;&gt;""),I1439*R1439,0)</f>
        <v>2000</v>
      </c>
      <c r="T1439" s="26" t="n">
        <f aca="false">IF(R1439&lt;&gt;"",M1439-S1439,0)</f>
        <v>500</v>
      </c>
      <c r="U1439" s="26" t="n">
        <f aca="false">IF(R1439="",M1439,0)</f>
        <v>0</v>
      </c>
    </row>
    <row r="1440" customFormat="false" ht="15" hidden="false" customHeight="false" outlineLevel="0" collapsed="false">
      <c r="A1440" s="25" t="s">
        <v>65</v>
      </c>
      <c r="B1440" s="25" t="s">
        <v>70</v>
      </c>
      <c r="C1440" s="25" t="s">
        <v>50</v>
      </c>
      <c r="D1440" s="25" t="n">
        <v>25</v>
      </c>
      <c r="E1440" s="25" t="s">
        <v>573</v>
      </c>
      <c r="F1440" s="25" t="s">
        <v>321</v>
      </c>
      <c r="G1440" s="25" t="n">
        <v>1192</v>
      </c>
      <c r="H1440" s="25" t="s">
        <v>694</v>
      </c>
      <c r="I1440" s="25" t="n">
        <v>1</v>
      </c>
      <c r="J1440" s="26" t="n">
        <v>7000</v>
      </c>
      <c r="K1440" s="25" t="s">
        <v>546</v>
      </c>
      <c r="L1440" s="25" t="s">
        <v>547</v>
      </c>
      <c r="M1440" s="26" t="n">
        <f aca="false">IF(AND(L1440="Oui",K1440="Principal"),I1440*J1440,0)</f>
        <v>7000</v>
      </c>
      <c r="N1440" s="25" t="s">
        <v>548</v>
      </c>
      <c r="O1440" s="25"/>
      <c r="P1440" s="25" t="s">
        <v>550</v>
      </c>
      <c r="Q1440" s="25" t="s">
        <v>557</v>
      </c>
      <c r="R1440" s="26" t="n">
        <v>5500</v>
      </c>
      <c r="S1440" s="26" t="n">
        <f aca="false">IF(AND(L1440="Oui",K1440="Principal",R1440&lt;&gt;""),I1440*R1440,0)</f>
        <v>5500</v>
      </c>
      <c r="T1440" s="26" t="n">
        <f aca="false">IF(R1440&lt;&gt;"",M1440-S1440,0)</f>
        <v>1500</v>
      </c>
      <c r="U1440" s="26" t="n">
        <f aca="false">IF(R1440="",M1440,0)</f>
        <v>0</v>
      </c>
    </row>
    <row r="1441" customFormat="false" ht="15" hidden="false" customHeight="false" outlineLevel="0" collapsed="false">
      <c r="A1441" s="25" t="s">
        <v>65</v>
      </c>
      <c r="B1441" s="25" t="s">
        <v>70</v>
      </c>
      <c r="C1441" s="25" t="s">
        <v>50</v>
      </c>
      <c r="D1441" s="25" t="n">
        <v>26</v>
      </c>
      <c r="E1441" s="25" t="s">
        <v>689</v>
      </c>
      <c r="F1441" s="25" t="s">
        <v>465</v>
      </c>
      <c r="G1441" s="25" t="n">
        <v>1309</v>
      </c>
      <c r="H1441" s="25" t="s">
        <v>775</v>
      </c>
      <c r="I1441" s="25" t="n">
        <v>1</v>
      </c>
      <c r="J1441" s="26" t="n">
        <v>2800</v>
      </c>
      <c r="K1441" s="25" t="s">
        <v>546</v>
      </c>
      <c r="L1441" s="25" t="s">
        <v>547</v>
      </c>
      <c r="M1441" s="26" t="n">
        <f aca="false">IF(AND(L1441="Oui",K1441="Principal"),I1441*J1441,0)</f>
        <v>2800</v>
      </c>
      <c r="N1441" s="25" t="s">
        <v>548</v>
      </c>
      <c r="O1441" s="25"/>
      <c r="P1441" s="25" t="s">
        <v>550</v>
      </c>
      <c r="Q1441" s="25" t="s">
        <v>557</v>
      </c>
      <c r="R1441" s="26" t="n">
        <v>1800</v>
      </c>
      <c r="S1441" s="26" t="n">
        <f aca="false">IF(AND(L1441="Oui",K1441="Principal",R1441&lt;&gt;""),I1441*R1441,0)</f>
        <v>1800</v>
      </c>
      <c r="T1441" s="26" t="n">
        <f aca="false">IF(R1441&lt;&gt;"",M1441-S1441,0)</f>
        <v>1000</v>
      </c>
      <c r="U1441" s="26" t="n">
        <f aca="false">IF(R1441="",M1441,0)</f>
        <v>0</v>
      </c>
    </row>
    <row r="1442" customFormat="false" ht="15" hidden="false" customHeight="false" outlineLevel="0" collapsed="false">
      <c r="A1442" s="25" t="s">
        <v>65</v>
      </c>
      <c r="B1442" s="25" t="s">
        <v>70</v>
      </c>
      <c r="C1442" s="25" t="s">
        <v>50</v>
      </c>
      <c r="D1442" s="25" t="n">
        <v>27</v>
      </c>
      <c r="E1442" s="25" t="s">
        <v>689</v>
      </c>
      <c r="F1442" s="25" t="s">
        <v>467</v>
      </c>
      <c r="G1442" s="25" t="n">
        <v>1324</v>
      </c>
      <c r="H1442" s="25" t="s">
        <v>776</v>
      </c>
      <c r="I1442" s="25" t="n">
        <v>1</v>
      </c>
      <c r="J1442" s="26" t="n">
        <v>2800</v>
      </c>
      <c r="K1442" s="25" t="s">
        <v>546</v>
      </c>
      <c r="L1442" s="25" t="s">
        <v>547</v>
      </c>
      <c r="M1442" s="26" t="n">
        <f aca="false">IF(AND(L1442="Oui",K1442="Principal"),I1442*J1442,0)</f>
        <v>2800</v>
      </c>
      <c r="N1442" s="25" t="s">
        <v>548</v>
      </c>
      <c r="O1442" s="25"/>
      <c r="P1442" s="25" t="s">
        <v>550</v>
      </c>
      <c r="Q1442" s="25" t="s">
        <v>557</v>
      </c>
      <c r="R1442" s="26" t="n">
        <v>1800</v>
      </c>
      <c r="S1442" s="26" t="n">
        <f aca="false">IF(AND(L1442="Oui",K1442="Principal",R1442&lt;&gt;""),I1442*R1442,0)</f>
        <v>1800</v>
      </c>
      <c r="T1442" s="26" t="n">
        <f aca="false">IF(R1442&lt;&gt;"",M1442-S1442,0)</f>
        <v>1000</v>
      </c>
      <c r="U1442" s="26" t="n">
        <f aca="false">IF(R1442="",M1442,0)</f>
        <v>0</v>
      </c>
    </row>
    <row r="1443" customFormat="false" ht="15" hidden="false" customHeight="false" outlineLevel="0" collapsed="false">
      <c r="A1443" s="33" t="s">
        <v>65</v>
      </c>
      <c r="B1443" s="33" t="s">
        <v>70</v>
      </c>
      <c r="C1443" s="33" t="s">
        <v>50</v>
      </c>
      <c r="D1443" s="33" t="n">
        <v>28</v>
      </c>
      <c r="E1443" s="33" t="s">
        <v>588</v>
      </c>
      <c r="F1443" s="33" t="s">
        <v>476</v>
      </c>
      <c r="G1443" s="33" t="n">
        <v>47</v>
      </c>
      <c r="H1443" s="33" t="s">
        <v>780</v>
      </c>
      <c r="I1443" s="33" t="n">
        <v>1</v>
      </c>
      <c r="J1443" s="34" t="n">
        <v>15000</v>
      </c>
      <c r="K1443" s="33" t="s">
        <v>546</v>
      </c>
      <c r="L1443" s="33" t="s">
        <v>547</v>
      </c>
      <c r="M1443" s="34" t="n">
        <f aca="false">IF(AND(L1443="Oui",K1443="Principal"),I1443*J1443,0)</f>
        <v>15000</v>
      </c>
      <c r="N1443" s="33" t="s">
        <v>182</v>
      </c>
      <c r="O1443" s="33" t="s">
        <v>781</v>
      </c>
      <c r="P1443" s="33" t="s">
        <v>559</v>
      </c>
      <c r="Q1443" s="33" t="s">
        <v>557</v>
      </c>
      <c r="R1443" s="34" t="n">
        <v>12000</v>
      </c>
      <c r="S1443" s="34" t="n">
        <f aca="false">IF(AND(L1443="Oui",K1443="Principal",R1443&lt;&gt;""),I1443*R1443,0)</f>
        <v>12000</v>
      </c>
      <c r="T1443" s="34" t="n">
        <f aca="false">IF(R1443&lt;&gt;"",M1443-S1443,0)</f>
        <v>3000</v>
      </c>
      <c r="U1443" s="34" t="n">
        <f aca="false">IF(R1443="",M1443,0)</f>
        <v>0</v>
      </c>
    </row>
    <row r="1444" customFormat="false" ht="15" hidden="false" customHeight="false" outlineLevel="0" collapsed="false">
      <c r="A1444" s="33" t="s">
        <v>65</v>
      </c>
      <c r="B1444" s="33" t="s">
        <v>70</v>
      </c>
      <c r="C1444" s="33" t="s">
        <v>50</v>
      </c>
      <c r="D1444" s="33" t="n">
        <v>29</v>
      </c>
      <c r="E1444" s="33" t="s">
        <v>588</v>
      </c>
      <c r="F1444" s="33" t="s">
        <v>478</v>
      </c>
      <c r="G1444" s="33" t="n">
        <v>51</v>
      </c>
      <c r="H1444" s="33" t="s">
        <v>782</v>
      </c>
      <c r="I1444" s="33" t="n">
        <v>1</v>
      </c>
      <c r="J1444" s="34" t="n">
        <v>8000</v>
      </c>
      <c r="K1444" s="33" t="s">
        <v>546</v>
      </c>
      <c r="L1444" s="33" t="s">
        <v>547</v>
      </c>
      <c r="M1444" s="34" t="n">
        <f aca="false">IF(AND(L1444="Oui",K1444="Principal"),I1444*J1444,0)</f>
        <v>8000</v>
      </c>
      <c r="N1444" s="33" t="s">
        <v>182</v>
      </c>
      <c r="O1444" s="33" t="s">
        <v>783</v>
      </c>
      <c r="P1444" s="33" t="s">
        <v>559</v>
      </c>
      <c r="Q1444" s="33" t="s">
        <v>557</v>
      </c>
      <c r="R1444" s="34" t="n">
        <v>6400</v>
      </c>
      <c r="S1444" s="34" t="n">
        <f aca="false">IF(AND(L1444="Oui",K1444="Principal",R1444&lt;&gt;""),I1444*R1444,0)</f>
        <v>6400</v>
      </c>
      <c r="T1444" s="34" t="n">
        <f aca="false">IF(R1444&lt;&gt;"",M1444-S1444,0)</f>
        <v>1600</v>
      </c>
      <c r="U1444" s="34" t="n">
        <f aca="false">IF(R1444="",M1444,0)</f>
        <v>0</v>
      </c>
    </row>
    <row r="1445" customFormat="false" ht="15" hidden="false" customHeight="false" outlineLevel="0" collapsed="false">
      <c r="A1445" s="33" t="s">
        <v>65</v>
      </c>
      <c r="B1445" s="33" t="s">
        <v>70</v>
      </c>
      <c r="C1445" s="33" t="s">
        <v>50</v>
      </c>
      <c r="D1445" s="33" t="n">
        <v>30</v>
      </c>
      <c r="E1445" s="33" t="s">
        <v>588</v>
      </c>
      <c r="F1445" s="33" t="s">
        <v>480</v>
      </c>
      <c r="G1445" s="33" t="n">
        <v>54</v>
      </c>
      <c r="H1445" s="33" t="s">
        <v>784</v>
      </c>
      <c r="I1445" s="33" t="n">
        <v>1</v>
      </c>
      <c r="J1445" s="34" t="n">
        <v>15000</v>
      </c>
      <c r="K1445" s="33" t="s">
        <v>546</v>
      </c>
      <c r="L1445" s="33" t="s">
        <v>547</v>
      </c>
      <c r="M1445" s="34" t="n">
        <f aca="false">IF(AND(L1445="Oui",K1445="Principal"),I1445*J1445,0)</f>
        <v>15000</v>
      </c>
      <c r="N1445" s="33" t="s">
        <v>182</v>
      </c>
      <c r="O1445" s="33" t="s">
        <v>785</v>
      </c>
      <c r="P1445" s="33" t="s">
        <v>559</v>
      </c>
      <c r="Q1445" s="33" t="s">
        <v>557</v>
      </c>
      <c r="R1445" s="34" t="n">
        <v>12000</v>
      </c>
      <c r="S1445" s="34" t="n">
        <f aca="false">IF(AND(L1445="Oui",K1445="Principal",R1445&lt;&gt;""),I1445*R1445,0)</f>
        <v>12000</v>
      </c>
      <c r="T1445" s="34" t="n">
        <f aca="false">IF(R1445&lt;&gt;"",M1445-S1445,0)</f>
        <v>3000</v>
      </c>
      <c r="U1445" s="34" t="n">
        <f aca="false">IF(R1445="",M1445,0)</f>
        <v>0</v>
      </c>
    </row>
    <row r="1446" customFormat="false" ht="15" hidden="false" customHeight="false" outlineLevel="0" collapsed="false">
      <c r="A1446" s="25" t="s">
        <v>65</v>
      </c>
      <c r="B1446" s="25" t="s">
        <v>70</v>
      </c>
      <c r="C1446" s="25" t="s">
        <v>50</v>
      </c>
      <c r="D1446" s="25" t="n">
        <v>31</v>
      </c>
      <c r="E1446" s="25" t="s">
        <v>588</v>
      </c>
      <c r="F1446" s="25" t="s">
        <v>482</v>
      </c>
      <c r="G1446" s="25" t="n">
        <v>57</v>
      </c>
      <c r="H1446" s="25" t="s">
        <v>786</v>
      </c>
      <c r="I1446" s="25" t="n">
        <v>1</v>
      </c>
      <c r="J1446" s="26" t="n">
        <v>15000</v>
      </c>
      <c r="K1446" s="25" t="s">
        <v>546</v>
      </c>
      <c r="L1446" s="25" t="s">
        <v>547</v>
      </c>
      <c r="M1446" s="26" t="n">
        <f aca="false">IF(AND(L1446="Oui",K1446="Principal"),I1446*J1446,0)</f>
        <v>15000</v>
      </c>
      <c r="N1446" s="25" t="s">
        <v>548</v>
      </c>
      <c r="O1446" s="25"/>
      <c r="P1446" s="25" t="s">
        <v>559</v>
      </c>
      <c r="Q1446" s="25" t="s">
        <v>557</v>
      </c>
      <c r="R1446" s="26" t="n">
        <v>12000</v>
      </c>
      <c r="S1446" s="26" t="n">
        <f aca="false">IF(AND(L1446="Oui",K1446="Principal",R1446&lt;&gt;""),I1446*R1446,0)</f>
        <v>12000</v>
      </c>
      <c r="T1446" s="26" t="n">
        <f aca="false">IF(R1446&lt;&gt;"",M1446-S1446,0)</f>
        <v>3000</v>
      </c>
      <c r="U1446" s="26" t="n">
        <f aca="false">IF(R1446="",M1446,0)</f>
        <v>0</v>
      </c>
    </row>
    <row r="1447" customFormat="false" ht="15" hidden="false" customHeight="false" outlineLevel="0" collapsed="false">
      <c r="A1447" s="25" t="s">
        <v>65</v>
      </c>
      <c r="B1447" s="25" t="s">
        <v>70</v>
      </c>
      <c r="C1447" s="25" t="s">
        <v>50</v>
      </c>
      <c r="D1447" s="25" t="n">
        <v>32</v>
      </c>
      <c r="E1447" s="25" t="s">
        <v>588</v>
      </c>
      <c r="F1447" s="25" t="s">
        <v>484</v>
      </c>
      <c r="G1447" s="25" t="n">
        <v>56</v>
      </c>
      <c r="H1447" s="25" t="s">
        <v>787</v>
      </c>
      <c r="I1447" s="25" t="n">
        <v>1</v>
      </c>
      <c r="J1447" s="26" t="n">
        <v>15000</v>
      </c>
      <c r="K1447" s="25" t="s">
        <v>546</v>
      </c>
      <c r="L1447" s="25" t="s">
        <v>547</v>
      </c>
      <c r="M1447" s="26" t="n">
        <f aca="false">IF(AND(L1447="Oui",K1447="Principal"),I1447*J1447,0)</f>
        <v>15000</v>
      </c>
      <c r="N1447" s="25" t="s">
        <v>548</v>
      </c>
      <c r="O1447" s="25"/>
      <c r="P1447" s="25" t="s">
        <v>559</v>
      </c>
      <c r="Q1447" s="25" t="s">
        <v>557</v>
      </c>
      <c r="R1447" s="26" t="n">
        <v>12000</v>
      </c>
      <c r="S1447" s="26" t="n">
        <f aca="false">IF(AND(L1447="Oui",K1447="Principal",R1447&lt;&gt;""),I1447*R1447,0)</f>
        <v>12000</v>
      </c>
      <c r="T1447" s="26" t="n">
        <f aca="false">IF(R1447&lt;&gt;"",M1447-S1447,0)</f>
        <v>3000</v>
      </c>
      <c r="U1447" s="26" t="n">
        <f aca="false">IF(R1447="",M1447,0)</f>
        <v>0</v>
      </c>
    </row>
    <row r="1448" customFormat="false" ht="15" hidden="false" customHeight="false" outlineLevel="0" collapsed="false">
      <c r="A1448" s="25" t="s">
        <v>65</v>
      </c>
      <c r="B1448" s="25" t="s">
        <v>70</v>
      </c>
      <c r="C1448" s="25" t="s">
        <v>50</v>
      </c>
      <c r="D1448" s="25" t="n">
        <v>33</v>
      </c>
      <c r="E1448" s="25" t="s">
        <v>588</v>
      </c>
      <c r="F1448" s="25" t="s">
        <v>486</v>
      </c>
      <c r="G1448" s="25" t="n">
        <v>75</v>
      </c>
      <c r="H1448" s="25" t="s">
        <v>788</v>
      </c>
      <c r="I1448" s="25" t="n">
        <v>1</v>
      </c>
      <c r="J1448" s="26" t="n">
        <v>15000</v>
      </c>
      <c r="K1448" s="25" t="s">
        <v>546</v>
      </c>
      <c r="L1448" s="25" t="s">
        <v>547</v>
      </c>
      <c r="M1448" s="26" t="n">
        <f aca="false">IF(AND(L1448="Oui",K1448="Principal"),I1448*J1448,0)</f>
        <v>15000</v>
      </c>
      <c r="N1448" s="25" t="s">
        <v>548</v>
      </c>
      <c r="O1448" s="25" t="s">
        <v>789</v>
      </c>
      <c r="P1448" s="25" t="s">
        <v>559</v>
      </c>
      <c r="Q1448" s="25" t="s">
        <v>557</v>
      </c>
      <c r="R1448" s="26" t="n">
        <v>12000</v>
      </c>
      <c r="S1448" s="26" t="n">
        <f aca="false">IF(AND(L1448="Oui",K1448="Principal",R1448&lt;&gt;""),I1448*R1448,0)</f>
        <v>12000</v>
      </c>
      <c r="T1448" s="26" t="n">
        <f aca="false">IF(R1448&lt;&gt;"",M1448-S1448,0)</f>
        <v>3000</v>
      </c>
      <c r="U1448" s="26" t="n">
        <f aca="false">IF(R1448="",M1448,0)</f>
        <v>0</v>
      </c>
    </row>
    <row r="1449" customFormat="false" ht="15" hidden="false" customHeight="false" outlineLevel="0" collapsed="false">
      <c r="A1449" s="25" t="s">
        <v>65</v>
      </c>
      <c r="B1449" s="25" t="s">
        <v>71</v>
      </c>
      <c r="C1449" s="25" t="s">
        <v>48</v>
      </c>
      <c r="D1449" s="25" t="n">
        <v>1</v>
      </c>
      <c r="E1449" s="25" t="s">
        <v>544</v>
      </c>
      <c r="F1449" s="25" t="s">
        <v>295</v>
      </c>
      <c r="G1449" s="25" t="n">
        <v>1618</v>
      </c>
      <c r="H1449" s="25" t="s">
        <v>600</v>
      </c>
      <c r="I1449" s="25" t="n">
        <v>2</v>
      </c>
      <c r="J1449" s="26" t="n">
        <v>450</v>
      </c>
      <c r="K1449" s="25" t="s">
        <v>546</v>
      </c>
      <c r="L1449" s="25" t="s">
        <v>547</v>
      </c>
      <c r="M1449" s="26" t="n">
        <f aca="false">IF(AND(L1449="Oui",K1449="Principal"),I1449*J1449,0)</f>
        <v>900</v>
      </c>
      <c r="N1449" s="25" t="s">
        <v>548</v>
      </c>
      <c r="O1449" s="25"/>
      <c r="P1449" s="25" t="s">
        <v>556</v>
      </c>
      <c r="Q1449" s="25" t="s">
        <v>557</v>
      </c>
      <c r="R1449" s="26" t="n">
        <v>350</v>
      </c>
      <c r="S1449" s="26" t="n">
        <f aca="false">IF(AND(L1449="Oui",K1449="Principal",R1449&lt;&gt;""),I1449*R1449,0)</f>
        <v>700</v>
      </c>
      <c r="T1449" s="26" t="n">
        <f aca="false">IF(R1449&lt;&gt;"",M1449-S1449,0)</f>
        <v>200</v>
      </c>
      <c r="U1449" s="26" t="n">
        <f aca="false">IF(R1449="",M1449,0)</f>
        <v>0</v>
      </c>
    </row>
    <row r="1450" customFormat="false" ht="15" hidden="false" customHeight="false" outlineLevel="0" collapsed="false">
      <c r="A1450" s="25" t="s">
        <v>65</v>
      </c>
      <c r="B1450" s="25" t="s">
        <v>71</v>
      </c>
      <c r="C1450" s="25" t="s">
        <v>48</v>
      </c>
      <c r="D1450" s="25" t="n">
        <v>2</v>
      </c>
      <c r="E1450" s="25" t="s">
        <v>544</v>
      </c>
      <c r="F1450" s="25" t="s">
        <v>296</v>
      </c>
      <c r="G1450" s="25" t="n">
        <v>1</v>
      </c>
      <c r="H1450" s="25" t="s">
        <v>681</v>
      </c>
      <c r="I1450" s="25" t="n">
        <v>4</v>
      </c>
      <c r="J1450" s="26" t="n">
        <v>500</v>
      </c>
      <c r="K1450" s="25" t="s">
        <v>546</v>
      </c>
      <c r="L1450" s="25" t="s">
        <v>547</v>
      </c>
      <c r="M1450" s="26" t="n">
        <f aca="false">IF(AND(L1450="Oui",K1450="Principal"),I1450*J1450,0)</f>
        <v>2000</v>
      </c>
      <c r="N1450" s="25" t="s">
        <v>548</v>
      </c>
      <c r="O1450" s="25"/>
      <c r="P1450" s="25" t="s">
        <v>559</v>
      </c>
      <c r="Q1450" s="25" t="s">
        <v>551</v>
      </c>
      <c r="R1450" s="26"/>
      <c r="S1450" s="26" t="n">
        <f aca="false">IF(AND(L1450="Oui",K1450="Principal",R1450&lt;&gt;""),I1450*R1450,0)</f>
        <v>0</v>
      </c>
      <c r="T1450" s="26" t="n">
        <f aca="false">IF(R1450&lt;&gt;"",M1450-S1450,0)</f>
        <v>0</v>
      </c>
      <c r="U1450" s="26" t="n">
        <f aca="false">IF(R1450="",M1450,0)</f>
        <v>2000</v>
      </c>
    </row>
    <row r="1451" customFormat="false" ht="15" hidden="false" customHeight="false" outlineLevel="0" collapsed="false">
      <c r="A1451" s="25" t="s">
        <v>65</v>
      </c>
      <c r="B1451" s="25" t="s">
        <v>71</v>
      </c>
      <c r="C1451" s="25" t="s">
        <v>48</v>
      </c>
      <c r="D1451" s="25" t="n">
        <v>3</v>
      </c>
      <c r="E1451" s="25" t="s">
        <v>544</v>
      </c>
      <c r="F1451" s="25" t="s">
        <v>298</v>
      </c>
      <c r="G1451" s="25" t="n">
        <v>1576</v>
      </c>
      <c r="H1451" s="25" t="s">
        <v>682</v>
      </c>
      <c r="I1451" s="25" t="n">
        <v>2</v>
      </c>
      <c r="J1451" s="26" t="n">
        <v>500</v>
      </c>
      <c r="K1451" s="25" t="s">
        <v>546</v>
      </c>
      <c r="L1451" s="25" t="s">
        <v>547</v>
      </c>
      <c r="M1451" s="26" t="n">
        <f aca="false">IF(AND(L1451="Oui",K1451="Principal"),I1451*J1451,0)</f>
        <v>1000</v>
      </c>
      <c r="N1451" s="25" t="s">
        <v>548</v>
      </c>
      <c r="O1451" s="25"/>
      <c r="P1451" s="25" t="s">
        <v>556</v>
      </c>
      <c r="Q1451" s="25" t="s">
        <v>557</v>
      </c>
      <c r="R1451" s="26" t="n">
        <v>400</v>
      </c>
      <c r="S1451" s="26" t="n">
        <f aca="false">IF(AND(L1451="Oui",K1451="Principal",R1451&lt;&gt;""),I1451*R1451,0)</f>
        <v>800</v>
      </c>
      <c r="T1451" s="26" t="n">
        <f aca="false">IF(R1451&lt;&gt;"",M1451-S1451,0)</f>
        <v>200</v>
      </c>
      <c r="U1451" s="26" t="n">
        <f aca="false">IF(R1451="",M1451,0)</f>
        <v>0</v>
      </c>
    </row>
    <row r="1452" customFormat="false" ht="15" hidden="false" customHeight="false" outlineLevel="0" collapsed="false">
      <c r="A1452" s="25" t="s">
        <v>65</v>
      </c>
      <c r="B1452" s="25" t="s">
        <v>71</v>
      </c>
      <c r="C1452" s="25" t="s">
        <v>48</v>
      </c>
      <c r="D1452" s="25" t="n">
        <v>4</v>
      </c>
      <c r="E1452" s="25" t="s">
        <v>544</v>
      </c>
      <c r="F1452" s="25" t="s">
        <v>338</v>
      </c>
      <c r="G1452" s="25" t="n">
        <v>2</v>
      </c>
      <c r="H1452" s="25" t="s">
        <v>705</v>
      </c>
      <c r="I1452" s="25" t="n">
        <v>5</v>
      </c>
      <c r="J1452" s="26" t="n">
        <v>900</v>
      </c>
      <c r="K1452" s="25" t="s">
        <v>546</v>
      </c>
      <c r="L1452" s="25" t="s">
        <v>547</v>
      </c>
      <c r="M1452" s="26" t="n">
        <f aca="false">IF(AND(L1452="Oui",K1452="Principal"),I1452*J1452,0)</f>
        <v>4500</v>
      </c>
      <c r="N1452" s="25" t="s">
        <v>548</v>
      </c>
      <c r="O1452" s="25"/>
      <c r="P1452" s="25" t="s">
        <v>559</v>
      </c>
      <c r="Q1452" s="25" t="s">
        <v>551</v>
      </c>
      <c r="R1452" s="26"/>
      <c r="S1452" s="26" t="n">
        <f aca="false">IF(AND(L1452="Oui",K1452="Principal",R1452&lt;&gt;""),I1452*R1452,0)</f>
        <v>0</v>
      </c>
      <c r="T1452" s="26" t="n">
        <f aca="false">IF(R1452&lt;&gt;"",M1452-S1452,0)</f>
        <v>0</v>
      </c>
      <c r="U1452" s="26" t="n">
        <f aca="false">IF(R1452="",M1452,0)</f>
        <v>4500</v>
      </c>
    </row>
    <row r="1453" customFormat="false" ht="15" hidden="false" customHeight="false" outlineLevel="0" collapsed="false">
      <c r="A1453" s="25" t="s">
        <v>65</v>
      </c>
      <c r="B1453" s="25" t="s">
        <v>71</v>
      </c>
      <c r="C1453" s="25" t="s">
        <v>48</v>
      </c>
      <c r="D1453" s="25" t="n">
        <v>5</v>
      </c>
      <c r="E1453" s="25" t="s">
        <v>544</v>
      </c>
      <c r="F1453" s="25" t="s">
        <v>442</v>
      </c>
      <c r="G1453" s="25" t="n">
        <v>1729</v>
      </c>
      <c r="H1453" s="25" t="s">
        <v>552</v>
      </c>
      <c r="I1453" s="25" t="n">
        <v>1</v>
      </c>
      <c r="J1453" s="26" t="n">
        <v>1300</v>
      </c>
      <c r="K1453" s="25" t="s">
        <v>546</v>
      </c>
      <c r="L1453" s="25" t="s">
        <v>547</v>
      </c>
      <c r="M1453" s="26" t="n">
        <f aca="false">IF(AND(L1453="Oui",K1453="Principal"),I1453*J1453,0)</f>
        <v>1300</v>
      </c>
      <c r="N1453" s="25" t="s">
        <v>548</v>
      </c>
      <c r="O1453" s="25"/>
      <c r="P1453" s="25" t="s">
        <v>550</v>
      </c>
      <c r="Q1453" s="25" t="s">
        <v>551</v>
      </c>
      <c r="R1453" s="26"/>
      <c r="S1453" s="26" t="n">
        <f aca="false">IF(AND(L1453="Oui",K1453="Principal",R1453&lt;&gt;""),I1453*R1453,0)</f>
        <v>0</v>
      </c>
      <c r="T1453" s="26" t="n">
        <f aca="false">IF(R1453&lt;&gt;"",M1453-S1453,0)</f>
        <v>0</v>
      </c>
      <c r="U1453" s="26" t="n">
        <f aca="false">IF(R1453="",M1453,0)</f>
        <v>1300</v>
      </c>
    </row>
    <row r="1454" customFormat="false" ht="15" hidden="false" customHeight="false" outlineLevel="0" collapsed="false">
      <c r="A1454" s="25" t="s">
        <v>65</v>
      </c>
      <c r="B1454" s="25" t="s">
        <v>71</v>
      </c>
      <c r="C1454" s="25" t="s">
        <v>48</v>
      </c>
      <c r="D1454" s="25" t="n">
        <v>6</v>
      </c>
      <c r="E1454" s="25" t="s">
        <v>563</v>
      </c>
      <c r="F1454" s="25" t="s">
        <v>255</v>
      </c>
      <c r="G1454" s="25" t="n">
        <v>1636</v>
      </c>
      <c r="H1454" s="25" t="s">
        <v>661</v>
      </c>
      <c r="I1454" s="25" t="n">
        <v>1</v>
      </c>
      <c r="J1454" s="26" t="n">
        <v>400</v>
      </c>
      <c r="K1454" s="25" t="s">
        <v>546</v>
      </c>
      <c r="L1454" s="25" t="s">
        <v>547</v>
      </c>
      <c r="M1454" s="26" t="n">
        <f aca="false">IF(AND(L1454="Oui",K1454="Principal"),I1454*J1454,0)</f>
        <v>400</v>
      </c>
      <c r="N1454" s="25" t="s">
        <v>548</v>
      </c>
      <c r="O1454" s="25"/>
      <c r="P1454" s="25" t="s">
        <v>556</v>
      </c>
      <c r="Q1454" s="25" t="s">
        <v>557</v>
      </c>
      <c r="R1454" s="26" t="n">
        <v>320</v>
      </c>
      <c r="S1454" s="26" t="n">
        <f aca="false">IF(AND(L1454="Oui",K1454="Principal",R1454&lt;&gt;""),I1454*R1454,0)</f>
        <v>320</v>
      </c>
      <c r="T1454" s="26" t="n">
        <f aca="false">IF(R1454&lt;&gt;"",M1454-S1454,0)</f>
        <v>80</v>
      </c>
      <c r="U1454" s="26" t="n">
        <f aca="false">IF(R1454="",M1454,0)</f>
        <v>0</v>
      </c>
    </row>
    <row r="1455" customFormat="false" ht="15" hidden="false" customHeight="false" outlineLevel="0" collapsed="false">
      <c r="A1455" s="25" t="s">
        <v>65</v>
      </c>
      <c r="B1455" s="25" t="s">
        <v>71</v>
      </c>
      <c r="C1455" s="25" t="s">
        <v>48</v>
      </c>
      <c r="D1455" s="25" t="n">
        <v>7</v>
      </c>
      <c r="E1455" s="25" t="s">
        <v>563</v>
      </c>
      <c r="F1455" s="25" t="s">
        <v>257</v>
      </c>
      <c r="G1455" s="25" t="n">
        <v>1635</v>
      </c>
      <c r="H1455" s="25" t="s">
        <v>607</v>
      </c>
      <c r="I1455" s="25" t="n">
        <v>1</v>
      </c>
      <c r="J1455" s="26" t="n">
        <v>100</v>
      </c>
      <c r="K1455" s="25" t="s">
        <v>546</v>
      </c>
      <c r="L1455" s="25" t="s">
        <v>547</v>
      </c>
      <c r="M1455" s="26" t="n">
        <f aca="false">IF(AND(L1455="Oui",K1455="Principal"),I1455*J1455,0)</f>
        <v>100</v>
      </c>
      <c r="N1455" s="25" t="s">
        <v>548</v>
      </c>
      <c r="O1455" s="25"/>
      <c r="P1455" s="25" t="s">
        <v>556</v>
      </c>
      <c r="Q1455" s="25" t="s">
        <v>557</v>
      </c>
      <c r="R1455" s="26" t="n">
        <v>80</v>
      </c>
      <c r="S1455" s="26" t="n">
        <f aca="false">IF(AND(L1455="Oui",K1455="Principal",R1455&lt;&gt;""),I1455*R1455,0)</f>
        <v>80</v>
      </c>
      <c r="T1455" s="26" t="n">
        <f aca="false">IF(R1455&lt;&gt;"",M1455-S1455,0)</f>
        <v>20</v>
      </c>
      <c r="U1455" s="26" t="n">
        <f aca="false">IF(R1455="",M1455,0)</f>
        <v>0</v>
      </c>
    </row>
    <row r="1456" customFormat="false" ht="15" hidden="false" customHeight="false" outlineLevel="0" collapsed="false">
      <c r="A1456" s="25" t="s">
        <v>65</v>
      </c>
      <c r="B1456" s="25" t="s">
        <v>71</v>
      </c>
      <c r="C1456" s="25" t="s">
        <v>48</v>
      </c>
      <c r="D1456" s="25" t="n">
        <v>8</v>
      </c>
      <c r="E1456" s="25" t="s">
        <v>563</v>
      </c>
      <c r="F1456" s="25" t="s">
        <v>97</v>
      </c>
      <c r="G1456" s="25" t="n">
        <v>1571</v>
      </c>
      <c r="H1456" s="25" t="s">
        <v>564</v>
      </c>
      <c r="I1456" s="25" t="n">
        <v>2</v>
      </c>
      <c r="J1456" s="26" t="n">
        <v>75</v>
      </c>
      <c r="K1456" s="25" t="s">
        <v>546</v>
      </c>
      <c r="L1456" s="25" t="s">
        <v>547</v>
      </c>
      <c r="M1456" s="26" t="n">
        <f aca="false">IF(AND(L1456="Oui",K1456="Principal"),I1456*J1456,0)</f>
        <v>150</v>
      </c>
      <c r="N1456" s="25" t="s">
        <v>548</v>
      </c>
      <c r="O1456" s="25"/>
      <c r="P1456" s="25" t="s">
        <v>550</v>
      </c>
      <c r="Q1456" s="25" t="s">
        <v>557</v>
      </c>
      <c r="R1456" s="26"/>
      <c r="S1456" s="26" t="n">
        <f aca="false">IF(AND(L1456="Oui",K1456="Principal",R1456&lt;&gt;""),I1456*R1456,0)</f>
        <v>0</v>
      </c>
      <c r="T1456" s="26" t="n">
        <f aca="false">IF(R1456&lt;&gt;"",M1456-S1456,0)</f>
        <v>0</v>
      </c>
      <c r="U1456" s="26" t="n">
        <f aca="false">IF(R1456="",M1456,0)</f>
        <v>150</v>
      </c>
    </row>
    <row r="1457" customFormat="false" ht="15" hidden="false" customHeight="false" outlineLevel="0" collapsed="false">
      <c r="A1457" s="25" t="s">
        <v>65</v>
      </c>
      <c r="B1457" s="25" t="s">
        <v>71</v>
      </c>
      <c r="C1457" s="25" t="s">
        <v>48</v>
      </c>
      <c r="D1457" s="25" t="n">
        <v>9</v>
      </c>
      <c r="E1457" s="25" t="s">
        <v>563</v>
      </c>
      <c r="F1457" s="25" t="s">
        <v>325</v>
      </c>
      <c r="G1457" s="25" t="n">
        <v>1248</v>
      </c>
      <c r="H1457" s="25" t="s">
        <v>697</v>
      </c>
      <c r="I1457" s="25" t="n">
        <v>1</v>
      </c>
      <c r="J1457" s="26" t="n">
        <v>400</v>
      </c>
      <c r="K1457" s="25" t="s">
        <v>546</v>
      </c>
      <c r="L1457" s="25" t="s">
        <v>547</v>
      </c>
      <c r="M1457" s="26" t="n">
        <f aca="false">IF(AND(L1457="Oui",K1457="Principal"),I1457*J1457,0)</f>
        <v>400</v>
      </c>
      <c r="N1457" s="25" t="s">
        <v>548</v>
      </c>
      <c r="O1457" s="25"/>
      <c r="P1457" s="25" t="s">
        <v>550</v>
      </c>
      <c r="Q1457" s="25" t="s">
        <v>557</v>
      </c>
      <c r="R1457" s="26" t="n">
        <v>250</v>
      </c>
      <c r="S1457" s="26" t="n">
        <f aca="false">IF(AND(L1457="Oui",K1457="Principal",R1457&lt;&gt;""),I1457*R1457,0)</f>
        <v>250</v>
      </c>
      <c r="T1457" s="26" t="n">
        <f aca="false">IF(R1457&lt;&gt;"",M1457-S1457,0)</f>
        <v>150</v>
      </c>
      <c r="U1457" s="26" t="n">
        <f aca="false">IF(R1457="",M1457,0)</f>
        <v>0</v>
      </c>
    </row>
    <row r="1458" customFormat="false" ht="15" hidden="false" customHeight="false" outlineLevel="0" collapsed="false">
      <c r="A1458" s="25" t="s">
        <v>65</v>
      </c>
      <c r="B1458" s="25" t="s">
        <v>71</v>
      </c>
      <c r="C1458" s="25" t="s">
        <v>48</v>
      </c>
      <c r="D1458" s="25" t="n">
        <v>10</v>
      </c>
      <c r="E1458" s="25" t="s">
        <v>565</v>
      </c>
      <c r="F1458" s="25" t="s">
        <v>99</v>
      </c>
      <c r="G1458" s="25" t="n">
        <v>9</v>
      </c>
      <c r="H1458" s="25" t="s">
        <v>566</v>
      </c>
      <c r="I1458" s="25" t="n">
        <v>1</v>
      </c>
      <c r="J1458" s="26" t="n">
        <v>150</v>
      </c>
      <c r="K1458" s="25" t="s">
        <v>546</v>
      </c>
      <c r="L1458" s="25" t="s">
        <v>547</v>
      </c>
      <c r="M1458" s="26" t="n">
        <f aca="false">IF(AND(L1458="Oui",K1458="Principal"),I1458*J1458,0)</f>
        <v>150</v>
      </c>
      <c r="N1458" s="25" t="s">
        <v>548</v>
      </c>
      <c r="O1458" s="25"/>
      <c r="P1458" s="25" t="s">
        <v>559</v>
      </c>
      <c r="Q1458" s="25" t="s">
        <v>551</v>
      </c>
      <c r="R1458" s="26"/>
      <c r="S1458" s="26" t="n">
        <f aca="false">IF(AND(L1458="Oui",K1458="Principal",R1458&lt;&gt;""),I1458*R1458,0)</f>
        <v>0</v>
      </c>
      <c r="T1458" s="26" t="n">
        <f aca="false">IF(R1458&lt;&gt;"",M1458-S1458,0)</f>
        <v>0</v>
      </c>
      <c r="U1458" s="26" t="n">
        <f aca="false">IF(R1458="",M1458,0)</f>
        <v>150</v>
      </c>
    </row>
    <row r="1459" customFormat="false" ht="15" hidden="false" customHeight="false" outlineLevel="0" collapsed="false">
      <c r="A1459" s="25" t="s">
        <v>65</v>
      </c>
      <c r="B1459" s="25" t="s">
        <v>71</v>
      </c>
      <c r="C1459" s="25" t="s">
        <v>48</v>
      </c>
      <c r="D1459" s="25" t="n">
        <v>11</v>
      </c>
      <c r="E1459" s="25" t="s">
        <v>565</v>
      </c>
      <c r="F1459" s="25" t="s">
        <v>164</v>
      </c>
      <c r="G1459" s="25" t="n">
        <v>10</v>
      </c>
      <c r="H1459" s="25" t="s">
        <v>608</v>
      </c>
      <c r="I1459" s="25" t="n">
        <v>1</v>
      </c>
      <c r="J1459" s="26" t="n">
        <v>200</v>
      </c>
      <c r="K1459" s="25" t="s">
        <v>546</v>
      </c>
      <c r="L1459" s="25" t="s">
        <v>547</v>
      </c>
      <c r="M1459" s="26" t="n">
        <f aca="false">IF(AND(L1459="Oui",K1459="Principal"),I1459*J1459,0)</f>
        <v>200</v>
      </c>
      <c r="N1459" s="25" t="s">
        <v>548</v>
      </c>
      <c r="O1459" s="25"/>
      <c r="P1459" s="25" t="s">
        <v>559</v>
      </c>
      <c r="Q1459" s="25" t="s">
        <v>551</v>
      </c>
      <c r="R1459" s="26"/>
      <c r="S1459" s="26" t="n">
        <f aca="false">IF(AND(L1459="Oui",K1459="Principal",R1459&lt;&gt;""),I1459*R1459,0)</f>
        <v>0</v>
      </c>
      <c r="T1459" s="26" t="n">
        <f aca="false">IF(R1459&lt;&gt;"",M1459-S1459,0)</f>
        <v>0</v>
      </c>
      <c r="U1459" s="26" t="n">
        <f aca="false">IF(R1459="",M1459,0)</f>
        <v>200</v>
      </c>
    </row>
    <row r="1460" customFormat="false" ht="15" hidden="false" customHeight="false" outlineLevel="0" collapsed="false">
      <c r="A1460" s="25" t="s">
        <v>65</v>
      </c>
      <c r="B1460" s="25" t="s">
        <v>71</v>
      </c>
      <c r="C1460" s="25" t="s">
        <v>48</v>
      </c>
      <c r="D1460" s="25" t="n">
        <v>12</v>
      </c>
      <c r="E1460" s="25" t="s">
        <v>565</v>
      </c>
      <c r="F1460" s="25" t="s">
        <v>166</v>
      </c>
      <c r="G1460" s="25" t="n">
        <v>1173</v>
      </c>
      <c r="H1460" s="25" t="s">
        <v>569</v>
      </c>
      <c r="I1460" s="25" t="n">
        <v>1</v>
      </c>
      <c r="J1460" s="26" t="n">
        <v>570</v>
      </c>
      <c r="K1460" s="25" t="s">
        <v>546</v>
      </c>
      <c r="L1460" s="25" t="s">
        <v>547</v>
      </c>
      <c r="M1460" s="26" t="n">
        <f aca="false">IF(AND(L1460="Oui",K1460="Principal"),I1460*J1460,0)</f>
        <v>570</v>
      </c>
      <c r="N1460" s="25" t="s">
        <v>548</v>
      </c>
      <c r="O1460" s="25"/>
      <c r="P1460" s="25" t="s">
        <v>550</v>
      </c>
      <c r="Q1460" s="25" t="s">
        <v>557</v>
      </c>
      <c r="R1460" s="26" t="n">
        <v>420</v>
      </c>
      <c r="S1460" s="26" t="n">
        <f aca="false">IF(AND(L1460="Oui",K1460="Principal",R1460&lt;&gt;""),I1460*R1460,0)</f>
        <v>420</v>
      </c>
      <c r="T1460" s="26" t="n">
        <f aca="false">IF(R1460&lt;&gt;"",M1460-S1460,0)</f>
        <v>150</v>
      </c>
      <c r="U1460" s="26" t="n">
        <f aca="false">IF(R1460="",M1460,0)</f>
        <v>0</v>
      </c>
    </row>
    <row r="1461" customFormat="false" ht="15" hidden="false" customHeight="false" outlineLevel="0" collapsed="false">
      <c r="A1461" s="25" t="s">
        <v>65</v>
      </c>
      <c r="B1461" s="25" t="s">
        <v>71</v>
      </c>
      <c r="C1461" s="25" t="s">
        <v>48</v>
      </c>
      <c r="D1461" s="25" t="n">
        <v>13</v>
      </c>
      <c r="E1461" s="25" t="s">
        <v>565</v>
      </c>
      <c r="F1461" s="25" t="s">
        <v>304</v>
      </c>
      <c r="G1461" s="25" t="n">
        <v>1250</v>
      </c>
      <c r="H1461" s="25" t="s">
        <v>570</v>
      </c>
      <c r="I1461" s="25" t="n">
        <v>1</v>
      </c>
      <c r="J1461" s="26" t="n">
        <v>250</v>
      </c>
      <c r="K1461" s="25" t="s">
        <v>546</v>
      </c>
      <c r="L1461" s="25" t="s">
        <v>547</v>
      </c>
      <c r="M1461" s="26" t="n">
        <f aca="false">IF(AND(L1461="Oui",K1461="Principal"),I1461*J1461,0)</f>
        <v>250</v>
      </c>
      <c r="N1461" s="25" t="s">
        <v>548</v>
      </c>
      <c r="O1461" s="25"/>
      <c r="P1461" s="25" t="s">
        <v>550</v>
      </c>
      <c r="Q1461" s="25" t="s">
        <v>557</v>
      </c>
      <c r="R1461" s="26" t="n">
        <v>100</v>
      </c>
      <c r="S1461" s="26" t="n">
        <f aca="false">IF(AND(L1461="Oui",K1461="Principal",R1461&lt;&gt;""),I1461*R1461,0)</f>
        <v>100</v>
      </c>
      <c r="T1461" s="26" t="n">
        <f aca="false">IF(R1461&lt;&gt;"",M1461-S1461,0)</f>
        <v>150</v>
      </c>
      <c r="U1461" s="26" t="n">
        <f aca="false">IF(R1461="",M1461,0)</f>
        <v>0</v>
      </c>
    </row>
    <row r="1462" customFormat="false" ht="15" hidden="false" customHeight="false" outlineLevel="0" collapsed="false">
      <c r="A1462" s="33" t="s">
        <v>65</v>
      </c>
      <c r="B1462" s="33" t="s">
        <v>71</v>
      </c>
      <c r="C1462" s="33" t="s">
        <v>48</v>
      </c>
      <c r="D1462" s="33" t="n">
        <v>14</v>
      </c>
      <c r="E1462" s="33" t="s">
        <v>609</v>
      </c>
      <c r="F1462" s="33" t="s">
        <v>199</v>
      </c>
      <c r="G1462" s="33" t="n">
        <v>1229</v>
      </c>
      <c r="H1462" s="33" t="s">
        <v>643</v>
      </c>
      <c r="I1462" s="33" t="n">
        <v>1</v>
      </c>
      <c r="J1462" s="34" t="n">
        <v>1800</v>
      </c>
      <c r="K1462" s="33" t="s">
        <v>546</v>
      </c>
      <c r="L1462" s="33" t="s">
        <v>547</v>
      </c>
      <c r="M1462" s="34" t="n">
        <f aca="false">IF(AND(L1462="Oui",K1462="Principal"),I1462*J1462,0)</f>
        <v>1800</v>
      </c>
      <c r="N1462" s="33" t="s">
        <v>182</v>
      </c>
      <c r="O1462" s="33" t="s">
        <v>644</v>
      </c>
      <c r="P1462" s="33" t="s">
        <v>550</v>
      </c>
      <c r="Q1462" s="33" t="s">
        <v>557</v>
      </c>
      <c r="R1462" s="34" t="n">
        <v>1500</v>
      </c>
      <c r="S1462" s="34" t="n">
        <f aca="false">IF(AND(L1462="Oui",K1462="Principal",R1462&lt;&gt;""),I1462*R1462,0)</f>
        <v>1500</v>
      </c>
      <c r="T1462" s="34" t="n">
        <f aca="false">IF(R1462&lt;&gt;"",M1462-S1462,0)</f>
        <v>300</v>
      </c>
      <c r="U1462" s="34" t="n">
        <f aca="false">IF(R1462="",M1462,0)</f>
        <v>0</v>
      </c>
    </row>
    <row r="1463" customFormat="false" ht="15" hidden="false" customHeight="false" outlineLevel="0" collapsed="false">
      <c r="A1463" s="25" t="s">
        <v>65</v>
      </c>
      <c r="B1463" s="25" t="s">
        <v>71</v>
      </c>
      <c r="C1463" s="25" t="s">
        <v>48</v>
      </c>
      <c r="D1463" s="25" t="n">
        <v>15</v>
      </c>
      <c r="E1463" s="25" t="s">
        <v>609</v>
      </c>
      <c r="F1463" s="25" t="s">
        <v>443</v>
      </c>
      <c r="G1463" s="25" t="n">
        <v>1727</v>
      </c>
      <c r="H1463" s="25" t="s">
        <v>698</v>
      </c>
      <c r="I1463" s="25" t="n">
        <v>1</v>
      </c>
      <c r="J1463" s="26" t="n">
        <v>4750</v>
      </c>
      <c r="K1463" s="25" t="s">
        <v>546</v>
      </c>
      <c r="L1463" s="25" t="s">
        <v>547</v>
      </c>
      <c r="M1463" s="26" t="n">
        <f aca="false">IF(AND(L1463="Oui",K1463="Principal"),I1463*J1463,0)</f>
        <v>4750</v>
      </c>
      <c r="N1463" s="25" t="s">
        <v>548</v>
      </c>
      <c r="O1463" s="25"/>
      <c r="P1463" s="25" t="s">
        <v>559</v>
      </c>
      <c r="Q1463" s="25" t="s">
        <v>557</v>
      </c>
      <c r="R1463" s="26" t="n">
        <v>3700</v>
      </c>
      <c r="S1463" s="26" t="n">
        <f aca="false">IF(AND(L1463="Oui",K1463="Principal",R1463&lt;&gt;""),I1463*R1463,0)</f>
        <v>3700</v>
      </c>
      <c r="T1463" s="26" t="n">
        <f aca="false">IF(R1463&lt;&gt;"",M1463-S1463,0)</f>
        <v>1050</v>
      </c>
      <c r="U1463" s="26" t="n">
        <f aca="false">IF(R1463="",M1463,0)</f>
        <v>0</v>
      </c>
    </row>
    <row r="1464" customFormat="false" ht="15" hidden="false" customHeight="false" outlineLevel="0" collapsed="false">
      <c r="A1464" s="25" t="s">
        <v>65</v>
      </c>
      <c r="B1464" s="25" t="s">
        <v>71</v>
      </c>
      <c r="C1464" s="25" t="s">
        <v>48</v>
      </c>
      <c r="D1464" s="25" t="n">
        <v>16</v>
      </c>
      <c r="E1464" s="25" t="s">
        <v>573</v>
      </c>
      <c r="F1464" s="25" t="s">
        <v>176</v>
      </c>
      <c r="G1464" s="25" t="n">
        <v>19</v>
      </c>
      <c r="H1464" s="25" t="s">
        <v>615</v>
      </c>
      <c r="I1464" s="25" t="n">
        <v>1</v>
      </c>
      <c r="J1464" s="26" t="n">
        <v>2500</v>
      </c>
      <c r="K1464" s="25" t="s">
        <v>546</v>
      </c>
      <c r="L1464" s="25" t="s">
        <v>547</v>
      </c>
      <c r="M1464" s="26" t="n">
        <f aca="false">IF(AND(L1464="Oui",K1464="Principal"),I1464*J1464,0)</f>
        <v>2500</v>
      </c>
      <c r="N1464" s="25" t="s">
        <v>548</v>
      </c>
      <c r="O1464" s="25"/>
      <c r="P1464" s="25" t="s">
        <v>559</v>
      </c>
      <c r="Q1464" s="25" t="s">
        <v>551</v>
      </c>
      <c r="R1464" s="26"/>
      <c r="S1464" s="26" t="n">
        <f aca="false">IF(AND(L1464="Oui",K1464="Principal",R1464&lt;&gt;""),I1464*R1464,0)</f>
        <v>0</v>
      </c>
      <c r="T1464" s="26" t="n">
        <f aca="false">IF(R1464&lt;&gt;"",M1464-S1464,0)</f>
        <v>0</v>
      </c>
      <c r="U1464" s="26" t="n">
        <f aca="false">IF(R1464="",M1464,0)</f>
        <v>2500</v>
      </c>
    </row>
    <row r="1465" customFormat="false" ht="15" hidden="false" customHeight="false" outlineLevel="0" collapsed="false">
      <c r="A1465" s="25" t="s">
        <v>65</v>
      </c>
      <c r="B1465" s="25" t="s">
        <v>71</v>
      </c>
      <c r="C1465" s="25" t="s">
        <v>48</v>
      </c>
      <c r="D1465" s="25" t="n">
        <v>17</v>
      </c>
      <c r="E1465" s="25" t="s">
        <v>689</v>
      </c>
      <c r="F1465" s="25" t="s">
        <v>465</v>
      </c>
      <c r="G1465" s="25" t="n">
        <v>1309</v>
      </c>
      <c r="H1465" s="25" t="s">
        <v>775</v>
      </c>
      <c r="I1465" s="25" t="n">
        <v>1</v>
      </c>
      <c r="J1465" s="26" t="n">
        <v>2800</v>
      </c>
      <c r="K1465" s="25" t="s">
        <v>618</v>
      </c>
      <c r="L1465" s="25" t="s">
        <v>579</v>
      </c>
      <c r="M1465" s="26" t="n">
        <f aca="false">IF(AND(L1465="Oui",K1465="Principal"),I1465*J1465,0)</f>
        <v>0</v>
      </c>
      <c r="N1465" s="25" t="s">
        <v>548</v>
      </c>
      <c r="O1465" s="25"/>
      <c r="P1465" s="25" t="s">
        <v>550</v>
      </c>
      <c r="Q1465" s="25" t="s">
        <v>557</v>
      </c>
      <c r="R1465" s="26" t="n">
        <v>1800</v>
      </c>
      <c r="S1465" s="26" t="n">
        <f aca="false">IF(AND(L1465="Oui",K1465="Principal",R1465&lt;&gt;""),I1465*R1465,0)</f>
        <v>0</v>
      </c>
      <c r="T1465" s="26" t="n">
        <f aca="false">IF(R1465&lt;&gt;"",M1465-S1465,0)</f>
        <v>0</v>
      </c>
      <c r="U1465" s="26" t="n">
        <f aca="false">IF(R1465="",M1465,0)</f>
        <v>0</v>
      </c>
    </row>
    <row r="1466" customFormat="false" ht="15" hidden="false" customHeight="false" outlineLevel="0" collapsed="false">
      <c r="A1466" s="25" t="s">
        <v>65</v>
      </c>
      <c r="B1466" s="25" t="s">
        <v>71</v>
      </c>
      <c r="C1466" s="25" t="s">
        <v>48</v>
      </c>
      <c r="D1466" s="25" t="n">
        <v>18</v>
      </c>
      <c r="E1466" s="25" t="s">
        <v>689</v>
      </c>
      <c r="F1466" s="25" t="s">
        <v>467</v>
      </c>
      <c r="G1466" s="25" t="n">
        <v>1324</v>
      </c>
      <c r="H1466" s="25" t="s">
        <v>776</v>
      </c>
      <c r="I1466" s="25" t="n">
        <v>1</v>
      </c>
      <c r="J1466" s="26" t="n">
        <v>2800</v>
      </c>
      <c r="K1466" s="25" t="s">
        <v>618</v>
      </c>
      <c r="L1466" s="25" t="s">
        <v>579</v>
      </c>
      <c r="M1466" s="26" t="n">
        <f aca="false">IF(AND(L1466="Oui",K1466="Principal"),I1466*J1466,0)</f>
        <v>0</v>
      </c>
      <c r="N1466" s="25" t="s">
        <v>548</v>
      </c>
      <c r="O1466" s="25"/>
      <c r="P1466" s="25" t="s">
        <v>550</v>
      </c>
      <c r="Q1466" s="25" t="s">
        <v>557</v>
      </c>
      <c r="R1466" s="26" t="n">
        <v>1800</v>
      </c>
      <c r="S1466" s="26" t="n">
        <f aca="false">IF(AND(L1466="Oui",K1466="Principal",R1466&lt;&gt;""),I1466*R1466,0)</f>
        <v>0</v>
      </c>
      <c r="T1466" s="26" t="n">
        <f aca="false">IF(R1466&lt;&gt;"",M1466-S1466,0)</f>
        <v>0</v>
      </c>
      <c r="U1466" s="26" t="n">
        <f aca="false">IF(R1466="",M1466,0)</f>
        <v>0</v>
      </c>
    </row>
    <row r="1467" customFormat="false" ht="15" hidden="false" customHeight="false" outlineLevel="0" collapsed="false">
      <c r="A1467" s="25" t="s">
        <v>65</v>
      </c>
      <c r="B1467" s="25" t="s">
        <v>71</v>
      </c>
      <c r="C1467" s="25" t="s">
        <v>48</v>
      </c>
      <c r="D1467" s="25" t="n">
        <v>19</v>
      </c>
      <c r="E1467" s="25" t="s">
        <v>686</v>
      </c>
      <c r="F1467" s="25" t="s">
        <v>489</v>
      </c>
      <c r="G1467" s="25" t="n">
        <v>1551</v>
      </c>
      <c r="H1467" s="25" t="s">
        <v>790</v>
      </c>
      <c r="I1467" s="25" t="n">
        <v>1</v>
      </c>
      <c r="J1467" s="26" t="n">
        <v>4720</v>
      </c>
      <c r="K1467" s="25" t="s">
        <v>618</v>
      </c>
      <c r="L1467" s="25" t="s">
        <v>579</v>
      </c>
      <c r="M1467" s="26" t="n">
        <f aca="false">IF(AND(L1467="Oui",K1467="Principal"),I1467*J1467,0)</f>
        <v>0</v>
      </c>
      <c r="N1467" s="25" t="s">
        <v>548</v>
      </c>
      <c r="O1467" s="25"/>
      <c r="P1467" s="25" t="s">
        <v>550</v>
      </c>
      <c r="Q1467" s="25" t="s">
        <v>557</v>
      </c>
      <c r="R1467" s="26" t="n">
        <v>3720</v>
      </c>
      <c r="S1467" s="26" t="n">
        <f aca="false">IF(AND(L1467="Oui",K1467="Principal",R1467&lt;&gt;""),I1467*R1467,0)</f>
        <v>0</v>
      </c>
      <c r="T1467" s="26" t="n">
        <f aca="false">IF(R1467&lt;&gt;"",M1467-S1467,0)</f>
        <v>0</v>
      </c>
      <c r="U1467" s="26" t="n">
        <f aca="false">IF(R1467="",M1467,0)</f>
        <v>0</v>
      </c>
    </row>
    <row r="1468" customFormat="false" ht="15" hidden="false" customHeight="false" outlineLevel="0" collapsed="false">
      <c r="A1468" s="33" t="s">
        <v>65</v>
      </c>
      <c r="B1468" s="33" t="s">
        <v>71</v>
      </c>
      <c r="C1468" s="33" t="s">
        <v>48</v>
      </c>
      <c r="D1468" s="33" t="n">
        <v>20</v>
      </c>
      <c r="E1468" s="33" t="s">
        <v>588</v>
      </c>
      <c r="F1468" s="33" t="s">
        <v>478</v>
      </c>
      <c r="G1468" s="33" t="n">
        <v>51</v>
      </c>
      <c r="H1468" s="33" t="s">
        <v>782</v>
      </c>
      <c r="I1468" s="33" t="n">
        <v>1</v>
      </c>
      <c r="J1468" s="34" t="n">
        <v>8000</v>
      </c>
      <c r="K1468" s="33" t="s">
        <v>618</v>
      </c>
      <c r="L1468" s="33" t="s">
        <v>579</v>
      </c>
      <c r="M1468" s="34" t="n">
        <f aca="false">IF(AND(L1468="Oui",K1468="Principal"),I1468*J1468,0)</f>
        <v>0</v>
      </c>
      <c r="N1468" s="33" t="s">
        <v>182</v>
      </c>
      <c r="O1468" s="33" t="s">
        <v>783</v>
      </c>
      <c r="P1468" s="33" t="s">
        <v>559</v>
      </c>
      <c r="Q1468" s="33" t="s">
        <v>557</v>
      </c>
      <c r="R1468" s="34" t="n">
        <v>6400</v>
      </c>
      <c r="S1468" s="34" t="n">
        <f aca="false">IF(AND(L1468="Oui",K1468="Principal",R1468&lt;&gt;""),I1468*R1468,0)</f>
        <v>0</v>
      </c>
      <c r="T1468" s="34" t="n">
        <f aca="false">IF(R1468&lt;&gt;"",M1468-S1468,0)</f>
        <v>0</v>
      </c>
      <c r="U1468" s="34" t="n">
        <f aca="false">IF(R1468="",M1468,0)</f>
        <v>0</v>
      </c>
    </row>
    <row r="1469" customFormat="false" ht="15" hidden="false" customHeight="false" outlineLevel="0" collapsed="false">
      <c r="A1469" s="25" t="s">
        <v>65</v>
      </c>
      <c r="B1469" s="25" t="s">
        <v>71</v>
      </c>
      <c r="C1469" s="25" t="s">
        <v>48</v>
      </c>
      <c r="D1469" s="25" t="n">
        <v>21</v>
      </c>
      <c r="E1469" s="25" t="s">
        <v>686</v>
      </c>
      <c r="F1469" s="25" t="s">
        <v>491</v>
      </c>
      <c r="G1469" s="25" t="n">
        <v>1562</v>
      </c>
      <c r="H1469" s="25" t="s">
        <v>791</v>
      </c>
      <c r="I1469" s="25" t="n">
        <v>1</v>
      </c>
      <c r="J1469" s="26" t="n">
        <v>4720</v>
      </c>
      <c r="K1469" s="25" t="s">
        <v>618</v>
      </c>
      <c r="L1469" s="25" t="s">
        <v>579</v>
      </c>
      <c r="M1469" s="26" t="n">
        <f aca="false">IF(AND(L1469="Oui",K1469="Principal"),I1469*J1469,0)</f>
        <v>0</v>
      </c>
      <c r="N1469" s="25" t="s">
        <v>548</v>
      </c>
      <c r="O1469" s="25"/>
      <c r="P1469" s="25" t="s">
        <v>550</v>
      </c>
      <c r="Q1469" s="25" t="s">
        <v>557</v>
      </c>
      <c r="R1469" s="26" t="n">
        <v>3720</v>
      </c>
      <c r="S1469" s="26" t="n">
        <f aca="false">IF(AND(L1469="Oui",K1469="Principal",R1469&lt;&gt;""),I1469*R1469,0)</f>
        <v>0</v>
      </c>
      <c r="T1469" s="26" t="n">
        <f aca="false">IF(R1469&lt;&gt;"",M1469-S1469,0)</f>
        <v>0</v>
      </c>
      <c r="U1469" s="26" t="n">
        <f aca="false">IF(R1469="",M1469,0)</f>
        <v>0</v>
      </c>
    </row>
    <row r="1470" customFormat="false" ht="15" hidden="false" customHeight="false" outlineLevel="0" collapsed="false">
      <c r="A1470" s="25" t="s">
        <v>65</v>
      </c>
      <c r="B1470" s="25" t="s">
        <v>71</v>
      </c>
      <c r="C1470" s="25" t="s">
        <v>48</v>
      </c>
      <c r="D1470" s="25" t="n">
        <v>22</v>
      </c>
      <c r="E1470" s="25" t="s">
        <v>577</v>
      </c>
      <c r="F1470" s="25" t="s">
        <v>321</v>
      </c>
      <c r="G1470" s="25" t="n">
        <v>1192</v>
      </c>
      <c r="H1470" s="25" t="s">
        <v>694</v>
      </c>
      <c r="I1470" s="25" t="n">
        <v>1</v>
      </c>
      <c r="J1470" s="26" t="n">
        <v>7000</v>
      </c>
      <c r="K1470" s="25" t="s">
        <v>577</v>
      </c>
      <c r="L1470" s="25" t="s">
        <v>579</v>
      </c>
      <c r="M1470" s="26" t="n">
        <f aca="false">IF(AND(L1470="Oui",K1470="Principal"),I1470*J1470,0)</f>
        <v>0</v>
      </c>
      <c r="N1470" s="25" t="s">
        <v>548</v>
      </c>
      <c r="O1470" s="25"/>
      <c r="P1470" s="25" t="s">
        <v>550</v>
      </c>
      <c r="Q1470" s="25" t="s">
        <v>557</v>
      </c>
      <c r="R1470" s="26" t="n">
        <v>5500</v>
      </c>
      <c r="S1470" s="26" t="n">
        <f aca="false">IF(AND(L1470="Oui",K1470="Principal",R1470&lt;&gt;""),I1470*R1470,0)</f>
        <v>0</v>
      </c>
      <c r="T1470" s="26" t="n">
        <f aca="false">IF(R1470&lt;&gt;"",M1470-S1470,0)</f>
        <v>0</v>
      </c>
      <c r="U1470" s="26" t="n">
        <f aca="false">IF(R1470="",M1470,0)</f>
        <v>0</v>
      </c>
    </row>
    <row r="1471" customFormat="false" ht="15" hidden="false" customHeight="false" outlineLevel="0" collapsed="false">
      <c r="A1471" s="25" t="s">
        <v>65</v>
      </c>
      <c r="B1471" s="25" t="s">
        <v>71</v>
      </c>
      <c r="C1471" s="25" t="s">
        <v>49</v>
      </c>
      <c r="D1471" s="25" t="n">
        <v>1</v>
      </c>
      <c r="E1471" s="25" t="s">
        <v>544</v>
      </c>
      <c r="F1471" s="25" t="s">
        <v>295</v>
      </c>
      <c r="G1471" s="25" t="n">
        <v>1618</v>
      </c>
      <c r="H1471" s="25" t="s">
        <v>600</v>
      </c>
      <c r="I1471" s="25" t="n">
        <v>2</v>
      </c>
      <c r="J1471" s="26" t="n">
        <v>450</v>
      </c>
      <c r="K1471" s="25" t="s">
        <v>546</v>
      </c>
      <c r="L1471" s="25" t="s">
        <v>547</v>
      </c>
      <c r="M1471" s="26" t="n">
        <f aca="false">IF(AND(L1471="Oui",K1471="Principal"),I1471*J1471,0)</f>
        <v>900</v>
      </c>
      <c r="N1471" s="25" t="s">
        <v>548</v>
      </c>
      <c r="O1471" s="25"/>
      <c r="P1471" s="25" t="s">
        <v>556</v>
      </c>
      <c r="Q1471" s="25" t="s">
        <v>557</v>
      </c>
      <c r="R1471" s="26" t="n">
        <v>350</v>
      </c>
      <c r="S1471" s="26" t="n">
        <f aca="false">IF(AND(L1471="Oui",K1471="Principal",R1471&lt;&gt;""),I1471*R1471,0)</f>
        <v>700</v>
      </c>
      <c r="T1471" s="26" t="n">
        <f aca="false">IF(R1471&lt;&gt;"",M1471-S1471,0)</f>
        <v>200</v>
      </c>
      <c r="U1471" s="26" t="n">
        <f aca="false">IF(R1471="",M1471,0)</f>
        <v>0</v>
      </c>
    </row>
    <row r="1472" customFormat="false" ht="15" hidden="false" customHeight="false" outlineLevel="0" collapsed="false">
      <c r="A1472" s="25" t="s">
        <v>65</v>
      </c>
      <c r="B1472" s="25" t="s">
        <v>71</v>
      </c>
      <c r="C1472" s="25" t="s">
        <v>49</v>
      </c>
      <c r="D1472" s="25" t="n">
        <v>2</v>
      </c>
      <c r="E1472" s="25" t="s">
        <v>544</v>
      </c>
      <c r="F1472" s="25" t="s">
        <v>296</v>
      </c>
      <c r="G1472" s="25" t="n">
        <v>1</v>
      </c>
      <c r="H1472" s="25" t="s">
        <v>681</v>
      </c>
      <c r="I1472" s="25" t="n">
        <v>4</v>
      </c>
      <c r="J1472" s="26" t="n">
        <v>500</v>
      </c>
      <c r="K1472" s="25" t="s">
        <v>546</v>
      </c>
      <c r="L1472" s="25" t="s">
        <v>547</v>
      </c>
      <c r="M1472" s="26" t="n">
        <f aca="false">IF(AND(L1472="Oui",K1472="Principal"),I1472*J1472,0)</f>
        <v>2000</v>
      </c>
      <c r="N1472" s="25" t="s">
        <v>548</v>
      </c>
      <c r="O1472" s="25"/>
      <c r="P1472" s="25" t="s">
        <v>559</v>
      </c>
      <c r="Q1472" s="25" t="s">
        <v>551</v>
      </c>
      <c r="R1472" s="26"/>
      <c r="S1472" s="26" t="n">
        <f aca="false">IF(AND(L1472="Oui",K1472="Principal",R1472&lt;&gt;""),I1472*R1472,0)</f>
        <v>0</v>
      </c>
      <c r="T1472" s="26" t="n">
        <f aca="false">IF(R1472&lt;&gt;"",M1472-S1472,0)</f>
        <v>0</v>
      </c>
      <c r="U1472" s="26" t="n">
        <f aca="false">IF(R1472="",M1472,0)</f>
        <v>2000</v>
      </c>
    </row>
    <row r="1473" customFormat="false" ht="15" hidden="false" customHeight="false" outlineLevel="0" collapsed="false">
      <c r="A1473" s="25" t="s">
        <v>65</v>
      </c>
      <c r="B1473" s="25" t="s">
        <v>71</v>
      </c>
      <c r="C1473" s="25" t="s">
        <v>49</v>
      </c>
      <c r="D1473" s="25" t="n">
        <v>3</v>
      </c>
      <c r="E1473" s="25" t="s">
        <v>544</v>
      </c>
      <c r="F1473" s="25" t="s">
        <v>298</v>
      </c>
      <c r="G1473" s="25" t="n">
        <v>1616</v>
      </c>
      <c r="H1473" s="25" t="s">
        <v>695</v>
      </c>
      <c r="I1473" s="25" t="n">
        <v>2</v>
      </c>
      <c r="J1473" s="26" t="n">
        <v>900</v>
      </c>
      <c r="K1473" s="25" t="s">
        <v>546</v>
      </c>
      <c r="L1473" s="25" t="s">
        <v>547</v>
      </c>
      <c r="M1473" s="26" t="n">
        <f aca="false">IF(AND(L1473="Oui",K1473="Principal"),I1473*J1473,0)</f>
        <v>1800</v>
      </c>
      <c r="N1473" s="25" t="s">
        <v>548</v>
      </c>
      <c r="O1473" s="25"/>
      <c r="P1473" s="25" t="s">
        <v>556</v>
      </c>
      <c r="Q1473" s="25" t="s">
        <v>557</v>
      </c>
      <c r="R1473" s="26" t="n">
        <v>800</v>
      </c>
      <c r="S1473" s="26" t="n">
        <f aca="false">IF(AND(L1473="Oui",K1473="Principal",R1473&lt;&gt;""),I1473*R1473,0)</f>
        <v>1600</v>
      </c>
      <c r="T1473" s="26" t="n">
        <f aca="false">IF(R1473&lt;&gt;"",M1473-S1473,0)</f>
        <v>200</v>
      </c>
      <c r="U1473" s="26" t="n">
        <f aca="false">IF(R1473="",M1473,0)</f>
        <v>0</v>
      </c>
    </row>
    <row r="1474" customFormat="false" ht="15" hidden="false" customHeight="false" outlineLevel="0" collapsed="false">
      <c r="A1474" s="25" t="s">
        <v>65</v>
      </c>
      <c r="B1474" s="25" t="s">
        <v>71</v>
      </c>
      <c r="C1474" s="25" t="s">
        <v>49</v>
      </c>
      <c r="D1474" s="25" t="n">
        <v>4</v>
      </c>
      <c r="E1474" s="25" t="s">
        <v>544</v>
      </c>
      <c r="F1474" s="25" t="s">
        <v>338</v>
      </c>
      <c r="G1474" s="25" t="n">
        <v>1715</v>
      </c>
      <c r="H1474" s="25" t="s">
        <v>713</v>
      </c>
      <c r="I1474" s="25" t="n">
        <v>5</v>
      </c>
      <c r="J1474" s="26" t="n">
        <v>1600</v>
      </c>
      <c r="K1474" s="25" t="s">
        <v>546</v>
      </c>
      <c r="L1474" s="25" t="s">
        <v>547</v>
      </c>
      <c r="M1474" s="26" t="n">
        <f aca="false">IF(AND(L1474="Oui",K1474="Principal"),I1474*J1474,0)</f>
        <v>8000</v>
      </c>
      <c r="N1474" s="25" t="s">
        <v>548</v>
      </c>
      <c r="O1474" s="25"/>
      <c r="P1474" s="25" t="s">
        <v>550</v>
      </c>
      <c r="Q1474" s="25" t="s">
        <v>557</v>
      </c>
      <c r="R1474" s="26" t="n">
        <v>1300</v>
      </c>
      <c r="S1474" s="26" t="n">
        <f aca="false">IF(AND(L1474="Oui",K1474="Principal",R1474&lt;&gt;""),I1474*R1474,0)</f>
        <v>6500</v>
      </c>
      <c r="T1474" s="26" t="n">
        <f aca="false">IF(R1474&lt;&gt;"",M1474-S1474,0)</f>
        <v>1500</v>
      </c>
      <c r="U1474" s="26" t="n">
        <f aca="false">IF(R1474="",M1474,0)</f>
        <v>0</v>
      </c>
    </row>
    <row r="1475" customFormat="false" ht="15" hidden="false" customHeight="false" outlineLevel="0" collapsed="false">
      <c r="A1475" s="25" t="s">
        <v>65</v>
      </c>
      <c r="B1475" s="25" t="s">
        <v>71</v>
      </c>
      <c r="C1475" s="25" t="s">
        <v>49</v>
      </c>
      <c r="D1475" s="25" t="n">
        <v>5</v>
      </c>
      <c r="E1475" s="25" t="s">
        <v>544</v>
      </c>
      <c r="F1475" s="25" t="s">
        <v>442</v>
      </c>
      <c r="G1475" s="25" t="n">
        <v>1729</v>
      </c>
      <c r="H1475" s="25" t="s">
        <v>552</v>
      </c>
      <c r="I1475" s="25" t="n">
        <v>1</v>
      </c>
      <c r="J1475" s="26" t="n">
        <v>1300</v>
      </c>
      <c r="K1475" s="25" t="s">
        <v>546</v>
      </c>
      <c r="L1475" s="25" t="s">
        <v>547</v>
      </c>
      <c r="M1475" s="26" t="n">
        <f aca="false">IF(AND(L1475="Oui",K1475="Principal"),I1475*J1475,0)</f>
        <v>1300</v>
      </c>
      <c r="N1475" s="25" t="s">
        <v>548</v>
      </c>
      <c r="O1475" s="25"/>
      <c r="P1475" s="25" t="s">
        <v>550</v>
      </c>
      <c r="Q1475" s="25" t="s">
        <v>551</v>
      </c>
      <c r="R1475" s="26"/>
      <c r="S1475" s="26" t="n">
        <f aca="false">IF(AND(L1475="Oui",K1475="Principal",R1475&lt;&gt;""),I1475*R1475,0)</f>
        <v>0</v>
      </c>
      <c r="T1475" s="26" t="n">
        <f aca="false">IF(R1475&lt;&gt;"",M1475-S1475,0)</f>
        <v>0</v>
      </c>
      <c r="U1475" s="26" t="n">
        <f aca="false">IF(R1475="",M1475,0)</f>
        <v>1300</v>
      </c>
    </row>
    <row r="1476" customFormat="false" ht="15" hidden="false" customHeight="false" outlineLevel="0" collapsed="false">
      <c r="A1476" s="25" t="s">
        <v>65</v>
      </c>
      <c r="B1476" s="25" t="s">
        <v>71</v>
      </c>
      <c r="C1476" s="25" t="s">
        <v>49</v>
      </c>
      <c r="D1476" s="25" t="n">
        <v>6</v>
      </c>
      <c r="E1476" s="25" t="s">
        <v>563</v>
      </c>
      <c r="F1476" s="25" t="s">
        <v>255</v>
      </c>
      <c r="G1476" s="25" t="n">
        <v>1636</v>
      </c>
      <c r="H1476" s="25" t="s">
        <v>661</v>
      </c>
      <c r="I1476" s="25" t="n">
        <v>1</v>
      </c>
      <c r="J1476" s="26" t="n">
        <v>400</v>
      </c>
      <c r="K1476" s="25" t="s">
        <v>546</v>
      </c>
      <c r="L1476" s="25" t="s">
        <v>547</v>
      </c>
      <c r="M1476" s="26" t="n">
        <f aca="false">IF(AND(L1476="Oui",K1476="Principal"),I1476*J1476,0)</f>
        <v>400</v>
      </c>
      <c r="N1476" s="25" t="s">
        <v>548</v>
      </c>
      <c r="O1476" s="25"/>
      <c r="P1476" s="25" t="s">
        <v>556</v>
      </c>
      <c r="Q1476" s="25" t="s">
        <v>557</v>
      </c>
      <c r="R1476" s="26" t="n">
        <v>320</v>
      </c>
      <c r="S1476" s="26" t="n">
        <f aca="false">IF(AND(L1476="Oui",K1476="Principal",R1476&lt;&gt;""),I1476*R1476,0)</f>
        <v>320</v>
      </c>
      <c r="T1476" s="26" t="n">
        <f aca="false">IF(R1476&lt;&gt;"",M1476-S1476,0)</f>
        <v>80</v>
      </c>
      <c r="U1476" s="26" t="n">
        <f aca="false">IF(R1476="",M1476,0)</f>
        <v>0</v>
      </c>
    </row>
    <row r="1477" customFormat="false" ht="15" hidden="false" customHeight="false" outlineLevel="0" collapsed="false">
      <c r="A1477" s="25" t="s">
        <v>65</v>
      </c>
      <c r="B1477" s="25" t="s">
        <v>71</v>
      </c>
      <c r="C1477" s="25" t="s">
        <v>49</v>
      </c>
      <c r="D1477" s="25" t="n">
        <v>7</v>
      </c>
      <c r="E1477" s="25" t="s">
        <v>563</v>
      </c>
      <c r="F1477" s="25" t="s">
        <v>257</v>
      </c>
      <c r="G1477" s="25" t="n">
        <v>1635</v>
      </c>
      <c r="H1477" s="25" t="s">
        <v>607</v>
      </c>
      <c r="I1477" s="25" t="n">
        <v>1</v>
      </c>
      <c r="J1477" s="26" t="n">
        <v>100</v>
      </c>
      <c r="K1477" s="25" t="s">
        <v>546</v>
      </c>
      <c r="L1477" s="25" t="s">
        <v>547</v>
      </c>
      <c r="M1477" s="26" t="n">
        <f aca="false">IF(AND(L1477="Oui",K1477="Principal"),I1477*J1477,0)</f>
        <v>100</v>
      </c>
      <c r="N1477" s="25" t="s">
        <v>548</v>
      </c>
      <c r="O1477" s="25"/>
      <c r="P1477" s="25" t="s">
        <v>556</v>
      </c>
      <c r="Q1477" s="25" t="s">
        <v>557</v>
      </c>
      <c r="R1477" s="26" t="n">
        <v>80</v>
      </c>
      <c r="S1477" s="26" t="n">
        <f aca="false">IF(AND(L1477="Oui",K1477="Principal",R1477&lt;&gt;""),I1477*R1477,0)</f>
        <v>80</v>
      </c>
      <c r="T1477" s="26" t="n">
        <f aca="false">IF(R1477&lt;&gt;"",M1477-S1477,0)</f>
        <v>20</v>
      </c>
      <c r="U1477" s="26" t="n">
        <f aca="false">IF(R1477="",M1477,0)</f>
        <v>0</v>
      </c>
    </row>
    <row r="1478" customFormat="false" ht="15" hidden="false" customHeight="false" outlineLevel="0" collapsed="false">
      <c r="A1478" s="25" t="s">
        <v>65</v>
      </c>
      <c r="B1478" s="25" t="s">
        <v>71</v>
      </c>
      <c r="C1478" s="25" t="s">
        <v>49</v>
      </c>
      <c r="D1478" s="25" t="n">
        <v>8</v>
      </c>
      <c r="E1478" s="25" t="s">
        <v>563</v>
      </c>
      <c r="F1478" s="25" t="s">
        <v>188</v>
      </c>
      <c r="G1478" s="25" t="n">
        <v>8</v>
      </c>
      <c r="H1478" s="25" t="s">
        <v>188</v>
      </c>
      <c r="I1478" s="25" t="n">
        <v>1</v>
      </c>
      <c r="J1478" s="26" t="n">
        <v>500</v>
      </c>
      <c r="K1478" s="25" t="s">
        <v>546</v>
      </c>
      <c r="L1478" s="25" t="s">
        <v>547</v>
      </c>
      <c r="M1478" s="26" t="n">
        <f aca="false">IF(AND(L1478="Oui",K1478="Principal"),I1478*J1478,0)</f>
        <v>500</v>
      </c>
      <c r="N1478" s="25" t="s">
        <v>548</v>
      </c>
      <c r="O1478" s="25"/>
      <c r="P1478" s="25" t="s">
        <v>559</v>
      </c>
      <c r="Q1478" s="25" t="s">
        <v>551</v>
      </c>
      <c r="R1478" s="26"/>
      <c r="S1478" s="26" t="n">
        <f aca="false">IF(AND(L1478="Oui",K1478="Principal",R1478&lt;&gt;""),I1478*R1478,0)</f>
        <v>0</v>
      </c>
      <c r="T1478" s="26" t="n">
        <f aca="false">IF(R1478&lt;&gt;"",M1478-S1478,0)</f>
        <v>0</v>
      </c>
      <c r="U1478" s="26" t="n">
        <f aca="false">IF(R1478="",M1478,0)</f>
        <v>500</v>
      </c>
    </row>
    <row r="1479" customFormat="false" ht="15" hidden="false" customHeight="false" outlineLevel="0" collapsed="false">
      <c r="A1479" s="25" t="s">
        <v>65</v>
      </c>
      <c r="B1479" s="25" t="s">
        <v>71</v>
      </c>
      <c r="C1479" s="25" t="s">
        <v>49</v>
      </c>
      <c r="D1479" s="25" t="n">
        <v>9</v>
      </c>
      <c r="E1479" s="25" t="s">
        <v>563</v>
      </c>
      <c r="F1479" s="25" t="s">
        <v>323</v>
      </c>
      <c r="G1479" s="25" t="n">
        <v>1607</v>
      </c>
      <c r="H1479" s="25" t="s">
        <v>696</v>
      </c>
      <c r="I1479" s="25" t="n">
        <v>1</v>
      </c>
      <c r="J1479" s="26" t="n">
        <v>2500</v>
      </c>
      <c r="K1479" s="25" t="s">
        <v>546</v>
      </c>
      <c r="L1479" s="25" t="s">
        <v>547</v>
      </c>
      <c r="M1479" s="26" t="n">
        <f aca="false">IF(AND(L1479="Oui",K1479="Principal"),I1479*J1479,0)</f>
        <v>2500</v>
      </c>
      <c r="N1479" s="25" t="s">
        <v>548</v>
      </c>
      <c r="O1479" s="25"/>
      <c r="P1479" s="25" t="s">
        <v>556</v>
      </c>
      <c r="Q1479" s="25" t="s">
        <v>557</v>
      </c>
      <c r="R1479" s="26" t="n">
        <v>2000</v>
      </c>
      <c r="S1479" s="26" t="n">
        <f aca="false">IF(AND(L1479="Oui",K1479="Principal",R1479&lt;&gt;""),I1479*R1479,0)</f>
        <v>2000</v>
      </c>
      <c r="T1479" s="26" t="n">
        <f aca="false">IF(R1479&lt;&gt;"",M1479-S1479,0)</f>
        <v>500</v>
      </c>
      <c r="U1479" s="26" t="n">
        <f aca="false">IF(R1479="",M1479,0)</f>
        <v>0</v>
      </c>
    </row>
    <row r="1480" customFormat="false" ht="15" hidden="false" customHeight="false" outlineLevel="0" collapsed="false">
      <c r="A1480" s="25" t="s">
        <v>65</v>
      </c>
      <c r="B1480" s="25" t="s">
        <v>71</v>
      </c>
      <c r="C1480" s="25" t="s">
        <v>49</v>
      </c>
      <c r="D1480" s="25" t="n">
        <v>10</v>
      </c>
      <c r="E1480" s="25" t="s">
        <v>563</v>
      </c>
      <c r="F1480" s="25" t="s">
        <v>325</v>
      </c>
      <c r="G1480" s="25" t="n">
        <v>1248</v>
      </c>
      <c r="H1480" s="25" t="s">
        <v>697</v>
      </c>
      <c r="I1480" s="25" t="n">
        <v>1</v>
      </c>
      <c r="J1480" s="26" t="n">
        <v>400</v>
      </c>
      <c r="K1480" s="25" t="s">
        <v>546</v>
      </c>
      <c r="L1480" s="25" t="s">
        <v>547</v>
      </c>
      <c r="M1480" s="26" t="n">
        <f aca="false">IF(AND(L1480="Oui",K1480="Principal"),I1480*J1480,0)</f>
        <v>400</v>
      </c>
      <c r="N1480" s="25" t="s">
        <v>548</v>
      </c>
      <c r="O1480" s="25"/>
      <c r="P1480" s="25" t="s">
        <v>550</v>
      </c>
      <c r="Q1480" s="25" t="s">
        <v>557</v>
      </c>
      <c r="R1480" s="26" t="n">
        <v>250</v>
      </c>
      <c r="S1480" s="26" t="n">
        <f aca="false">IF(AND(L1480="Oui",K1480="Principal",R1480&lt;&gt;""),I1480*R1480,0)</f>
        <v>250</v>
      </c>
      <c r="T1480" s="26" t="n">
        <f aca="false">IF(R1480&lt;&gt;"",M1480-S1480,0)</f>
        <v>150</v>
      </c>
      <c r="U1480" s="26" t="n">
        <f aca="false">IF(R1480="",M1480,0)</f>
        <v>0</v>
      </c>
    </row>
    <row r="1481" customFormat="false" ht="15" hidden="false" customHeight="false" outlineLevel="0" collapsed="false">
      <c r="A1481" s="25" t="s">
        <v>65</v>
      </c>
      <c r="B1481" s="25" t="s">
        <v>71</v>
      </c>
      <c r="C1481" s="25" t="s">
        <v>49</v>
      </c>
      <c r="D1481" s="25" t="n">
        <v>11</v>
      </c>
      <c r="E1481" s="25" t="s">
        <v>565</v>
      </c>
      <c r="F1481" s="25" t="s">
        <v>99</v>
      </c>
      <c r="G1481" s="25" t="n">
        <v>1181</v>
      </c>
      <c r="H1481" s="25" t="s">
        <v>581</v>
      </c>
      <c r="I1481" s="25" t="n">
        <v>1</v>
      </c>
      <c r="J1481" s="26" t="n">
        <v>250</v>
      </c>
      <c r="K1481" s="25" t="s">
        <v>546</v>
      </c>
      <c r="L1481" s="25" t="s">
        <v>547</v>
      </c>
      <c r="M1481" s="26" t="n">
        <f aca="false">IF(AND(L1481="Oui",K1481="Principal"),I1481*J1481,0)</f>
        <v>250</v>
      </c>
      <c r="N1481" s="25" t="s">
        <v>548</v>
      </c>
      <c r="O1481" s="25"/>
      <c r="P1481" s="25" t="s">
        <v>550</v>
      </c>
      <c r="Q1481" s="25" t="s">
        <v>557</v>
      </c>
      <c r="R1481" s="26" t="n">
        <v>110</v>
      </c>
      <c r="S1481" s="26" t="n">
        <f aca="false">IF(AND(L1481="Oui",K1481="Principal",R1481&lt;&gt;""),I1481*R1481,0)</f>
        <v>110</v>
      </c>
      <c r="T1481" s="26" t="n">
        <f aca="false">IF(R1481&lt;&gt;"",M1481-S1481,0)</f>
        <v>140</v>
      </c>
      <c r="U1481" s="26" t="n">
        <f aca="false">IF(R1481="",M1481,0)</f>
        <v>0</v>
      </c>
    </row>
    <row r="1482" customFormat="false" ht="15" hidden="false" customHeight="false" outlineLevel="0" collapsed="false">
      <c r="A1482" s="25" t="s">
        <v>65</v>
      </c>
      <c r="B1482" s="25" t="s">
        <v>71</v>
      </c>
      <c r="C1482" s="25" t="s">
        <v>49</v>
      </c>
      <c r="D1482" s="25" t="n">
        <v>12</v>
      </c>
      <c r="E1482" s="25" t="s">
        <v>565</v>
      </c>
      <c r="F1482" s="25" t="s">
        <v>164</v>
      </c>
      <c r="G1482" s="25" t="n">
        <v>1587</v>
      </c>
      <c r="H1482" s="25" t="s">
        <v>567</v>
      </c>
      <c r="I1482" s="25" t="n">
        <v>1</v>
      </c>
      <c r="J1482" s="26" t="n">
        <v>500</v>
      </c>
      <c r="K1482" s="25" t="s">
        <v>546</v>
      </c>
      <c r="L1482" s="25" t="s">
        <v>547</v>
      </c>
      <c r="M1482" s="26" t="n">
        <f aca="false">IF(AND(L1482="Oui",K1482="Principal"),I1482*J1482,0)</f>
        <v>500</v>
      </c>
      <c r="N1482" s="25" t="s">
        <v>548</v>
      </c>
      <c r="O1482" s="25"/>
      <c r="P1482" s="25" t="s">
        <v>556</v>
      </c>
      <c r="Q1482" s="25" t="s">
        <v>557</v>
      </c>
      <c r="R1482" s="26" t="n">
        <v>350</v>
      </c>
      <c r="S1482" s="26" t="n">
        <f aca="false">IF(AND(L1482="Oui",K1482="Principal",R1482&lt;&gt;""),I1482*R1482,0)</f>
        <v>350</v>
      </c>
      <c r="T1482" s="26" t="n">
        <f aca="false">IF(R1482&lt;&gt;"",M1482-S1482,0)</f>
        <v>150</v>
      </c>
      <c r="U1482" s="26" t="n">
        <f aca="false">IF(R1482="",M1482,0)</f>
        <v>0</v>
      </c>
    </row>
    <row r="1483" customFormat="false" ht="15" hidden="false" customHeight="false" outlineLevel="0" collapsed="false">
      <c r="A1483" s="25" t="s">
        <v>65</v>
      </c>
      <c r="B1483" s="25" t="s">
        <v>71</v>
      </c>
      <c r="C1483" s="25" t="s">
        <v>49</v>
      </c>
      <c r="D1483" s="25" t="n">
        <v>13</v>
      </c>
      <c r="E1483" s="25" t="s">
        <v>565</v>
      </c>
      <c r="F1483" s="25" t="s">
        <v>166</v>
      </c>
      <c r="G1483" s="25" t="n">
        <v>1604</v>
      </c>
      <c r="H1483" s="25" t="s">
        <v>582</v>
      </c>
      <c r="I1483" s="25" t="n">
        <v>2</v>
      </c>
      <c r="J1483" s="26" t="n">
        <v>700</v>
      </c>
      <c r="K1483" s="25" t="s">
        <v>546</v>
      </c>
      <c r="L1483" s="25" t="s">
        <v>547</v>
      </c>
      <c r="M1483" s="26" t="n">
        <f aca="false">IF(AND(L1483="Oui",K1483="Principal"),I1483*J1483,0)</f>
        <v>1400</v>
      </c>
      <c r="N1483" s="25" t="s">
        <v>548</v>
      </c>
      <c r="O1483" s="25"/>
      <c r="P1483" s="25" t="s">
        <v>556</v>
      </c>
      <c r="Q1483" s="25" t="s">
        <v>557</v>
      </c>
      <c r="R1483" s="26" t="n">
        <v>400</v>
      </c>
      <c r="S1483" s="26" t="n">
        <f aca="false">IF(AND(L1483="Oui",K1483="Principal",R1483&lt;&gt;""),I1483*R1483,0)</f>
        <v>800</v>
      </c>
      <c r="T1483" s="26" t="n">
        <f aca="false">IF(R1483&lt;&gt;"",M1483-S1483,0)</f>
        <v>600</v>
      </c>
      <c r="U1483" s="26" t="n">
        <f aca="false">IF(R1483="",M1483,0)</f>
        <v>0</v>
      </c>
    </row>
    <row r="1484" customFormat="false" ht="15" hidden="false" customHeight="false" outlineLevel="0" collapsed="false">
      <c r="A1484" s="25" t="s">
        <v>65</v>
      </c>
      <c r="B1484" s="25" t="s">
        <v>71</v>
      </c>
      <c r="C1484" s="25" t="s">
        <v>49</v>
      </c>
      <c r="D1484" s="25" t="n">
        <v>14</v>
      </c>
      <c r="E1484" s="25" t="s">
        <v>565</v>
      </c>
      <c r="F1484" s="25" t="s">
        <v>304</v>
      </c>
      <c r="G1484" s="25" t="n">
        <v>1586</v>
      </c>
      <c r="H1484" s="25" t="s">
        <v>583</v>
      </c>
      <c r="I1484" s="25" t="n">
        <v>1</v>
      </c>
      <c r="J1484" s="26" t="n">
        <v>900</v>
      </c>
      <c r="K1484" s="25" t="s">
        <v>546</v>
      </c>
      <c r="L1484" s="25" t="s">
        <v>547</v>
      </c>
      <c r="M1484" s="26" t="n">
        <f aca="false">IF(AND(L1484="Oui",K1484="Principal"),I1484*J1484,0)</f>
        <v>900</v>
      </c>
      <c r="N1484" s="25" t="s">
        <v>548</v>
      </c>
      <c r="O1484" s="25"/>
      <c r="P1484" s="25" t="s">
        <v>556</v>
      </c>
      <c r="Q1484" s="25" t="s">
        <v>557</v>
      </c>
      <c r="R1484" s="26" t="n">
        <v>650</v>
      </c>
      <c r="S1484" s="26" t="n">
        <f aca="false">IF(AND(L1484="Oui",K1484="Principal",R1484&lt;&gt;""),I1484*R1484,0)</f>
        <v>650</v>
      </c>
      <c r="T1484" s="26" t="n">
        <f aca="false">IF(R1484&lt;&gt;"",M1484-S1484,0)</f>
        <v>250</v>
      </c>
      <c r="U1484" s="26" t="n">
        <f aca="false">IF(R1484="",M1484,0)</f>
        <v>0</v>
      </c>
    </row>
    <row r="1485" customFormat="false" ht="15" hidden="false" customHeight="false" outlineLevel="0" collapsed="false">
      <c r="A1485" s="33" t="s">
        <v>65</v>
      </c>
      <c r="B1485" s="33" t="s">
        <v>71</v>
      </c>
      <c r="C1485" s="33" t="s">
        <v>49</v>
      </c>
      <c r="D1485" s="33" t="n">
        <v>15</v>
      </c>
      <c r="E1485" s="33" t="s">
        <v>609</v>
      </c>
      <c r="F1485" s="33" t="s">
        <v>199</v>
      </c>
      <c r="G1485" s="33" t="n">
        <v>1229</v>
      </c>
      <c r="H1485" s="33" t="s">
        <v>643</v>
      </c>
      <c r="I1485" s="33" t="n">
        <v>1</v>
      </c>
      <c r="J1485" s="34" t="n">
        <v>1800</v>
      </c>
      <c r="K1485" s="33" t="s">
        <v>546</v>
      </c>
      <c r="L1485" s="33" t="s">
        <v>547</v>
      </c>
      <c r="M1485" s="34" t="n">
        <f aca="false">IF(AND(L1485="Oui",K1485="Principal"),I1485*J1485,0)</f>
        <v>1800</v>
      </c>
      <c r="N1485" s="33" t="s">
        <v>182</v>
      </c>
      <c r="O1485" s="33" t="s">
        <v>644</v>
      </c>
      <c r="P1485" s="33" t="s">
        <v>550</v>
      </c>
      <c r="Q1485" s="33" t="s">
        <v>557</v>
      </c>
      <c r="R1485" s="34" t="n">
        <v>1500</v>
      </c>
      <c r="S1485" s="34" t="n">
        <f aca="false">IF(AND(L1485="Oui",K1485="Principal",R1485&lt;&gt;""),I1485*R1485,0)</f>
        <v>1500</v>
      </c>
      <c r="T1485" s="34" t="n">
        <f aca="false">IF(R1485&lt;&gt;"",M1485-S1485,0)</f>
        <v>300</v>
      </c>
      <c r="U1485" s="34" t="n">
        <f aca="false">IF(R1485="",M1485,0)</f>
        <v>0</v>
      </c>
    </row>
    <row r="1486" customFormat="false" ht="15" hidden="false" customHeight="false" outlineLevel="0" collapsed="false">
      <c r="A1486" s="25" t="s">
        <v>65</v>
      </c>
      <c r="B1486" s="25" t="s">
        <v>71</v>
      </c>
      <c r="C1486" s="25" t="s">
        <v>49</v>
      </c>
      <c r="D1486" s="25" t="n">
        <v>16</v>
      </c>
      <c r="E1486" s="25" t="s">
        <v>609</v>
      </c>
      <c r="F1486" s="25" t="s">
        <v>443</v>
      </c>
      <c r="G1486" s="25" t="n">
        <v>1727</v>
      </c>
      <c r="H1486" s="25" t="s">
        <v>698</v>
      </c>
      <c r="I1486" s="25" t="n">
        <v>1</v>
      </c>
      <c r="J1486" s="26" t="n">
        <v>4750</v>
      </c>
      <c r="K1486" s="25" t="s">
        <v>546</v>
      </c>
      <c r="L1486" s="25" t="s">
        <v>547</v>
      </c>
      <c r="M1486" s="26" t="n">
        <f aca="false">IF(AND(L1486="Oui",K1486="Principal"),I1486*J1486,0)</f>
        <v>4750</v>
      </c>
      <c r="N1486" s="25" t="s">
        <v>548</v>
      </c>
      <c r="O1486" s="25"/>
      <c r="P1486" s="25" t="s">
        <v>559</v>
      </c>
      <c r="Q1486" s="25" t="s">
        <v>557</v>
      </c>
      <c r="R1486" s="26" t="n">
        <v>3700</v>
      </c>
      <c r="S1486" s="26" t="n">
        <f aca="false">IF(AND(L1486="Oui",K1486="Principal",R1486&lt;&gt;""),I1486*R1486,0)</f>
        <v>3700</v>
      </c>
      <c r="T1486" s="26" t="n">
        <f aca="false">IF(R1486&lt;&gt;"",M1486-S1486,0)</f>
        <v>1050</v>
      </c>
      <c r="U1486" s="26" t="n">
        <f aca="false">IF(R1486="",M1486,0)</f>
        <v>0</v>
      </c>
    </row>
    <row r="1487" customFormat="false" ht="15" hidden="false" customHeight="false" outlineLevel="0" collapsed="false">
      <c r="A1487" s="25" t="s">
        <v>65</v>
      </c>
      <c r="B1487" s="25" t="s">
        <v>71</v>
      </c>
      <c r="C1487" s="25" t="s">
        <v>49</v>
      </c>
      <c r="D1487" s="25" t="n">
        <v>17</v>
      </c>
      <c r="E1487" s="25" t="s">
        <v>700</v>
      </c>
      <c r="F1487" s="25" t="s">
        <v>329</v>
      </c>
      <c r="G1487" s="25" t="n">
        <v>1716</v>
      </c>
      <c r="H1487" s="25" t="s">
        <v>701</v>
      </c>
      <c r="I1487" s="25" t="n">
        <v>1</v>
      </c>
      <c r="J1487" s="26" t="n">
        <v>1800</v>
      </c>
      <c r="K1487" s="25" t="s">
        <v>546</v>
      </c>
      <c r="L1487" s="25" t="s">
        <v>547</v>
      </c>
      <c r="M1487" s="26" t="n">
        <f aca="false">IF(AND(L1487="Oui",K1487="Principal"),I1487*J1487,0)</f>
        <v>1800</v>
      </c>
      <c r="N1487" s="25" t="s">
        <v>548</v>
      </c>
      <c r="O1487" s="25"/>
      <c r="P1487" s="25" t="s">
        <v>559</v>
      </c>
      <c r="Q1487" s="25" t="s">
        <v>557</v>
      </c>
      <c r="R1487" s="26" t="n">
        <v>1300</v>
      </c>
      <c r="S1487" s="26" t="n">
        <f aca="false">IF(AND(L1487="Oui",K1487="Principal",R1487&lt;&gt;""),I1487*R1487,0)</f>
        <v>1300</v>
      </c>
      <c r="T1487" s="26" t="n">
        <f aca="false">IF(R1487&lt;&gt;"",M1487-S1487,0)</f>
        <v>500</v>
      </c>
      <c r="U1487" s="26" t="n">
        <f aca="false">IF(R1487="",M1487,0)</f>
        <v>0</v>
      </c>
    </row>
    <row r="1488" customFormat="false" ht="15" hidden="false" customHeight="false" outlineLevel="0" collapsed="false">
      <c r="A1488" s="27" t="s">
        <v>65</v>
      </c>
      <c r="B1488" s="27" t="s">
        <v>71</v>
      </c>
      <c r="C1488" s="27" t="s">
        <v>49</v>
      </c>
      <c r="D1488" s="27" t="n">
        <v>18</v>
      </c>
      <c r="E1488" s="27" t="s">
        <v>700</v>
      </c>
      <c r="F1488" s="27" t="s">
        <v>430</v>
      </c>
      <c r="G1488" s="27"/>
      <c r="H1488" s="27" t="s">
        <v>585</v>
      </c>
      <c r="I1488" s="27" t="n">
        <v>1</v>
      </c>
      <c r="J1488" s="28" t="n">
        <v>0</v>
      </c>
      <c r="K1488" s="27" t="s">
        <v>546</v>
      </c>
      <c r="L1488" s="27" t="s">
        <v>579</v>
      </c>
      <c r="M1488" s="28" t="n">
        <f aca="false">IF(AND(L1488="Oui",K1488="Principal"),I1488*J1488,0)</f>
        <v>0</v>
      </c>
      <c r="N1488" s="27" t="s">
        <v>128</v>
      </c>
      <c r="O1488" s="27" t="s">
        <v>586</v>
      </c>
      <c r="P1488" s="27"/>
      <c r="Q1488" s="27"/>
      <c r="R1488" s="28"/>
      <c r="S1488" s="28" t="n">
        <f aca="false">IF(AND(L1488="Oui",K1488="Principal",R1488&lt;&gt;""),I1488*R1488,0)</f>
        <v>0</v>
      </c>
      <c r="T1488" s="28" t="n">
        <f aca="false">IF(R1488&lt;&gt;"",M1488-S1488,0)</f>
        <v>0</v>
      </c>
      <c r="U1488" s="28" t="n">
        <f aca="false">IF(R1488="",M1488,0)</f>
        <v>0</v>
      </c>
    </row>
    <row r="1489" customFormat="false" ht="15" hidden="false" customHeight="false" outlineLevel="0" collapsed="false">
      <c r="A1489" s="27" t="s">
        <v>65</v>
      </c>
      <c r="B1489" s="27" t="s">
        <v>71</v>
      </c>
      <c r="C1489" s="27" t="s">
        <v>49</v>
      </c>
      <c r="D1489" s="27" t="n">
        <v>19</v>
      </c>
      <c r="E1489" s="27" t="s">
        <v>700</v>
      </c>
      <c r="F1489" s="27" t="s">
        <v>382</v>
      </c>
      <c r="G1489" s="27"/>
      <c r="H1489" s="27" t="s">
        <v>585</v>
      </c>
      <c r="I1489" s="27" t="n">
        <v>1</v>
      </c>
      <c r="J1489" s="28" t="n">
        <v>0</v>
      </c>
      <c r="K1489" s="27" t="s">
        <v>546</v>
      </c>
      <c r="L1489" s="27" t="s">
        <v>579</v>
      </c>
      <c r="M1489" s="28" t="n">
        <f aca="false">IF(AND(L1489="Oui",K1489="Principal"),I1489*J1489,0)</f>
        <v>0</v>
      </c>
      <c r="N1489" s="27" t="s">
        <v>128</v>
      </c>
      <c r="O1489" s="27" t="s">
        <v>586</v>
      </c>
      <c r="P1489" s="27"/>
      <c r="Q1489" s="27"/>
      <c r="R1489" s="28"/>
      <c r="S1489" s="28" t="n">
        <f aca="false">IF(AND(L1489="Oui",K1489="Principal",R1489&lt;&gt;""),I1489*R1489,0)</f>
        <v>0</v>
      </c>
      <c r="T1489" s="28" t="n">
        <f aca="false">IF(R1489&lt;&gt;"",M1489-S1489,0)</f>
        <v>0</v>
      </c>
      <c r="U1489" s="28" t="n">
        <f aca="false">IF(R1489="",M1489,0)</f>
        <v>0</v>
      </c>
    </row>
    <row r="1490" customFormat="false" ht="15" hidden="false" customHeight="false" outlineLevel="0" collapsed="false">
      <c r="A1490" s="25" t="s">
        <v>65</v>
      </c>
      <c r="B1490" s="25" t="s">
        <v>71</v>
      </c>
      <c r="C1490" s="25" t="s">
        <v>49</v>
      </c>
      <c r="D1490" s="25" t="n">
        <v>20</v>
      </c>
      <c r="E1490" s="25" t="s">
        <v>571</v>
      </c>
      <c r="F1490" s="25" t="s">
        <v>431</v>
      </c>
      <c r="G1490" s="25" t="n">
        <v>1631</v>
      </c>
      <c r="H1490" s="25" t="s">
        <v>755</v>
      </c>
      <c r="I1490" s="25" t="n">
        <v>1</v>
      </c>
      <c r="J1490" s="26" t="n">
        <v>2700</v>
      </c>
      <c r="K1490" s="25" t="s">
        <v>546</v>
      </c>
      <c r="L1490" s="25" t="s">
        <v>547</v>
      </c>
      <c r="M1490" s="26" t="n">
        <f aca="false">IF(AND(L1490="Oui",K1490="Principal"),I1490*J1490,0)</f>
        <v>2700</v>
      </c>
      <c r="N1490" s="25" t="s">
        <v>548</v>
      </c>
      <c r="O1490" s="25"/>
      <c r="P1490" s="25" t="s">
        <v>556</v>
      </c>
      <c r="Q1490" s="25" t="s">
        <v>557</v>
      </c>
      <c r="R1490" s="26" t="n">
        <v>2000</v>
      </c>
      <c r="S1490" s="26" t="n">
        <f aca="false">IF(AND(L1490="Oui",K1490="Principal",R1490&lt;&gt;""),I1490*R1490,0)</f>
        <v>2000</v>
      </c>
      <c r="T1490" s="26" t="n">
        <f aca="false">IF(R1490&lt;&gt;"",M1490-S1490,0)</f>
        <v>700</v>
      </c>
      <c r="U1490" s="26" t="n">
        <f aca="false">IF(R1490="",M1490,0)</f>
        <v>0</v>
      </c>
    </row>
    <row r="1491" customFormat="false" ht="15" hidden="false" customHeight="false" outlineLevel="0" collapsed="false">
      <c r="A1491" s="25" t="s">
        <v>65</v>
      </c>
      <c r="B1491" s="25" t="s">
        <v>71</v>
      </c>
      <c r="C1491" s="25" t="s">
        <v>49</v>
      </c>
      <c r="D1491" s="25" t="n">
        <v>21</v>
      </c>
      <c r="E1491" s="25" t="s">
        <v>571</v>
      </c>
      <c r="F1491" s="25" t="s">
        <v>433</v>
      </c>
      <c r="G1491" s="25" t="n">
        <v>1683</v>
      </c>
      <c r="H1491" s="25" t="s">
        <v>756</v>
      </c>
      <c r="I1491" s="25" t="n">
        <v>1</v>
      </c>
      <c r="J1491" s="26" t="n">
        <v>1000</v>
      </c>
      <c r="K1491" s="25" t="s">
        <v>546</v>
      </c>
      <c r="L1491" s="25" t="s">
        <v>547</v>
      </c>
      <c r="M1491" s="26" t="n">
        <f aca="false">IF(AND(L1491="Oui",K1491="Principal"),I1491*J1491,0)</f>
        <v>1000</v>
      </c>
      <c r="N1491" s="25" t="s">
        <v>548</v>
      </c>
      <c r="O1491" s="25"/>
      <c r="P1491" s="25" t="s">
        <v>556</v>
      </c>
      <c r="Q1491" s="25" t="s">
        <v>557</v>
      </c>
      <c r="R1491" s="26"/>
      <c r="S1491" s="26" t="n">
        <f aca="false">IF(AND(L1491="Oui",K1491="Principal",R1491&lt;&gt;""),I1491*R1491,0)</f>
        <v>0</v>
      </c>
      <c r="T1491" s="26" t="n">
        <f aca="false">IF(R1491&lt;&gt;"",M1491-S1491,0)</f>
        <v>0</v>
      </c>
      <c r="U1491" s="26" t="n">
        <f aca="false">IF(R1491="",M1491,0)</f>
        <v>1000</v>
      </c>
    </row>
    <row r="1492" customFormat="false" ht="15" hidden="false" customHeight="false" outlineLevel="0" collapsed="false">
      <c r="A1492" s="33" t="s">
        <v>65</v>
      </c>
      <c r="B1492" s="33" t="s">
        <v>71</v>
      </c>
      <c r="C1492" s="33" t="s">
        <v>49</v>
      </c>
      <c r="D1492" s="33" t="n">
        <v>22</v>
      </c>
      <c r="E1492" s="33" t="s">
        <v>571</v>
      </c>
      <c r="F1492" s="33" t="s">
        <v>435</v>
      </c>
      <c r="G1492" s="33" t="n">
        <v>1269</v>
      </c>
      <c r="H1492" s="33" t="s">
        <v>757</v>
      </c>
      <c r="I1492" s="33" t="n">
        <v>1</v>
      </c>
      <c r="J1492" s="34" t="n">
        <v>1150</v>
      </c>
      <c r="K1492" s="33" t="s">
        <v>546</v>
      </c>
      <c r="L1492" s="33" t="s">
        <v>547</v>
      </c>
      <c r="M1492" s="34" t="n">
        <f aca="false">IF(AND(L1492="Oui",K1492="Principal"),I1492*J1492,0)</f>
        <v>1150</v>
      </c>
      <c r="N1492" s="33" t="s">
        <v>182</v>
      </c>
      <c r="O1492" s="33" t="s">
        <v>758</v>
      </c>
      <c r="P1492" s="33" t="s">
        <v>550</v>
      </c>
      <c r="Q1492" s="33" t="s">
        <v>557</v>
      </c>
      <c r="R1492" s="34" t="n">
        <v>850</v>
      </c>
      <c r="S1492" s="34" t="n">
        <f aca="false">IF(AND(L1492="Oui",K1492="Principal",R1492&lt;&gt;""),I1492*R1492,0)</f>
        <v>850</v>
      </c>
      <c r="T1492" s="34" t="n">
        <f aca="false">IF(R1492&lt;&gt;"",M1492-S1492,0)</f>
        <v>300</v>
      </c>
      <c r="U1492" s="34" t="n">
        <f aca="false">IF(R1492="",M1492,0)</f>
        <v>0</v>
      </c>
    </row>
    <row r="1493" customFormat="false" ht="15" hidden="false" customHeight="false" outlineLevel="0" collapsed="false">
      <c r="A1493" s="25" t="s">
        <v>65</v>
      </c>
      <c r="B1493" s="25" t="s">
        <v>71</v>
      </c>
      <c r="C1493" s="25" t="s">
        <v>49</v>
      </c>
      <c r="D1493" s="25" t="n">
        <v>23</v>
      </c>
      <c r="E1493" s="25" t="s">
        <v>573</v>
      </c>
      <c r="F1493" s="25" t="s">
        <v>176</v>
      </c>
      <c r="G1493" s="25" t="n">
        <v>19</v>
      </c>
      <c r="H1493" s="25" t="s">
        <v>615</v>
      </c>
      <c r="I1493" s="25" t="n">
        <v>1</v>
      </c>
      <c r="J1493" s="26" t="n">
        <v>2500</v>
      </c>
      <c r="K1493" s="25" t="s">
        <v>546</v>
      </c>
      <c r="L1493" s="25" t="s">
        <v>547</v>
      </c>
      <c r="M1493" s="26" t="n">
        <f aca="false">IF(AND(L1493="Oui",K1493="Principal"),I1493*J1493,0)</f>
        <v>2500</v>
      </c>
      <c r="N1493" s="25" t="s">
        <v>548</v>
      </c>
      <c r="O1493" s="25"/>
      <c r="P1493" s="25" t="s">
        <v>559</v>
      </c>
      <c r="Q1493" s="25" t="s">
        <v>551</v>
      </c>
      <c r="R1493" s="26"/>
      <c r="S1493" s="26" t="n">
        <f aca="false">IF(AND(L1493="Oui",K1493="Principal",R1493&lt;&gt;""),I1493*R1493,0)</f>
        <v>0</v>
      </c>
      <c r="T1493" s="26" t="n">
        <f aca="false">IF(R1493&lt;&gt;"",M1493-S1493,0)</f>
        <v>0</v>
      </c>
      <c r="U1493" s="26" t="n">
        <f aca="false">IF(R1493="",M1493,0)</f>
        <v>2500</v>
      </c>
    </row>
    <row r="1494" customFormat="false" ht="15" hidden="false" customHeight="false" outlineLevel="0" collapsed="false">
      <c r="A1494" s="25" t="s">
        <v>65</v>
      </c>
      <c r="B1494" s="25" t="s">
        <v>71</v>
      </c>
      <c r="C1494" s="25" t="s">
        <v>49</v>
      </c>
      <c r="D1494" s="25" t="n">
        <v>24</v>
      </c>
      <c r="E1494" s="25" t="s">
        <v>573</v>
      </c>
      <c r="F1494" s="25" t="s">
        <v>117</v>
      </c>
      <c r="G1494" s="25" t="n">
        <v>1288</v>
      </c>
      <c r="H1494" s="25" t="s">
        <v>624</v>
      </c>
      <c r="I1494" s="25" t="n">
        <v>1</v>
      </c>
      <c r="J1494" s="26" t="n">
        <v>2500</v>
      </c>
      <c r="K1494" s="25" t="s">
        <v>546</v>
      </c>
      <c r="L1494" s="25" t="s">
        <v>547</v>
      </c>
      <c r="M1494" s="26" t="n">
        <f aca="false">IF(AND(L1494="Oui",K1494="Principal"),I1494*J1494,0)</f>
        <v>2500</v>
      </c>
      <c r="N1494" s="25" t="s">
        <v>548</v>
      </c>
      <c r="O1494" s="25"/>
      <c r="P1494" s="25" t="s">
        <v>550</v>
      </c>
      <c r="Q1494" s="25" t="s">
        <v>557</v>
      </c>
      <c r="R1494" s="26" t="n">
        <v>2000</v>
      </c>
      <c r="S1494" s="26" t="n">
        <f aca="false">IF(AND(L1494="Oui",K1494="Principal",R1494&lt;&gt;""),I1494*R1494,0)</f>
        <v>2000</v>
      </c>
      <c r="T1494" s="26" t="n">
        <f aca="false">IF(R1494&lt;&gt;"",M1494-S1494,0)</f>
        <v>500</v>
      </c>
      <c r="U1494" s="26" t="n">
        <f aca="false">IF(R1494="",M1494,0)</f>
        <v>0</v>
      </c>
    </row>
    <row r="1495" customFormat="false" ht="15" hidden="false" customHeight="false" outlineLevel="0" collapsed="false">
      <c r="A1495" s="25" t="s">
        <v>65</v>
      </c>
      <c r="B1495" s="25" t="s">
        <v>71</v>
      </c>
      <c r="C1495" s="25" t="s">
        <v>49</v>
      </c>
      <c r="D1495" s="25" t="n">
        <v>25</v>
      </c>
      <c r="E1495" s="25" t="s">
        <v>573</v>
      </c>
      <c r="F1495" s="25" t="s">
        <v>321</v>
      </c>
      <c r="G1495" s="25" t="n">
        <v>1192</v>
      </c>
      <c r="H1495" s="25" t="s">
        <v>694</v>
      </c>
      <c r="I1495" s="25" t="n">
        <v>1</v>
      </c>
      <c r="J1495" s="26" t="n">
        <v>7000</v>
      </c>
      <c r="K1495" s="25" t="s">
        <v>546</v>
      </c>
      <c r="L1495" s="25" t="s">
        <v>547</v>
      </c>
      <c r="M1495" s="26" t="n">
        <f aca="false">IF(AND(L1495="Oui",K1495="Principal"),I1495*J1495,0)</f>
        <v>7000</v>
      </c>
      <c r="N1495" s="25" t="s">
        <v>548</v>
      </c>
      <c r="O1495" s="25"/>
      <c r="P1495" s="25" t="s">
        <v>550</v>
      </c>
      <c r="Q1495" s="25" t="s">
        <v>557</v>
      </c>
      <c r="R1495" s="26" t="n">
        <v>5500</v>
      </c>
      <c r="S1495" s="26" t="n">
        <f aca="false">IF(AND(L1495="Oui",K1495="Principal",R1495&lt;&gt;""),I1495*R1495,0)</f>
        <v>5500</v>
      </c>
      <c r="T1495" s="26" t="n">
        <f aca="false">IF(R1495&lt;&gt;"",M1495-S1495,0)</f>
        <v>1500</v>
      </c>
      <c r="U1495" s="26" t="n">
        <f aca="false">IF(R1495="",M1495,0)</f>
        <v>0</v>
      </c>
    </row>
    <row r="1496" customFormat="false" ht="15" hidden="false" customHeight="false" outlineLevel="0" collapsed="false">
      <c r="A1496" s="25" t="s">
        <v>65</v>
      </c>
      <c r="B1496" s="25" t="s">
        <v>71</v>
      </c>
      <c r="C1496" s="25" t="s">
        <v>49</v>
      </c>
      <c r="D1496" s="25" t="n">
        <v>26</v>
      </c>
      <c r="E1496" s="25" t="s">
        <v>689</v>
      </c>
      <c r="F1496" s="25" t="s">
        <v>465</v>
      </c>
      <c r="G1496" s="25" t="n">
        <v>1309</v>
      </c>
      <c r="H1496" s="25" t="s">
        <v>775</v>
      </c>
      <c r="I1496" s="25" t="n">
        <v>1</v>
      </c>
      <c r="J1496" s="26" t="n">
        <v>2800</v>
      </c>
      <c r="K1496" s="25" t="s">
        <v>546</v>
      </c>
      <c r="L1496" s="25" t="s">
        <v>547</v>
      </c>
      <c r="M1496" s="26" t="n">
        <f aca="false">IF(AND(L1496="Oui",K1496="Principal"),I1496*J1496,0)</f>
        <v>2800</v>
      </c>
      <c r="N1496" s="25" t="s">
        <v>548</v>
      </c>
      <c r="O1496" s="25"/>
      <c r="P1496" s="25" t="s">
        <v>550</v>
      </c>
      <c r="Q1496" s="25" t="s">
        <v>557</v>
      </c>
      <c r="R1496" s="26" t="n">
        <v>1800</v>
      </c>
      <c r="S1496" s="26" t="n">
        <f aca="false">IF(AND(L1496="Oui",K1496="Principal",R1496&lt;&gt;""),I1496*R1496,0)</f>
        <v>1800</v>
      </c>
      <c r="T1496" s="26" t="n">
        <f aca="false">IF(R1496&lt;&gt;"",M1496-S1496,0)</f>
        <v>1000</v>
      </c>
      <c r="U1496" s="26" t="n">
        <f aca="false">IF(R1496="",M1496,0)</f>
        <v>0</v>
      </c>
    </row>
    <row r="1497" customFormat="false" ht="15" hidden="false" customHeight="false" outlineLevel="0" collapsed="false">
      <c r="A1497" s="25" t="s">
        <v>65</v>
      </c>
      <c r="B1497" s="25" t="s">
        <v>71</v>
      </c>
      <c r="C1497" s="25" t="s">
        <v>49</v>
      </c>
      <c r="D1497" s="25" t="n">
        <v>27</v>
      </c>
      <c r="E1497" s="25" t="s">
        <v>689</v>
      </c>
      <c r="F1497" s="25" t="s">
        <v>467</v>
      </c>
      <c r="G1497" s="25" t="n">
        <v>1324</v>
      </c>
      <c r="H1497" s="25" t="s">
        <v>776</v>
      </c>
      <c r="I1497" s="25" t="n">
        <v>1</v>
      </c>
      <c r="J1497" s="26" t="n">
        <v>2800</v>
      </c>
      <c r="K1497" s="25" t="s">
        <v>546</v>
      </c>
      <c r="L1497" s="25" t="s">
        <v>547</v>
      </c>
      <c r="M1497" s="26" t="n">
        <f aca="false">IF(AND(L1497="Oui",K1497="Principal"),I1497*J1497,0)</f>
        <v>2800</v>
      </c>
      <c r="N1497" s="25" t="s">
        <v>548</v>
      </c>
      <c r="O1497" s="25"/>
      <c r="P1497" s="25" t="s">
        <v>550</v>
      </c>
      <c r="Q1497" s="25" t="s">
        <v>557</v>
      </c>
      <c r="R1497" s="26" t="n">
        <v>1800</v>
      </c>
      <c r="S1497" s="26" t="n">
        <f aca="false">IF(AND(L1497="Oui",K1497="Principal",R1497&lt;&gt;""),I1497*R1497,0)</f>
        <v>1800</v>
      </c>
      <c r="T1497" s="26" t="n">
        <f aca="false">IF(R1497&lt;&gt;"",M1497-S1497,0)</f>
        <v>1000</v>
      </c>
      <c r="U1497" s="26" t="n">
        <f aca="false">IF(R1497="",M1497,0)</f>
        <v>0</v>
      </c>
    </row>
    <row r="1498" customFormat="false" ht="15" hidden="false" customHeight="false" outlineLevel="0" collapsed="false">
      <c r="A1498" s="25" t="s">
        <v>65</v>
      </c>
      <c r="B1498" s="25" t="s">
        <v>71</v>
      </c>
      <c r="C1498" s="25" t="s">
        <v>49</v>
      </c>
      <c r="D1498" s="25" t="n">
        <v>28</v>
      </c>
      <c r="E1498" s="25" t="s">
        <v>686</v>
      </c>
      <c r="F1498" s="25" t="s">
        <v>489</v>
      </c>
      <c r="G1498" s="25" t="n">
        <v>1551</v>
      </c>
      <c r="H1498" s="25" t="s">
        <v>790</v>
      </c>
      <c r="I1498" s="25" t="n">
        <v>1</v>
      </c>
      <c r="J1498" s="26" t="n">
        <v>4720</v>
      </c>
      <c r="K1498" s="25" t="s">
        <v>546</v>
      </c>
      <c r="L1498" s="25" t="s">
        <v>547</v>
      </c>
      <c r="M1498" s="26" t="n">
        <f aca="false">IF(AND(L1498="Oui",K1498="Principal"),I1498*J1498,0)</f>
        <v>4720</v>
      </c>
      <c r="N1498" s="25" t="s">
        <v>548</v>
      </c>
      <c r="O1498" s="25"/>
      <c r="P1498" s="25" t="s">
        <v>550</v>
      </c>
      <c r="Q1498" s="25" t="s">
        <v>557</v>
      </c>
      <c r="R1498" s="26" t="n">
        <v>3720</v>
      </c>
      <c r="S1498" s="26" t="n">
        <f aca="false">IF(AND(L1498="Oui",K1498="Principal",R1498&lt;&gt;""),I1498*R1498,0)</f>
        <v>3720</v>
      </c>
      <c r="T1498" s="26" t="n">
        <f aca="false">IF(R1498&lt;&gt;"",M1498-S1498,0)</f>
        <v>1000</v>
      </c>
      <c r="U1498" s="26" t="n">
        <f aca="false">IF(R1498="",M1498,0)</f>
        <v>0</v>
      </c>
    </row>
    <row r="1499" customFormat="false" ht="15" hidden="false" customHeight="false" outlineLevel="0" collapsed="false">
      <c r="A1499" s="33" t="s">
        <v>65</v>
      </c>
      <c r="B1499" s="33" t="s">
        <v>71</v>
      </c>
      <c r="C1499" s="33" t="s">
        <v>49</v>
      </c>
      <c r="D1499" s="33" t="n">
        <v>29</v>
      </c>
      <c r="E1499" s="33" t="s">
        <v>588</v>
      </c>
      <c r="F1499" s="33" t="s">
        <v>478</v>
      </c>
      <c r="G1499" s="33" t="n">
        <v>51</v>
      </c>
      <c r="H1499" s="33" t="s">
        <v>782</v>
      </c>
      <c r="I1499" s="33" t="n">
        <v>1</v>
      </c>
      <c r="J1499" s="34" t="n">
        <v>8000</v>
      </c>
      <c r="K1499" s="33" t="s">
        <v>546</v>
      </c>
      <c r="L1499" s="33" t="s">
        <v>547</v>
      </c>
      <c r="M1499" s="34" t="n">
        <f aca="false">IF(AND(L1499="Oui",K1499="Principal"),I1499*J1499,0)</f>
        <v>8000</v>
      </c>
      <c r="N1499" s="33" t="s">
        <v>182</v>
      </c>
      <c r="O1499" s="33" t="s">
        <v>783</v>
      </c>
      <c r="P1499" s="33" t="s">
        <v>559</v>
      </c>
      <c r="Q1499" s="33" t="s">
        <v>557</v>
      </c>
      <c r="R1499" s="34" t="n">
        <v>6400</v>
      </c>
      <c r="S1499" s="34" t="n">
        <f aca="false">IF(AND(L1499="Oui",K1499="Principal",R1499&lt;&gt;""),I1499*R1499,0)</f>
        <v>6400</v>
      </c>
      <c r="T1499" s="34" t="n">
        <f aca="false">IF(R1499&lt;&gt;"",M1499-S1499,0)</f>
        <v>1600</v>
      </c>
      <c r="U1499" s="34" t="n">
        <f aca="false">IF(R1499="",M1499,0)</f>
        <v>0</v>
      </c>
    </row>
    <row r="1500" customFormat="false" ht="15" hidden="false" customHeight="false" outlineLevel="0" collapsed="false">
      <c r="A1500" s="25" t="s">
        <v>65</v>
      </c>
      <c r="B1500" s="25" t="s">
        <v>71</v>
      </c>
      <c r="C1500" s="25" t="s">
        <v>49</v>
      </c>
      <c r="D1500" s="25" t="n">
        <v>30</v>
      </c>
      <c r="E1500" s="25" t="s">
        <v>686</v>
      </c>
      <c r="F1500" s="25" t="s">
        <v>491</v>
      </c>
      <c r="G1500" s="25" t="n">
        <v>1562</v>
      </c>
      <c r="H1500" s="25" t="s">
        <v>791</v>
      </c>
      <c r="I1500" s="25" t="n">
        <v>1</v>
      </c>
      <c r="J1500" s="26" t="n">
        <v>4720</v>
      </c>
      <c r="K1500" s="25" t="s">
        <v>546</v>
      </c>
      <c r="L1500" s="25" t="s">
        <v>547</v>
      </c>
      <c r="M1500" s="26" t="n">
        <f aca="false">IF(AND(L1500="Oui",K1500="Principal"),I1500*J1500,0)</f>
        <v>4720</v>
      </c>
      <c r="N1500" s="25" t="s">
        <v>548</v>
      </c>
      <c r="O1500" s="25"/>
      <c r="P1500" s="25" t="s">
        <v>550</v>
      </c>
      <c r="Q1500" s="25" t="s">
        <v>557</v>
      </c>
      <c r="R1500" s="26" t="n">
        <v>3720</v>
      </c>
      <c r="S1500" s="26" t="n">
        <f aca="false">IF(AND(L1500="Oui",K1500="Principal",R1500&lt;&gt;""),I1500*R1500,0)</f>
        <v>3720</v>
      </c>
      <c r="T1500" s="26" t="n">
        <f aca="false">IF(R1500&lt;&gt;"",M1500-S1500,0)</f>
        <v>1000</v>
      </c>
      <c r="U1500" s="26" t="n">
        <f aca="false">IF(R1500="",M1500,0)</f>
        <v>0</v>
      </c>
    </row>
    <row r="1501" customFormat="false" ht="15" hidden="false" customHeight="false" outlineLevel="0" collapsed="false">
      <c r="A1501" s="25" t="s">
        <v>65</v>
      </c>
      <c r="B1501" s="25" t="s">
        <v>71</v>
      </c>
      <c r="C1501" s="25" t="s">
        <v>50</v>
      </c>
      <c r="D1501" s="25" t="n">
        <v>1</v>
      </c>
      <c r="E1501" s="25" t="s">
        <v>544</v>
      </c>
      <c r="F1501" s="25" t="s">
        <v>295</v>
      </c>
      <c r="G1501" s="25" t="n">
        <v>1618</v>
      </c>
      <c r="H1501" s="25" t="s">
        <v>600</v>
      </c>
      <c r="I1501" s="25" t="n">
        <v>2</v>
      </c>
      <c r="J1501" s="26" t="n">
        <v>450</v>
      </c>
      <c r="K1501" s="25" t="s">
        <v>546</v>
      </c>
      <c r="L1501" s="25" t="s">
        <v>547</v>
      </c>
      <c r="M1501" s="26" t="n">
        <f aca="false">IF(AND(L1501="Oui",K1501="Principal"),I1501*J1501,0)</f>
        <v>900</v>
      </c>
      <c r="N1501" s="25" t="s">
        <v>548</v>
      </c>
      <c r="O1501" s="25"/>
      <c r="P1501" s="25" t="s">
        <v>556</v>
      </c>
      <c r="Q1501" s="25" t="s">
        <v>557</v>
      </c>
      <c r="R1501" s="26" t="n">
        <v>350</v>
      </c>
      <c r="S1501" s="26" t="n">
        <f aca="false">IF(AND(L1501="Oui",K1501="Principal",R1501&lt;&gt;""),I1501*R1501,0)</f>
        <v>700</v>
      </c>
      <c r="T1501" s="26" t="n">
        <f aca="false">IF(R1501&lt;&gt;"",M1501-S1501,0)</f>
        <v>200</v>
      </c>
      <c r="U1501" s="26" t="n">
        <f aca="false">IF(R1501="",M1501,0)</f>
        <v>0</v>
      </c>
    </row>
    <row r="1502" customFormat="false" ht="15" hidden="false" customHeight="false" outlineLevel="0" collapsed="false">
      <c r="A1502" s="25" t="s">
        <v>65</v>
      </c>
      <c r="B1502" s="25" t="s">
        <v>71</v>
      </c>
      <c r="C1502" s="25" t="s">
        <v>50</v>
      </c>
      <c r="D1502" s="25" t="n">
        <v>2</v>
      </c>
      <c r="E1502" s="25" t="s">
        <v>544</v>
      </c>
      <c r="F1502" s="25" t="s">
        <v>296</v>
      </c>
      <c r="G1502" s="25" t="n">
        <v>1</v>
      </c>
      <c r="H1502" s="25" t="s">
        <v>681</v>
      </c>
      <c r="I1502" s="25" t="n">
        <v>4</v>
      </c>
      <c r="J1502" s="26" t="n">
        <v>500</v>
      </c>
      <c r="K1502" s="25" t="s">
        <v>546</v>
      </c>
      <c r="L1502" s="25" t="s">
        <v>547</v>
      </c>
      <c r="M1502" s="26" t="n">
        <f aca="false">IF(AND(L1502="Oui",K1502="Principal"),I1502*J1502,0)</f>
        <v>2000</v>
      </c>
      <c r="N1502" s="25" t="s">
        <v>548</v>
      </c>
      <c r="O1502" s="25"/>
      <c r="P1502" s="25" t="s">
        <v>559</v>
      </c>
      <c r="Q1502" s="25" t="s">
        <v>551</v>
      </c>
      <c r="R1502" s="26"/>
      <c r="S1502" s="26" t="n">
        <f aca="false">IF(AND(L1502="Oui",K1502="Principal",R1502&lt;&gt;""),I1502*R1502,0)</f>
        <v>0</v>
      </c>
      <c r="T1502" s="26" t="n">
        <f aca="false">IF(R1502&lt;&gt;"",M1502-S1502,0)</f>
        <v>0</v>
      </c>
      <c r="U1502" s="26" t="n">
        <f aca="false">IF(R1502="",M1502,0)</f>
        <v>2000</v>
      </c>
    </row>
    <row r="1503" customFormat="false" ht="15" hidden="false" customHeight="false" outlineLevel="0" collapsed="false">
      <c r="A1503" s="25" t="s">
        <v>65</v>
      </c>
      <c r="B1503" s="25" t="s">
        <v>71</v>
      </c>
      <c r="C1503" s="25" t="s">
        <v>50</v>
      </c>
      <c r="D1503" s="25" t="n">
        <v>3</v>
      </c>
      <c r="E1503" s="25" t="s">
        <v>544</v>
      </c>
      <c r="F1503" s="25" t="s">
        <v>298</v>
      </c>
      <c r="G1503" s="25" t="n">
        <v>1616</v>
      </c>
      <c r="H1503" s="25" t="s">
        <v>695</v>
      </c>
      <c r="I1503" s="25" t="n">
        <v>2</v>
      </c>
      <c r="J1503" s="26" t="n">
        <v>900</v>
      </c>
      <c r="K1503" s="25" t="s">
        <v>546</v>
      </c>
      <c r="L1503" s="25" t="s">
        <v>547</v>
      </c>
      <c r="M1503" s="26" t="n">
        <f aca="false">IF(AND(L1503="Oui",K1503="Principal"),I1503*J1503,0)</f>
        <v>1800</v>
      </c>
      <c r="N1503" s="25" t="s">
        <v>548</v>
      </c>
      <c r="O1503" s="25"/>
      <c r="P1503" s="25" t="s">
        <v>556</v>
      </c>
      <c r="Q1503" s="25" t="s">
        <v>557</v>
      </c>
      <c r="R1503" s="26" t="n">
        <v>800</v>
      </c>
      <c r="S1503" s="26" t="n">
        <f aca="false">IF(AND(L1503="Oui",K1503="Principal",R1503&lt;&gt;""),I1503*R1503,0)</f>
        <v>1600</v>
      </c>
      <c r="T1503" s="26" t="n">
        <f aca="false">IF(R1503&lt;&gt;"",M1503-S1503,0)</f>
        <v>200</v>
      </c>
      <c r="U1503" s="26" t="n">
        <f aca="false">IF(R1503="",M1503,0)</f>
        <v>0</v>
      </c>
    </row>
    <row r="1504" customFormat="false" ht="15" hidden="false" customHeight="false" outlineLevel="0" collapsed="false">
      <c r="A1504" s="25" t="s">
        <v>65</v>
      </c>
      <c r="B1504" s="25" t="s">
        <v>71</v>
      </c>
      <c r="C1504" s="25" t="s">
        <v>50</v>
      </c>
      <c r="D1504" s="25" t="n">
        <v>4</v>
      </c>
      <c r="E1504" s="25" t="s">
        <v>544</v>
      </c>
      <c r="F1504" s="25" t="s">
        <v>338</v>
      </c>
      <c r="G1504" s="25" t="n">
        <v>1715</v>
      </c>
      <c r="H1504" s="25" t="s">
        <v>713</v>
      </c>
      <c r="I1504" s="25" t="n">
        <v>5</v>
      </c>
      <c r="J1504" s="26" t="n">
        <v>1600</v>
      </c>
      <c r="K1504" s="25" t="s">
        <v>546</v>
      </c>
      <c r="L1504" s="25" t="s">
        <v>547</v>
      </c>
      <c r="M1504" s="26" t="n">
        <f aca="false">IF(AND(L1504="Oui",K1504="Principal"),I1504*J1504,0)</f>
        <v>8000</v>
      </c>
      <c r="N1504" s="25" t="s">
        <v>548</v>
      </c>
      <c r="O1504" s="25"/>
      <c r="P1504" s="25" t="s">
        <v>550</v>
      </c>
      <c r="Q1504" s="25" t="s">
        <v>557</v>
      </c>
      <c r="R1504" s="26" t="n">
        <v>1300</v>
      </c>
      <c r="S1504" s="26" t="n">
        <f aca="false">IF(AND(L1504="Oui",K1504="Principal",R1504&lt;&gt;""),I1504*R1504,0)</f>
        <v>6500</v>
      </c>
      <c r="T1504" s="26" t="n">
        <f aca="false">IF(R1504&lt;&gt;"",M1504-S1504,0)</f>
        <v>1500</v>
      </c>
      <c r="U1504" s="26" t="n">
        <f aca="false">IF(R1504="",M1504,0)</f>
        <v>0</v>
      </c>
    </row>
    <row r="1505" customFormat="false" ht="15" hidden="false" customHeight="false" outlineLevel="0" collapsed="false">
      <c r="A1505" s="25" t="s">
        <v>65</v>
      </c>
      <c r="B1505" s="25" t="s">
        <v>71</v>
      </c>
      <c r="C1505" s="25" t="s">
        <v>50</v>
      </c>
      <c r="D1505" s="25" t="n">
        <v>5</v>
      </c>
      <c r="E1505" s="25" t="s">
        <v>544</v>
      </c>
      <c r="F1505" s="25" t="s">
        <v>442</v>
      </c>
      <c r="G1505" s="25" t="n">
        <v>1729</v>
      </c>
      <c r="H1505" s="25" t="s">
        <v>552</v>
      </c>
      <c r="I1505" s="25" t="n">
        <v>1</v>
      </c>
      <c r="J1505" s="26" t="n">
        <v>1300</v>
      </c>
      <c r="K1505" s="25" t="s">
        <v>546</v>
      </c>
      <c r="L1505" s="25" t="s">
        <v>547</v>
      </c>
      <c r="M1505" s="26" t="n">
        <f aca="false">IF(AND(L1505="Oui",K1505="Principal"),I1505*J1505,0)</f>
        <v>1300</v>
      </c>
      <c r="N1505" s="25" t="s">
        <v>548</v>
      </c>
      <c r="O1505" s="25"/>
      <c r="P1505" s="25" t="s">
        <v>550</v>
      </c>
      <c r="Q1505" s="25" t="s">
        <v>551</v>
      </c>
      <c r="R1505" s="26"/>
      <c r="S1505" s="26" t="n">
        <f aca="false">IF(AND(L1505="Oui",K1505="Principal",R1505&lt;&gt;""),I1505*R1505,0)</f>
        <v>0</v>
      </c>
      <c r="T1505" s="26" t="n">
        <f aca="false">IF(R1505&lt;&gt;"",M1505-S1505,0)</f>
        <v>0</v>
      </c>
      <c r="U1505" s="26" t="n">
        <f aca="false">IF(R1505="",M1505,0)</f>
        <v>1300</v>
      </c>
    </row>
    <row r="1506" customFormat="false" ht="15" hidden="false" customHeight="false" outlineLevel="0" collapsed="false">
      <c r="A1506" s="25" t="s">
        <v>65</v>
      </c>
      <c r="B1506" s="25" t="s">
        <v>71</v>
      </c>
      <c r="C1506" s="25" t="s">
        <v>50</v>
      </c>
      <c r="D1506" s="25" t="n">
        <v>6</v>
      </c>
      <c r="E1506" s="25" t="s">
        <v>563</v>
      </c>
      <c r="F1506" s="25" t="s">
        <v>255</v>
      </c>
      <c r="G1506" s="25" t="n">
        <v>1636</v>
      </c>
      <c r="H1506" s="25" t="s">
        <v>661</v>
      </c>
      <c r="I1506" s="25" t="n">
        <v>1</v>
      </c>
      <c r="J1506" s="26" t="n">
        <v>400</v>
      </c>
      <c r="K1506" s="25" t="s">
        <v>546</v>
      </c>
      <c r="L1506" s="25" t="s">
        <v>547</v>
      </c>
      <c r="M1506" s="26" t="n">
        <f aca="false">IF(AND(L1506="Oui",K1506="Principal"),I1506*J1506,0)</f>
        <v>400</v>
      </c>
      <c r="N1506" s="25" t="s">
        <v>548</v>
      </c>
      <c r="O1506" s="25"/>
      <c r="P1506" s="25" t="s">
        <v>556</v>
      </c>
      <c r="Q1506" s="25" t="s">
        <v>557</v>
      </c>
      <c r="R1506" s="26" t="n">
        <v>320</v>
      </c>
      <c r="S1506" s="26" t="n">
        <f aca="false">IF(AND(L1506="Oui",K1506="Principal",R1506&lt;&gt;""),I1506*R1506,0)</f>
        <v>320</v>
      </c>
      <c r="T1506" s="26" t="n">
        <f aca="false">IF(R1506&lt;&gt;"",M1506-S1506,0)</f>
        <v>80</v>
      </c>
      <c r="U1506" s="26" t="n">
        <f aca="false">IF(R1506="",M1506,0)</f>
        <v>0</v>
      </c>
    </row>
    <row r="1507" customFormat="false" ht="15" hidden="false" customHeight="false" outlineLevel="0" collapsed="false">
      <c r="A1507" s="25" t="s">
        <v>65</v>
      </c>
      <c r="B1507" s="25" t="s">
        <v>71</v>
      </c>
      <c r="C1507" s="25" t="s">
        <v>50</v>
      </c>
      <c r="D1507" s="25" t="n">
        <v>7</v>
      </c>
      <c r="E1507" s="25" t="s">
        <v>563</v>
      </c>
      <c r="F1507" s="25" t="s">
        <v>257</v>
      </c>
      <c r="G1507" s="25" t="n">
        <v>1635</v>
      </c>
      <c r="H1507" s="25" t="s">
        <v>607</v>
      </c>
      <c r="I1507" s="25" t="n">
        <v>1</v>
      </c>
      <c r="J1507" s="26" t="n">
        <v>100</v>
      </c>
      <c r="K1507" s="25" t="s">
        <v>546</v>
      </c>
      <c r="L1507" s="25" t="s">
        <v>547</v>
      </c>
      <c r="M1507" s="26" t="n">
        <f aca="false">IF(AND(L1507="Oui",K1507="Principal"),I1507*J1507,0)</f>
        <v>100</v>
      </c>
      <c r="N1507" s="25" t="s">
        <v>548</v>
      </c>
      <c r="O1507" s="25"/>
      <c r="P1507" s="25" t="s">
        <v>556</v>
      </c>
      <c r="Q1507" s="25" t="s">
        <v>557</v>
      </c>
      <c r="R1507" s="26" t="n">
        <v>80</v>
      </c>
      <c r="S1507" s="26" t="n">
        <f aca="false">IF(AND(L1507="Oui",K1507="Principal",R1507&lt;&gt;""),I1507*R1507,0)</f>
        <v>80</v>
      </c>
      <c r="T1507" s="26" t="n">
        <f aca="false">IF(R1507&lt;&gt;"",M1507-S1507,0)</f>
        <v>20</v>
      </c>
      <c r="U1507" s="26" t="n">
        <f aca="false">IF(R1507="",M1507,0)</f>
        <v>0</v>
      </c>
    </row>
    <row r="1508" customFormat="false" ht="15" hidden="false" customHeight="false" outlineLevel="0" collapsed="false">
      <c r="A1508" s="25" t="s">
        <v>65</v>
      </c>
      <c r="B1508" s="25" t="s">
        <v>71</v>
      </c>
      <c r="C1508" s="25" t="s">
        <v>50</v>
      </c>
      <c r="D1508" s="25" t="n">
        <v>8</v>
      </c>
      <c r="E1508" s="25" t="s">
        <v>563</v>
      </c>
      <c r="F1508" s="25" t="s">
        <v>188</v>
      </c>
      <c r="G1508" s="25" t="n">
        <v>8</v>
      </c>
      <c r="H1508" s="25" t="s">
        <v>188</v>
      </c>
      <c r="I1508" s="25" t="n">
        <v>1</v>
      </c>
      <c r="J1508" s="26" t="n">
        <v>500</v>
      </c>
      <c r="K1508" s="25" t="s">
        <v>546</v>
      </c>
      <c r="L1508" s="25" t="s">
        <v>547</v>
      </c>
      <c r="M1508" s="26" t="n">
        <f aca="false">IF(AND(L1508="Oui",K1508="Principal"),I1508*J1508,0)</f>
        <v>500</v>
      </c>
      <c r="N1508" s="25" t="s">
        <v>548</v>
      </c>
      <c r="O1508" s="25"/>
      <c r="P1508" s="25" t="s">
        <v>559</v>
      </c>
      <c r="Q1508" s="25" t="s">
        <v>551</v>
      </c>
      <c r="R1508" s="26"/>
      <c r="S1508" s="26" t="n">
        <f aca="false">IF(AND(L1508="Oui",K1508="Principal",R1508&lt;&gt;""),I1508*R1508,0)</f>
        <v>0</v>
      </c>
      <c r="T1508" s="26" t="n">
        <f aca="false">IF(R1508&lt;&gt;"",M1508-S1508,0)</f>
        <v>0</v>
      </c>
      <c r="U1508" s="26" t="n">
        <f aca="false">IF(R1508="",M1508,0)</f>
        <v>500</v>
      </c>
    </row>
    <row r="1509" customFormat="false" ht="15" hidden="false" customHeight="false" outlineLevel="0" collapsed="false">
      <c r="A1509" s="25" t="s">
        <v>65</v>
      </c>
      <c r="B1509" s="25" t="s">
        <v>71</v>
      </c>
      <c r="C1509" s="25" t="s">
        <v>50</v>
      </c>
      <c r="D1509" s="25" t="n">
        <v>9</v>
      </c>
      <c r="E1509" s="25" t="s">
        <v>563</v>
      </c>
      <c r="F1509" s="25" t="s">
        <v>323</v>
      </c>
      <c r="G1509" s="25" t="n">
        <v>1607</v>
      </c>
      <c r="H1509" s="25" t="s">
        <v>696</v>
      </c>
      <c r="I1509" s="25" t="n">
        <v>1</v>
      </c>
      <c r="J1509" s="26" t="n">
        <v>2500</v>
      </c>
      <c r="K1509" s="25" t="s">
        <v>546</v>
      </c>
      <c r="L1509" s="25" t="s">
        <v>547</v>
      </c>
      <c r="M1509" s="26" t="n">
        <f aca="false">IF(AND(L1509="Oui",K1509="Principal"),I1509*J1509,0)</f>
        <v>2500</v>
      </c>
      <c r="N1509" s="25" t="s">
        <v>548</v>
      </c>
      <c r="O1509" s="25"/>
      <c r="P1509" s="25" t="s">
        <v>556</v>
      </c>
      <c r="Q1509" s="25" t="s">
        <v>557</v>
      </c>
      <c r="R1509" s="26" t="n">
        <v>2000</v>
      </c>
      <c r="S1509" s="26" t="n">
        <f aca="false">IF(AND(L1509="Oui",K1509="Principal",R1509&lt;&gt;""),I1509*R1509,0)</f>
        <v>2000</v>
      </c>
      <c r="T1509" s="26" t="n">
        <f aca="false">IF(R1509&lt;&gt;"",M1509-S1509,0)</f>
        <v>500</v>
      </c>
      <c r="U1509" s="26" t="n">
        <f aca="false">IF(R1509="",M1509,0)</f>
        <v>0</v>
      </c>
    </row>
    <row r="1510" customFormat="false" ht="15" hidden="false" customHeight="false" outlineLevel="0" collapsed="false">
      <c r="A1510" s="25" t="s">
        <v>65</v>
      </c>
      <c r="B1510" s="25" t="s">
        <v>71</v>
      </c>
      <c r="C1510" s="25" t="s">
        <v>50</v>
      </c>
      <c r="D1510" s="25" t="n">
        <v>10</v>
      </c>
      <c r="E1510" s="25" t="s">
        <v>563</v>
      </c>
      <c r="F1510" s="25" t="s">
        <v>325</v>
      </c>
      <c r="G1510" s="25" t="n">
        <v>1639</v>
      </c>
      <c r="H1510" s="25" t="s">
        <v>702</v>
      </c>
      <c r="I1510" s="25" t="n">
        <v>1</v>
      </c>
      <c r="J1510" s="26" t="n">
        <v>1000</v>
      </c>
      <c r="K1510" s="25" t="s">
        <v>546</v>
      </c>
      <c r="L1510" s="25" t="s">
        <v>547</v>
      </c>
      <c r="M1510" s="26" t="n">
        <f aca="false">IF(AND(L1510="Oui",K1510="Principal"),I1510*J1510,0)</f>
        <v>1000</v>
      </c>
      <c r="N1510" s="25" t="s">
        <v>548</v>
      </c>
      <c r="O1510" s="25"/>
      <c r="P1510" s="25" t="s">
        <v>556</v>
      </c>
      <c r="Q1510" s="25" t="s">
        <v>557</v>
      </c>
      <c r="R1510" s="26" t="n">
        <v>700</v>
      </c>
      <c r="S1510" s="26" t="n">
        <f aca="false">IF(AND(L1510="Oui",K1510="Principal",R1510&lt;&gt;""),I1510*R1510,0)</f>
        <v>700</v>
      </c>
      <c r="T1510" s="26" t="n">
        <f aca="false">IF(R1510&lt;&gt;"",M1510-S1510,0)</f>
        <v>300</v>
      </c>
      <c r="U1510" s="26" t="n">
        <f aca="false">IF(R1510="",M1510,0)</f>
        <v>0</v>
      </c>
    </row>
    <row r="1511" customFormat="false" ht="15" hidden="false" customHeight="false" outlineLevel="0" collapsed="false">
      <c r="A1511" s="25" t="s">
        <v>65</v>
      </c>
      <c r="B1511" s="25" t="s">
        <v>71</v>
      </c>
      <c r="C1511" s="25" t="s">
        <v>50</v>
      </c>
      <c r="D1511" s="25" t="n">
        <v>11</v>
      </c>
      <c r="E1511" s="25" t="s">
        <v>565</v>
      </c>
      <c r="F1511" s="25" t="s">
        <v>99</v>
      </c>
      <c r="G1511" s="25" t="n">
        <v>1181</v>
      </c>
      <c r="H1511" s="25" t="s">
        <v>581</v>
      </c>
      <c r="I1511" s="25" t="n">
        <v>1</v>
      </c>
      <c r="J1511" s="26" t="n">
        <v>250</v>
      </c>
      <c r="K1511" s="25" t="s">
        <v>546</v>
      </c>
      <c r="L1511" s="25" t="s">
        <v>547</v>
      </c>
      <c r="M1511" s="26" t="n">
        <f aca="false">IF(AND(L1511="Oui",K1511="Principal"),I1511*J1511,0)</f>
        <v>250</v>
      </c>
      <c r="N1511" s="25" t="s">
        <v>548</v>
      </c>
      <c r="O1511" s="25"/>
      <c r="P1511" s="25" t="s">
        <v>550</v>
      </c>
      <c r="Q1511" s="25" t="s">
        <v>557</v>
      </c>
      <c r="R1511" s="26" t="n">
        <v>110</v>
      </c>
      <c r="S1511" s="26" t="n">
        <f aca="false">IF(AND(L1511="Oui",K1511="Principal",R1511&lt;&gt;""),I1511*R1511,0)</f>
        <v>110</v>
      </c>
      <c r="T1511" s="26" t="n">
        <f aca="false">IF(R1511&lt;&gt;"",M1511-S1511,0)</f>
        <v>140</v>
      </c>
      <c r="U1511" s="26" t="n">
        <f aca="false">IF(R1511="",M1511,0)</f>
        <v>0</v>
      </c>
    </row>
    <row r="1512" customFormat="false" ht="15" hidden="false" customHeight="false" outlineLevel="0" collapsed="false">
      <c r="A1512" s="25" t="s">
        <v>65</v>
      </c>
      <c r="B1512" s="25" t="s">
        <v>71</v>
      </c>
      <c r="C1512" s="25" t="s">
        <v>50</v>
      </c>
      <c r="D1512" s="25" t="n">
        <v>12</v>
      </c>
      <c r="E1512" s="25" t="s">
        <v>565</v>
      </c>
      <c r="F1512" s="25" t="s">
        <v>164</v>
      </c>
      <c r="G1512" s="25" t="n">
        <v>1587</v>
      </c>
      <c r="H1512" s="25" t="s">
        <v>567</v>
      </c>
      <c r="I1512" s="25" t="n">
        <v>1</v>
      </c>
      <c r="J1512" s="26" t="n">
        <v>500</v>
      </c>
      <c r="K1512" s="25" t="s">
        <v>546</v>
      </c>
      <c r="L1512" s="25" t="s">
        <v>547</v>
      </c>
      <c r="M1512" s="26" t="n">
        <f aca="false">IF(AND(L1512="Oui",K1512="Principal"),I1512*J1512,0)</f>
        <v>500</v>
      </c>
      <c r="N1512" s="25" t="s">
        <v>548</v>
      </c>
      <c r="O1512" s="25"/>
      <c r="P1512" s="25" t="s">
        <v>556</v>
      </c>
      <c r="Q1512" s="25" t="s">
        <v>557</v>
      </c>
      <c r="R1512" s="26" t="n">
        <v>350</v>
      </c>
      <c r="S1512" s="26" t="n">
        <f aca="false">IF(AND(L1512="Oui",K1512="Principal",R1512&lt;&gt;""),I1512*R1512,0)</f>
        <v>350</v>
      </c>
      <c r="T1512" s="26" t="n">
        <f aca="false">IF(R1512&lt;&gt;"",M1512-S1512,0)</f>
        <v>150</v>
      </c>
      <c r="U1512" s="26" t="n">
        <f aca="false">IF(R1512="",M1512,0)</f>
        <v>0</v>
      </c>
    </row>
    <row r="1513" customFormat="false" ht="15" hidden="false" customHeight="false" outlineLevel="0" collapsed="false">
      <c r="A1513" s="25" t="s">
        <v>65</v>
      </c>
      <c r="B1513" s="25" t="s">
        <v>71</v>
      </c>
      <c r="C1513" s="25" t="s">
        <v>50</v>
      </c>
      <c r="D1513" s="25" t="n">
        <v>13</v>
      </c>
      <c r="E1513" s="25" t="s">
        <v>565</v>
      </c>
      <c r="F1513" s="25" t="s">
        <v>166</v>
      </c>
      <c r="G1513" s="25" t="n">
        <v>1604</v>
      </c>
      <c r="H1513" s="25" t="s">
        <v>582</v>
      </c>
      <c r="I1513" s="25" t="n">
        <v>2</v>
      </c>
      <c r="J1513" s="26" t="n">
        <v>700</v>
      </c>
      <c r="K1513" s="25" t="s">
        <v>546</v>
      </c>
      <c r="L1513" s="25" t="s">
        <v>547</v>
      </c>
      <c r="M1513" s="26" t="n">
        <f aca="false">IF(AND(L1513="Oui",K1513="Principal"),I1513*J1513,0)</f>
        <v>1400</v>
      </c>
      <c r="N1513" s="25" t="s">
        <v>548</v>
      </c>
      <c r="O1513" s="25"/>
      <c r="P1513" s="25" t="s">
        <v>556</v>
      </c>
      <c r="Q1513" s="25" t="s">
        <v>557</v>
      </c>
      <c r="R1513" s="26" t="n">
        <v>400</v>
      </c>
      <c r="S1513" s="26" t="n">
        <f aca="false">IF(AND(L1513="Oui",K1513="Principal",R1513&lt;&gt;""),I1513*R1513,0)</f>
        <v>800</v>
      </c>
      <c r="T1513" s="26" t="n">
        <f aca="false">IF(R1513&lt;&gt;"",M1513-S1513,0)</f>
        <v>600</v>
      </c>
      <c r="U1513" s="26" t="n">
        <f aca="false">IF(R1513="",M1513,0)</f>
        <v>0</v>
      </c>
    </row>
    <row r="1514" customFormat="false" ht="15" hidden="false" customHeight="false" outlineLevel="0" collapsed="false">
      <c r="A1514" s="25" t="s">
        <v>65</v>
      </c>
      <c r="B1514" s="25" t="s">
        <v>71</v>
      </c>
      <c r="C1514" s="25" t="s">
        <v>50</v>
      </c>
      <c r="D1514" s="25" t="n">
        <v>14</v>
      </c>
      <c r="E1514" s="25" t="s">
        <v>565</v>
      </c>
      <c r="F1514" s="25" t="s">
        <v>304</v>
      </c>
      <c r="G1514" s="25" t="n">
        <v>1586</v>
      </c>
      <c r="H1514" s="25" t="s">
        <v>583</v>
      </c>
      <c r="I1514" s="25" t="n">
        <v>1</v>
      </c>
      <c r="J1514" s="26" t="n">
        <v>900</v>
      </c>
      <c r="K1514" s="25" t="s">
        <v>546</v>
      </c>
      <c r="L1514" s="25" t="s">
        <v>547</v>
      </c>
      <c r="M1514" s="26" t="n">
        <f aca="false">IF(AND(L1514="Oui",K1514="Principal"),I1514*J1514,0)</f>
        <v>900</v>
      </c>
      <c r="N1514" s="25" t="s">
        <v>548</v>
      </c>
      <c r="O1514" s="25"/>
      <c r="P1514" s="25" t="s">
        <v>556</v>
      </c>
      <c r="Q1514" s="25" t="s">
        <v>557</v>
      </c>
      <c r="R1514" s="26" t="n">
        <v>650</v>
      </c>
      <c r="S1514" s="26" t="n">
        <f aca="false">IF(AND(L1514="Oui",K1514="Principal",R1514&lt;&gt;""),I1514*R1514,0)</f>
        <v>650</v>
      </c>
      <c r="T1514" s="26" t="n">
        <f aca="false">IF(R1514&lt;&gt;"",M1514-S1514,0)</f>
        <v>250</v>
      </c>
      <c r="U1514" s="26" t="n">
        <f aca="false">IF(R1514="",M1514,0)</f>
        <v>0</v>
      </c>
    </row>
    <row r="1515" customFormat="false" ht="15" hidden="false" customHeight="false" outlineLevel="0" collapsed="false">
      <c r="A1515" s="33" t="s">
        <v>65</v>
      </c>
      <c r="B1515" s="33" t="s">
        <v>71</v>
      </c>
      <c r="C1515" s="33" t="s">
        <v>50</v>
      </c>
      <c r="D1515" s="33" t="n">
        <v>15</v>
      </c>
      <c r="E1515" s="33" t="s">
        <v>609</v>
      </c>
      <c r="F1515" s="33" t="s">
        <v>199</v>
      </c>
      <c r="G1515" s="33" t="n">
        <v>1229</v>
      </c>
      <c r="H1515" s="33" t="s">
        <v>643</v>
      </c>
      <c r="I1515" s="33" t="n">
        <v>1</v>
      </c>
      <c r="J1515" s="34" t="n">
        <v>1800</v>
      </c>
      <c r="K1515" s="33" t="s">
        <v>546</v>
      </c>
      <c r="L1515" s="33" t="s">
        <v>547</v>
      </c>
      <c r="M1515" s="34" t="n">
        <f aca="false">IF(AND(L1515="Oui",K1515="Principal"),I1515*J1515,0)</f>
        <v>1800</v>
      </c>
      <c r="N1515" s="33" t="s">
        <v>182</v>
      </c>
      <c r="O1515" s="33" t="s">
        <v>644</v>
      </c>
      <c r="P1515" s="33" t="s">
        <v>550</v>
      </c>
      <c r="Q1515" s="33" t="s">
        <v>557</v>
      </c>
      <c r="R1515" s="34" t="n">
        <v>1500</v>
      </c>
      <c r="S1515" s="34" t="n">
        <f aca="false">IF(AND(L1515="Oui",K1515="Principal",R1515&lt;&gt;""),I1515*R1515,0)</f>
        <v>1500</v>
      </c>
      <c r="T1515" s="34" t="n">
        <f aca="false">IF(R1515&lt;&gt;"",M1515-S1515,0)</f>
        <v>300</v>
      </c>
      <c r="U1515" s="34" t="n">
        <f aca="false">IF(R1515="",M1515,0)</f>
        <v>0</v>
      </c>
    </row>
    <row r="1516" customFormat="false" ht="15" hidden="false" customHeight="false" outlineLevel="0" collapsed="false">
      <c r="A1516" s="25" t="s">
        <v>65</v>
      </c>
      <c r="B1516" s="25" t="s">
        <v>71</v>
      </c>
      <c r="C1516" s="25" t="s">
        <v>50</v>
      </c>
      <c r="D1516" s="25" t="n">
        <v>16</v>
      </c>
      <c r="E1516" s="25" t="s">
        <v>609</v>
      </c>
      <c r="F1516" s="25" t="s">
        <v>443</v>
      </c>
      <c r="G1516" s="25" t="n">
        <v>1727</v>
      </c>
      <c r="H1516" s="25" t="s">
        <v>698</v>
      </c>
      <c r="I1516" s="25" t="n">
        <v>1</v>
      </c>
      <c r="J1516" s="26" t="n">
        <v>4750</v>
      </c>
      <c r="K1516" s="25" t="s">
        <v>546</v>
      </c>
      <c r="L1516" s="25" t="s">
        <v>547</v>
      </c>
      <c r="M1516" s="26" t="n">
        <f aca="false">IF(AND(L1516="Oui",K1516="Principal"),I1516*J1516,0)</f>
        <v>4750</v>
      </c>
      <c r="N1516" s="25" t="s">
        <v>548</v>
      </c>
      <c r="O1516" s="25"/>
      <c r="P1516" s="25" t="s">
        <v>559</v>
      </c>
      <c r="Q1516" s="25" t="s">
        <v>557</v>
      </c>
      <c r="R1516" s="26" t="n">
        <v>3700</v>
      </c>
      <c r="S1516" s="26" t="n">
        <f aca="false">IF(AND(L1516="Oui",K1516="Principal",R1516&lt;&gt;""),I1516*R1516,0)</f>
        <v>3700</v>
      </c>
      <c r="T1516" s="26" t="n">
        <f aca="false">IF(R1516&lt;&gt;"",M1516-S1516,0)</f>
        <v>1050</v>
      </c>
      <c r="U1516" s="26" t="n">
        <f aca="false">IF(R1516="",M1516,0)</f>
        <v>0</v>
      </c>
    </row>
    <row r="1517" customFormat="false" ht="15" hidden="false" customHeight="false" outlineLevel="0" collapsed="false">
      <c r="A1517" s="25" t="s">
        <v>65</v>
      </c>
      <c r="B1517" s="25" t="s">
        <v>71</v>
      </c>
      <c r="C1517" s="25" t="s">
        <v>50</v>
      </c>
      <c r="D1517" s="25" t="n">
        <v>17</v>
      </c>
      <c r="E1517" s="25" t="s">
        <v>700</v>
      </c>
      <c r="F1517" s="25" t="s">
        <v>329</v>
      </c>
      <c r="G1517" s="25" t="n">
        <v>1716</v>
      </c>
      <c r="H1517" s="25" t="s">
        <v>701</v>
      </c>
      <c r="I1517" s="25" t="n">
        <v>1</v>
      </c>
      <c r="J1517" s="26" t="n">
        <v>1800</v>
      </c>
      <c r="K1517" s="25" t="s">
        <v>546</v>
      </c>
      <c r="L1517" s="25" t="s">
        <v>547</v>
      </c>
      <c r="M1517" s="26" t="n">
        <f aca="false">IF(AND(L1517="Oui",K1517="Principal"),I1517*J1517,0)</f>
        <v>1800</v>
      </c>
      <c r="N1517" s="25" t="s">
        <v>548</v>
      </c>
      <c r="O1517" s="25"/>
      <c r="P1517" s="25" t="s">
        <v>559</v>
      </c>
      <c r="Q1517" s="25" t="s">
        <v>557</v>
      </c>
      <c r="R1517" s="26" t="n">
        <v>1300</v>
      </c>
      <c r="S1517" s="26" t="n">
        <f aca="false">IF(AND(L1517="Oui",K1517="Principal",R1517&lt;&gt;""),I1517*R1517,0)</f>
        <v>1300</v>
      </c>
      <c r="T1517" s="26" t="n">
        <f aca="false">IF(R1517&lt;&gt;"",M1517-S1517,0)</f>
        <v>500</v>
      </c>
      <c r="U1517" s="26" t="n">
        <f aca="false">IF(R1517="",M1517,0)</f>
        <v>0</v>
      </c>
    </row>
    <row r="1518" customFormat="false" ht="15" hidden="false" customHeight="false" outlineLevel="0" collapsed="false">
      <c r="A1518" s="27" t="s">
        <v>65</v>
      </c>
      <c r="B1518" s="27" t="s">
        <v>71</v>
      </c>
      <c r="C1518" s="27" t="s">
        <v>50</v>
      </c>
      <c r="D1518" s="27" t="n">
        <v>18</v>
      </c>
      <c r="E1518" s="27" t="s">
        <v>700</v>
      </c>
      <c r="F1518" s="27" t="s">
        <v>430</v>
      </c>
      <c r="G1518" s="27"/>
      <c r="H1518" s="27" t="s">
        <v>585</v>
      </c>
      <c r="I1518" s="27" t="n">
        <v>1</v>
      </c>
      <c r="J1518" s="28" t="n">
        <v>0</v>
      </c>
      <c r="K1518" s="27" t="s">
        <v>546</v>
      </c>
      <c r="L1518" s="27" t="s">
        <v>579</v>
      </c>
      <c r="M1518" s="28" t="n">
        <f aca="false">IF(AND(L1518="Oui",K1518="Principal"),I1518*J1518,0)</f>
        <v>0</v>
      </c>
      <c r="N1518" s="27" t="s">
        <v>128</v>
      </c>
      <c r="O1518" s="27" t="s">
        <v>586</v>
      </c>
      <c r="P1518" s="27"/>
      <c r="Q1518" s="27"/>
      <c r="R1518" s="28"/>
      <c r="S1518" s="28" t="n">
        <f aca="false">IF(AND(L1518="Oui",K1518="Principal",R1518&lt;&gt;""),I1518*R1518,0)</f>
        <v>0</v>
      </c>
      <c r="T1518" s="28" t="n">
        <f aca="false">IF(R1518&lt;&gt;"",M1518-S1518,0)</f>
        <v>0</v>
      </c>
      <c r="U1518" s="28" t="n">
        <f aca="false">IF(R1518="",M1518,0)</f>
        <v>0</v>
      </c>
    </row>
    <row r="1519" customFormat="false" ht="15" hidden="false" customHeight="false" outlineLevel="0" collapsed="false">
      <c r="A1519" s="27" t="s">
        <v>65</v>
      </c>
      <c r="B1519" s="27" t="s">
        <v>71</v>
      </c>
      <c r="C1519" s="27" t="s">
        <v>50</v>
      </c>
      <c r="D1519" s="27" t="n">
        <v>19</v>
      </c>
      <c r="E1519" s="27" t="s">
        <v>700</v>
      </c>
      <c r="F1519" s="27" t="s">
        <v>382</v>
      </c>
      <c r="G1519" s="27"/>
      <c r="H1519" s="27" t="s">
        <v>585</v>
      </c>
      <c r="I1519" s="27" t="n">
        <v>1</v>
      </c>
      <c r="J1519" s="28" t="n">
        <v>0</v>
      </c>
      <c r="K1519" s="27" t="s">
        <v>546</v>
      </c>
      <c r="L1519" s="27" t="s">
        <v>579</v>
      </c>
      <c r="M1519" s="28" t="n">
        <f aca="false">IF(AND(L1519="Oui",K1519="Principal"),I1519*J1519,0)</f>
        <v>0</v>
      </c>
      <c r="N1519" s="27" t="s">
        <v>128</v>
      </c>
      <c r="O1519" s="27" t="s">
        <v>586</v>
      </c>
      <c r="P1519" s="27"/>
      <c r="Q1519" s="27"/>
      <c r="R1519" s="28"/>
      <c r="S1519" s="28" t="n">
        <f aca="false">IF(AND(L1519="Oui",K1519="Principal",R1519&lt;&gt;""),I1519*R1519,0)</f>
        <v>0</v>
      </c>
      <c r="T1519" s="28" t="n">
        <f aca="false">IF(R1519&lt;&gt;"",M1519-S1519,0)</f>
        <v>0</v>
      </c>
      <c r="U1519" s="28" t="n">
        <f aca="false">IF(R1519="",M1519,0)</f>
        <v>0</v>
      </c>
    </row>
    <row r="1520" customFormat="false" ht="15" hidden="false" customHeight="false" outlineLevel="0" collapsed="false">
      <c r="A1520" s="25" t="s">
        <v>65</v>
      </c>
      <c r="B1520" s="25" t="s">
        <v>71</v>
      </c>
      <c r="C1520" s="25" t="s">
        <v>50</v>
      </c>
      <c r="D1520" s="25" t="n">
        <v>20</v>
      </c>
      <c r="E1520" s="25" t="s">
        <v>571</v>
      </c>
      <c r="F1520" s="25" t="s">
        <v>431</v>
      </c>
      <c r="G1520" s="25" t="n">
        <v>1631</v>
      </c>
      <c r="H1520" s="25" t="s">
        <v>755</v>
      </c>
      <c r="I1520" s="25" t="n">
        <v>1</v>
      </c>
      <c r="J1520" s="26" t="n">
        <v>2700</v>
      </c>
      <c r="K1520" s="25" t="s">
        <v>546</v>
      </c>
      <c r="L1520" s="25" t="s">
        <v>547</v>
      </c>
      <c r="M1520" s="26" t="n">
        <f aca="false">IF(AND(L1520="Oui",K1520="Principal"),I1520*J1520,0)</f>
        <v>2700</v>
      </c>
      <c r="N1520" s="25" t="s">
        <v>548</v>
      </c>
      <c r="O1520" s="25"/>
      <c r="P1520" s="25" t="s">
        <v>556</v>
      </c>
      <c r="Q1520" s="25" t="s">
        <v>557</v>
      </c>
      <c r="R1520" s="26" t="n">
        <v>2000</v>
      </c>
      <c r="S1520" s="26" t="n">
        <f aca="false">IF(AND(L1520="Oui",K1520="Principal",R1520&lt;&gt;""),I1520*R1520,0)</f>
        <v>2000</v>
      </c>
      <c r="T1520" s="26" t="n">
        <f aca="false">IF(R1520&lt;&gt;"",M1520-S1520,0)</f>
        <v>700</v>
      </c>
      <c r="U1520" s="26" t="n">
        <f aca="false">IF(R1520="",M1520,0)</f>
        <v>0</v>
      </c>
    </row>
    <row r="1521" customFormat="false" ht="15" hidden="false" customHeight="false" outlineLevel="0" collapsed="false">
      <c r="A1521" s="25" t="s">
        <v>65</v>
      </c>
      <c r="B1521" s="25" t="s">
        <v>71</v>
      </c>
      <c r="C1521" s="25" t="s">
        <v>50</v>
      </c>
      <c r="D1521" s="25" t="n">
        <v>21</v>
      </c>
      <c r="E1521" s="25" t="s">
        <v>571</v>
      </c>
      <c r="F1521" s="25" t="s">
        <v>433</v>
      </c>
      <c r="G1521" s="25" t="n">
        <v>1683</v>
      </c>
      <c r="H1521" s="25" t="s">
        <v>756</v>
      </c>
      <c r="I1521" s="25" t="n">
        <v>1</v>
      </c>
      <c r="J1521" s="26" t="n">
        <v>1000</v>
      </c>
      <c r="K1521" s="25" t="s">
        <v>546</v>
      </c>
      <c r="L1521" s="25" t="s">
        <v>547</v>
      </c>
      <c r="M1521" s="26" t="n">
        <f aca="false">IF(AND(L1521="Oui",K1521="Principal"),I1521*J1521,0)</f>
        <v>1000</v>
      </c>
      <c r="N1521" s="25" t="s">
        <v>548</v>
      </c>
      <c r="O1521" s="25"/>
      <c r="P1521" s="25" t="s">
        <v>556</v>
      </c>
      <c r="Q1521" s="25" t="s">
        <v>557</v>
      </c>
      <c r="R1521" s="26"/>
      <c r="S1521" s="26" t="n">
        <f aca="false">IF(AND(L1521="Oui",K1521="Principal",R1521&lt;&gt;""),I1521*R1521,0)</f>
        <v>0</v>
      </c>
      <c r="T1521" s="26" t="n">
        <f aca="false">IF(R1521&lt;&gt;"",M1521-S1521,0)</f>
        <v>0</v>
      </c>
      <c r="U1521" s="26" t="n">
        <f aca="false">IF(R1521="",M1521,0)</f>
        <v>1000</v>
      </c>
    </row>
    <row r="1522" customFormat="false" ht="15" hidden="false" customHeight="false" outlineLevel="0" collapsed="false">
      <c r="A1522" s="33" t="s">
        <v>65</v>
      </c>
      <c r="B1522" s="33" t="s">
        <v>71</v>
      </c>
      <c r="C1522" s="33" t="s">
        <v>50</v>
      </c>
      <c r="D1522" s="33" t="n">
        <v>22</v>
      </c>
      <c r="E1522" s="33" t="s">
        <v>571</v>
      </c>
      <c r="F1522" s="33" t="s">
        <v>435</v>
      </c>
      <c r="G1522" s="33" t="n">
        <v>1269</v>
      </c>
      <c r="H1522" s="33" t="s">
        <v>757</v>
      </c>
      <c r="I1522" s="33" t="n">
        <v>1</v>
      </c>
      <c r="J1522" s="34" t="n">
        <v>1150</v>
      </c>
      <c r="K1522" s="33" t="s">
        <v>546</v>
      </c>
      <c r="L1522" s="33" t="s">
        <v>547</v>
      </c>
      <c r="M1522" s="34" t="n">
        <f aca="false">IF(AND(L1522="Oui",K1522="Principal"),I1522*J1522,0)</f>
        <v>1150</v>
      </c>
      <c r="N1522" s="33" t="s">
        <v>182</v>
      </c>
      <c r="O1522" s="33" t="s">
        <v>758</v>
      </c>
      <c r="P1522" s="33" t="s">
        <v>550</v>
      </c>
      <c r="Q1522" s="33" t="s">
        <v>557</v>
      </c>
      <c r="R1522" s="34" t="n">
        <v>850</v>
      </c>
      <c r="S1522" s="34" t="n">
        <f aca="false">IF(AND(L1522="Oui",K1522="Principal",R1522&lt;&gt;""),I1522*R1522,0)</f>
        <v>850</v>
      </c>
      <c r="T1522" s="34" t="n">
        <f aca="false">IF(R1522&lt;&gt;"",M1522-S1522,0)</f>
        <v>300</v>
      </c>
      <c r="U1522" s="34" t="n">
        <f aca="false">IF(R1522="",M1522,0)</f>
        <v>0</v>
      </c>
    </row>
    <row r="1523" customFormat="false" ht="15" hidden="false" customHeight="false" outlineLevel="0" collapsed="false">
      <c r="A1523" s="25" t="s">
        <v>65</v>
      </c>
      <c r="B1523" s="25" t="s">
        <v>71</v>
      </c>
      <c r="C1523" s="25" t="s">
        <v>50</v>
      </c>
      <c r="D1523" s="25" t="n">
        <v>23</v>
      </c>
      <c r="E1523" s="25" t="s">
        <v>573</v>
      </c>
      <c r="F1523" s="25" t="s">
        <v>176</v>
      </c>
      <c r="G1523" s="25" t="n">
        <v>19</v>
      </c>
      <c r="H1523" s="25" t="s">
        <v>615</v>
      </c>
      <c r="I1523" s="25" t="n">
        <v>1</v>
      </c>
      <c r="J1523" s="26" t="n">
        <v>2500</v>
      </c>
      <c r="K1523" s="25" t="s">
        <v>546</v>
      </c>
      <c r="L1523" s="25" t="s">
        <v>547</v>
      </c>
      <c r="M1523" s="26" t="n">
        <f aca="false">IF(AND(L1523="Oui",K1523="Principal"),I1523*J1523,0)</f>
        <v>2500</v>
      </c>
      <c r="N1523" s="25" t="s">
        <v>548</v>
      </c>
      <c r="O1523" s="25"/>
      <c r="P1523" s="25" t="s">
        <v>559</v>
      </c>
      <c r="Q1523" s="25" t="s">
        <v>551</v>
      </c>
      <c r="R1523" s="26"/>
      <c r="S1523" s="26" t="n">
        <f aca="false">IF(AND(L1523="Oui",K1523="Principal",R1523&lt;&gt;""),I1523*R1523,0)</f>
        <v>0</v>
      </c>
      <c r="T1523" s="26" t="n">
        <f aca="false">IF(R1523&lt;&gt;"",M1523-S1523,0)</f>
        <v>0</v>
      </c>
      <c r="U1523" s="26" t="n">
        <f aca="false">IF(R1523="",M1523,0)</f>
        <v>2500</v>
      </c>
    </row>
    <row r="1524" customFormat="false" ht="15" hidden="false" customHeight="false" outlineLevel="0" collapsed="false">
      <c r="A1524" s="25" t="s">
        <v>65</v>
      </c>
      <c r="B1524" s="25" t="s">
        <v>71</v>
      </c>
      <c r="C1524" s="25" t="s">
        <v>50</v>
      </c>
      <c r="D1524" s="25" t="n">
        <v>24</v>
      </c>
      <c r="E1524" s="25" t="s">
        <v>573</v>
      </c>
      <c r="F1524" s="25" t="s">
        <v>117</v>
      </c>
      <c r="G1524" s="25" t="n">
        <v>1288</v>
      </c>
      <c r="H1524" s="25" t="s">
        <v>624</v>
      </c>
      <c r="I1524" s="25" t="n">
        <v>1</v>
      </c>
      <c r="J1524" s="26" t="n">
        <v>2500</v>
      </c>
      <c r="K1524" s="25" t="s">
        <v>546</v>
      </c>
      <c r="L1524" s="25" t="s">
        <v>547</v>
      </c>
      <c r="M1524" s="26" t="n">
        <f aca="false">IF(AND(L1524="Oui",K1524="Principal"),I1524*J1524,0)</f>
        <v>2500</v>
      </c>
      <c r="N1524" s="25" t="s">
        <v>548</v>
      </c>
      <c r="O1524" s="25"/>
      <c r="P1524" s="25" t="s">
        <v>550</v>
      </c>
      <c r="Q1524" s="25" t="s">
        <v>557</v>
      </c>
      <c r="R1524" s="26" t="n">
        <v>2000</v>
      </c>
      <c r="S1524" s="26" t="n">
        <f aca="false">IF(AND(L1524="Oui",K1524="Principal",R1524&lt;&gt;""),I1524*R1524,0)</f>
        <v>2000</v>
      </c>
      <c r="T1524" s="26" t="n">
        <f aca="false">IF(R1524&lt;&gt;"",M1524-S1524,0)</f>
        <v>500</v>
      </c>
      <c r="U1524" s="26" t="n">
        <f aca="false">IF(R1524="",M1524,0)</f>
        <v>0</v>
      </c>
    </row>
    <row r="1525" customFormat="false" ht="15" hidden="false" customHeight="false" outlineLevel="0" collapsed="false">
      <c r="A1525" s="25" t="s">
        <v>65</v>
      </c>
      <c r="B1525" s="25" t="s">
        <v>71</v>
      </c>
      <c r="C1525" s="25" t="s">
        <v>50</v>
      </c>
      <c r="D1525" s="25" t="n">
        <v>25</v>
      </c>
      <c r="E1525" s="25" t="s">
        <v>573</v>
      </c>
      <c r="F1525" s="25" t="s">
        <v>321</v>
      </c>
      <c r="G1525" s="25" t="n">
        <v>1192</v>
      </c>
      <c r="H1525" s="25" t="s">
        <v>694</v>
      </c>
      <c r="I1525" s="25" t="n">
        <v>1</v>
      </c>
      <c r="J1525" s="26" t="n">
        <v>7000</v>
      </c>
      <c r="K1525" s="25" t="s">
        <v>546</v>
      </c>
      <c r="L1525" s="25" t="s">
        <v>547</v>
      </c>
      <c r="M1525" s="26" t="n">
        <f aca="false">IF(AND(L1525="Oui",K1525="Principal"),I1525*J1525,0)</f>
        <v>7000</v>
      </c>
      <c r="N1525" s="25" t="s">
        <v>548</v>
      </c>
      <c r="O1525" s="25"/>
      <c r="P1525" s="25" t="s">
        <v>550</v>
      </c>
      <c r="Q1525" s="25" t="s">
        <v>557</v>
      </c>
      <c r="R1525" s="26" t="n">
        <v>5500</v>
      </c>
      <c r="S1525" s="26" t="n">
        <f aca="false">IF(AND(L1525="Oui",K1525="Principal",R1525&lt;&gt;""),I1525*R1525,0)</f>
        <v>5500</v>
      </c>
      <c r="T1525" s="26" t="n">
        <f aca="false">IF(R1525&lt;&gt;"",M1525-S1525,0)</f>
        <v>1500</v>
      </c>
      <c r="U1525" s="26" t="n">
        <f aca="false">IF(R1525="",M1525,0)</f>
        <v>0</v>
      </c>
    </row>
    <row r="1526" customFormat="false" ht="15" hidden="false" customHeight="false" outlineLevel="0" collapsed="false">
      <c r="A1526" s="25" t="s">
        <v>65</v>
      </c>
      <c r="B1526" s="25" t="s">
        <v>71</v>
      </c>
      <c r="C1526" s="25" t="s">
        <v>50</v>
      </c>
      <c r="D1526" s="25" t="n">
        <v>26</v>
      </c>
      <c r="E1526" s="25" t="s">
        <v>689</v>
      </c>
      <c r="F1526" s="25" t="s">
        <v>465</v>
      </c>
      <c r="G1526" s="25" t="n">
        <v>1309</v>
      </c>
      <c r="H1526" s="25" t="s">
        <v>775</v>
      </c>
      <c r="I1526" s="25" t="n">
        <v>1</v>
      </c>
      <c r="J1526" s="26" t="n">
        <v>2800</v>
      </c>
      <c r="K1526" s="25" t="s">
        <v>546</v>
      </c>
      <c r="L1526" s="25" t="s">
        <v>547</v>
      </c>
      <c r="M1526" s="26" t="n">
        <f aca="false">IF(AND(L1526="Oui",K1526="Principal"),I1526*J1526,0)</f>
        <v>2800</v>
      </c>
      <c r="N1526" s="25" t="s">
        <v>548</v>
      </c>
      <c r="O1526" s="25"/>
      <c r="P1526" s="25" t="s">
        <v>550</v>
      </c>
      <c r="Q1526" s="25" t="s">
        <v>557</v>
      </c>
      <c r="R1526" s="26" t="n">
        <v>1800</v>
      </c>
      <c r="S1526" s="26" t="n">
        <f aca="false">IF(AND(L1526="Oui",K1526="Principal",R1526&lt;&gt;""),I1526*R1526,0)</f>
        <v>1800</v>
      </c>
      <c r="T1526" s="26" t="n">
        <f aca="false">IF(R1526&lt;&gt;"",M1526-S1526,0)</f>
        <v>1000</v>
      </c>
      <c r="U1526" s="26" t="n">
        <f aca="false">IF(R1526="",M1526,0)</f>
        <v>0</v>
      </c>
    </row>
    <row r="1527" customFormat="false" ht="15" hidden="false" customHeight="false" outlineLevel="0" collapsed="false">
      <c r="A1527" s="25" t="s">
        <v>65</v>
      </c>
      <c r="B1527" s="25" t="s">
        <v>71</v>
      </c>
      <c r="C1527" s="25" t="s">
        <v>50</v>
      </c>
      <c r="D1527" s="25" t="n">
        <v>27</v>
      </c>
      <c r="E1527" s="25" t="s">
        <v>689</v>
      </c>
      <c r="F1527" s="25" t="s">
        <v>467</v>
      </c>
      <c r="G1527" s="25" t="n">
        <v>1324</v>
      </c>
      <c r="H1527" s="25" t="s">
        <v>776</v>
      </c>
      <c r="I1527" s="25" t="n">
        <v>1</v>
      </c>
      <c r="J1527" s="26" t="n">
        <v>2800</v>
      </c>
      <c r="K1527" s="25" t="s">
        <v>546</v>
      </c>
      <c r="L1527" s="25" t="s">
        <v>547</v>
      </c>
      <c r="M1527" s="26" t="n">
        <f aca="false">IF(AND(L1527="Oui",K1527="Principal"),I1527*J1527,0)</f>
        <v>2800</v>
      </c>
      <c r="N1527" s="25" t="s">
        <v>548</v>
      </c>
      <c r="O1527" s="25"/>
      <c r="P1527" s="25" t="s">
        <v>550</v>
      </c>
      <c r="Q1527" s="25" t="s">
        <v>557</v>
      </c>
      <c r="R1527" s="26" t="n">
        <v>1800</v>
      </c>
      <c r="S1527" s="26" t="n">
        <f aca="false">IF(AND(L1527="Oui",K1527="Principal",R1527&lt;&gt;""),I1527*R1527,0)</f>
        <v>1800</v>
      </c>
      <c r="T1527" s="26" t="n">
        <f aca="false">IF(R1527&lt;&gt;"",M1527-S1527,0)</f>
        <v>1000</v>
      </c>
      <c r="U1527" s="26" t="n">
        <f aca="false">IF(R1527="",M1527,0)</f>
        <v>0</v>
      </c>
    </row>
    <row r="1528" customFormat="false" ht="15" hidden="false" customHeight="false" outlineLevel="0" collapsed="false">
      <c r="A1528" s="25" t="s">
        <v>65</v>
      </c>
      <c r="B1528" s="25" t="s">
        <v>71</v>
      </c>
      <c r="C1528" s="25" t="s">
        <v>50</v>
      </c>
      <c r="D1528" s="25" t="n">
        <v>28</v>
      </c>
      <c r="E1528" s="25" t="s">
        <v>686</v>
      </c>
      <c r="F1528" s="25" t="s">
        <v>489</v>
      </c>
      <c r="G1528" s="25" t="n">
        <v>1551</v>
      </c>
      <c r="H1528" s="25" t="s">
        <v>790</v>
      </c>
      <c r="I1528" s="25" t="n">
        <v>1</v>
      </c>
      <c r="J1528" s="26" t="n">
        <v>4720</v>
      </c>
      <c r="K1528" s="25" t="s">
        <v>546</v>
      </c>
      <c r="L1528" s="25" t="s">
        <v>547</v>
      </c>
      <c r="M1528" s="26" t="n">
        <f aca="false">IF(AND(L1528="Oui",K1528="Principal"),I1528*J1528,0)</f>
        <v>4720</v>
      </c>
      <c r="N1528" s="25" t="s">
        <v>548</v>
      </c>
      <c r="O1528" s="25"/>
      <c r="P1528" s="25" t="s">
        <v>550</v>
      </c>
      <c r="Q1528" s="25" t="s">
        <v>557</v>
      </c>
      <c r="R1528" s="26" t="n">
        <v>3720</v>
      </c>
      <c r="S1528" s="26" t="n">
        <f aca="false">IF(AND(L1528="Oui",K1528="Principal",R1528&lt;&gt;""),I1528*R1528,0)</f>
        <v>3720</v>
      </c>
      <c r="T1528" s="26" t="n">
        <f aca="false">IF(R1528&lt;&gt;"",M1528-S1528,0)</f>
        <v>1000</v>
      </c>
      <c r="U1528" s="26" t="n">
        <f aca="false">IF(R1528="",M1528,0)</f>
        <v>0</v>
      </c>
    </row>
    <row r="1529" customFormat="false" ht="15" hidden="false" customHeight="false" outlineLevel="0" collapsed="false">
      <c r="A1529" s="33" t="s">
        <v>65</v>
      </c>
      <c r="B1529" s="33" t="s">
        <v>71</v>
      </c>
      <c r="C1529" s="33" t="s">
        <v>50</v>
      </c>
      <c r="D1529" s="33" t="n">
        <v>29</v>
      </c>
      <c r="E1529" s="33" t="s">
        <v>588</v>
      </c>
      <c r="F1529" s="33" t="s">
        <v>476</v>
      </c>
      <c r="G1529" s="33" t="n">
        <v>50</v>
      </c>
      <c r="H1529" s="33" t="s">
        <v>792</v>
      </c>
      <c r="I1529" s="33" t="n">
        <v>1</v>
      </c>
      <c r="J1529" s="34" t="n">
        <v>6000</v>
      </c>
      <c r="K1529" s="33" t="s">
        <v>546</v>
      </c>
      <c r="L1529" s="33" t="s">
        <v>547</v>
      </c>
      <c r="M1529" s="34" t="n">
        <f aca="false">IF(AND(L1529="Oui",K1529="Principal"),I1529*J1529,0)</f>
        <v>6000</v>
      </c>
      <c r="N1529" s="33" t="s">
        <v>182</v>
      </c>
      <c r="O1529" s="33" t="s">
        <v>793</v>
      </c>
      <c r="P1529" s="33" t="s">
        <v>559</v>
      </c>
      <c r="Q1529" s="33" t="s">
        <v>557</v>
      </c>
      <c r="R1529" s="34" t="n">
        <v>4800</v>
      </c>
      <c r="S1529" s="34" t="n">
        <f aca="false">IF(AND(L1529="Oui",K1529="Principal",R1529&lt;&gt;""),I1529*R1529,0)</f>
        <v>4800</v>
      </c>
      <c r="T1529" s="34" t="n">
        <f aca="false">IF(R1529&lt;&gt;"",M1529-S1529,0)</f>
        <v>1200</v>
      </c>
      <c r="U1529" s="34" t="n">
        <f aca="false">IF(R1529="",M1529,0)</f>
        <v>0</v>
      </c>
    </row>
    <row r="1530" customFormat="false" ht="15" hidden="false" customHeight="false" outlineLevel="0" collapsed="false">
      <c r="A1530" s="25" t="s">
        <v>65</v>
      </c>
      <c r="B1530" s="25" t="s">
        <v>71</v>
      </c>
      <c r="C1530" s="25" t="s">
        <v>50</v>
      </c>
      <c r="D1530" s="25" t="n">
        <v>30</v>
      </c>
      <c r="E1530" s="25" t="s">
        <v>588</v>
      </c>
      <c r="F1530" s="25" t="s">
        <v>482</v>
      </c>
      <c r="G1530" s="25" t="n">
        <v>57</v>
      </c>
      <c r="H1530" s="25" t="s">
        <v>786</v>
      </c>
      <c r="I1530" s="25" t="n">
        <v>1</v>
      </c>
      <c r="J1530" s="26" t="n">
        <v>15000</v>
      </c>
      <c r="K1530" s="25" t="s">
        <v>546</v>
      </c>
      <c r="L1530" s="25" t="s">
        <v>547</v>
      </c>
      <c r="M1530" s="26" t="n">
        <f aca="false">IF(AND(L1530="Oui",K1530="Principal"),I1530*J1530,0)</f>
        <v>15000</v>
      </c>
      <c r="N1530" s="25" t="s">
        <v>548</v>
      </c>
      <c r="O1530" s="25"/>
      <c r="P1530" s="25" t="s">
        <v>559</v>
      </c>
      <c r="Q1530" s="25" t="s">
        <v>557</v>
      </c>
      <c r="R1530" s="26" t="n">
        <v>12000</v>
      </c>
      <c r="S1530" s="26" t="n">
        <f aca="false">IF(AND(L1530="Oui",K1530="Principal",R1530&lt;&gt;""),I1530*R1530,0)</f>
        <v>12000</v>
      </c>
      <c r="T1530" s="26" t="n">
        <f aca="false">IF(R1530&lt;&gt;"",M1530-S1530,0)</f>
        <v>3000</v>
      </c>
      <c r="U1530" s="26" t="n">
        <f aca="false">IF(R1530="",M1530,0)</f>
        <v>0</v>
      </c>
    </row>
    <row r="1531" customFormat="false" ht="15" hidden="false" customHeight="false" outlineLevel="0" collapsed="false">
      <c r="A1531" s="33" t="s">
        <v>65</v>
      </c>
      <c r="B1531" s="33" t="s">
        <v>71</v>
      </c>
      <c r="C1531" s="33" t="s">
        <v>50</v>
      </c>
      <c r="D1531" s="33" t="n">
        <v>31</v>
      </c>
      <c r="E1531" s="33" t="s">
        <v>588</v>
      </c>
      <c r="F1531" s="33" t="s">
        <v>478</v>
      </c>
      <c r="G1531" s="33" t="n">
        <v>51</v>
      </c>
      <c r="H1531" s="33" t="s">
        <v>782</v>
      </c>
      <c r="I1531" s="33" t="n">
        <v>1</v>
      </c>
      <c r="J1531" s="34" t="n">
        <v>8000</v>
      </c>
      <c r="K1531" s="33" t="s">
        <v>546</v>
      </c>
      <c r="L1531" s="33" t="s">
        <v>547</v>
      </c>
      <c r="M1531" s="34" t="n">
        <f aca="false">IF(AND(L1531="Oui",K1531="Principal"),I1531*J1531,0)</f>
        <v>8000</v>
      </c>
      <c r="N1531" s="33" t="s">
        <v>182</v>
      </c>
      <c r="O1531" s="33" t="s">
        <v>783</v>
      </c>
      <c r="P1531" s="33" t="s">
        <v>559</v>
      </c>
      <c r="Q1531" s="33" t="s">
        <v>557</v>
      </c>
      <c r="R1531" s="34" t="n">
        <v>6400</v>
      </c>
      <c r="S1531" s="34" t="n">
        <f aca="false">IF(AND(L1531="Oui",K1531="Principal",R1531&lt;&gt;""),I1531*R1531,0)</f>
        <v>6400</v>
      </c>
      <c r="T1531" s="34" t="n">
        <f aca="false">IF(R1531&lt;&gt;"",M1531-S1531,0)</f>
        <v>1600</v>
      </c>
      <c r="U1531" s="34" t="n">
        <f aca="false">IF(R1531="",M1531,0)</f>
        <v>0</v>
      </c>
    </row>
    <row r="1532" customFormat="false" ht="15" hidden="false" customHeight="false" outlineLevel="0" collapsed="false">
      <c r="A1532" s="25" t="s">
        <v>65</v>
      </c>
      <c r="B1532" s="25" t="s">
        <v>71</v>
      </c>
      <c r="C1532" s="25" t="s">
        <v>50</v>
      </c>
      <c r="D1532" s="25" t="n">
        <v>32</v>
      </c>
      <c r="E1532" s="25" t="s">
        <v>686</v>
      </c>
      <c r="F1532" s="25" t="s">
        <v>491</v>
      </c>
      <c r="G1532" s="25" t="n">
        <v>1562</v>
      </c>
      <c r="H1532" s="25" t="s">
        <v>791</v>
      </c>
      <c r="I1532" s="25" t="n">
        <v>1</v>
      </c>
      <c r="J1532" s="26" t="n">
        <v>4720</v>
      </c>
      <c r="K1532" s="25" t="s">
        <v>546</v>
      </c>
      <c r="L1532" s="25" t="s">
        <v>547</v>
      </c>
      <c r="M1532" s="26" t="n">
        <f aca="false">IF(AND(L1532="Oui",K1532="Principal"),I1532*J1532,0)</f>
        <v>4720</v>
      </c>
      <c r="N1532" s="25" t="s">
        <v>548</v>
      </c>
      <c r="O1532" s="25"/>
      <c r="P1532" s="25" t="s">
        <v>550</v>
      </c>
      <c r="Q1532" s="25" t="s">
        <v>557</v>
      </c>
      <c r="R1532" s="26" t="n">
        <v>3720</v>
      </c>
      <c r="S1532" s="26" t="n">
        <f aca="false">IF(AND(L1532="Oui",K1532="Principal",R1532&lt;&gt;""),I1532*R1532,0)</f>
        <v>3720</v>
      </c>
      <c r="T1532" s="26" t="n">
        <f aca="false">IF(R1532&lt;&gt;"",M1532-S1532,0)</f>
        <v>1000</v>
      </c>
      <c r="U1532" s="26" t="n">
        <f aca="false">IF(R1532="",M1532,0)</f>
        <v>0</v>
      </c>
    </row>
    <row r="1533" customFormat="false" ht="15" hidden="false" customHeight="false" outlineLevel="0" collapsed="false">
      <c r="A1533" s="33" t="s">
        <v>65</v>
      </c>
      <c r="B1533" s="33" t="s">
        <v>71</v>
      </c>
      <c r="C1533" s="33" t="s">
        <v>50</v>
      </c>
      <c r="D1533" s="33" t="n">
        <v>33</v>
      </c>
      <c r="E1533" s="33" t="s">
        <v>588</v>
      </c>
      <c r="F1533" s="33" t="s">
        <v>480</v>
      </c>
      <c r="G1533" s="33" t="n">
        <v>54</v>
      </c>
      <c r="H1533" s="33" t="s">
        <v>784</v>
      </c>
      <c r="I1533" s="33" t="n">
        <v>1</v>
      </c>
      <c r="J1533" s="34" t="n">
        <v>15000</v>
      </c>
      <c r="K1533" s="33" t="s">
        <v>546</v>
      </c>
      <c r="L1533" s="33" t="s">
        <v>547</v>
      </c>
      <c r="M1533" s="34" t="n">
        <f aca="false">IF(AND(L1533="Oui",K1533="Principal"),I1533*J1533,0)</f>
        <v>15000</v>
      </c>
      <c r="N1533" s="33" t="s">
        <v>182</v>
      </c>
      <c r="O1533" s="33" t="s">
        <v>785</v>
      </c>
      <c r="P1533" s="33" t="s">
        <v>559</v>
      </c>
      <c r="Q1533" s="33" t="s">
        <v>557</v>
      </c>
      <c r="R1533" s="34" t="n">
        <v>12000</v>
      </c>
      <c r="S1533" s="34" t="n">
        <f aca="false">IF(AND(L1533="Oui",K1533="Principal",R1533&lt;&gt;""),I1533*R1533,0)</f>
        <v>12000</v>
      </c>
      <c r="T1533" s="34" t="n">
        <f aca="false">IF(R1533&lt;&gt;"",M1533-S1533,0)</f>
        <v>3000</v>
      </c>
      <c r="U1533" s="34" t="n">
        <f aca="false">IF(R1533="",M1533,0)</f>
        <v>0</v>
      </c>
    </row>
    <row r="1534" customFormat="false" ht="15" hidden="false" customHeight="false" outlineLevel="0" collapsed="false">
      <c r="A1534" s="25" t="s">
        <v>65</v>
      </c>
      <c r="B1534" s="25" t="s">
        <v>71</v>
      </c>
      <c r="C1534" s="25" t="s">
        <v>50</v>
      </c>
      <c r="D1534" s="25" t="n">
        <v>34</v>
      </c>
      <c r="E1534" s="25" t="s">
        <v>588</v>
      </c>
      <c r="F1534" s="25" t="s">
        <v>494</v>
      </c>
      <c r="G1534" s="25" t="n">
        <v>75</v>
      </c>
      <c r="H1534" s="25" t="s">
        <v>788</v>
      </c>
      <c r="I1534" s="25" t="n">
        <v>1</v>
      </c>
      <c r="J1534" s="26" t="n">
        <v>15000</v>
      </c>
      <c r="K1534" s="25" t="s">
        <v>546</v>
      </c>
      <c r="L1534" s="25" t="s">
        <v>547</v>
      </c>
      <c r="M1534" s="26" t="n">
        <f aca="false">IF(AND(L1534="Oui",K1534="Principal"),I1534*J1534,0)</f>
        <v>15000</v>
      </c>
      <c r="N1534" s="25" t="s">
        <v>548</v>
      </c>
      <c r="O1534" s="25"/>
      <c r="P1534" s="25" t="s">
        <v>559</v>
      </c>
      <c r="Q1534" s="25" t="s">
        <v>557</v>
      </c>
      <c r="R1534" s="26" t="n">
        <v>12000</v>
      </c>
      <c r="S1534" s="26" t="n">
        <f aca="false">IF(AND(L1534="Oui",K1534="Principal",R1534&lt;&gt;""),I1534*R1534,0)</f>
        <v>12000</v>
      </c>
      <c r="T1534" s="26" t="n">
        <f aca="false">IF(R1534&lt;&gt;"",M1534-S1534,0)</f>
        <v>3000</v>
      </c>
      <c r="U1534" s="26" t="n">
        <f aca="false">IF(R1534="",M1534,0)</f>
        <v>0</v>
      </c>
    </row>
    <row r="1535" customFormat="false" ht="15" hidden="false" customHeight="false" outlineLevel="0" collapsed="false">
      <c r="A1535" s="33" t="s">
        <v>65</v>
      </c>
      <c r="B1535" s="33" t="s">
        <v>71</v>
      </c>
      <c r="C1535" s="33" t="s">
        <v>50</v>
      </c>
      <c r="D1535" s="33" t="n">
        <v>35</v>
      </c>
      <c r="E1535" s="33" t="s">
        <v>588</v>
      </c>
      <c r="F1535" s="33" t="s">
        <v>495</v>
      </c>
      <c r="G1535" s="33" t="n">
        <v>55</v>
      </c>
      <c r="H1535" s="33" t="s">
        <v>794</v>
      </c>
      <c r="I1535" s="33" t="n">
        <v>1</v>
      </c>
      <c r="J1535" s="34" t="n">
        <v>12000</v>
      </c>
      <c r="K1535" s="33" t="s">
        <v>546</v>
      </c>
      <c r="L1535" s="33" t="s">
        <v>547</v>
      </c>
      <c r="M1535" s="34" t="n">
        <f aca="false">IF(AND(L1535="Oui",K1535="Principal"),I1535*J1535,0)</f>
        <v>12000</v>
      </c>
      <c r="N1535" s="33" t="s">
        <v>182</v>
      </c>
      <c r="O1535" s="33" t="s">
        <v>795</v>
      </c>
      <c r="P1535" s="33" t="s">
        <v>559</v>
      </c>
      <c r="Q1535" s="33" t="s">
        <v>557</v>
      </c>
      <c r="R1535" s="34" t="n">
        <v>9600</v>
      </c>
      <c r="S1535" s="34" t="n">
        <f aca="false">IF(AND(L1535="Oui",K1535="Principal",R1535&lt;&gt;""),I1535*R1535,0)</f>
        <v>9600</v>
      </c>
      <c r="T1535" s="34" t="n">
        <f aca="false">IF(R1535&lt;&gt;"",M1535-S1535,0)</f>
        <v>2400</v>
      </c>
      <c r="U1535" s="34" t="n">
        <f aca="false">IF(R1535="",M1535,0)</f>
        <v>0</v>
      </c>
    </row>
    <row r="1536" customFormat="false" ht="15" hidden="false" customHeight="false" outlineLevel="0" collapsed="false">
      <c r="A1536" s="25" t="s">
        <v>65</v>
      </c>
      <c r="B1536" s="25" t="s">
        <v>72</v>
      </c>
      <c r="C1536" s="25" t="s">
        <v>48</v>
      </c>
      <c r="D1536" s="25" t="n">
        <v>1</v>
      </c>
      <c r="E1536" s="25" t="s">
        <v>544</v>
      </c>
      <c r="F1536" s="25" t="s">
        <v>295</v>
      </c>
      <c r="G1536" s="25" t="n">
        <v>1618</v>
      </c>
      <c r="H1536" s="25" t="s">
        <v>600</v>
      </c>
      <c r="I1536" s="25" t="n">
        <v>1</v>
      </c>
      <c r="J1536" s="26" t="n">
        <v>450</v>
      </c>
      <c r="K1536" s="25" t="s">
        <v>546</v>
      </c>
      <c r="L1536" s="25" t="s">
        <v>547</v>
      </c>
      <c r="M1536" s="26" t="n">
        <f aca="false">IF(AND(L1536="Oui",K1536="Principal"),I1536*J1536,0)</f>
        <v>450</v>
      </c>
      <c r="N1536" s="25" t="s">
        <v>548</v>
      </c>
      <c r="O1536" s="25"/>
      <c r="P1536" s="25" t="s">
        <v>556</v>
      </c>
      <c r="Q1536" s="25" t="s">
        <v>557</v>
      </c>
      <c r="R1536" s="26" t="n">
        <v>350</v>
      </c>
      <c r="S1536" s="26" t="n">
        <f aca="false">IF(AND(L1536="Oui",K1536="Principal",R1536&lt;&gt;""),I1536*R1536,0)</f>
        <v>350</v>
      </c>
      <c r="T1536" s="26" t="n">
        <f aca="false">IF(R1536&lt;&gt;"",M1536-S1536,0)</f>
        <v>100</v>
      </c>
      <c r="U1536" s="26" t="n">
        <f aca="false">IF(R1536="",M1536,0)</f>
        <v>0</v>
      </c>
    </row>
    <row r="1537" customFormat="false" ht="15" hidden="false" customHeight="false" outlineLevel="0" collapsed="false">
      <c r="A1537" s="25" t="s">
        <v>65</v>
      </c>
      <c r="B1537" s="25" t="s">
        <v>72</v>
      </c>
      <c r="C1537" s="25" t="s">
        <v>48</v>
      </c>
      <c r="D1537" s="25" t="n">
        <v>2</v>
      </c>
      <c r="E1537" s="25" t="s">
        <v>544</v>
      </c>
      <c r="F1537" s="25" t="s">
        <v>296</v>
      </c>
      <c r="G1537" s="25" t="n">
        <v>1</v>
      </c>
      <c r="H1537" s="25" t="s">
        <v>681</v>
      </c>
      <c r="I1537" s="25" t="n">
        <v>4</v>
      </c>
      <c r="J1537" s="26" t="n">
        <v>500</v>
      </c>
      <c r="K1537" s="25" t="s">
        <v>546</v>
      </c>
      <c r="L1537" s="25" t="s">
        <v>547</v>
      </c>
      <c r="M1537" s="26" t="n">
        <f aca="false">IF(AND(L1537="Oui",K1537="Principal"),I1537*J1537,0)</f>
        <v>2000</v>
      </c>
      <c r="N1537" s="25" t="s">
        <v>548</v>
      </c>
      <c r="O1537" s="25"/>
      <c r="P1537" s="25" t="s">
        <v>559</v>
      </c>
      <c r="Q1537" s="25" t="s">
        <v>551</v>
      </c>
      <c r="R1537" s="26"/>
      <c r="S1537" s="26" t="n">
        <f aca="false">IF(AND(L1537="Oui",K1537="Principal",R1537&lt;&gt;""),I1537*R1537,0)</f>
        <v>0</v>
      </c>
      <c r="T1537" s="26" t="n">
        <f aca="false">IF(R1537&lt;&gt;"",M1537-S1537,0)</f>
        <v>0</v>
      </c>
      <c r="U1537" s="26" t="n">
        <f aca="false">IF(R1537="",M1537,0)</f>
        <v>2000</v>
      </c>
    </row>
    <row r="1538" customFormat="false" ht="15" hidden="false" customHeight="false" outlineLevel="0" collapsed="false">
      <c r="A1538" s="25" t="s">
        <v>65</v>
      </c>
      <c r="B1538" s="25" t="s">
        <v>72</v>
      </c>
      <c r="C1538" s="25" t="s">
        <v>48</v>
      </c>
      <c r="D1538" s="25" t="n">
        <v>3</v>
      </c>
      <c r="E1538" s="25" t="s">
        <v>544</v>
      </c>
      <c r="F1538" s="25" t="s">
        <v>298</v>
      </c>
      <c r="G1538" s="25" t="n">
        <v>1576</v>
      </c>
      <c r="H1538" s="25" t="s">
        <v>682</v>
      </c>
      <c r="I1538" s="25" t="n">
        <v>2</v>
      </c>
      <c r="J1538" s="26" t="n">
        <v>500</v>
      </c>
      <c r="K1538" s="25" t="s">
        <v>546</v>
      </c>
      <c r="L1538" s="25" t="s">
        <v>547</v>
      </c>
      <c r="M1538" s="26" t="n">
        <f aca="false">IF(AND(L1538="Oui",K1538="Principal"),I1538*J1538,0)</f>
        <v>1000</v>
      </c>
      <c r="N1538" s="25" t="s">
        <v>548</v>
      </c>
      <c r="O1538" s="25"/>
      <c r="P1538" s="25" t="s">
        <v>556</v>
      </c>
      <c r="Q1538" s="25" t="s">
        <v>557</v>
      </c>
      <c r="R1538" s="26" t="n">
        <v>400</v>
      </c>
      <c r="S1538" s="26" t="n">
        <f aca="false">IF(AND(L1538="Oui",K1538="Principal",R1538&lt;&gt;""),I1538*R1538,0)</f>
        <v>800</v>
      </c>
      <c r="T1538" s="26" t="n">
        <f aca="false">IF(R1538&lt;&gt;"",M1538-S1538,0)</f>
        <v>200</v>
      </c>
      <c r="U1538" s="26" t="n">
        <f aca="false">IF(R1538="",M1538,0)</f>
        <v>0</v>
      </c>
    </row>
    <row r="1539" customFormat="false" ht="15" hidden="false" customHeight="false" outlineLevel="0" collapsed="false">
      <c r="A1539" s="25" t="s">
        <v>65</v>
      </c>
      <c r="B1539" s="25" t="s">
        <v>72</v>
      </c>
      <c r="C1539" s="25" t="s">
        <v>48</v>
      </c>
      <c r="D1539" s="25" t="n">
        <v>4</v>
      </c>
      <c r="E1539" s="25" t="s">
        <v>544</v>
      </c>
      <c r="F1539" s="25" t="s">
        <v>338</v>
      </c>
      <c r="G1539" s="25" t="n">
        <v>2</v>
      </c>
      <c r="H1539" s="25" t="s">
        <v>705</v>
      </c>
      <c r="I1539" s="25" t="n">
        <v>4</v>
      </c>
      <c r="J1539" s="26" t="n">
        <v>900</v>
      </c>
      <c r="K1539" s="25" t="s">
        <v>546</v>
      </c>
      <c r="L1539" s="25" t="s">
        <v>547</v>
      </c>
      <c r="M1539" s="26" t="n">
        <f aca="false">IF(AND(L1539="Oui",K1539="Principal"),I1539*J1539,0)</f>
        <v>3600</v>
      </c>
      <c r="N1539" s="25" t="s">
        <v>548</v>
      </c>
      <c r="O1539" s="25"/>
      <c r="P1539" s="25" t="s">
        <v>559</v>
      </c>
      <c r="Q1539" s="25" t="s">
        <v>551</v>
      </c>
      <c r="R1539" s="26"/>
      <c r="S1539" s="26" t="n">
        <f aca="false">IF(AND(L1539="Oui",K1539="Principal",R1539&lt;&gt;""),I1539*R1539,0)</f>
        <v>0</v>
      </c>
      <c r="T1539" s="26" t="n">
        <f aca="false">IF(R1539&lt;&gt;"",M1539-S1539,0)</f>
        <v>0</v>
      </c>
      <c r="U1539" s="26" t="n">
        <f aca="false">IF(R1539="",M1539,0)</f>
        <v>3600</v>
      </c>
    </row>
    <row r="1540" customFormat="false" ht="15" hidden="false" customHeight="false" outlineLevel="0" collapsed="false">
      <c r="A1540" s="25" t="s">
        <v>65</v>
      </c>
      <c r="B1540" s="25" t="s">
        <v>72</v>
      </c>
      <c r="C1540" s="25" t="s">
        <v>48</v>
      </c>
      <c r="D1540" s="25" t="n">
        <v>5</v>
      </c>
      <c r="E1540" s="25" t="s">
        <v>544</v>
      </c>
      <c r="F1540" s="25" t="s">
        <v>301</v>
      </c>
      <c r="G1540" s="25" t="n">
        <v>1728</v>
      </c>
      <c r="H1540" s="25" t="s">
        <v>545</v>
      </c>
      <c r="I1540" s="25" t="n">
        <v>1</v>
      </c>
      <c r="J1540" s="26" t="n">
        <v>900</v>
      </c>
      <c r="K1540" s="25" t="s">
        <v>546</v>
      </c>
      <c r="L1540" s="25" t="s">
        <v>547</v>
      </c>
      <c r="M1540" s="26" t="n">
        <f aca="false">IF(AND(L1540="Oui",K1540="Principal"),I1540*J1540,0)</f>
        <v>900</v>
      </c>
      <c r="N1540" s="25" t="s">
        <v>548</v>
      </c>
      <c r="O1540" s="25"/>
      <c r="P1540" s="25" t="s">
        <v>550</v>
      </c>
      <c r="Q1540" s="25" t="s">
        <v>551</v>
      </c>
      <c r="R1540" s="26"/>
      <c r="S1540" s="26" t="n">
        <f aca="false">IF(AND(L1540="Oui",K1540="Principal",R1540&lt;&gt;""),I1540*R1540,0)</f>
        <v>0</v>
      </c>
      <c r="T1540" s="26" t="n">
        <f aca="false">IF(R1540&lt;&gt;"",M1540-S1540,0)</f>
        <v>0</v>
      </c>
      <c r="U1540" s="26" t="n">
        <f aca="false">IF(R1540="",M1540,0)</f>
        <v>900</v>
      </c>
    </row>
    <row r="1541" customFormat="false" ht="15" hidden="false" customHeight="false" outlineLevel="0" collapsed="false">
      <c r="A1541" s="25" t="s">
        <v>65</v>
      </c>
      <c r="B1541" s="25" t="s">
        <v>72</v>
      </c>
      <c r="C1541" s="25" t="s">
        <v>48</v>
      </c>
      <c r="D1541" s="25" t="n">
        <v>6</v>
      </c>
      <c r="E1541" s="25" t="s">
        <v>563</v>
      </c>
      <c r="F1541" s="25" t="s">
        <v>255</v>
      </c>
      <c r="G1541" s="25" t="n">
        <v>1636</v>
      </c>
      <c r="H1541" s="25" t="s">
        <v>661</v>
      </c>
      <c r="I1541" s="25" t="n">
        <v>1</v>
      </c>
      <c r="J1541" s="26" t="n">
        <v>400</v>
      </c>
      <c r="K1541" s="25" t="s">
        <v>546</v>
      </c>
      <c r="L1541" s="25" t="s">
        <v>547</v>
      </c>
      <c r="M1541" s="26" t="n">
        <f aca="false">IF(AND(L1541="Oui",K1541="Principal"),I1541*J1541,0)</f>
        <v>400</v>
      </c>
      <c r="N1541" s="25" t="s">
        <v>548</v>
      </c>
      <c r="O1541" s="25"/>
      <c r="P1541" s="25" t="s">
        <v>556</v>
      </c>
      <c r="Q1541" s="25" t="s">
        <v>557</v>
      </c>
      <c r="R1541" s="26" t="n">
        <v>320</v>
      </c>
      <c r="S1541" s="26" t="n">
        <f aca="false">IF(AND(L1541="Oui",K1541="Principal",R1541&lt;&gt;""),I1541*R1541,0)</f>
        <v>320</v>
      </c>
      <c r="T1541" s="26" t="n">
        <f aca="false">IF(R1541&lt;&gt;"",M1541-S1541,0)</f>
        <v>80</v>
      </c>
      <c r="U1541" s="26" t="n">
        <f aca="false">IF(R1541="",M1541,0)</f>
        <v>0</v>
      </c>
    </row>
    <row r="1542" customFormat="false" ht="15" hidden="false" customHeight="false" outlineLevel="0" collapsed="false">
      <c r="A1542" s="25" t="s">
        <v>65</v>
      </c>
      <c r="B1542" s="25" t="s">
        <v>72</v>
      </c>
      <c r="C1542" s="25" t="s">
        <v>48</v>
      </c>
      <c r="D1542" s="25" t="n">
        <v>7</v>
      </c>
      <c r="E1542" s="25" t="s">
        <v>563</v>
      </c>
      <c r="F1542" s="25" t="s">
        <v>257</v>
      </c>
      <c r="G1542" s="25" t="n">
        <v>1635</v>
      </c>
      <c r="H1542" s="25" t="s">
        <v>607</v>
      </c>
      <c r="I1542" s="25" t="n">
        <v>1</v>
      </c>
      <c r="J1542" s="26" t="n">
        <v>100</v>
      </c>
      <c r="K1542" s="25" t="s">
        <v>546</v>
      </c>
      <c r="L1542" s="25" t="s">
        <v>547</v>
      </c>
      <c r="M1542" s="26" t="n">
        <f aca="false">IF(AND(L1542="Oui",K1542="Principal"),I1542*J1542,0)</f>
        <v>100</v>
      </c>
      <c r="N1542" s="25" t="s">
        <v>548</v>
      </c>
      <c r="O1542" s="25"/>
      <c r="P1542" s="25" t="s">
        <v>556</v>
      </c>
      <c r="Q1542" s="25" t="s">
        <v>557</v>
      </c>
      <c r="R1542" s="26" t="n">
        <v>80</v>
      </c>
      <c r="S1542" s="26" t="n">
        <f aca="false">IF(AND(L1542="Oui",K1542="Principal",R1542&lt;&gt;""),I1542*R1542,0)</f>
        <v>80</v>
      </c>
      <c r="T1542" s="26" t="n">
        <f aca="false">IF(R1542&lt;&gt;"",M1542-S1542,0)</f>
        <v>20</v>
      </c>
      <c r="U1542" s="26" t="n">
        <f aca="false">IF(R1542="",M1542,0)</f>
        <v>0</v>
      </c>
    </row>
    <row r="1543" customFormat="false" ht="15" hidden="false" customHeight="false" outlineLevel="0" collapsed="false">
      <c r="A1543" s="25" t="s">
        <v>65</v>
      </c>
      <c r="B1543" s="25" t="s">
        <v>72</v>
      </c>
      <c r="C1543" s="25" t="s">
        <v>48</v>
      </c>
      <c r="D1543" s="25" t="n">
        <v>8</v>
      </c>
      <c r="E1543" s="25" t="s">
        <v>563</v>
      </c>
      <c r="F1543" s="25" t="s">
        <v>97</v>
      </c>
      <c r="G1543" s="25" t="n">
        <v>1571</v>
      </c>
      <c r="H1543" s="25" t="s">
        <v>564</v>
      </c>
      <c r="I1543" s="25" t="n">
        <v>2</v>
      </c>
      <c r="J1543" s="26" t="n">
        <v>75</v>
      </c>
      <c r="K1543" s="25" t="s">
        <v>546</v>
      </c>
      <c r="L1543" s="25" t="s">
        <v>547</v>
      </c>
      <c r="M1543" s="26" t="n">
        <f aca="false">IF(AND(L1543="Oui",K1543="Principal"),I1543*J1543,0)</f>
        <v>150</v>
      </c>
      <c r="N1543" s="25" t="s">
        <v>548</v>
      </c>
      <c r="O1543" s="25"/>
      <c r="P1543" s="25" t="s">
        <v>550</v>
      </c>
      <c r="Q1543" s="25" t="s">
        <v>557</v>
      </c>
      <c r="R1543" s="26"/>
      <c r="S1543" s="26" t="n">
        <f aca="false">IF(AND(L1543="Oui",K1543="Principal",R1543&lt;&gt;""),I1543*R1543,0)</f>
        <v>0</v>
      </c>
      <c r="T1543" s="26" t="n">
        <f aca="false">IF(R1543&lt;&gt;"",M1543-S1543,0)</f>
        <v>0</v>
      </c>
      <c r="U1543" s="26" t="n">
        <f aca="false">IF(R1543="",M1543,0)</f>
        <v>150</v>
      </c>
    </row>
    <row r="1544" customFormat="false" ht="15" hidden="false" customHeight="false" outlineLevel="0" collapsed="false">
      <c r="A1544" s="25" t="s">
        <v>65</v>
      </c>
      <c r="B1544" s="25" t="s">
        <v>72</v>
      </c>
      <c r="C1544" s="25" t="s">
        <v>48</v>
      </c>
      <c r="D1544" s="25" t="n">
        <v>9</v>
      </c>
      <c r="E1544" s="25" t="s">
        <v>563</v>
      </c>
      <c r="F1544" s="25" t="s">
        <v>325</v>
      </c>
      <c r="G1544" s="25" t="n">
        <v>1248</v>
      </c>
      <c r="H1544" s="25" t="s">
        <v>697</v>
      </c>
      <c r="I1544" s="25" t="n">
        <v>1</v>
      </c>
      <c r="J1544" s="26" t="n">
        <v>400</v>
      </c>
      <c r="K1544" s="25" t="s">
        <v>546</v>
      </c>
      <c r="L1544" s="25" t="s">
        <v>547</v>
      </c>
      <c r="M1544" s="26" t="n">
        <f aca="false">IF(AND(L1544="Oui",K1544="Principal"),I1544*J1544,0)</f>
        <v>400</v>
      </c>
      <c r="N1544" s="25" t="s">
        <v>548</v>
      </c>
      <c r="O1544" s="25"/>
      <c r="P1544" s="25" t="s">
        <v>550</v>
      </c>
      <c r="Q1544" s="25" t="s">
        <v>557</v>
      </c>
      <c r="R1544" s="26" t="n">
        <v>250</v>
      </c>
      <c r="S1544" s="26" t="n">
        <f aca="false">IF(AND(L1544="Oui",K1544="Principal",R1544&lt;&gt;""),I1544*R1544,0)</f>
        <v>250</v>
      </c>
      <c r="T1544" s="26" t="n">
        <f aca="false">IF(R1544&lt;&gt;"",M1544-S1544,0)</f>
        <v>150</v>
      </c>
      <c r="U1544" s="26" t="n">
        <f aca="false">IF(R1544="",M1544,0)</f>
        <v>0</v>
      </c>
    </row>
    <row r="1545" customFormat="false" ht="15" hidden="false" customHeight="false" outlineLevel="0" collapsed="false">
      <c r="A1545" s="25" t="s">
        <v>65</v>
      </c>
      <c r="B1545" s="25" t="s">
        <v>72</v>
      </c>
      <c r="C1545" s="25" t="s">
        <v>48</v>
      </c>
      <c r="D1545" s="25" t="n">
        <v>10</v>
      </c>
      <c r="E1545" s="25" t="s">
        <v>565</v>
      </c>
      <c r="F1545" s="25" t="s">
        <v>99</v>
      </c>
      <c r="G1545" s="25" t="n">
        <v>9</v>
      </c>
      <c r="H1545" s="25" t="s">
        <v>566</v>
      </c>
      <c r="I1545" s="25" t="n">
        <v>1</v>
      </c>
      <c r="J1545" s="26" t="n">
        <v>150</v>
      </c>
      <c r="K1545" s="25" t="s">
        <v>546</v>
      </c>
      <c r="L1545" s="25" t="s">
        <v>547</v>
      </c>
      <c r="M1545" s="26" t="n">
        <f aca="false">IF(AND(L1545="Oui",K1545="Principal"),I1545*J1545,0)</f>
        <v>150</v>
      </c>
      <c r="N1545" s="25" t="s">
        <v>548</v>
      </c>
      <c r="O1545" s="25"/>
      <c r="P1545" s="25" t="s">
        <v>559</v>
      </c>
      <c r="Q1545" s="25" t="s">
        <v>551</v>
      </c>
      <c r="R1545" s="26"/>
      <c r="S1545" s="26" t="n">
        <f aca="false">IF(AND(L1545="Oui",K1545="Principal",R1545&lt;&gt;""),I1545*R1545,0)</f>
        <v>0</v>
      </c>
      <c r="T1545" s="26" t="n">
        <f aca="false">IF(R1545&lt;&gt;"",M1545-S1545,0)</f>
        <v>0</v>
      </c>
      <c r="U1545" s="26" t="n">
        <f aca="false">IF(R1545="",M1545,0)</f>
        <v>150</v>
      </c>
    </row>
    <row r="1546" customFormat="false" ht="15" hidden="false" customHeight="false" outlineLevel="0" collapsed="false">
      <c r="A1546" s="25" t="s">
        <v>65</v>
      </c>
      <c r="B1546" s="25" t="s">
        <v>72</v>
      </c>
      <c r="C1546" s="25" t="s">
        <v>48</v>
      </c>
      <c r="D1546" s="25" t="n">
        <v>11</v>
      </c>
      <c r="E1546" s="25" t="s">
        <v>565</v>
      </c>
      <c r="F1546" s="25" t="s">
        <v>164</v>
      </c>
      <c r="G1546" s="25" t="n">
        <v>10</v>
      </c>
      <c r="H1546" s="25" t="s">
        <v>608</v>
      </c>
      <c r="I1546" s="25" t="n">
        <v>1</v>
      </c>
      <c r="J1546" s="26" t="n">
        <v>200</v>
      </c>
      <c r="K1546" s="25" t="s">
        <v>546</v>
      </c>
      <c r="L1546" s="25" t="s">
        <v>547</v>
      </c>
      <c r="M1546" s="26" t="n">
        <f aca="false">IF(AND(L1546="Oui",K1546="Principal"),I1546*J1546,0)</f>
        <v>200</v>
      </c>
      <c r="N1546" s="25" t="s">
        <v>548</v>
      </c>
      <c r="O1546" s="25"/>
      <c r="P1546" s="25" t="s">
        <v>559</v>
      </c>
      <c r="Q1546" s="25" t="s">
        <v>551</v>
      </c>
      <c r="R1546" s="26"/>
      <c r="S1546" s="26" t="n">
        <f aca="false">IF(AND(L1546="Oui",K1546="Principal",R1546&lt;&gt;""),I1546*R1546,0)</f>
        <v>0</v>
      </c>
      <c r="T1546" s="26" t="n">
        <f aca="false">IF(R1546&lt;&gt;"",M1546-S1546,0)</f>
        <v>0</v>
      </c>
      <c r="U1546" s="26" t="n">
        <f aca="false">IF(R1546="",M1546,0)</f>
        <v>200</v>
      </c>
    </row>
    <row r="1547" customFormat="false" ht="15" hidden="false" customHeight="false" outlineLevel="0" collapsed="false">
      <c r="A1547" s="25" t="s">
        <v>65</v>
      </c>
      <c r="B1547" s="25" t="s">
        <v>72</v>
      </c>
      <c r="C1547" s="25" t="s">
        <v>48</v>
      </c>
      <c r="D1547" s="25" t="n">
        <v>12</v>
      </c>
      <c r="E1547" s="25" t="s">
        <v>565</v>
      </c>
      <c r="F1547" s="25" t="s">
        <v>166</v>
      </c>
      <c r="G1547" s="25" t="n">
        <v>1173</v>
      </c>
      <c r="H1547" s="25" t="s">
        <v>569</v>
      </c>
      <c r="I1547" s="25" t="n">
        <v>1</v>
      </c>
      <c r="J1547" s="26" t="n">
        <v>570</v>
      </c>
      <c r="K1547" s="25" t="s">
        <v>546</v>
      </c>
      <c r="L1547" s="25" t="s">
        <v>547</v>
      </c>
      <c r="M1547" s="26" t="n">
        <f aca="false">IF(AND(L1547="Oui",K1547="Principal"),I1547*J1547,0)</f>
        <v>570</v>
      </c>
      <c r="N1547" s="25" t="s">
        <v>548</v>
      </c>
      <c r="O1547" s="25"/>
      <c r="P1547" s="25" t="s">
        <v>550</v>
      </c>
      <c r="Q1547" s="25" t="s">
        <v>557</v>
      </c>
      <c r="R1547" s="26" t="n">
        <v>420</v>
      </c>
      <c r="S1547" s="26" t="n">
        <f aca="false">IF(AND(L1547="Oui",K1547="Principal",R1547&lt;&gt;""),I1547*R1547,0)</f>
        <v>420</v>
      </c>
      <c r="T1547" s="26" t="n">
        <f aca="false">IF(R1547&lt;&gt;"",M1547-S1547,0)</f>
        <v>150</v>
      </c>
      <c r="U1547" s="26" t="n">
        <f aca="false">IF(R1547="",M1547,0)</f>
        <v>0</v>
      </c>
    </row>
    <row r="1548" customFormat="false" ht="15" hidden="false" customHeight="false" outlineLevel="0" collapsed="false">
      <c r="A1548" s="25" t="s">
        <v>65</v>
      </c>
      <c r="B1548" s="25" t="s">
        <v>72</v>
      </c>
      <c r="C1548" s="25" t="s">
        <v>48</v>
      </c>
      <c r="D1548" s="25" t="n">
        <v>13</v>
      </c>
      <c r="E1548" s="25" t="s">
        <v>565</v>
      </c>
      <c r="F1548" s="25" t="s">
        <v>304</v>
      </c>
      <c r="G1548" s="25" t="n">
        <v>1250</v>
      </c>
      <c r="H1548" s="25" t="s">
        <v>570</v>
      </c>
      <c r="I1548" s="25" t="n">
        <v>1</v>
      </c>
      <c r="J1548" s="26" t="n">
        <v>250</v>
      </c>
      <c r="K1548" s="25" t="s">
        <v>546</v>
      </c>
      <c r="L1548" s="25" t="s">
        <v>547</v>
      </c>
      <c r="M1548" s="26" t="n">
        <f aca="false">IF(AND(L1548="Oui",K1548="Principal"),I1548*J1548,0)</f>
        <v>250</v>
      </c>
      <c r="N1548" s="25" t="s">
        <v>548</v>
      </c>
      <c r="O1548" s="25"/>
      <c r="P1548" s="25" t="s">
        <v>550</v>
      </c>
      <c r="Q1548" s="25" t="s">
        <v>557</v>
      </c>
      <c r="R1548" s="26" t="n">
        <v>100</v>
      </c>
      <c r="S1548" s="26" t="n">
        <f aca="false">IF(AND(L1548="Oui",K1548="Principal",R1548&lt;&gt;""),I1548*R1548,0)</f>
        <v>100</v>
      </c>
      <c r="T1548" s="26" t="n">
        <f aca="false">IF(R1548&lt;&gt;"",M1548-S1548,0)</f>
        <v>150</v>
      </c>
      <c r="U1548" s="26" t="n">
        <f aca="false">IF(R1548="",M1548,0)</f>
        <v>0</v>
      </c>
    </row>
    <row r="1549" customFormat="false" ht="15" hidden="false" customHeight="false" outlineLevel="0" collapsed="false">
      <c r="A1549" s="33" t="s">
        <v>65</v>
      </c>
      <c r="B1549" s="33" t="s">
        <v>72</v>
      </c>
      <c r="C1549" s="33" t="s">
        <v>48</v>
      </c>
      <c r="D1549" s="33" t="n">
        <v>14</v>
      </c>
      <c r="E1549" s="33" t="s">
        <v>609</v>
      </c>
      <c r="F1549" s="33" t="s">
        <v>199</v>
      </c>
      <c r="G1549" s="33" t="n">
        <v>1229</v>
      </c>
      <c r="H1549" s="33" t="s">
        <v>643</v>
      </c>
      <c r="I1549" s="33" t="n">
        <v>1</v>
      </c>
      <c r="J1549" s="34" t="n">
        <v>1800</v>
      </c>
      <c r="K1549" s="33" t="s">
        <v>546</v>
      </c>
      <c r="L1549" s="33" t="s">
        <v>547</v>
      </c>
      <c r="M1549" s="34" t="n">
        <f aca="false">IF(AND(L1549="Oui",K1549="Principal"),I1549*J1549,0)</f>
        <v>1800</v>
      </c>
      <c r="N1549" s="33" t="s">
        <v>182</v>
      </c>
      <c r="O1549" s="33" t="s">
        <v>644</v>
      </c>
      <c r="P1549" s="33" t="s">
        <v>550</v>
      </c>
      <c r="Q1549" s="33" t="s">
        <v>557</v>
      </c>
      <c r="R1549" s="34" t="n">
        <v>1500</v>
      </c>
      <c r="S1549" s="34" t="n">
        <f aca="false">IF(AND(L1549="Oui",K1549="Principal",R1549&lt;&gt;""),I1549*R1549,0)</f>
        <v>1500</v>
      </c>
      <c r="T1549" s="34" t="n">
        <f aca="false">IF(R1549&lt;&gt;"",M1549-S1549,0)</f>
        <v>300</v>
      </c>
      <c r="U1549" s="34" t="n">
        <f aca="false">IF(R1549="",M1549,0)</f>
        <v>0</v>
      </c>
    </row>
    <row r="1550" customFormat="false" ht="15" hidden="false" customHeight="false" outlineLevel="0" collapsed="false">
      <c r="A1550" s="25" t="s">
        <v>65</v>
      </c>
      <c r="B1550" s="25" t="s">
        <v>72</v>
      </c>
      <c r="C1550" s="25" t="s">
        <v>48</v>
      </c>
      <c r="D1550" s="25" t="n">
        <v>15</v>
      </c>
      <c r="E1550" s="25" t="s">
        <v>573</v>
      </c>
      <c r="F1550" s="25" t="s">
        <v>176</v>
      </c>
      <c r="G1550" s="25" t="n">
        <v>19</v>
      </c>
      <c r="H1550" s="25" t="s">
        <v>615</v>
      </c>
      <c r="I1550" s="25" t="n">
        <v>1</v>
      </c>
      <c r="J1550" s="26" t="n">
        <v>2500</v>
      </c>
      <c r="K1550" s="25" t="s">
        <v>546</v>
      </c>
      <c r="L1550" s="25" t="s">
        <v>547</v>
      </c>
      <c r="M1550" s="26" t="n">
        <f aca="false">IF(AND(L1550="Oui",K1550="Principal"),I1550*J1550,0)</f>
        <v>2500</v>
      </c>
      <c r="N1550" s="25" t="s">
        <v>548</v>
      </c>
      <c r="O1550" s="25"/>
      <c r="P1550" s="25" t="s">
        <v>559</v>
      </c>
      <c r="Q1550" s="25" t="s">
        <v>551</v>
      </c>
      <c r="R1550" s="26"/>
      <c r="S1550" s="26" t="n">
        <f aca="false">IF(AND(L1550="Oui",K1550="Principal",R1550&lt;&gt;""),I1550*R1550,0)</f>
        <v>0</v>
      </c>
      <c r="T1550" s="26" t="n">
        <f aca="false">IF(R1550&lt;&gt;"",M1550-S1550,0)</f>
        <v>0</v>
      </c>
      <c r="U1550" s="26" t="n">
        <f aca="false">IF(R1550="",M1550,0)</f>
        <v>2500</v>
      </c>
    </row>
    <row r="1551" customFormat="false" ht="15" hidden="false" customHeight="false" outlineLevel="0" collapsed="false">
      <c r="A1551" s="27" t="s">
        <v>65</v>
      </c>
      <c r="B1551" s="27" t="s">
        <v>72</v>
      </c>
      <c r="C1551" s="27" t="s">
        <v>48</v>
      </c>
      <c r="D1551" s="27" t="n">
        <v>16</v>
      </c>
      <c r="E1551" s="27" t="s">
        <v>689</v>
      </c>
      <c r="F1551" s="27" t="s">
        <v>498</v>
      </c>
      <c r="G1551" s="27"/>
      <c r="H1551" s="27" t="s">
        <v>585</v>
      </c>
      <c r="I1551" s="27" t="n">
        <v>1</v>
      </c>
      <c r="J1551" s="28" t="n">
        <v>0</v>
      </c>
      <c r="K1551" s="27" t="s">
        <v>618</v>
      </c>
      <c r="L1551" s="27" t="s">
        <v>579</v>
      </c>
      <c r="M1551" s="28" t="n">
        <f aca="false">IF(AND(L1551="Oui",K1551="Principal"),I1551*J1551,0)</f>
        <v>0</v>
      </c>
      <c r="N1551" s="27" t="s">
        <v>128</v>
      </c>
      <c r="O1551" s="27" t="s">
        <v>586</v>
      </c>
      <c r="P1551" s="27"/>
      <c r="Q1551" s="27"/>
      <c r="R1551" s="28"/>
      <c r="S1551" s="28" t="n">
        <f aca="false">IF(AND(L1551="Oui",K1551="Principal",R1551&lt;&gt;""),I1551*R1551,0)</f>
        <v>0</v>
      </c>
      <c r="T1551" s="28" t="n">
        <f aca="false">IF(R1551&lt;&gt;"",M1551-S1551,0)</f>
        <v>0</v>
      </c>
      <c r="U1551" s="28" t="n">
        <f aca="false">IF(R1551="",M1551,0)</f>
        <v>0</v>
      </c>
    </row>
    <row r="1552" customFormat="false" ht="15" hidden="false" customHeight="false" outlineLevel="0" collapsed="false">
      <c r="A1552" s="25" t="s">
        <v>65</v>
      </c>
      <c r="B1552" s="25" t="s">
        <v>72</v>
      </c>
      <c r="C1552" s="25" t="s">
        <v>48</v>
      </c>
      <c r="D1552" s="25" t="n">
        <v>17</v>
      </c>
      <c r="E1552" s="25" t="s">
        <v>689</v>
      </c>
      <c r="F1552" s="25" t="s">
        <v>499</v>
      </c>
      <c r="G1552" s="25" t="n">
        <v>1310</v>
      </c>
      <c r="H1552" s="25" t="s">
        <v>796</v>
      </c>
      <c r="I1552" s="25" t="n">
        <v>1</v>
      </c>
      <c r="J1552" s="26" t="n">
        <v>2800</v>
      </c>
      <c r="K1552" s="25" t="s">
        <v>618</v>
      </c>
      <c r="L1552" s="25" t="s">
        <v>579</v>
      </c>
      <c r="M1552" s="26" t="n">
        <f aca="false">IF(AND(L1552="Oui",K1552="Principal"),I1552*J1552,0)</f>
        <v>0</v>
      </c>
      <c r="N1552" s="25" t="s">
        <v>548</v>
      </c>
      <c r="O1552" s="25"/>
      <c r="P1552" s="25" t="s">
        <v>550</v>
      </c>
      <c r="Q1552" s="25" t="s">
        <v>557</v>
      </c>
      <c r="R1552" s="26" t="n">
        <v>1800</v>
      </c>
      <c r="S1552" s="26" t="n">
        <f aca="false">IF(AND(L1552="Oui",K1552="Principal",R1552&lt;&gt;""),I1552*R1552,0)</f>
        <v>0</v>
      </c>
      <c r="T1552" s="26" t="n">
        <f aca="false">IF(R1552&lt;&gt;"",M1552-S1552,0)</f>
        <v>0</v>
      </c>
      <c r="U1552" s="26" t="n">
        <f aca="false">IF(R1552="",M1552,0)</f>
        <v>0</v>
      </c>
    </row>
    <row r="1553" customFormat="false" ht="15" hidden="false" customHeight="false" outlineLevel="0" collapsed="false">
      <c r="A1553" s="25" t="s">
        <v>65</v>
      </c>
      <c r="B1553" s="25" t="s">
        <v>72</v>
      </c>
      <c r="C1553" s="25" t="s">
        <v>48</v>
      </c>
      <c r="D1553" s="25" t="n">
        <v>18</v>
      </c>
      <c r="E1553" s="25" t="s">
        <v>577</v>
      </c>
      <c r="F1553" s="25" t="s">
        <v>321</v>
      </c>
      <c r="G1553" s="25" t="n">
        <v>1192</v>
      </c>
      <c r="H1553" s="25" t="s">
        <v>694</v>
      </c>
      <c r="I1553" s="25" t="n">
        <v>1</v>
      </c>
      <c r="J1553" s="26" t="n">
        <v>7000</v>
      </c>
      <c r="K1553" s="25" t="s">
        <v>577</v>
      </c>
      <c r="L1553" s="25" t="s">
        <v>579</v>
      </c>
      <c r="M1553" s="26" t="n">
        <f aca="false">IF(AND(L1553="Oui",K1553="Principal"),I1553*J1553,0)</f>
        <v>0</v>
      </c>
      <c r="N1553" s="25" t="s">
        <v>548</v>
      </c>
      <c r="O1553" s="25"/>
      <c r="P1553" s="25" t="s">
        <v>550</v>
      </c>
      <c r="Q1553" s="25" t="s">
        <v>557</v>
      </c>
      <c r="R1553" s="26" t="n">
        <v>5500</v>
      </c>
      <c r="S1553" s="26" t="n">
        <f aca="false">IF(AND(L1553="Oui",K1553="Principal",R1553&lt;&gt;""),I1553*R1553,0)</f>
        <v>0</v>
      </c>
      <c r="T1553" s="26" t="n">
        <f aca="false">IF(R1553&lt;&gt;"",M1553-S1553,0)</f>
        <v>0</v>
      </c>
      <c r="U1553" s="26" t="n">
        <f aca="false">IF(R1553="",M1553,0)</f>
        <v>0</v>
      </c>
    </row>
    <row r="1554" customFormat="false" ht="15" hidden="false" customHeight="false" outlineLevel="0" collapsed="false">
      <c r="A1554" s="25" t="s">
        <v>65</v>
      </c>
      <c r="B1554" s="25" t="s">
        <v>72</v>
      </c>
      <c r="C1554" s="25" t="s">
        <v>49</v>
      </c>
      <c r="D1554" s="25" t="n">
        <v>1</v>
      </c>
      <c r="E1554" s="25" t="s">
        <v>544</v>
      </c>
      <c r="F1554" s="25" t="s">
        <v>295</v>
      </c>
      <c r="G1554" s="25" t="n">
        <v>1618</v>
      </c>
      <c r="H1554" s="25" t="s">
        <v>600</v>
      </c>
      <c r="I1554" s="25" t="n">
        <v>1</v>
      </c>
      <c r="J1554" s="26" t="n">
        <v>450</v>
      </c>
      <c r="K1554" s="25" t="s">
        <v>546</v>
      </c>
      <c r="L1554" s="25" t="s">
        <v>547</v>
      </c>
      <c r="M1554" s="26" t="n">
        <f aca="false">IF(AND(L1554="Oui",K1554="Principal"),I1554*J1554,0)</f>
        <v>450</v>
      </c>
      <c r="N1554" s="25" t="s">
        <v>548</v>
      </c>
      <c r="O1554" s="25"/>
      <c r="P1554" s="25" t="s">
        <v>556</v>
      </c>
      <c r="Q1554" s="25" t="s">
        <v>557</v>
      </c>
      <c r="R1554" s="26" t="n">
        <v>350</v>
      </c>
      <c r="S1554" s="26" t="n">
        <f aca="false">IF(AND(L1554="Oui",K1554="Principal",R1554&lt;&gt;""),I1554*R1554,0)</f>
        <v>350</v>
      </c>
      <c r="T1554" s="26" t="n">
        <f aca="false">IF(R1554&lt;&gt;"",M1554-S1554,0)</f>
        <v>100</v>
      </c>
      <c r="U1554" s="26" t="n">
        <f aca="false">IF(R1554="",M1554,0)</f>
        <v>0</v>
      </c>
    </row>
    <row r="1555" customFormat="false" ht="15" hidden="false" customHeight="false" outlineLevel="0" collapsed="false">
      <c r="A1555" s="25" t="s">
        <v>65</v>
      </c>
      <c r="B1555" s="25" t="s">
        <v>72</v>
      </c>
      <c r="C1555" s="25" t="s">
        <v>49</v>
      </c>
      <c r="D1555" s="25" t="n">
        <v>2</v>
      </c>
      <c r="E1555" s="25" t="s">
        <v>544</v>
      </c>
      <c r="F1555" s="25" t="s">
        <v>296</v>
      </c>
      <c r="G1555" s="25" t="n">
        <v>1</v>
      </c>
      <c r="H1555" s="25" t="s">
        <v>681</v>
      </c>
      <c r="I1555" s="25" t="n">
        <v>4</v>
      </c>
      <c r="J1555" s="26" t="n">
        <v>500</v>
      </c>
      <c r="K1555" s="25" t="s">
        <v>546</v>
      </c>
      <c r="L1555" s="25" t="s">
        <v>547</v>
      </c>
      <c r="M1555" s="26" t="n">
        <f aca="false">IF(AND(L1555="Oui",K1555="Principal"),I1555*J1555,0)</f>
        <v>2000</v>
      </c>
      <c r="N1555" s="25" t="s">
        <v>548</v>
      </c>
      <c r="O1555" s="25"/>
      <c r="P1555" s="25" t="s">
        <v>559</v>
      </c>
      <c r="Q1555" s="25" t="s">
        <v>551</v>
      </c>
      <c r="R1555" s="26"/>
      <c r="S1555" s="26" t="n">
        <f aca="false">IF(AND(L1555="Oui",K1555="Principal",R1555&lt;&gt;""),I1555*R1555,0)</f>
        <v>0</v>
      </c>
      <c r="T1555" s="26" t="n">
        <f aca="false">IF(R1555&lt;&gt;"",M1555-S1555,0)</f>
        <v>0</v>
      </c>
      <c r="U1555" s="26" t="n">
        <f aca="false">IF(R1555="",M1555,0)</f>
        <v>2000</v>
      </c>
    </row>
    <row r="1556" customFormat="false" ht="15" hidden="false" customHeight="false" outlineLevel="0" collapsed="false">
      <c r="A1556" s="25" t="s">
        <v>65</v>
      </c>
      <c r="B1556" s="25" t="s">
        <v>72</v>
      </c>
      <c r="C1556" s="25" t="s">
        <v>49</v>
      </c>
      <c r="D1556" s="25" t="n">
        <v>3</v>
      </c>
      <c r="E1556" s="25" t="s">
        <v>544</v>
      </c>
      <c r="F1556" s="25" t="s">
        <v>298</v>
      </c>
      <c r="G1556" s="25" t="n">
        <v>1616</v>
      </c>
      <c r="H1556" s="25" t="s">
        <v>695</v>
      </c>
      <c r="I1556" s="25" t="n">
        <v>2</v>
      </c>
      <c r="J1556" s="26" t="n">
        <v>900</v>
      </c>
      <c r="K1556" s="25" t="s">
        <v>546</v>
      </c>
      <c r="L1556" s="25" t="s">
        <v>547</v>
      </c>
      <c r="M1556" s="26" t="n">
        <f aca="false">IF(AND(L1556="Oui",K1556="Principal"),I1556*J1556,0)</f>
        <v>1800</v>
      </c>
      <c r="N1556" s="25" t="s">
        <v>548</v>
      </c>
      <c r="O1556" s="25"/>
      <c r="P1556" s="25" t="s">
        <v>556</v>
      </c>
      <c r="Q1556" s="25" t="s">
        <v>557</v>
      </c>
      <c r="R1556" s="26" t="n">
        <v>800</v>
      </c>
      <c r="S1556" s="26" t="n">
        <f aca="false">IF(AND(L1556="Oui",K1556="Principal",R1556&lt;&gt;""),I1556*R1556,0)</f>
        <v>1600</v>
      </c>
      <c r="T1556" s="26" t="n">
        <f aca="false">IF(R1556&lt;&gt;"",M1556-S1556,0)</f>
        <v>200</v>
      </c>
      <c r="U1556" s="26" t="n">
        <f aca="false">IF(R1556="",M1556,0)</f>
        <v>0</v>
      </c>
    </row>
    <row r="1557" customFormat="false" ht="15" hidden="false" customHeight="false" outlineLevel="0" collapsed="false">
      <c r="A1557" s="25" t="s">
        <v>65</v>
      </c>
      <c r="B1557" s="25" t="s">
        <v>72</v>
      </c>
      <c r="C1557" s="25" t="s">
        <v>49</v>
      </c>
      <c r="D1557" s="25" t="n">
        <v>4</v>
      </c>
      <c r="E1557" s="25" t="s">
        <v>544</v>
      </c>
      <c r="F1557" s="25" t="s">
        <v>338</v>
      </c>
      <c r="G1557" s="25" t="n">
        <v>1715</v>
      </c>
      <c r="H1557" s="25" t="s">
        <v>713</v>
      </c>
      <c r="I1557" s="25" t="n">
        <v>4</v>
      </c>
      <c r="J1557" s="26" t="n">
        <v>1600</v>
      </c>
      <c r="K1557" s="25" t="s">
        <v>546</v>
      </c>
      <c r="L1557" s="25" t="s">
        <v>547</v>
      </c>
      <c r="M1557" s="26" t="n">
        <f aca="false">IF(AND(L1557="Oui",K1557="Principal"),I1557*J1557,0)</f>
        <v>6400</v>
      </c>
      <c r="N1557" s="25" t="s">
        <v>548</v>
      </c>
      <c r="O1557" s="25"/>
      <c r="P1557" s="25" t="s">
        <v>550</v>
      </c>
      <c r="Q1557" s="25" t="s">
        <v>557</v>
      </c>
      <c r="R1557" s="26" t="n">
        <v>1300</v>
      </c>
      <c r="S1557" s="26" t="n">
        <f aca="false">IF(AND(L1557="Oui",K1557="Principal",R1557&lt;&gt;""),I1557*R1557,0)</f>
        <v>5200</v>
      </c>
      <c r="T1557" s="26" t="n">
        <f aca="false">IF(R1557&lt;&gt;"",M1557-S1557,0)</f>
        <v>1200</v>
      </c>
      <c r="U1557" s="26" t="n">
        <f aca="false">IF(R1557="",M1557,0)</f>
        <v>0</v>
      </c>
    </row>
    <row r="1558" customFormat="false" ht="15" hidden="false" customHeight="false" outlineLevel="0" collapsed="false">
      <c r="A1558" s="25" t="s">
        <v>65</v>
      </c>
      <c r="B1558" s="25" t="s">
        <v>72</v>
      </c>
      <c r="C1558" s="25" t="s">
        <v>49</v>
      </c>
      <c r="D1558" s="25" t="n">
        <v>5</v>
      </c>
      <c r="E1558" s="25" t="s">
        <v>544</v>
      </c>
      <c r="F1558" s="25" t="s">
        <v>301</v>
      </c>
      <c r="G1558" s="25" t="n">
        <v>1728</v>
      </c>
      <c r="H1558" s="25" t="s">
        <v>545</v>
      </c>
      <c r="I1558" s="25" t="n">
        <v>1</v>
      </c>
      <c r="J1558" s="26" t="n">
        <v>900</v>
      </c>
      <c r="K1558" s="25" t="s">
        <v>546</v>
      </c>
      <c r="L1558" s="25" t="s">
        <v>547</v>
      </c>
      <c r="M1558" s="26" t="n">
        <f aca="false">IF(AND(L1558="Oui",K1558="Principal"),I1558*J1558,0)</f>
        <v>900</v>
      </c>
      <c r="N1558" s="25" t="s">
        <v>548</v>
      </c>
      <c r="O1558" s="25"/>
      <c r="P1558" s="25" t="s">
        <v>550</v>
      </c>
      <c r="Q1558" s="25" t="s">
        <v>551</v>
      </c>
      <c r="R1558" s="26"/>
      <c r="S1558" s="26" t="n">
        <f aca="false">IF(AND(L1558="Oui",K1558="Principal",R1558&lt;&gt;""),I1558*R1558,0)</f>
        <v>0</v>
      </c>
      <c r="T1558" s="26" t="n">
        <f aca="false">IF(R1558&lt;&gt;"",M1558-S1558,0)</f>
        <v>0</v>
      </c>
      <c r="U1558" s="26" t="n">
        <f aca="false">IF(R1558="",M1558,0)</f>
        <v>900</v>
      </c>
    </row>
    <row r="1559" customFormat="false" ht="15" hidden="false" customHeight="false" outlineLevel="0" collapsed="false">
      <c r="A1559" s="25" t="s">
        <v>65</v>
      </c>
      <c r="B1559" s="25" t="s">
        <v>72</v>
      </c>
      <c r="C1559" s="25" t="s">
        <v>49</v>
      </c>
      <c r="D1559" s="25" t="n">
        <v>6</v>
      </c>
      <c r="E1559" s="25" t="s">
        <v>563</v>
      </c>
      <c r="F1559" s="25" t="s">
        <v>255</v>
      </c>
      <c r="G1559" s="25" t="n">
        <v>1636</v>
      </c>
      <c r="H1559" s="25" t="s">
        <v>661</v>
      </c>
      <c r="I1559" s="25" t="n">
        <v>1</v>
      </c>
      <c r="J1559" s="26" t="n">
        <v>400</v>
      </c>
      <c r="K1559" s="25" t="s">
        <v>546</v>
      </c>
      <c r="L1559" s="25" t="s">
        <v>547</v>
      </c>
      <c r="M1559" s="26" t="n">
        <f aca="false">IF(AND(L1559="Oui",K1559="Principal"),I1559*J1559,0)</f>
        <v>400</v>
      </c>
      <c r="N1559" s="25" t="s">
        <v>548</v>
      </c>
      <c r="O1559" s="25"/>
      <c r="P1559" s="25" t="s">
        <v>556</v>
      </c>
      <c r="Q1559" s="25" t="s">
        <v>557</v>
      </c>
      <c r="R1559" s="26" t="n">
        <v>320</v>
      </c>
      <c r="S1559" s="26" t="n">
        <f aca="false">IF(AND(L1559="Oui",K1559="Principal",R1559&lt;&gt;""),I1559*R1559,0)</f>
        <v>320</v>
      </c>
      <c r="T1559" s="26" t="n">
        <f aca="false">IF(R1559&lt;&gt;"",M1559-S1559,0)</f>
        <v>80</v>
      </c>
      <c r="U1559" s="26" t="n">
        <f aca="false">IF(R1559="",M1559,0)</f>
        <v>0</v>
      </c>
    </row>
    <row r="1560" customFormat="false" ht="15" hidden="false" customHeight="false" outlineLevel="0" collapsed="false">
      <c r="A1560" s="25" t="s">
        <v>65</v>
      </c>
      <c r="B1560" s="25" t="s">
        <v>72</v>
      </c>
      <c r="C1560" s="25" t="s">
        <v>49</v>
      </c>
      <c r="D1560" s="25" t="n">
        <v>7</v>
      </c>
      <c r="E1560" s="25" t="s">
        <v>563</v>
      </c>
      <c r="F1560" s="25" t="s">
        <v>257</v>
      </c>
      <c r="G1560" s="25" t="n">
        <v>1635</v>
      </c>
      <c r="H1560" s="25" t="s">
        <v>607</v>
      </c>
      <c r="I1560" s="25" t="n">
        <v>1</v>
      </c>
      <c r="J1560" s="26" t="n">
        <v>100</v>
      </c>
      <c r="K1560" s="25" t="s">
        <v>546</v>
      </c>
      <c r="L1560" s="25" t="s">
        <v>547</v>
      </c>
      <c r="M1560" s="26" t="n">
        <f aca="false">IF(AND(L1560="Oui",K1560="Principal"),I1560*J1560,0)</f>
        <v>100</v>
      </c>
      <c r="N1560" s="25" t="s">
        <v>548</v>
      </c>
      <c r="O1560" s="25"/>
      <c r="P1560" s="25" t="s">
        <v>556</v>
      </c>
      <c r="Q1560" s="25" t="s">
        <v>557</v>
      </c>
      <c r="R1560" s="26" t="n">
        <v>80</v>
      </c>
      <c r="S1560" s="26" t="n">
        <f aca="false">IF(AND(L1560="Oui",K1560="Principal",R1560&lt;&gt;""),I1560*R1560,0)</f>
        <v>80</v>
      </c>
      <c r="T1560" s="26" t="n">
        <f aca="false">IF(R1560&lt;&gt;"",M1560-S1560,0)</f>
        <v>20</v>
      </c>
      <c r="U1560" s="26" t="n">
        <f aca="false">IF(R1560="",M1560,0)</f>
        <v>0</v>
      </c>
    </row>
    <row r="1561" customFormat="false" ht="15" hidden="false" customHeight="false" outlineLevel="0" collapsed="false">
      <c r="A1561" s="25" t="s">
        <v>65</v>
      </c>
      <c r="B1561" s="25" t="s">
        <v>72</v>
      </c>
      <c r="C1561" s="25" t="s">
        <v>49</v>
      </c>
      <c r="D1561" s="25" t="n">
        <v>8</v>
      </c>
      <c r="E1561" s="25" t="s">
        <v>563</v>
      </c>
      <c r="F1561" s="25" t="s">
        <v>188</v>
      </c>
      <c r="G1561" s="25" t="n">
        <v>8</v>
      </c>
      <c r="H1561" s="25" t="s">
        <v>188</v>
      </c>
      <c r="I1561" s="25" t="n">
        <v>1</v>
      </c>
      <c r="J1561" s="26" t="n">
        <v>500</v>
      </c>
      <c r="K1561" s="25" t="s">
        <v>546</v>
      </c>
      <c r="L1561" s="25" t="s">
        <v>547</v>
      </c>
      <c r="M1561" s="26" t="n">
        <f aca="false">IF(AND(L1561="Oui",K1561="Principal"),I1561*J1561,0)</f>
        <v>500</v>
      </c>
      <c r="N1561" s="25" t="s">
        <v>548</v>
      </c>
      <c r="O1561" s="25"/>
      <c r="P1561" s="25" t="s">
        <v>559</v>
      </c>
      <c r="Q1561" s="25" t="s">
        <v>551</v>
      </c>
      <c r="R1561" s="26"/>
      <c r="S1561" s="26" t="n">
        <f aca="false">IF(AND(L1561="Oui",K1561="Principal",R1561&lt;&gt;""),I1561*R1561,0)</f>
        <v>0</v>
      </c>
      <c r="T1561" s="26" t="n">
        <f aca="false">IF(R1561&lt;&gt;"",M1561-S1561,0)</f>
        <v>0</v>
      </c>
      <c r="U1561" s="26" t="n">
        <f aca="false">IF(R1561="",M1561,0)</f>
        <v>500</v>
      </c>
    </row>
    <row r="1562" customFormat="false" ht="15" hidden="false" customHeight="false" outlineLevel="0" collapsed="false">
      <c r="A1562" s="25" t="s">
        <v>65</v>
      </c>
      <c r="B1562" s="25" t="s">
        <v>72</v>
      </c>
      <c r="C1562" s="25" t="s">
        <v>49</v>
      </c>
      <c r="D1562" s="25" t="n">
        <v>9</v>
      </c>
      <c r="E1562" s="25" t="s">
        <v>563</v>
      </c>
      <c r="F1562" s="25" t="s">
        <v>323</v>
      </c>
      <c r="G1562" s="25" t="n">
        <v>1607</v>
      </c>
      <c r="H1562" s="25" t="s">
        <v>696</v>
      </c>
      <c r="I1562" s="25" t="n">
        <v>1</v>
      </c>
      <c r="J1562" s="26" t="n">
        <v>2500</v>
      </c>
      <c r="K1562" s="25" t="s">
        <v>546</v>
      </c>
      <c r="L1562" s="25" t="s">
        <v>547</v>
      </c>
      <c r="M1562" s="26" t="n">
        <f aca="false">IF(AND(L1562="Oui",K1562="Principal"),I1562*J1562,0)</f>
        <v>2500</v>
      </c>
      <c r="N1562" s="25" t="s">
        <v>548</v>
      </c>
      <c r="O1562" s="25"/>
      <c r="P1562" s="25" t="s">
        <v>556</v>
      </c>
      <c r="Q1562" s="25" t="s">
        <v>557</v>
      </c>
      <c r="R1562" s="26" t="n">
        <v>2000</v>
      </c>
      <c r="S1562" s="26" t="n">
        <f aca="false">IF(AND(L1562="Oui",K1562="Principal",R1562&lt;&gt;""),I1562*R1562,0)</f>
        <v>2000</v>
      </c>
      <c r="T1562" s="26" t="n">
        <f aca="false">IF(R1562&lt;&gt;"",M1562-S1562,0)</f>
        <v>500</v>
      </c>
      <c r="U1562" s="26" t="n">
        <f aca="false">IF(R1562="",M1562,0)</f>
        <v>0</v>
      </c>
    </row>
    <row r="1563" customFormat="false" ht="15" hidden="false" customHeight="false" outlineLevel="0" collapsed="false">
      <c r="A1563" s="25" t="s">
        <v>65</v>
      </c>
      <c r="B1563" s="25" t="s">
        <v>72</v>
      </c>
      <c r="C1563" s="25" t="s">
        <v>49</v>
      </c>
      <c r="D1563" s="25" t="n">
        <v>10</v>
      </c>
      <c r="E1563" s="25" t="s">
        <v>563</v>
      </c>
      <c r="F1563" s="25" t="s">
        <v>325</v>
      </c>
      <c r="G1563" s="25" t="n">
        <v>1248</v>
      </c>
      <c r="H1563" s="25" t="s">
        <v>697</v>
      </c>
      <c r="I1563" s="25" t="n">
        <v>1</v>
      </c>
      <c r="J1563" s="26" t="n">
        <v>400</v>
      </c>
      <c r="K1563" s="25" t="s">
        <v>546</v>
      </c>
      <c r="L1563" s="25" t="s">
        <v>547</v>
      </c>
      <c r="M1563" s="26" t="n">
        <f aca="false">IF(AND(L1563="Oui",K1563="Principal"),I1563*J1563,0)</f>
        <v>400</v>
      </c>
      <c r="N1563" s="25" t="s">
        <v>548</v>
      </c>
      <c r="O1563" s="25"/>
      <c r="P1563" s="25" t="s">
        <v>550</v>
      </c>
      <c r="Q1563" s="25" t="s">
        <v>557</v>
      </c>
      <c r="R1563" s="26" t="n">
        <v>250</v>
      </c>
      <c r="S1563" s="26" t="n">
        <f aca="false">IF(AND(L1563="Oui",K1563="Principal",R1563&lt;&gt;""),I1563*R1563,0)</f>
        <v>250</v>
      </c>
      <c r="T1563" s="26" t="n">
        <f aca="false">IF(R1563&lt;&gt;"",M1563-S1563,0)</f>
        <v>150</v>
      </c>
      <c r="U1563" s="26" t="n">
        <f aca="false">IF(R1563="",M1563,0)</f>
        <v>0</v>
      </c>
    </row>
    <row r="1564" customFormat="false" ht="15" hidden="false" customHeight="false" outlineLevel="0" collapsed="false">
      <c r="A1564" s="25" t="s">
        <v>65</v>
      </c>
      <c r="B1564" s="25" t="s">
        <v>72</v>
      </c>
      <c r="C1564" s="25" t="s">
        <v>49</v>
      </c>
      <c r="D1564" s="25" t="n">
        <v>11</v>
      </c>
      <c r="E1564" s="25" t="s">
        <v>565</v>
      </c>
      <c r="F1564" s="25" t="s">
        <v>99</v>
      </c>
      <c r="G1564" s="25" t="n">
        <v>1181</v>
      </c>
      <c r="H1564" s="25" t="s">
        <v>581</v>
      </c>
      <c r="I1564" s="25" t="n">
        <v>1</v>
      </c>
      <c r="J1564" s="26" t="n">
        <v>250</v>
      </c>
      <c r="K1564" s="25" t="s">
        <v>546</v>
      </c>
      <c r="L1564" s="25" t="s">
        <v>547</v>
      </c>
      <c r="M1564" s="26" t="n">
        <f aca="false">IF(AND(L1564="Oui",K1564="Principal"),I1564*J1564,0)</f>
        <v>250</v>
      </c>
      <c r="N1564" s="25" t="s">
        <v>548</v>
      </c>
      <c r="O1564" s="25"/>
      <c r="P1564" s="25" t="s">
        <v>550</v>
      </c>
      <c r="Q1564" s="25" t="s">
        <v>557</v>
      </c>
      <c r="R1564" s="26" t="n">
        <v>110</v>
      </c>
      <c r="S1564" s="26" t="n">
        <f aca="false">IF(AND(L1564="Oui",K1564="Principal",R1564&lt;&gt;""),I1564*R1564,0)</f>
        <v>110</v>
      </c>
      <c r="T1564" s="26" t="n">
        <f aca="false">IF(R1564&lt;&gt;"",M1564-S1564,0)</f>
        <v>140</v>
      </c>
      <c r="U1564" s="26" t="n">
        <f aca="false">IF(R1564="",M1564,0)</f>
        <v>0</v>
      </c>
    </row>
    <row r="1565" customFormat="false" ht="15" hidden="false" customHeight="false" outlineLevel="0" collapsed="false">
      <c r="A1565" s="25" t="s">
        <v>65</v>
      </c>
      <c r="B1565" s="25" t="s">
        <v>72</v>
      </c>
      <c r="C1565" s="25" t="s">
        <v>49</v>
      </c>
      <c r="D1565" s="25" t="n">
        <v>12</v>
      </c>
      <c r="E1565" s="25" t="s">
        <v>565</v>
      </c>
      <c r="F1565" s="25" t="s">
        <v>164</v>
      </c>
      <c r="G1565" s="25" t="n">
        <v>1587</v>
      </c>
      <c r="H1565" s="25" t="s">
        <v>567</v>
      </c>
      <c r="I1565" s="25" t="n">
        <v>1</v>
      </c>
      <c r="J1565" s="26" t="n">
        <v>500</v>
      </c>
      <c r="K1565" s="25" t="s">
        <v>546</v>
      </c>
      <c r="L1565" s="25" t="s">
        <v>547</v>
      </c>
      <c r="M1565" s="26" t="n">
        <f aca="false">IF(AND(L1565="Oui",K1565="Principal"),I1565*J1565,0)</f>
        <v>500</v>
      </c>
      <c r="N1565" s="25" t="s">
        <v>548</v>
      </c>
      <c r="O1565" s="25"/>
      <c r="P1565" s="25" t="s">
        <v>556</v>
      </c>
      <c r="Q1565" s="25" t="s">
        <v>557</v>
      </c>
      <c r="R1565" s="26" t="n">
        <v>350</v>
      </c>
      <c r="S1565" s="26" t="n">
        <f aca="false">IF(AND(L1565="Oui",K1565="Principal",R1565&lt;&gt;""),I1565*R1565,0)</f>
        <v>350</v>
      </c>
      <c r="T1565" s="26" t="n">
        <f aca="false">IF(R1565&lt;&gt;"",M1565-S1565,0)</f>
        <v>150</v>
      </c>
      <c r="U1565" s="26" t="n">
        <f aca="false">IF(R1565="",M1565,0)</f>
        <v>0</v>
      </c>
    </row>
    <row r="1566" customFormat="false" ht="15" hidden="false" customHeight="false" outlineLevel="0" collapsed="false">
      <c r="A1566" s="25" t="s">
        <v>65</v>
      </c>
      <c r="B1566" s="25" t="s">
        <v>72</v>
      </c>
      <c r="C1566" s="25" t="s">
        <v>49</v>
      </c>
      <c r="D1566" s="25" t="n">
        <v>13</v>
      </c>
      <c r="E1566" s="25" t="s">
        <v>565</v>
      </c>
      <c r="F1566" s="25" t="s">
        <v>166</v>
      </c>
      <c r="G1566" s="25" t="n">
        <v>1604</v>
      </c>
      <c r="H1566" s="25" t="s">
        <v>582</v>
      </c>
      <c r="I1566" s="25" t="n">
        <v>2</v>
      </c>
      <c r="J1566" s="26" t="n">
        <v>700</v>
      </c>
      <c r="K1566" s="25" t="s">
        <v>546</v>
      </c>
      <c r="L1566" s="25" t="s">
        <v>547</v>
      </c>
      <c r="M1566" s="26" t="n">
        <f aca="false">IF(AND(L1566="Oui",K1566="Principal"),I1566*J1566,0)</f>
        <v>1400</v>
      </c>
      <c r="N1566" s="25" t="s">
        <v>548</v>
      </c>
      <c r="O1566" s="25"/>
      <c r="P1566" s="25" t="s">
        <v>556</v>
      </c>
      <c r="Q1566" s="25" t="s">
        <v>557</v>
      </c>
      <c r="R1566" s="26" t="n">
        <v>400</v>
      </c>
      <c r="S1566" s="26" t="n">
        <f aca="false">IF(AND(L1566="Oui",K1566="Principal",R1566&lt;&gt;""),I1566*R1566,0)</f>
        <v>800</v>
      </c>
      <c r="T1566" s="26" t="n">
        <f aca="false">IF(R1566&lt;&gt;"",M1566-S1566,0)</f>
        <v>600</v>
      </c>
      <c r="U1566" s="26" t="n">
        <f aca="false">IF(R1566="",M1566,0)</f>
        <v>0</v>
      </c>
    </row>
    <row r="1567" customFormat="false" ht="15" hidden="false" customHeight="false" outlineLevel="0" collapsed="false">
      <c r="A1567" s="25" t="s">
        <v>65</v>
      </c>
      <c r="B1567" s="25" t="s">
        <v>72</v>
      </c>
      <c r="C1567" s="25" t="s">
        <v>49</v>
      </c>
      <c r="D1567" s="25" t="n">
        <v>14</v>
      </c>
      <c r="E1567" s="25" t="s">
        <v>565</v>
      </c>
      <c r="F1567" s="25" t="s">
        <v>304</v>
      </c>
      <c r="G1567" s="25" t="n">
        <v>1586</v>
      </c>
      <c r="H1567" s="25" t="s">
        <v>583</v>
      </c>
      <c r="I1567" s="25" t="n">
        <v>1</v>
      </c>
      <c r="J1567" s="26" t="n">
        <v>900</v>
      </c>
      <c r="K1567" s="25" t="s">
        <v>546</v>
      </c>
      <c r="L1567" s="25" t="s">
        <v>547</v>
      </c>
      <c r="M1567" s="26" t="n">
        <f aca="false">IF(AND(L1567="Oui",K1567="Principal"),I1567*J1567,0)</f>
        <v>900</v>
      </c>
      <c r="N1567" s="25" t="s">
        <v>548</v>
      </c>
      <c r="O1567" s="25"/>
      <c r="P1567" s="25" t="s">
        <v>556</v>
      </c>
      <c r="Q1567" s="25" t="s">
        <v>557</v>
      </c>
      <c r="R1567" s="26" t="n">
        <v>650</v>
      </c>
      <c r="S1567" s="26" t="n">
        <f aca="false">IF(AND(L1567="Oui",K1567="Principal",R1567&lt;&gt;""),I1567*R1567,0)</f>
        <v>650</v>
      </c>
      <c r="T1567" s="26" t="n">
        <f aca="false">IF(R1567&lt;&gt;"",M1567-S1567,0)</f>
        <v>250</v>
      </c>
      <c r="U1567" s="26" t="n">
        <f aca="false">IF(R1567="",M1567,0)</f>
        <v>0</v>
      </c>
    </row>
    <row r="1568" customFormat="false" ht="15" hidden="false" customHeight="false" outlineLevel="0" collapsed="false">
      <c r="A1568" s="33" t="s">
        <v>65</v>
      </c>
      <c r="B1568" s="33" t="s">
        <v>72</v>
      </c>
      <c r="C1568" s="33" t="s">
        <v>49</v>
      </c>
      <c r="D1568" s="33" t="n">
        <v>15</v>
      </c>
      <c r="E1568" s="33" t="s">
        <v>609</v>
      </c>
      <c r="F1568" s="33" t="s">
        <v>199</v>
      </c>
      <c r="G1568" s="33" t="n">
        <v>1229</v>
      </c>
      <c r="H1568" s="33" t="s">
        <v>643</v>
      </c>
      <c r="I1568" s="33" t="n">
        <v>1</v>
      </c>
      <c r="J1568" s="34" t="n">
        <v>1800</v>
      </c>
      <c r="K1568" s="33" t="s">
        <v>546</v>
      </c>
      <c r="L1568" s="33" t="s">
        <v>547</v>
      </c>
      <c r="M1568" s="34" t="n">
        <f aca="false">IF(AND(L1568="Oui",K1568="Principal"),I1568*J1568,0)</f>
        <v>1800</v>
      </c>
      <c r="N1568" s="33" t="s">
        <v>182</v>
      </c>
      <c r="O1568" s="33" t="s">
        <v>644</v>
      </c>
      <c r="P1568" s="33" t="s">
        <v>550</v>
      </c>
      <c r="Q1568" s="33" t="s">
        <v>557</v>
      </c>
      <c r="R1568" s="34" t="n">
        <v>1500</v>
      </c>
      <c r="S1568" s="34" t="n">
        <f aca="false">IF(AND(L1568="Oui",K1568="Principal",R1568&lt;&gt;""),I1568*R1568,0)</f>
        <v>1500</v>
      </c>
      <c r="T1568" s="34" t="n">
        <f aca="false">IF(R1568&lt;&gt;"",M1568-S1568,0)</f>
        <v>300</v>
      </c>
      <c r="U1568" s="34" t="n">
        <f aca="false">IF(R1568="",M1568,0)</f>
        <v>0</v>
      </c>
    </row>
    <row r="1569" customFormat="false" ht="15" hidden="false" customHeight="false" outlineLevel="0" collapsed="false">
      <c r="A1569" s="25" t="s">
        <v>65</v>
      </c>
      <c r="B1569" s="25" t="s">
        <v>72</v>
      </c>
      <c r="C1569" s="25" t="s">
        <v>49</v>
      </c>
      <c r="D1569" s="25" t="n">
        <v>16</v>
      </c>
      <c r="E1569" s="25" t="s">
        <v>700</v>
      </c>
      <c r="F1569" s="25" t="s">
        <v>329</v>
      </c>
      <c r="G1569" s="25" t="n">
        <v>1716</v>
      </c>
      <c r="H1569" s="25" t="s">
        <v>701</v>
      </c>
      <c r="I1569" s="25" t="n">
        <v>1</v>
      </c>
      <c r="J1569" s="26" t="n">
        <v>1800</v>
      </c>
      <c r="K1569" s="25" t="s">
        <v>546</v>
      </c>
      <c r="L1569" s="25" t="s">
        <v>547</v>
      </c>
      <c r="M1569" s="26" t="n">
        <f aca="false">IF(AND(L1569="Oui",K1569="Principal"),I1569*J1569,0)</f>
        <v>1800</v>
      </c>
      <c r="N1569" s="25" t="s">
        <v>548</v>
      </c>
      <c r="O1569" s="25"/>
      <c r="P1569" s="25" t="s">
        <v>559</v>
      </c>
      <c r="Q1569" s="25" t="s">
        <v>557</v>
      </c>
      <c r="R1569" s="26" t="n">
        <v>1300</v>
      </c>
      <c r="S1569" s="26" t="n">
        <f aca="false">IF(AND(L1569="Oui",K1569="Principal",R1569&lt;&gt;""),I1569*R1569,0)</f>
        <v>1300</v>
      </c>
      <c r="T1569" s="26" t="n">
        <f aca="false">IF(R1569&lt;&gt;"",M1569-S1569,0)</f>
        <v>500</v>
      </c>
      <c r="U1569" s="26" t="n">
        <f aca="false">IF(R1569="",M1569,0)</f>
        <v>0</v>
      </c>
    </row>
    <row r="1570" customFormat="false" ht="15" hidden="false" customHeight="false" outlineLevel="0" collapsed="false">
      <c r="A1570" s="27" t="s">
        <v>65</v>
      </c>
      <c r="B1570" s="27" t="s">
        <v>72</v>
      </c>
      <c r="C1570" s="27" t="s">
        <v>49</v>
      </c>
      <c r="D1570" s="27" t="n">
        <v>17</v>
      </c>
      <c r="E1570" s="27" t="s">
        <v>700</v>
      </c>
      <c r="F1570" s="27" t="s">
        <v>382</v>
      </c>
      <c r="G1570" s="27"/>
      <c r="H1570" s="27" t="s">
        <v>585</v>
      </c>
      <c r="I1570" s="27" t="n">
        <v>1</v>
      </c>
      <c r="J1570" s="28" t="n">
        <v>0</v>
      </c>
      <c r="K1570" s="27" t="s">
        <v>546</v>
      </c>
      <c r="L1570" s="27" t="s">
        <v>579</v>
      </c>
      <c r="M1570" s="28" t="n">
        <f aca="false">IF(AND(L1570="Oui",K1570="Principal"),I1570*J1570,0)</f>
        <v>0</v>
      </c>
      <c r="N1570" s="27" t="s">
        <v>128</v>
      </c>
      <c r="O1570" s="27" t="s">
        <v>586</v>
      </c>
      <c r="P1570" s="27"/>
      <c r="Q1570" s="27"/>
      <c r="R1570" s="28"/>
      <c r="S1570" s="28" t="n">
        <f aca="false">IF(AND(L1570="Oui",K1570="Principal",R1570&lt;&gt;""),I1570*R1570,0)</f>
        <v>0</v>
      </c>
      <c r="T1570" s="28" t="n">
        <f aca="false">IF(R1570&lt;&gt;"",M1570-S1570,0)</f>
        <v>0</v>
      </c>
      <c r="U1570" s="28" t="n">
        <f aca="false">IF(R1570="",M1570,0)</f>
        <v>0</v>
      </c>
    </row>
    <row r="1571" customFormat="false" ht="15" hidden="false" customHeight="false" outlineLevel="0" collapsed="false">
      <c r="A1571" s="25" t="s">
        <v>65</v>
      </c>
      <c r="B1571" s="25" t="s">
        <v>72</v>
      </c>
      <c r="C1571" s="25" t="s">
        <v>49</v>
      </c>
      <c r="D1571" s="25" t="n">
        <v>18</v>
      </c>
      <c r="E1571" s="25" t="s">
        <v>571</v>
      </c>
      <c r="F1571" s="25" t="s">
        <v>431</v>
      </c>
      <c r="G1571" s="25" t="n">
        <v>1631</v>
      </c>
      <c r="H1571" s="25" t="s">
        <v>755</v>
      </c>
      <c r="I1571" s="25" t="n">
        <v>1</v>
      </c>
      <c r="J1571" s="26" t="n">
        <v>2700</v>
      </c>
      <c r="K1571" s="25" t="s">
        <v>546</v>
      </c>
      <c r="L1571" s="25" t="s">
        <v>547</v>
      </c>
      <c r="M1571" s="26" t="n">
        <f aca="false">IF(AND(L1571="Oui",K1571="Principal"),I1571*J1571,0)</f>
        <v>2700</v>
      </c>
      <c r="N1571" s="25" t="s">
        <v>548</v>
      </c>
      <c r="O1571" s="25"/>
      <c r="P1571" s="25" t="s">
        <v>556</v>
      </c>
      <c r="Q1571" s="25" t="s">
        <v>557</v>
      </c>
      <c r="R1571" s="26" t="n">
        <v>2000</v>
      </c>
      <c r="S1571" s="26" t="n">
        <f aca="false">IF(AND(L1571="Oui",K1571="Principal",R1571&lt;&gt;""),I1571*R1571,0)</f>
        <v>2000</v>
      </c>
      <c r="T1571" s="26" t="n">
        <f aca="false">IF(R1571&lt;&gt;"",M1571-S1571,0)</f>
        <v>700</v>
      </c>
      <c r="U1571" s="26" t="n">
        <f aca="false">IF(R1571="",M1571,0)</f>
        <v>0</v>
      </c>
    </row>
    <row r="1572" customFormat="false" ht="15" hidden="false" customHeight="false" outlineLevel="0" collapsed="false">
      <c r="A1572" s="25" t="s">
        <v>65</v>
      </c>
      <c r="B1572" s="25" t="s">
        <v>72</v>
      </c>
      <c r="C1572" s="25" t="s">
        <v>49</v>
      </c>
      <c r="D1572" s="25" t="n">
        <v>19</v>
      </c>
      <c r="E1572" s="25" t="s">
        <v>571</v>
      </c>
      <c r="F1572" s="25" t="s">
        <v>433</v>
      </c>
      <c r="G1572" s="25" t="n">
        <v>1683</v>
      </c>
      <c r="H1572" s="25" t="s">
        <v>756</v>
      </c>
      <c r="I1572" s="25" t="n">
        <v>1</v>
      </c>
      <c r="J1572" s="26" t="n">
        <v>1000</v>
      </c>
      <c r="K1572" s="25" t="s">
        <v>546</v>
      </c>
      <c r="L1572" s="25" t="s">
        <v>547</v>
      </c>
      <c r="M1572" s="26" t="n">
        <f aca="false">IF(AND(L1572="Oui",K1572="Principal"),I1572*J1572,0)</f>
        <v>1000</v>
      </c>
      <c r="N1572" s="25" t="s">
        <v>548</v>
      </c>
      <c r="O1572" s="25"/>
      <c r="P1572" s="25" t="s">
        <v>556</v>
      </c>
      <c r="Q1572" s="25" t="s">
        <v>557</v>
      </c>
      <c r="R1572" s="26"/>
      <c r="S1572" s="26" t="n">
        <f aca="false">IF(AND(L1572="Oui",K1572="Principal",R1572&lt;&gt;""),I1572*R1572,0)</f>
        <v>0</v>
      </c>
      <c r="T1572" s="26" t="n">
        <f aca="false">IF(R1572&lt;&gt;"",M1572-S1572,0)</f>
        <v>0</v>
      </c>
      <c r="U1572" s="26" t="n">
        <f aca="false">IF(R1572="",M1572,0)</f>
        <v>1000</v>
      </c>
    </row>
    <row r="1573" customFormat="false" ht="15" hidden="false" customHeight="false" outlineLevel="0" collapsed="false">
      <c r="A1573" s="33" t="s">
        <v>65</v>
      </c>
      <c r="B1573" s="33" t="s">
        <v>72</v>
      </c>
      <c r="C1573" s="33" t="s">
        <v>49</v>
      </c>
      <c r="D1573" s="33" t="n">
        <v>20</v>
      </c>
      <c r="E1573" s="33" t="s">
        <v>571</v>
      </c>
      <c r="F1573" s="33" t="s">
        <v>435</v>
      </c>
      <c r="G1573" s="33" t="n">
        <v>1269</v>
      </c>
      <c r="H1573" s="33" t="s">
        <v>757</v>
      </c>
      <c r="I1573" s="33" t="n">
        <v>1</v>
      </c>
      <c r="J1573" s="34" t="n">
        <v>1150</v>
      </c>
      <c r="K1573" s="33" t="s">
        <v>546</v>
      </c>
      <c r="L1573" s="33" t="s">
        <v>547</v>
      </c>
      <c r="M1573" s="34" t="n">
        <f aca="false">IF(AND(L1573="Oui",K1573="Principal"),I1573*J1573,0)</f>
        <v>1150</v>
      </c>
      <c r="N1573" s="33" t="s">
        <v>182</v>
      </c>
      <c r="O1573" s="33" t="s">
        <v>758</v>
      </c>
      <c r="P1573" s="33" t="s">
        <v>550</v>
      </c>
      <c r="Q1573" s="33" t="s">
        <v>557</v>
      </c>
      <c r="R1573" s="34" t="n">
        <v>850</v>
      </c>
      <c r="S1573" s="34" t="n">
        <f aca="false">IF(AND(L1573="Oui",K1573="Principal",R1573&lt;&gt;""),I1573*R1573,0)</f>
        <v>850</v>
      </c>
      <c r="T1573" s="34" t="n">
        <f aca="false">IF(R1573&lt;&gt;"",M1573-S1573,0)</f>
        <v>300</v>
      </c>
      <c r="U1573" s="34" t="n">
        <f aca="false">IF(R1573="",M1573,0)</f>
        <v>0</v>
      </c>
    </row>
    <row r="1574" customFormat="false" ht="15" hidden="false" customHeight="false" outlineLevel="0" collapsed="false">
      <c r="A1574" s="25" t="s">
        <v>65</v>
      </c>
      <c r="B1574" s="25" t="s">
        <v>72</v>
      </c>
      <c r="C1574" s="25" t="s">
        <v>49</v>
      </c>
      <c r="D1574" s="25" t="n">
        <v>21</v>
      </c>
      <c r="E1574" s="25" t="s">
        <v>573</v>
      </c>
      <c r="F1574" s="25" t="s">
        <v>176</v>
      </c>
      <c r="G1574" s="25" t="n">
        <v>19</v>
      </c>
      <c r="H1574" s="25" t="s">
        <v>615</v>
      </c>
      <c r="I1574" s="25" t="n">
        <v>1</v>
      </c>
      <c r="J1574" s="26" t="n">
        <v>2500</v>
      </c>
      <c r="K1574" s="25" t="s">
        <v>546</v>
      </c>
      <c r="L1574" s="25" t="s">
        <v>547</v>
      </c>
      <c r="M1574" s="26" t="n">
        <f aca="false">IF(AND(L1574="Oui",K1574="Principal"),I1574*J1574,0)</f>
        <v>2500</v>
      </c>
      <c r="N1574" s="25" t="s">
        <v>548</v>
      </c>
      <c r="O1574" s="25"/>
      <c r="P1574" s="25" t="s">
        <v>559</v>
      </c>
      <c r="Q1574" s="25" t="s">
        <v>551</v>
      </c>
      <c r="R1574" s="26"/>
      <c r="S1574" s="26" t="n">
        <f aca="false">IF(AND(L1574="Oui",K1574="Principal",R1574&lt;&gt;""),I1574*R1574,0)</f>
        <v>0</v>
      </c>
      <c r="T1574" s="26" t="n">
        <f aca="false">IF(R1574&lt;&gt;"",M1574-S1574,0)</f>
        <v>0</v>
      </c>
      <c r="U1574" s="26" t="n">
        <f aca="false">IF(R1574="",M1574,0)</f>
        <v>2500</v>
      </c>
    </row>
    <row r="1575" customFormat="false" ht="15" hidden="false" customHeight="false" outlineLevel="0" collapsed="false">
      <c r="A1575" s="25" t="s">
        <v>65</v>
      </c>
      <c r="B1575" s="25" t="s">
        <v>72</v>
      </c>
      <c r="C1575" s="25" t="s">
        <v>49</v>
      </c>
      <c r="D1575" s="25" t="n">
        <v>22</v>
      </c>
      <c r="E1575" s="25" t="s">
        <v>573</v>
      </c>
      <c r="F1575" s="25" t="s">
        <v>117</v>
      </c>
      <c r="G1575" s="25" t="n">
        <v>1288</v>
      </c>
      <c r="H1575" s="25" t="s">
        <v>624</v>
      </c>
      <c r="I1575" s="25" t="n">
        <v>1</v>
      </c>
      <c r="J1575" s="26" t="n">
        <v>2500</v>
      </c>
      <c r="K1575" s="25" t="s">
        <v>546</v>
      </c>
      <c r="L1575" s="25" t="s">
        <v>547</v>
      </c>
      <c r="M1575" s="26" t="n">
        <f aca="false">IF(AND(L1575="Oui",K1575="Principal"),I1575*J1575,0)</f>
        <v>2500</v>
      </c>
      <c r="N1575" s="25" t="s">
        <v>548</v>
      </c>
      <c r="O1575" s="25"/>
      <c r="P1575" s="25" t="s">
        <v>550</v>
      </c>
      <c r="Q1575" s="25" t="s">
        <v>557</v>
      </c>
      <c r="R1575" s="26" t="n">
        <v>2000</v>
      </c>
      <c r="S1575" s="26" t="n">
        <f aca="false">IF(AND(L1575="Oui",K1575="Principal",R1575&lt;&gt;""),I1575*R1575,0)</f>
        <v>2000</v>
      </c>
      <c r="T1575" s="26" t="n">
        <f aca="false">IF(R1575&lt;&gt;"",M1575-S1575,0)</f>
        <v>500</v>
      </c>
      <c r="U1575" s="26" t="n">
        <f aca="false">IF(R1575="",M1575,0)</f>
        <v>0</v>
      </c>
    </row>
    <row r="1576" customFormat="false" ht="15" hidden="false" customHeight="false" outlineLevel="0" collapsed="false">
      <c r="A1576" s="25" t="s">
        <v>65</v>
      </c>
      <c r="B1576" s="25" t="s">
        <v>72</v>
      </c>
      <c r="C1576" s="25" t="s">
        <v>49</v>
      </c>
      <c r="D1576" s="25" t="n">
        <v>23</v>
      </c>
      <c r="E1576" s="25" t="s">
        <v>573</v>
      </c>
      <c r="F1576" s="25" t="s">
        <v>321</v>
      </c>
      <c r="G1576" s="25" t="n">
        <v>1192</v>
      </c>
      <c r="H1576" s="25" t="s">
        <v>694</v>
      </c>
      <c r="I1576" s="25" t="n">
        <v>1</v>
      </c>
      <c r="J1576" s="26" t="n">
        <v>7000</v>
      </c>
      <c r="K1576" s="25" t="s">
        <v>546</v>
      </c>
      <c r="L1576" s="25" t="s">
        <v>547</v>
      </c>
      <c r="M1576" s="26" t="n">
        <f aca="false">IF(AND(L1576="Oui",K1576="Principal"),I1576*J1576,0)</f>
        <v>7000</v>
      </c>
      <c r="N1576" s="25" t="s">
        <v>548</v>
      </c>
      <c r="O1576" s="25"/>
      <c r="P1576" s="25" t="s">
        <v>550</v>
      </c>
      <c r="Q1576" s="25" t="s">
        <v>557</v>
      </c>
      <c r="R1576" s="26" t="n">
        <v>5500</v>
      </c>
      <c r="S1576" s="26" t="n">
        <f aca="false">IF(AND(L1576="Oui",K1576="Principal",R1576&lt;&gt;""),I1576*R1576,0)</f>
        <v>5500</v>
      </c>
      <c r="T1576" s="26" t="n">
        <f aca="false">IF(R1576&lt;&gt;"",M1576-S1576,0)</f>
        <v>1500</v>
      </c>
      <c r="U1576" s="26" t="n">
        <f aca="false">IF(R1576="",M1576,0)</f>
        <v>0</v>
      </c>
    </row>
    <row r="1577" customFormat="false" ht="15" hidden="false" customHeight="false" outlineLevel="0" collapsed="false">
      <c r="A1577" s="27" t="s">
        <v>65</v>
      </c>
      <c r="B1577" s="27" t="s">
        <v>72</v>
      </c>
      <c r="C1577" s="27" t="s">
        <v>49</v>
      </c>
      <c r="D1577" s="27" t="n">
        <v>24</v>
      </c>
      <c r="E1577" s="27" t="s">
        <v>689</v>
      </c>
      <c r="F1577" s="27" t="s">
        <v>498</v>
      </c>
      <c r="G1577" s="27"/>
      <c r="H1577" s="27" t="s">
        <v>585</v>
      </c>
      <c r="I1577" s="27" t="n">
        <v>1</v>
      </c>
      <c r="J1577" s="28" t="n">
        <v>0</v>
      </c>
      <c r="K1577" s="27" t="s">
        <v>546</v>
      </c>
      <c r="L1577" s="27" t="s">
        <v>579</v>
      </c>
      <c r="M1577" s="28" t="n">
        <f aca="false">IF(AND(L1577="Oui",K1577="Principal"),I1577*J1577,0)</f>
        <v>0</v>
      </c>
      <c r="N1577" s="27" t="s">
        <v>128</v>
      </c>
      <c r="O1577" s="27" t="s">
        <v>586</v>
      </c>
      <c r="P1577" s="27"/>
      <c r="Q1577" s="27"/>
      <c r="R1577" s="28"/>
      <c r="S1577" s="28" t="n">
        <f aca="false">IF(AND(L1577="Oui",K1577="Principal",R1577&lt;&gt;""),I1577*R1577,0)</f>
        <v>0</v>
      </c>
      <c r="T1577" s="28" t="n">
        <f aca="false">IF(R1577&lt;&gt;"",M1577-S1577,0)</f>
        <v>0</v>
      </c>
      <c r="U1577" s="28" t="n">
        <f aca="false">IF(R1577="",M1577,0)</f>
        <v>0</v>
      </c>
    </row>
    <row r="1578" customFormat="false" ht="15" hidden="false" customHeight="false" outlineLevel="0" collapsed="false">
      <c r="A1578" s="25" t="s">
        <v>65</v>
      </c>
      <c r="B1578" s="25" t="s">
        <v>72</v>
      </c>
      <c r="C1578" s="25" t="s">
        <v>49</v>
      </c>
      <c r="D1578" s="25" t="n">
        <v>25</v>
      </c>
      <c r="E1578" s="25" t="s">
        <v>689</v>
      </c>
      <c r="F1578" s="25" t="s">
        <v>499</v>
      </c>
      <c r="G1578" s="25" t="n">
        <v>1310</v>
      </c>
      <c r="H1578" s="25" t="s">
        <v>796</v>
      </c>
      <c r="I1578" s="25" t="n">
        <v>1</v>
      </c>
      <c r="J1578" s="26" t="n">
        <v>2800</v>
      </c>
      <c r="K1578" s="25" t="s">
        <v>546</v>
      </c>
      <c r="L1578" s="25" t="s">
        <v>547</v>
      </c>
      <c r="M1578" s="26" t="n">
        <f aca="false">IF(AND(L1578="Oui",K1578="Principal"),I1578*J1578,0)</f>
        <v>2800</v>
      </c>
      <c r="N1578" s="25" t="s">
        <v>548</v>
      </c>
      <c r="O1578" s="25"/>
      <c r="P1578" s="25" t="s">
        <v>550</v>
      </c>
      <c r="Q1578" s="25" t="s">
        <v>557</v>
      </c>
      <c r="R1578" s="26" t="n">
        <v>1800</v>
      </c>
      <c r="S1578" s="26" t="n">
        <f aca="false">IF(AND(L1578="Oui",K1578="Principal",R1578&lt;&gt;""),I1578*R1578,0)</f>
        <v>1800</v>
      </c>
      <c r="T1578" s="26" t="n">
        <f aca="false">IF(R1578&lt;&gt;"",M1578-S1578,0)</f>
        <v>1000</v>
      </c>
      <c r="U1578" s="26" t="n">
        <f aca="false">IF(R1578="",M1578,0)</f>
        <v>0</v>
      </c>
    </row>
    <row r="1579" customFormat="false" ht="15" hidden="false" customHeight="false" outlineLevel="0" collapsed="false">
      <c r="A1579" s="25" t="s">
        <v>65</v>
      </c>
      <c r="B1579" s="25" t="s">
        <v>72</v>
      </c>
      <c r="C1579" s="25" t="s">
        <v>50</v>
      </c>
      <c r="D1579" s="25" t="n">
        <v>1</v>
      </c>
      <c r="E1579" s="25" t="s">
        <v>544</v>
      </c>
      <c r="F1579" s="25" t="s">
        <v>295</v>
      </c>
      <c r="G1579" s="25" t="n">
        <v>1618</v>
      </c>
      <c r="H1579" s="25" t="s">
        <v>600</v>
      </c>
      <c r="I1579" s="25" t="n">
        <v>1</v>
      </c>
      <c r="J1579" s="26" t="n">
        <v>450</v>
      </c>
      <c r="K1579" s="25" t="s">
        <v>546</v>
      </c>
      <c r="L1579" s="25" t="s">
        <v>547</v>
      </c>
      <c r="M1579" s="26" t="n">
        <f aca="false">IF(AND(L1579="Oui",K1579="Principal"),I1579*J1579,0)</f>
        <v>450</v>
      </c>
      <c r="N1579" s="25" t="s">
        <v>548</v>
      </c>
      <c r="O1579" s="25"/>
      <c r="P1579" s="25" t="s">
        <v>556</v>
      </c>
      <c r="Q1579" s="25" t="s">
        <v>557</v>
      </c>
      <c r="R1579" s="26" t="n">
        <v>350</v>
      </c>
      <c r="S1579" s="26" t="n">
        <f aca="false">IF(AND(L1579="Oui",K1579="Principal",R1579&lt;&gt;""),I1579*R1579,0)</f>
        <v>350</v>
      </c>
      <c r="T1579" s="26" t="n">
        <f aca="false">IF(R1579&lt;&gt;"",M1579-S1579,0)</f>
        <v>100</v>
      </c>
      <c r="U1579" s="26" t="n">
        <f aca="false">IF(R1579="",M1579,0)</f>
        <v>0</v>
      </c>
    </row>
    <row r="1580" customFormat="false" ht="15" hidden="false" customHeight="false" outlineLevel="0" collapsed="false">
      <c r="A1580" s="25" t="s">
        <v>65</v>
      </c>
      <c r="B1580" s="25" t="s">
        <v>72</v>
      </c>
      <c r="C1580" s="25" t="s">
        <v>50</v>
      </c>
      <c r="D1580" s="25" t="n">
        <v>2</v>
      </c>
      <c r="E1580" s="25" t="s">
        <v>544</v>
      </c>
      <c r="F1580" s="25" t="s">
        <v>296</v>
      </c>
      <c r="G1580" s="25" t="n">
        <v>1</v>
      </c>
      <c r="H1580" s="25" t="s">
        <v>681</v>
      </c>
      <c r="I1580" s="25" t="n">
        <v>4</v>
      </c>
      <c r="J1580" s="26" t="n">
        <v>500</v>
      </c>
      <c r="K1580" s="25" t="s">
        <v>546</v>
      </c>
      <c r="L1580" s="25" t="s">
        <v>547</v>
      </c>
      <c r="M1580" s="26" t="n">
        <f aca="false">IF(AND(L1580="Oui",K1580="Principal"),I1580*J1580,0)</f>
        <v>2000</v>
      </c>
      <c r="N1580" s="25" t="s">
        <v>548</v>
      </c>
      <c r="O1580" s="25"/>
      <c r="P1580" s="25" t="s">
        <v>559</v>
      </c>
      <c r="Q1580" s="25" t="s">
        <v>551</v>
      </c>
      <c r="R1580" s="26"/>
      <c r="S1580" s="26" t="n">
        <f aca="false">IF(AND(L1580="Oui",K1580="Principal",R1580&lt;&gt;""),I1580*R1580,0)</f>
        <v>0</v>
      </c>
      <c r="T1580" s="26" t="n">
        <f aca="false">IF(R1580&lt;&gt;"",M1580-S1580,0)</f>
        <v>0</v>
      </c>
      <c r="U1580" s="26" t="n">
        <f aca="false">IF(R1580="",M1580,0)</f>
        <v>2000</v>
      </c>
    </row>
    <row r="1581" customFormat="false" ht="15" hidden="false" customHeight="false" outlineLevel="0" collapsed="false">
      <c r="A1581" s="25" t="s">
        <v>65</v>
      </c>
      <c r="B1581" s="25" t="s">
        <v>72</v>
      </c>
      <c r="C1581" s="25" t="s">
        <v>50</v>
      </c>
      <c r="D1581" s="25" t="n">
        <v>3</v>
      </c>
      <c r="E1581" s="25" t="s">
        <v>544</v>
      </c>
      <c r="F1581" s="25" t="s">
        <v>298</v>
      </c>
      <c r="G1581" s="25" t="n">
        <v>1616</v>
      </c>
      <c r="H1581" s="25" t="s">
        <v>695</v>
      </c>
      <c r="I1581" s="25" t="n">
        <v>2</v>
      </c>
      <c r="J1581" s="26" t="n">
        <v>900</v>
      </c>
      <c r="K1581" s="25" t="s">
        <v>546</v>
      </c>
      <c r="L1581" s="25" t="s">
        <v>547</v>
      </c>
      <c r="M1581" s="26" t="n">
        <f aca="false">IF(AND(L1581="Oui",K1581="Principal"),I1581*J1581,0)</f>
        <v>1800</v>
      </c>
      <c r="N1581" s="25" t="s">
        <v>548</v>
      </c>
      <c r="O1581" s="25"/>
      <c r="P1581" s="25" t="s">
        <v>556</v>
      </c>
      <c r="Q1581" s="25" t="s">
        <v>557</v>
      </c>
      <c r="R1581" s="26" t="n">
        <v>800</v>
      </c>
      <c r="S1581" s="26" t="n">
        <f aca="false">IF(AND(L1581="Oui",K1581="Principal",R1581&lt;&gt;""),I1581*R1581,0)</f>
        <v>1600</v>
      </c>
      <c r="T1581" s="26" t="n">
        <f aca="false">IF(R1581&lt;&gt;"",M1581-S1581,0)</f>
        <v>200</v>
      </c>
      <c r="U1581" s="26" t="n">
        <f aca="false">IF(R1581="",M1581,0)</f>
        <v>0</v>
      </c>
    </row>
    <row r="1582" customFormat="false" ht="15" hidden="false" customHeight="false" outlineLevel="0" collapsed="false">
      <c r="A1582" s="25" t="s">
        <v>65</v>
      </c>
      <c r="B1582" s="25" t="s">
        <v>72</v>
      </c>
      <c r="C1582" s="25" t="s">
        <v>50</v>
      </c>
      <c r="D1582" s="25" t="n">
        <v>4</v>
      </c>
      <c r="E1582" s="25" t="s">
        <v>544</v>
      </c>
      <c r="F1582" s="25" t="s">
        <v>338</v>
      </c>
      <c r="G1582" s="25" t="n">
        <v>1715</v>
      </c>
      <c r="H1582" s="25" t="s">
        <v>713</v>
      </c>
      <c r="I1582" s="25" t="n">
        <v>4</v>
      </c>
      <c r="J1582" s="26" t="n">
        <v>1600</v>
      </c>
      <c r="K1582" s="25" t="s">
        <v>546</v>
      </c>
      <c r="L1582" s="25" t="s">
        <v>547</v>
      </c>
      <c r="M1582" s="26" t="n">
        <f aca="false">IF(AND(L1582="Oui",K1582="Principal"),I1582*J1582,0)</f>
        <v>6400</v>
      </c>
      <c r="N1582" s="25" t="s">
        <v>548</v>
      </c>
      <c r="O1582" s="25"/>
      <c r="P1582" s="25" t="s">
        <v>550</v>
      </c>
      <c r="Q1582" s="25" t="s">
        <v>557</v>
      </c>
      <c r="R1582" s="26" t="n">
        <v>1300</v>
      </c>
      <c r="S1582" s="26" t="n">
        <f aca="false">IF(AND(L1582="Oui",K1582="Principal",R1582&lt;&gt;""),I1582*R1582,0)</f>
        <v>5200</v>
      </c>
      <c r="T1582" s="26" t="n">
        <f aca="false">IF(R1582&lt;&gt;"",M1582-S1582,0)</f>
        <v>1200</v>
      </c>
      <c r="U1582" s="26" t="n">
        <f aca="false">IF(R1582="",M1582,0)</f>
        <v>0</v>
      </c>
    </row>
    <row r="1583" customFormat="false" ht="15" hidden="false" customHeight="false" outlineLevel="0" collapsed="false">
      <c r="A1583" s="25" t="s">
        <v>65</v>
      </c>
      <c r="B1583" s="25" t="s">
        <v>72</v>
      </c>
      <c r="C1583" s="25" t="s">
        <v>50</v>
      </c>
      <c r="D1583" s="25" t="n">
        <v>5</v>
      </c>
      <c r="E1583" s="25" t="s">
        <v>544</v>
      </c>
      <c r="F1583" s="25" t="s">
        <v>301</v>
      </c>
      <c r="G1583" s="25" t="n">
        <v>1728</v>
      </c>
      <c r="H1583" s="25" t="s">
        <v>545</v>
      </c>
      <c r="I1583" s="25" t="n">
        <v>1</v>
      </c>
      <c r="J1583" s="26" t="n">
        <v>900</v>
      </c>
      <c r="K1583" s="25" t="s">
        <v>546</v>
      </c>
      <c r="L1583" s="25" t="s">
        <v>547</v>
      </c>
      <c r="M1583" s="26" t="n">
        <f aca="false">IF(AND(L1583="Oui",K1583="Principal"),I1583*J1583,0)</f>
        <v>900</v>
      </c>
      <c r="N1583" s="25" t="s">
        <v>548</v>
      </c>
      <c r="O1583" s="25"/>
      <c r="P1583" s="25" t="s">
        <v>550</v>
      </c>
      <c r="Q1583" s="25" t="s">
        <v>551</v>
      </c>
      <c r="R1583" s="26"/>
      <c r="S1583" s="26" t="n">
        <f aca="false">IF(AND(L1583="Oui",K1583="Principal",R1583&lt;&gt;""),I1583*R1583,0)</f>
        <v>0</v>
      </c>
      <c r="T1583" s="26" t="n">
        <f aca="false">IF(R1583&lt;&gt;"",M1583-S1583,0)</f>
        <v>0</v>
      </c>
      <c r="U1583" s="26" t="n">
        <f aca="false">IF(R1583="",M1583,0)</f>
        <v>900</v>
      </c>
    </row>
    <row r="1584" customFormat="false" ht="15" hidden="false" customHeight="false" outlineLevel="0" collapsed="false">
      <c r="A1584" s="25" t="s">
        <v>65</v>
      </c>
      <c r="B1584" s="25" t="s">
        <v>72</v>
      </c>
      <c r="C1584" s="25" t="s">
        <v>50</v>
      </c>
      <c r="D1584" s="25" t="n">
        <v>6</v>
      </c>
      <c r="E1584" s="25" t="s">
        <v>563</v>
      </c>
      <c r="F1584" s="25" t="s">
        <v>255</v>
      </c>
      <c r="G1584" s="25" t="n">
        <v>1636</v>
      </c>
      <c r="H1584" s="25" t="s">
        <v>661</v>
      </c>
      <c r="I1584" s="25" t="n">
        <v>1</v>
      </c>
      <c r="J1584" s="26" t="n">
        <v>400</v>
      </c>
      <c r="K1584" s="25" t="s">
        <v>546</v>
      </c>
      <c r="L1584" s="25" t="s">
        <v>547</v>
      </c>
      <c r="M1584" s="26" t="n">
        <f aca="false">IF(AND(L1584="Oui",K1584="Principal"),I1584*J1584,0)</f>
        <v>400</v>
      </c>
      <c r="N1584" s="25" t="s">
        <v>548</v>
      </c>
      <c r="O1584" s="25"/>
      <c r="P1584" s="25" t="s">
        <v>556</v>
      </c>
      <c r="Q1584" s="25" t="s">
        <v>557</v>
      </c>
      <c r="R1584" s="26" t="n">
        <v>320</v>
      </c>
      <c r="S1584" s="26" t="n">
        <f aca="false">IF(AND(L1584="Oui",K1584="Principal",R1584&lt;&gt;""),I1584*R1584,0)</f>
        <v>320</v>
      </c>
      <c r="T1584" s="26" t="n">
        <f aca="false">IF(R1584&lt;&gt;"",M1584-S1584,0)</f>
        <v>80</v>
      </c>
      <c r="U1584" s="26" t="n">
        <f aca="false">IF(R1584="",M1584,0)</f>
        <v>0</v>
      </c>
    </row>
    <row r="1585" customFormat="false" ht="15" hidden="false" customHeight="false" outlineLevel="0" collapsed="false">
      <c r="A1585" s="25" t="s">
        <v>65</v>
      </c>
      <c r="B1585" s="25" t="s">
        <v>72</v>
      </c>
      <c r="C1585" s="25" t="s">
        <v>50</v>
      </c>
      <c r="D1585" s="25" t="n">
        <v>7</v>
      </c>
      <c r="E1585" s="25" t="s">
        <v>563</v>
      </c>
      <c r="F1585" s="25" t="s">
        <v>257</v>
      </c>
      <c r="G1585" s="25" t="n">
        <v>1635</v>
      </c>
      <c r="H1585" s="25" t="s">
        <v>607</v>
      </c>
      <c r="I1585" s="25" t="n">
        <v>1</v>
      </c>
      <c r="J1585" s="26" t="n">
        <v>100</v>
      </c>
      <c r="K1585" s="25" t="s">
        <v>546</v>
      </c>
      <c r="L1585" s="25" t="s">
        <v>547</v>
      </c>
      <c r="M1585" s="26" t="n">
        <f aca="false">IF(AND(L1585="Oui",K1585="Principal"),I1585*J1585,0)</f>
        <v>100</v>
      </c>
      <c r="N1585" s="25" t="s">
        <v>548</v>
      </c>
      <c r="O1585" s="25"/>
      <c r="P1585" s="25" t="s">
        <v>556</v>
      </c>
      <c r="Q1585" s="25" t="s">
        <v>557</v>
      </c>
      <c r="R1585" s="26" t="n">
        <v>80</v>
      </c>
      <c r="S1585" s="26" t="n">
        <f aca="false">IF(AND(L1585="Oui",K1585="Principal",R1585&lt;&gt;""),I1585*R1585,0)</f>
        <v>80</v>
      </c>
      <c r="T1585" s="26" t="n">
        <f aca="false">IF(R1585&lt;&gt;"",M1585-S1585,0)</f>
        <v>20</v>
      </c>
      <c r="U1585" s="26" t="n">
        <f aca="false">IF(R1585="",M1585,0)</f>
        <v>0</v>
      </c>
    </row>
    <row r="1586" customFormat="false" ht="15" hidden="false" customHeight="false" outlineLevel="0" collapsed="false">
      <c r="A1586" s="25" t="s">
        <v>65</v>
      </c>
      <c r="B1586" s="25" t="s">
        <v>72</v>
      </c>
      <c r="C1586" s="25" t="s">
        <v>50</v>
      </c>
      <c r="D1586" s="25" t="n">
        <v>8</v>
      </c>
      <c r="E1586" s="25" t="s">
        <v>563</v>
      </c>
      <c r="F1586" s="25" t="s">
        <v>188</v>
      </c>
      <c r="G1586" s="25" t="n">
        <v>8</v>
      </c>
      <c r="H1586" s="25" t="s">
        <v>188</v>
      </c>
      <c r="I1586" s="25" t="n">
        <v>1</v>
      </c>
      <c r="J1586" s="26" t="n">
        <v>500</v>
      </c>
      <c r="K1586" s="25" t="s">
        <v>546</v>
      </c>
      <c r="L1586" s="25" t="s">
        <v>547</v>
      </c>
      <c r="M1586" s="26" t="n">
        <f aca="false">IF(AND(L1586="Oui",K1586="Principal"),I1586*J1586,0)</f>
        <v>500</v>
      </c>
      <c r="N1586" s="25" t="s">
        <v>548</v>
      </c>
      <c r="O1586" s="25"/>
      <c r="P1586" s="25" t="s">
        <v>559</v>
      </c>
      <c r="Q1586" s="25" t="s">
        <v>551</v>
      </c>
      <c r="R1586" s="26"/>
      <c r="S1586" s="26" t="n">
        <f aca="false">IF(AND(L1586="Oui",K1586="Principal",R1586&lt;&gt;""),I1586*R1586,0)</f>
        <v>0</v>
      </c>
      <c r="T1586" s="26" t="n">
        <f aca="false">IF(R1586&lt;&gt;"",M1586-S1586,0)</f>
        <v>0</v>
      </c>
      <c r="U1586" s="26" t="n">
        <f aca="false">IF(R1586="",M1586,0)</f>
        <v>500</v>
      </c>
    </row>
    <row r="1587" customFormat="false" ht="15" hidden="false" customHeight="false" outlineLevel="0" collapsed="false">
      <c r="A1587" s="25" t="s">
        <v>65</v>
      </c>
      <c r="B1587" s="25" t="s">
        <v>72</v>
      </c>
      <c r="C1587" s="25" t="s">
        <v>50</v>
      </c>
      <c r="D1587" s="25" t="n">
        <v>9</v>
      </c>
      <c r="E1587" s="25" t="s">
        <v>563</v>
      </c>
      <c r="F1587" s="25" t="s">
        <v>323</v>
      </c>
      <c r="G1587" s="25" t="n">
        <v>1607</v>
      </c>
      <c r="H1587" s="25" t="s">
        <v>696</v>
      </c>
      <c r="I1587" s="25" t="n">
        <v>1</v>
      </c>
      <c r="J1587" s="26" t="n">
        <v>2500</v>
      </c>
      <c r="K1587" s="25" t="s">
        <v>546</v>
      </c>
      <c r="L1587" s="25" t="s">
        <v>547</v>
      </c>
      <c r="M1587" s="26" t="n">
        <f aca="false">IF(AND(L1587="Oui",K1587="Principal"),I1587*J1587,0)</f>
        <v>2500</v>
      </c>
      <c r="N1587" s="25" t="s">
        <v>548</v>
      </c>
      <c r="O1587" s="25"/>
      <c r="P1587" s="25" t="s">
        <v>556</v>
      </c>
      <c r="Q1587" s="25" t="s">
        <v>557</v>
      </c>
      <c r="R1587" s="26" t="n">
        <v>2000</v>
      </c>
      <c r="S1587" s="26" t="n">
        <f aca="false">IF(AND(L1587="Oui",K1587="Principal",R1587&lt;&gt;""),I1587*R1587,0)</f>
        <v>2000</v>
      </c>
      <c r="T1587" s="26" t="n">
        <f aca="false">IF(R1587&lt;&gt;"",M1587-S1587,0)</f>
        <v>500</v>
      </c>
      <c r="U1587" s="26" t="n">
        <f aca="false">IF(R1587="",M1587,0)</f>
        <v>0</v>
      </c>
    </row>
    <row r="1588" customFormat="false" ht="15" hidden="false" customHeight="false" outlineLevel="0" collapsed="false">
      <c r="A1588" s="25" t="s">
        <v>65</v>
      </c>
      <c r="B1588" s="25" t="s">
        <v>72</v>
      </c>
      <c r="C1588" s="25" t="s">
        <v>50</v>
      </c>
      <c r="D1588" s="25" t="n">
        <v>10</v>
      </c>
      <c r="E1588" s="25" t="s">
        <v>563</v>
      </c>
      <c r="F1588" s="25" t="s">
        <v>325</v>
      </c>
      <c r="G1588" s="25" t="n">
        <v>1639</v>
      </c>
      <c r="H1588" s="25" t="s">
        <v>702</v>
      </c>
      <c r="I1588" s="25" t="n">
        <v>1</v>
      </c>
      <c r="J1588" s="26" t="n">
        <v>1000</v>
      </c>
      <c r="K1588" s="25" t="s">
        <v>546</v>
      </c>
      <c r="L1588" s="25" t="s">
        <v>547</v>
      </c>
      <c r="M1588" s="26" t="n">
        <f aca="false">IF(AND(L1588="Oui",K1588="Principal"),I1588*J1588,0)</f>
        <v>1000</v>
      </c>
      <c r="N1588" s="25" t="s">
        <v>548</v>
      </c>
      <c r="O1588" s="25"/>
      <c r="P1588" s="25" t="s">
        <v>556</v>
      </c>
      <c r="Q1588" s="25" t="s">
        <v>557</v>
      </c>
      <c r="R1588" s="26" t="n">
        <v>700</v>
      </c>
      <c r="S1588" s="26" t="n">
        <f aca="false">IF(AND(L1588="Oui",K1588="Principal",R1588&lt;&gt;""),I1588*R1588,0)</f>
        <v>700</v>
      </c>
      <c r="T1588" s="26" t="n">
        <f aca="false">IF(R1588&lt;&gt;"",M1588-S1588,0)</f>
        <v>300</v>
      </c>
      <c r="U1588" s="26" t="n">
        <f aca="false">IF(R1588="",M1588,0)</f>
        <v>0</v>
      </c>
    </row>
    <row r="1589" customFormat="false" ht="15" hidden="false" customHeight="false" outlineLevel="0" collapsed="false">
      <c r="A1589" s="25" t="s">
        <v>65</v>
      </c>
      <c r="B1589" s="25" t="s">
        <v>72</v>
      </c>
      <c r="C1589" s="25" t="s">
        <v>50</v>
      </c>
      <c r="D1589" s="25" t="n">
        <v>11</v>
      </c>
      <c r="E1589" s="25" t="s">
        <v>565</v>
      </c>
      <c r="F1589" s="25" t="s">
        <v>99</v>
      </c>
      <c r="G1589" s="25" t="n">
        <v>1181</v>
      </c>
      <c r="H1589" s="25" t="s">
        <v>581</v>
      </c>
      <c r="I1589" s="25" t="n">
        <v>1</v>
      </c>
      <c r="J1589" s="26" t="n">
        <v>250</v>
      </c>
      <c r="K1589" s="25" t="s">
        <v>546</v>
      </c>
      <c r="L1589" s="25" t="s">
        <v>547</v>
      </c>
      <c r="M1589" s="26" t="n">
        <f aca="false">IF(AND(L1589="Oui",K1589="Principal"),I1589*J1589,0)</f>
        <v>250</v>
      </c>
      <c r="N1589" s="25" t="s">
        <v>548</v>
      </c>
      <c r="O1589" s="25"/>
      <c r="P1589" s="25" t="s">
        <v>550</v>
      </c>
      <c r="Q1589" s="25" t="s">
        <v>557</v>
      </c>
      <c r="R1589" s="26" t="n">
        <v>110</v>
      </c>
      <c r="S1589" s="26" t="n">
        <f aca="false">IF(AND(L1589="Oui",K1589="Principal",R1589&lt;&gt;""),I1589*R1589,0)</f>
        <v>110</v>
      </c>
      <c r="T1589" s="26" t="n">
        <f aca="false">IF(R1589&lt;&gt;"",M1589-S1589,0)</f>
        <v>140</v>
      </c>
      <c r="U1589" s="26" t="n">
        <f aca="false">IF(R1589="",M1589,0)</f>
        <v>0</v>
      </c>
    </row>
    <row r="1590" customFormat="false" ht="15" hidden="false" customHeight="false" outlineLevel="0" collapsed="false">
      <c r="A1590" s="25" t="s">
        <v>65</v>
      </c>
      <c r="B1590" s="25" t="s">
        <v>72</v>
      </c>
      <c r="C1590" s="25" t="s">
        <v>50</v>
      </c>
      <c r="D1590" s="25" t="n">
        <v>12</v>
      </c>
      <c r="E1590" s="25" t="s">
        <v>565</v>
      </c>
      <c r="F1590" s="25" t="s">
        <v>164</v>
      </c>
      <c r="G1590" s="25" t="n">
        <v>1587</v>
      </c>
      <c r="H1590" s="25" t="s">
        <v>567</v>
      </c>
      <c r="I1590" s="25" t="n">
        <v>1</v>
      </c>
      <c r="J1590" s="26" t="n">
        <v>500</v>
      </c>
      <c r="K1590" s="25" t="s">
        <v>546</v>
      </c>
      <c r="L1590" s="25" t="s">
        <v>547</v>
      </c>
      <c r="M1590" s="26" t="n">
        <f aca="false">IF(AND(L1590="Oui",K1590="Principal"),I1590*J1590,0)</f>
        <v>500</v>
      </c>
      <c r="N1590" s="25" t="s">
        <v>548</v>
      </c>
      <c r="O1590" s="25"/>
      <c r="P1590" s="25" t="s">
        <v>556</v>
      </c>
      <c r="Q1590" s="25" t="s">
        <v>557</v>
      </c>
      <c r="R1590" s="26" t="n">
        <v>350</v>
      </c>
      <c r="S1590" s="26" t="n">
        <f aca="false">IF(AND(L1590="Oui",K1590="Principal",R1590&lt;&gt;""),I1590*R1590,0)</f>
        <v>350</v>
      </c>
      <c r="T1590" s="26" t="n">
        <f aca="false">IF(R1590&lt;&gt;"",M1590-S1590,0)</f>
        <v>150</v>
      </c>
      <c r="U1590" s="26" t="n">
        <f aca="false">IF(R1590="",M1590,0)</f>
        <v>0</v>
      </c>
    </row>
    <row r="1591" customFormat="false" ht="15" hidden="false" customHeight="false" outlineLevel="0" collapsed="false">
      <c r="A1591" s="25" t="s">
        <v>65</v>
      </c>
      <c r="B1591" s="25" t="s">
        <v>72</v>
      </c>
      <c r="C1591" s="25" t="s">
        <v>50</v>
      </c>
      <c r="D1591" s="25" t="n">
        <v>13</v>
      </c>
      <c r="E1591" s="25" t="s">
        <v>565</v>
      </c>
      <c r="F1591" s="25" t="s">
        <v>166</v>
      </c>
      <c r="G1591" s="25" t="n">
        <v>1604</v>
      </c>
      <c r="H1591" s="25" t="s">
        <v>582</v>
      </c>
      <c r="I1591" s="25" t="n">
        <v>2</v>
      </c>
      <c r="J1591" s="26" t="n">
        <v>700</v>
      </c>
      <c r="K1591" s="25" t="s">
        <v>546</v>
      </c>
      <c r="L1591" s="25" t="s">
        <v>547</v>
      </c>
      <c r="M1591" s="26" t="n">
        <f aca="false">IF(AND(L1591="Oui",K1591="Principal"),I1591*J1591,0)</f>
        <v>1400</v>
      </c>
      <c r="N1591" s="25" t="s">
        <v>548</v>
      </c>
      <c r="O1591" s="25"/>
      <c r="P1591" s="25" t="s">
        <v>556</v>
      </c>
      <c r="Q1591" s="25" t="s">
        <v>557</v>
      </c>
      <c r="R1591" s="26" t="n">
        <v>400</v>
      </c>
      <c r="S1591" s="26" t="n">
        <f aca="false">IF(AND(L1591="Oui",K1591="Principal",R1591&lt;&gt;""),I1591*R1591,0)</f>
        <v>800</v>
      </c>
      <c r="T1591" s="26" t="n">
        <f aca="false">IF(R1591&lt;&gt;"",M1591-S1591,0)</f>
        <v>600</v>
      </c>
      <c r="U1591" s="26" t="n">
        <f aca="false">IF(R1591="",M1591,0)</f>
        <v>0</v>
      </c>
    </row>
    <row r="1592" customFormat="false" ht="15" hidden="false" customHeight="false" outlineLevel="0" collapsed="false">
      <c r="A1592" s="25" t="s">
        <v>65</v>
      </c>
      <c r="B1592" s="25" t="s">
        <v>72</v>
      </c>
      <c r="C1592" s="25" t="s">
        <v>50</v>
      </c>
      <c r="D1592" s="25" t="n">
        <v>14</v>
      </c>
      <c r="E1592" s="25" t="s">
        <v>565</v>
      </c>
      <c r="F1592" s="25" t="s">
        <v>304</v>
      </c>
      <c r="G1592" s="25" t="n">
        <v>1586</v>
      </c>
      <c r="H1592" s="25" t="s">
        <v>583</v>
      </c>
      <c r="I1592" s="25" t="n">
        <v>1</v>
      </c>
      <c r="J1592" s="26" t="n">
        <v>900</v>
      </c>
      <c r="K1592" s="25" t="s">
        <v>546</v>
      </c>
      <c r="L1592" s="25" t="s">
        <v>547</v>
      </c>
      <c r="M1592" s="26" t="n">
        <f aca="false">IF(AND(L1592="Oui",K1592="Principal"),I1592*J1592,0)</f>
        <v>900</v>
      </c>
      <c r="N1592" s="25" t="s">
        <v>548</v>
      </c>
      <c r="O1592" s="25"/>
      <c r="P1592" s="25" t="s">
        <v>556</v>
      </c>
      <c r="Q1592" s="25" t="s">
        <v>557</v>
      </c>
      <c r="R1592" s="26" t="n">
        <v>650</v>
      </c>
      <c r="S1592" s="26" t="n">
        <f aca="false">IF(AND(L1592="Oui",K1592="Principal",R1592&lt;&gt;""),I1592*R1592,0)</f>
        <v>650</v>
      </c>
      <c r="T1592" s="26" t="n">
        <f aca="false">IF(R1592&lt;&gt;"",M1592-S1592,0)</f>
        <v>250</v>
      </c>
      <c r="U1592" s="26" t="n">
        <f aca="false">IF(R1592="",M1592,0)</f>
        <v>0</v>
      </c>
    </row>
    <row r="1593" customFormat="false" ht="15" hidden="false" customHeight="false" outlineLevel="0" collapsed="false">
      <c r="A1593" s="33" t="s">
        <v>65</v>
      </c>
      <c r="B1593" s="33" t="s">
        <v>72</v>
      </c>
      <c r="C1593" s="33" t="s">
        <v>50</v>
      </c>
      <c r="D1593" s="33" t="n">
        <v>15</v>
      </c>
      <c r="E1593" s="33" t="s">
        <v>609</v>
      </c>
      <c r="F1593" s="33" t="s">
        <v>199</v>
      </c>
      <c r="G1593" s="33" t="n">
        <v>1229</v>
      </c>
      <c r="H1593" s="33" t="s">
        <v>643</v>
      </c>
      <c r="I1593" s="33" t="n">
        <v>1</v>
      </c>
      <c r="J1593" s="34" t="n">
        <v>1800</v>
      </c>
      <c r="K1593" s="33" t="s">
        <v>546</v>
      </c>
      <c r="L1593" s="33" t="s">
        <v>547</v>
      </c>
      <c r="M1593" s="34" t="n">
        <f aca="false">IF(AND(L1593="Oui",K1593="Principal"),I1593*J1593,0)</f>
        <v>1800</v>
      </c>
      <c r="N1593" s="33" t="s">
        <v>182</v>
      </c>
      <c r="O1593" s="33" t="s">
        <v>644</v>
      </c>
      <c r="P1593" s="33" t="s">
        <v>550</v>
      </c>
      <c r="Q1593" s="33" t="s">
        <v>557</v>
      </c>
      <c r="R1593" s="34" t="n">
        <v>1500</v>
      </c>
      <c r="S1593" s="34" t="n">
        <f aca="false">IF(AND(L1593="Oui",K1593="Principal",R1593&lt;&gt;""),I1593*R1593,0)</f>
        <v>1500</v>
      </c>
      <c r="T1593" s="34" t="n">
        <f aca="false">IF(R1593&lt;&gt;"",M1593-S1593,0)</f>
        <v>300</v>
      </c>
      <c r="U1593" s="34" t="n">
        <f aca="false">IF(R1593="",M1593,0)</f>
        <v>0</v>
      </c>
    </row>
    <row r="1594" customFormat="false" ht="15" hidden="false" customHeight="false" outlineLevel="0" collapsed="false">
      <c r="A1594" s="25" t="s">
        <v>65</v>
      </c>
      <c r="B1594" s="25" t="s">
        <v>72</v>
      </c>
      <c r="C1594" s="25" t="s">
        <v>50</v>
      </c>
      <c r="D1594" s="25" t="n">
        <v>16</v>
      </c>
      <c r="E1594" s="25" t="s">
        <v>700</v>
      </c>
      <c r="F1594" s="25" t="s">
        <v>329</v>
      </c>
      <c r="G1594" s="25" t="n">
        <v>1716</v>
      </c>
      <c r="H1594" s="25" t="s">
        <v>701</v>
      </c>
      <c r="I1594" s="25" t="n">
        <v>1</v>
      </c>
      <c r="J1594" s="26" t="n">
        <v>1800</v>
      </c>
      <c r="K1594" s="25" t="s">
        <v>546</v>
      </c>
      <c r="L1594" s="25" t="s">
        <v>547</v>
      </c>
      <c r="M1594" s="26" t="n">
        <f aca="false">IF(AND(L1594="Oui",K1594="Principal"),I1594*J1594,0)</f>
        <v>1800</v>
      </c>
      <c r="N1594" s="25" t="s">
        <v>548</v>
      </c>
      <c r="O1594" s="25"/>
      <c r="P1594" s="25" t="s">
        <v>559</v>
      </c>
      <c r="Q1594" s="25" t="s">
        <v>557</v>
      </c>
      <c r="R1594" s="26" t="n">
        <v>1300</v>
      </c>
      <c r="S1594" s="26" t="n">
        <f aca="false">IF(AND(L1594="Oui",K1594="Principal",R1594&lt;&gt;""),I1594*R1594,0)</f>
        <v>1300</v>
      </c>
      <c r="T1594" s="26" t="n">
        <f aca="false">IF(R1594&lt;&gt;"",M1594-S1594,0)</f>
        <v>500</v>
      </c>
      <c r="U1594" s="26" t="n">
        <f aca="false">IF(R1594="",M1594,0)</f>
        <v>0</v>
      </c>
    </row>
    <row r="1595" customFormat="false" ht="15" hidden="false" customHeight="false" outlineLevel="0" collapsed="false">
      <c r="A1595" s="27" t="s">
        <v>65</v>
      </c>
      <c r="B1595" s="27" t="s">
        <v>72</v>
      </c>
      <c r="C1595" s="27" t="s">
        <v>50</v>
      </c>
      <c r="D1595" s="27" t="n">
        <v>17</v>
      </c>
      <c r="E1595" s="27" t="s">
        <v>700</v>
      </c>
      <c r="F1595" s="27" t="s">
        <v>382</v>
      </c>
      <c r="G1595" s="27"/>
      <c r="H1595" s="27" t="s">
        <v>585</v>
      </c>
      <c r="I1595" s="27" t="n">
        <v>1</v>
      </c>
      <c r="J1595" s="28" t="n">
        <v>0</v>
      </c>
      <c r="K1595" s="27" t="s">
        <v>546</v>
      </c>
      <c r="L1595" s="27" t="s">
        <v>579</v>
      </c>
      <c r="M1595" s="28" t="n">
        <f aca="false">IF(AND(L1595="Oui",K1595="Principal"),I1595*J1595,0)</f>
        <v>0</v>
      </c>
      <c r="N1595" s="27" t="s">
        <v>128</v>
      </c>
      <c r="O1595" s="27" t="s">
        <v>586</v>
      </c>
      <c r="P1595" s="27"/>
      <c r="Q1595" s="27"/>
      <c r="R1595" s="28"/>
      <c r="S1595" s="28" t="n">
        <f aca="false">IF(AND(L1595="Oui",K1595="Principal",R1595&lt;&gt;""),I1595*R1595,0)</f>
        <v>0</v>
      </c>
      <c r="T1595" s="28" t="n">
        <f aca="false">IF(R1595&lt;&gt;"",M1595-S1595,0)</f>
        <v>0</v>
      </c>
      <c r="U1595" s="28" t="n">
        <f aca="false">IF(R1595="",M1595,0)</f>
        <v>0</v>
      </c>
    </row>
    <row r="1596" customFormat="false" ht="15" hidden="false" customHeight="false" outlineLevel="0" collapsed="false">
      <c r="A1596" s="25" t="s">
        <v>65</v>
      </c>
      <c r="B1596" s="25" t="s">
        <v>72</v>
      </c>
      <c r="C1596" s="25" t="s">
        <v>50</v>
      </c>
      <c r="D1596" s="25" t="n">
        <v>18</v>
      </c>
      <c r="E1596" s="25" t="s">
        <v>571</v>
      </c>
      <c r="F1596" s="25" t="s">
        <v>431</v>
      </c>
      <c r="G1596" s="25" t="n">
        <v>1631</v>
      </c>
      <c r="H1596" s="25" t="s">
        <v>755</v>
      </c>
      <c r="I1596" s="25" t="n">
        <v>1</v>
      </c>
      <c r="J1596" s="26" t="n">
        <v>2700</v>
      </c>
      <c r="K1596" s="25" t="s">
        <v>546</v>
      </c>
      <c r="L1596" s="25" t="s">
        <v>547</v>
      </c>
      <c r="M1596" s="26" t="n">
        <f aca="false">IF(AND(L1596="Oui",K1596="Principal"),I1596*J1596,0)</f>
        <v>2700</v>
      </c>
      <c r="N1596" s="25" t="s">
        <v>548</v>
      </c>
      <c r="O1596" s="25"/>
      <c r="P1596" s="25" t="s">
        <v>556</v>
      </c>
      <c r="Q1596" s="25" t="s">
        <v>557</v>
      </c>
      <c r="R1596" s="26" t="n">
        <v>2000</v>
      </c>
      <c r="S1596" s="26" t="n">
        <f aca="false">IF(AND(L1596="Oui",K1596="Principal",R1596&lt;&gt;""),I1596*R1596,0)</f>
        <v>2000</v>
      </c>
      <c r="T1596" s="26" t="n">
        <f aca="false">IF(R1596&lt;&gt;"",M1596-S1596,0)</f>
        <v>700</v>
      </c>
      <c r="U1596" s="26" t="n">
        <f aca="false">IF(R1596="",M1596,0)</f>
        <v>0</v>
      </c>
    </row>
    <row r="1597" customFormat="false" ht="15" hidden="false" customHeight="false" outlineLevel="0" collapsed="false">
      <c r="A1597" s="25" t="s">
        <v>65</v>
      </c>
      <c r="B1597" s="25" t="s">
        <v>72</v>
      </c>
      <c r="C1597" s="25" t="s">
        <v>50</v>
      </c>
      <c r="D1597" s="25" t="n">
        <v>19</v>
      </c>
      <c r="E1597" s="25" t="s">
        <v>571</v>
      </c>
      <c r="F1597" s="25" t="s">
        <v>433</v>
      </c>
      <c r="G1597" s="25" t="n">
        <v>1683</v>
      </c>
      <c r="H1597" s="25" t="s">
        <v>756</v>
      </c>
      <c r="I1597" s="25" t="n">
        <v>1</v>
      </c>
      <c r="J1597" s="26" t="n">
        <v>1000</v>
      </c>
      <c r="K1597" s="25" t="s">
        <v>546</v>
      </c>
      <c r="L1597" s="25" t="s">
        <v>547</v>
      </c>
      <c r="M1597" s="26" t="n">
        <f aca="false">IF(AND(L1597="Oui",K1597="Principal"),I1597*J1597,0)</f>
        <v>1000</v>
      </c>
      <c r="N1597" s="25" t="s">
        <v>548</v>
      </c>
      <c r="O1597" s="25"/>
      <c r="P1597" s="25" t="s">
        <v>556</v>
      </c>
      <c r="Q1597" s="25" t="s">
        <v>557</v>
      </c>
      <c r="R1597" s="26"/>
      <c r="S1597" s="26" t="n">
        <f aca="false">IF(AND(L1597="Oui",K1597="Principal",R1597&lt;&gt;""),I1597*R1597,0)</f>
        <v>0</v>
      </c>
      <c r="T1597" s="26" t="n">
        <f aca="false">IF(R1597&lt;&gt;"",M1597-S1597,0)</f>
        <v>0</v>
      </c>
      <c r="U1597" s="26" t="n">
        <f aca="false">IF(R1597="",M1597,0)</f>
        <v>1000</v>
      </c>
    </row>
    <row r="1598" customFormat="false" ht="15" hidden="false" customHeight="false" outlineLevel="0" collapsed="false">
      <c r="A1598" s="33" t="s">
        <v>65</v>
      </c>
      <c r="B1598" s="33" t="s">
        <v>72</v>
      </c>
      <c r="C1598" s="33" t="s">
        <v>50</v>
      </c>
      <c r="D1598" s="33" t="n">
        <v>20</v>
      </c>
      <c r="E1598" s="33" t="s">
        <v>571</v>
      </c>
      <c r="F1598" s="33" t="s">
        <v>435</v>
      </c>
      <c r="G1598" s="33" t="n">
        <v>1269</v>
      </c>
      <c r="H1598" s="33" t="s">
        <v>757</v>
      </c>
      <c r="I1598" s="33" t="n">
        <v>1</v>
      </c>
      <c r="J1598" s="34" t="n">
        <v>1150</v>
      </c>
      <c r="K1598" s="33" t="s">
        <v>546</v>
      </c>
      <c r="L1598" s="33" t="s">
        <v>547</v>
      </c>
      <c r="M1598" s="34" t="n">
        <f aca="false">IF(AND(L1598="Oui",K1598="Principal"),I1598*J1598,0)</f>
        <v>1150</v>
      </c>
      <c r="N1598" s="33" t="s">
        <v>182</v>
      </c>
      <c r="O1598" s="33" t="s">
        <v>758</v>
      </c>
      <c r="P1598" s="33" t="s">
        <v>550</v>
      </c>
      <c r="Q1598" s="33" t="s">
        <v>557</v>
      </c>
      <c r="R1598" s="34" t="n">
        <v>850</v>
      </c>
      <c r="S1598" s="34" t="n">
        <f aca="false">IF(AND(L1598="Oui",K1598="Principal",R1598&lt;&gt;""),I1598*R1598,0)</f>
        <v>850</v>
      </c>
      <c r="T1598" s="34" t="n">
        <f aca="false">IF(R1598&lt;&gt;"",M1598-S1598,0)</f>
        <v>300</v>
      </c>
      <c r="U1598" s="34" t="n">
        <f aca="false">IF(R1598="",M1598,0)</f>
        <v>0</v>
      </c>
    </row>
    <row r="1599" customFormat="false" ht="15" hidden="false" customHeight="false" outlineLevel="0" collapsed="false">
      <c r="A1599" s="25" t="s">
        <v>65</v>
      </c>
      <c r="B1599" s="25" t="s">
        <v>72</v>
      </c>
      <c r="C1599" s="25" t="s">
        <v>50</v>
      </c>
      <c r="D1599" s="25" t="n">
        <v>21</v>
      </c>
      <c r="E1599" s="25" t="s">
        <v>573</v>
      </c>
      <c r="F1599" s="25" t="s">
        <v>176</v>
      </c>
      <c r="G1599" s="25" t="n">
        <v>19</v>
      </c>
      <c r="H1599" s="25" t="s">
        <v>615</v>
      </c>
      <c r="I1599" s="25" t="n">
        <v>1</v>
      </c>
      <c r="J1599" s="26" t="n">
        <v>2500</v>
      </c>
      <c r="K1599" s="25" t="s">
        <v>546</v>
      </c>
      <c r="L1599" s="25" t="s">
        <v>547</v>
      </c>
      <c r="M1599" s="26" t="n">
        <f aca="false">IF(AND(L1599="Oui",K1599="Principal"),I1599*J1599,0)</f>
        <v>2500</v>
      </c>
      <c r="N1599" s="25" t="s">
        <v>548</v>
      </c>
      <c r="O1599" s="25"/>
      <c r="P1599" s="25" t="s">
        <v>559</v>
      </c>
      <c r="Q1599" s="25" t="s">
        <v>551</v>
      </c>
      <c r="R1599" s="26"/>
      <c r="S1599" s="26" t="n">
        <f aca="false">IF(AND(L1599="Oui",K1599="Principal",R1599&lt;&gt;""),I1599*R1599,0)</f>
        <v>0</v>
      </c>
      <c r="T1599" s="26" t="n">
        <f aca="false">IF(R1599&lt;&gt;"",M1599-S1599,0)</f>
        <v>0</v>
      </c>
      <c r="U1599" s="26" t="n">
        <f aca="false">IF(R1599="",M1599,0)</f>
        <v>2500</v>
      </c>
    </row>
    <row r="1600" customFormat="false" ht="15" hidden="false" customHeight="false" outlineLevel="0" collapsed="false">
      <c r="A1600" s="25" t="s">
        <v>65</v>
      </c>
      <c r="B1600" s="25" t="s">
        <v>72</v>
      </c>
      <c r="C1600" s="25" t="s">
        <v>50</v>
      </c>
      <c r="D1600" s="25" t="n">
        <v>22</v>
      </c>
      <c r="E1600" s="25" t="s">
        <v>573</v>
      </c>
      <c r="F1600" s="25" t="s">
        <v>117</v>
      </c>
      <c r="G1600" s="25" t="n">
        <v>1288</v>
      </c>
      <c r="H1600" s="25" t="s">
        <v>624</v>
      </c>
      <c r="I1600" s="25" t="n">
        <v>1</v>
      </c>
      <c r="J1600" s="26" t="n">
        <v>2500</v>
      </c>
      <c r="K1600" s="25" t="s">
        <v>546</v>
      </c>
      <c r="L1600" s="25" t="s">
        <v>547</v>
      </c>
      <c r="M1600" s="26" t="n">
        <f aca="false">IF(AND(L1600="Oui",K1600="Principal"),I1600*J1600,0)</f>
        <v>2500</v>
      </c>
      <c r="N1600" s="25" t="s">
        <v>548</v>
      </c>
      <c r="O1600" s="25"/>
      <c r="P1600" s="25" t="s">
        <v>550</v>
      </c>
      <c r="Q1600" s="25" t="s">
        <v>557</v>
      </c>
      <c r="R1600" s="26" t="n">
        <v>2000</v>
      </c>
      <c r="S1600" s="26" t="n">
        <f aca="false">IF(AND(L1600="Oui",K1600="Principal",R1600&lt;&gt;""),I1600*R1600,0)</f>
        <v>2000</v>
      </c>
      <c r="T1600" s="26" t="n">
        <f aca="false">IF(R1600&lt;&gt;"",M1600-S1600,0)</f>
        <v>500</v>
      </c>
      <c r="U1600" s="26" t="n">
        <f aca="false">IF(R1600="",M1600,0)</f>
        <v>0</v>
      </c>
    </row>
    <row r="1601" customFormat="false" ht="15" hidden="false" customHeight="false" outlineLevel="0" collapsed="false">
      <c r="A1601" s="25" t="s">
        <v>65</v>
      </c>
      <c r="B1601" s="25" t="s">
        <v>72</v>
      </c>
      <c r="C1601" s="25" t="s">
        <v>50</v>
      </c>
      <c r="D1601" s="25" t="n">
        <v>23</v>
      </c>
      <c r="E1601" s="25" t="s">
        <v>573</v>
      </c>
      <c r="F1601" s="25" t="s">
        <v>321</v>
      </c>
      <c r="G1601" s="25" t="n">
        <v>1192</v>
      </c>
      <c r="H1601" s="25" t="s">
        <v>694</v>
      </c>
      <c r="I1601" s="25" t="n">
        <v>1</v>
      </c>
      <c r="J1601" s="26" t="n">
        <v>7000</v>
      </c>
      <c r="K1601" s="25" t="s">
        <v>546</v>
      </c>
      <c r="L1601" s="25" t="s">
        <v>547</v>
      </c>
      <c r="M1601" s="26" t="n">
        <f aca="false">IF(AND(L1601="Oui",K1601="Principal"),I1601*J1601,0)</f>
        <v>7000</v>
      </c>
      <c r="N1601" s="25" t="s">
        <v>548</v>
      </c>
      <c r="O1601" s="25"/>
      <c r="P1601" s="25" t="s">
        <v>550</v>
      </c>
      <c r="Q1601" s="25" t="s">
        <v>557</v>
      </c>
      <c r="R1601" s="26" t="n">
        <v>5500</v>
      </c>
      <c r="S1601" s="26" t="n">
        <f aca="false">IF(AND(L1601="Oui",K1601="Principal",R1601&lt;&gt;""),I1601*R1601,0)</f>
        <v>5500</v>
      </c>
      <c r="T1601" s="26" t="n">
        <f aca="false">IF(R1601&lt;&gt;"",M1601-S1601,0)</f>
        <v>1500</v>
      </c>
      <c r="U1601" s="26" t="n">
        <f aca="false">IF(R1601="",M1601,0)</f>
        <v>0</v>
      </c>
    </row>
    <row r="1602" customFormat="false" ht="15" hidden="false" customHeight="false" outlineLevel="0" collapsed="false">
      <c r="A1602" s="27" t="s">
        <v>65</v>
      </c>
      <c r="B1602" s="27" t="s">
        <v>72</v>
      </c>
      <c r="C1602" s="27" t="s">
        <v>50</v>
      </c>
      <c r="D1602" s="27" t="n">
        <v>24</v>
      </c>
      <c r="E1602" s="27" t="s">
        <v>689</v>
      </c>
      <c r="F1602" s="27" t="s">
        <v>498</v>
      </c>
      <c r="G1602" s="27"/>
      <c r="H1602" s="27" t="s">
        <v>585</v>
      </c>
      <c r="I1602" s="27" t="n">
        <v>1</v>
      </c>
      <c r="J1602" s="28" t="n">
        <v>0</v>
      </c>
      <c r="K1602" s="27" t="s">
        <v>546</v>
      </c>
      <c r="L1602" s="27" t="s">
        <v>579</v>
      </c>
      <c r="M1602" s="28" t="n">
        <f aca="false">IF(AND(L1602="Oui",K1602="Principal"),I1602*J1602,0)</f>
        <v>0</v>
      </c>
      <c r="N1602" s="27" t="s">
        <v>128</v>
      </c>
      <c r="O1602" s="27" t="s">
        <v>586</v>
      </c>
      <c r="P1602" s="27"/>
      <c r="Q1602" s="27"/>
      <c r="R1602" s="28"/>
      <c r="S1602" s="28" t="n">
        <f aca="false">IF(AND(L1602="Oui",K1602="Principal",R1602&lt;&gt;""),I1602*R1602,0)</f>
        <v>0</v>
      </c>
      <c r="T1602" s="28" t="n">
        <f aca="false">IF(R1602&lt;&gt;"",M1602-S1602,0)</f>
        <v>0</v>
      </c>
      <c r="U1602" s="28" t="n">
        <f aca="false">IF(R1602="",M1602,0)</f>
        <v>0</v>
      </c>
    </row>
    <row r="1603" customFormat="false" ht="15" hidden="false" customHeight="false" outlineLevel="0" collapsed="false">
      <c r="A1603" s="25" t="s">
        <v>65</v>
      </c>
      <c r="B1603" s="25" t="s">
        <v>72</v>
      </c>
      <c r="C1603" s="25" t="s">
        <v>50</v>
      </c>
      <c r="D1603" s="25" t="n">
        <v>25</v>
      </c>
      <c r="E1603" s="25" t="s">
        <v>689</v>
      </c>
      <c r="F1603" s="25" t="s">
        <v>499</v>
      </c>
      <c r="G1603" s="25" t="n">
        <v>1310</v>
      </c>
      <c r="H1603" s="25" t="s">
        <v>796</v>
      </c>
      <c r="I1603" s="25" t="n">
        <v>1</v>
      </c>
      <c r="J1603" s="26" t="n">
        <v>2800</v>
      </c>
      <c r="K1603" s="25" t="s">
        <v>546</v>
      </c>
      <c r="L1603" s="25" t="s">
        <v>547</v>
      </c>
      <c r="M1603" s="26" t="n">
        <f aca="false">IF(AND(L1603="Oui",K1603="Principal"),I1603*J1603,0)</f>
        <v>2800</v>
      </c>
      <c r="N1603" s="25" t="s">
        <v>548</v>
      </c>
      <c r="O1603" s="25"/>
      <c r="P1603" s="25" t="s">
        <v>550</v>
      </c>
      <c r="Q1603" s="25" t="s">
        <v>557</v>
      </c>
      <c r="R1603" s="26" t="n">
        <v>1800</v>
      </c>
      <c r="S1603" s="26" t="n">
        <f aca="false">IF(AND(L1603="Oui",K1603="Principal",R1603&lt;&gt;""),I1603*R1603,0)</f>
        <v>1800</v>
      </c>
      <c r="T1603" s="26" t="n">
        <f aca="false">IF(R1603&lt;&gt;"",M1603-S1603,0)</f>
        <v>1000</v>
      </c>
      <c r="U1603" s="26" t="n">
        <f aca="false">IF(R1603="",M1603,0)</f>
        <v>0</v>
      </c>
    </row>
    <row r="1604" customFormat="false" ht="15" hidden="false" customHeight="false" outlineLevel="0" collapsed="false">
      <c r="A1604" s="25" t="s">
        <v>65</v>
      </c>
      <c r="B1604" s="25" t="s">
        <v>72</v>
      </c>
      <c r="C1604" s="25" t="s">
        <v>50</v>
      </c>
      <c r="D1604" s="25" t="n">
        <v>26</v>
      </c>
      <c r="E1604" s="25" t="s">
        <v>689</v>
      </c>
      <c r="F1604" s="25" t="s">
        <v>471</v>
      </c>
      <c r="G1604" s="25" t="n">
        <v>1308</v>
      </c>
      <c r="H1604" s="25" t="s">
        <v>779</v>
      </c>
      <c r="I1604" s="25" t="n">
        <v>1</v>
      </c>
      <c r="J1604" s="26" t="n">
        <v>2800</v>
      </c>
      <c r="K1604" s="25" t="s">
        <v>546</v>
      </c>
      <c r="L1604" s="25" t="s">
        <v>547</v>
      </c>
      <c r="M1604" s="26" t="n">
        <f aca="false">IF(AND(L1604="Oui",K1604="Principal"),I1604*J1604,0)</f>
        <v>2800</v>
      </c>
      <c r="N1604" s="25" t="s">
        <v>548</v>
      </c>
      <c r="O1604" s="25"/>
      <c r="P1604" s="25" t="s">
        <v>550</v>
      </c>
      <c r="Q1604" s="25" t="s">
        <v>557</v>
      </c>
      <c r="R1604" s="26" t="n">
        <v>1800</v>
      </c>
      <c r="S1604" s="26" t="n">
        <f aca="false">IF(AND(L1604="Oui",K1604="Principal",R1604&lt;&gt;""),I1604*R1604,0)</f>
        <v>1800</v>
      </c>
      <c r="T1604" s="26" t="n">
        <f aca="false">IF(R1604&lt;&gt;"",M1604-S1604,0)</f>
        <v>1000</v>
      </c>
      <c r="U1604" s="26" t="n">
        <f aca="false">IF(R1604="",M1604,0)</f>
        <v>0</v>
      </c>
    </row>
    <row r="1605" customFormat="false" ht="15" hidden="false" customHeight="false" outlineLevel="0" collapsed="false">
      <c r="A1605" s="27" t="s">
        <v>65</v>
      </c>
      <c r="B1605" s="27" t="s">
        <v>72</v>
      </c>
      <c r="C1605" s="27" t="s">
        <v>50</v>
      </c>
      <c r="D1605" s="27" t="n">
        <v>27</v>
      </c>
      <c r="E1605" s="27" t="s">
        <v>689</v>
      </c>
      <c r="F1605" s="27" t="s">
        <v>473</v>
      </c>
      <c r="G1605" s="27"/>
      <c r="H1605" s="27" t="s">
        <v>585</v>
      </c>
      <c r="I1605" s="27" t="n">
        <v>1</v>
      </c>
      <c r="J1605" s="28" t="n">
        <v>0</v>
      </c>
      <c r="K1605" s="27" t="s">
        <v>546</v>
      </c>
      <c r="L1605" s="27" t="s">
        <v>579</v>
      </c>
      <c r="M1605" s="28" t="n">
        <f aca="false">IF(AND(L1605="Oui",K1605="Principal"),I1605*J1605,0)</f>
        <v>0</v>
      </c>
      <c r="N1605" s="27" t="s">
        <v>128</v>
      </c>
      <c r="O1605" s="27" t="s">
        <v>586</v>
      </c>
      <c r="P1605" s="27"/>
      <c r="Q1605" s="27"/>
      <c r="R1605" s="28"/>
      <c r="S1605" s="28" t="n">
        <f aca="false">IF(AND(L1605="Oui",K1605="Principal",R1605&lt;&gt;""),I1605*R1605,0)</f>
        <v>0</v>
      </c>
      <c r="T1605" s="28" t="n">
        <f aca="false">IF(R1605&lt;&gt;"",M1605-S1605,0)</f>
        <v>0</v>
      </c>
      <c r="U1605" s="28" t="n">
        <f aca="false">IF(R1605="",M1605,0)</f>
        <v>0</v>
      </c>
    </row>
    <row r="1606" customFormat="false" ht="15" hidden="false" customHeight="false" outlineLevel="0" collapsed="false">
      <c r="A1606" s="31" t="s">
        <v>65</v>
      </c>
      <c r="B1606" s="31" t="s">
        <v>72</v>
      </c>
      <c r="C1606" s="31" t="s">
        <v>50</v>
      </c>
      <c r="D1606" s="31" t="n">
        <v>28</v>
      </c>
      <c r="E1606" s="31" t="s">
        <v>588</v>
      </c>
      <c r="F1606" s="31" t="s">
        <v>437</v>
      </c>
      <c r="G1606" s="31" t="s">
        <v>759</v>
      </c>
      <c r="H1606" s="31" t="s">
        <v>760</v>
      </c>
      <c r="I1606" s="31" t="n">
        <v>1</v>
      </c>
      <c r="J1606" s="32" t="n">
        <v>2750</v>
      </c>
      <c r="K1606" s="31" t="s">
        <v>546</v>
      </c>
      <c r="L1606" s="31" t="s">
        <v>547</v>
      </c>
      <c r="M1606" s="32" t="n">
        <f aca="false">IF(AND(L1606="Oui",K1606="Principal"),I1606*J1606,0)</f>
        <v>2750</v>
      </c>
      <c r="N1606" s="31" t="s">
        <v>172</v>
      </c>
      <c r="O1606" s="31" t="s">
        <v>761</v>
      </c>
      <c r="P1606" s="31" t="s">
        <v>550</v>
      </c>
      <c r="Q1606" s="31" t="s">
        <v>557</v>
      </c>
      <c r="R1606" s="32" t="n">
        <v>2000</v>
      </c>
      <c r="S1606" s="32" t="n">
        <f aca="false">IF(AND(L1606="Oui",K1606="Principal",R1606&lt;&gt;""),I1606*R1606,0)</f>
        <v>2000</v>
      </c>
      <c r="T1606" s="32" t="n">
        <f aca="false">IF(R1606&lt;&gt;"",M1606-S1606,0)</f>
        <v>750</v>
      </c>
      <c r="U1606" s="32" t="n">
        <f aca="false">IF(R1606="",M1606,0)</f>
        <v>0</v>
      </c>
    </row>
    <row r="1607" customFormat="false" ht="15" hidden="false" customHeight="false" outlineLevel="0" collapsed="false">
      <c r="A1607" s="31" t="s">
        <v>65</v>
      </c>
      <c r="B1607" s="31" t="s">
        <v>72</v>
      </c>
      <c r="C1607" s="31" t="s">
        <v>50</v>
      </c>
      <c r="D1607" s="31" t="n">
        <v>29</v>
      </c>
      <c r="E1607" s="31" t="s">
        <v>588</v>
      </c>
      <c r="F1607" s="31" t="s">
        <v>439</v>
      </c>
      <c r="G1607" s="31" t="s">
        <v>762</v>
      </c>
      <c r="H1607" s="31" t="s">
        <v>763</v>
      </c>
      <c r="I1607" s="31" t="n">
        <v>1</v>
      </c>
      <c r="J1607" s="32" t="n">
        <v>3000</v>
      </c>
      <c r="K1607" s="31" t="s">
        <v>546</v>
      </c>
      <c r="L1607" s="31" t="s">
        <v>547</v>
      </c>
      <c r="M1607" s="32" t="n">
        <f aca="false">IF(AND(L1607="Oui",K1607="Principal"),I1607*J1607,0)</f>
        <v>3000</v>
      </c>
      <c r="N1607" s="31" t="s">
        <v>172</v>
      </c>
      <c r="O1607" s="31" t="s">
        <v>764</v>
      </c>
      <c r="P1607" s="31" t="s">
        <v>550</v>
      </c>
      <c r="Q1607" s="31" t="s">
        <v>557</v>
      </c>
      <c r="R1607" s="32" t="n">
        <v>2000</v>
      </c>
      <c r="S1607" s="32" t="n">
        <f aca="false">IF(AND(L1607="Oui",K1607="Principal",R1607&lt;&gt;""),I1607*R1607,0)</f>
        <v>2000</v>
      </c>
      <c r="T1607" s="32" t="n">
        <f aca="false">IF(R1607&lt;&gt;"",M1607-S1607,0)</f>
        <v>1000</v>
      </c>
      <c r="U1607" s="32" t="n">
        <f aca="false">IF(R1607="",M1607,0)</f>
        <v>0</v>
      </c>
    </row>
    <row r="1608" customFormat="false" ht="15" hidden="false" customHeight="false" outlineLevel="0" collapsed="false">
      <c r="A1608" s="25" t="s">
        <v>65</v>
      </c>
      <c r="B1608" s="25" t="s">
        <v>73</v>
      </c>
      <c r="C1608" s="25" t="s">
        <v>48</v>
      </c>
      <c r="D1608" s="25" t="n">
        <v>1</v>
      </c>
      <c r="E1608" s="25" t="s">
        <v>544</v>
      </c>
      <c r="F1608" s="25" t="s">
        <v>295</v>
      </c>
      <c r="G1608" s="25" t="n">
        <v>1618</v>
      </c>
      <c r="H1608" s="25" t="s">
        <v>600</v>
      </c>
      <c r="I1608" s="25" t="n">
        <v>1</v>
      </c>
      <c r="J1608" s="26" t="n">
        <v>450</v>
      </c>
      <c r="K1608" s="25" t="s">
        <v>546</v>
      </c>
      <c r="L1608" s="25" t="s">
        <v>547</v>
      </c>
      <c r="M1608" s="26" t="n">
        <f aca="false">IF(AND(L1608="Oui",K1608="Principal"),I1608*J1608,0)</f>
        <v>450</v>
      </c>
      <c r="N1608" s="25" t="s">
        <v>548</v>
      </c>
      <c r="O1608" s="25"/>
      <c r="P1608" s="25" t="s">
        <v>556</v>
      </c>
      <c r="Q1608" s="25" t="s">
        <v>557</v>
      </c>
      <c r="R1608" s="26" t="n">
        <v>350</v>
      </c>
      <c r="S1608" s="26" t="n">
        <f aca="false">IF(AND(L1608="Oui",K1608="Principal",R1608&lt;&gt;""),I1608*R1608,0)</f>
        <v>350</v>
      </c>
      <c r="T1608" s="26" t="n">
        <f aca="false">IF(R1608&lt;&gt;"",M1608-S1608,0)</f>
        <v>100</v>
      </c>
      <c r="U1608" s="26" t="n">
        <f aca="false">IF(R1608="",M1608,0)</f>
        <v>0</v>
      </c>
    </row>
    <row r="1609" customFormat="false" ht="15" hidden="false" customHeight="false" outlineLevel="0" collapsed="false">
      <c r="A1609" s="25" t="s">
        <v>65</v>
      </c>
      <c r="B1609" s="25" t="s">
        <v>73</v>
      </c>
      <c r="C1609" s="25" t="s">
        <v>48</v>
      </c>
      <c r="D1609" s="25" t="n">
        <v>2</v>
      </c>
      <c r="E1609" s="25" t="s">
        <v>544</v>
      </c>
      <c r="F1609" s="25" t="s">
        <v>296</v>
      </c>
      <c r="G1609" s="25" t="n">
        <v>1</v>
      </c>
      <c r="H1609" s="25" t="s">
        <v>681</v>
      </c>
      <c r="I1609" s="25" t="n">
        <v>4</v>
      </c>
      <c r="J1609" s="26" t="n">
        <v>500</v>
      </c>
      <c r="K1609" s="25" t="s">
        <v>546</v>
      </c>
      <c r="L1609" s="25" t="s">
        <v>547</v>
      </c>
      <c r="M1609" s="26" t="n">
        <f aca="false">IF(AND(L1609="Oui",K1609="Principal"),I1609*J1609,0)</f>
        <v>2000</v>
      </c>
      <c r="N1609" s="25" t="s">
        <v>548</v>
      </c>
      <c r="O1609" s="25"/>
      <c r="P1609" s="25" t="s">
        <v>559</v>
      </c>
      <c r="Q1609" s="25" t="s">
        <v>551</v>
      </c>
      <c r="R1609" s="26"/>
      <c r="S1609" s="26" t="n">
        <f aca="false">IF(AND(L1609="Oui",K1609="Principal",R1609&lt;&gt;""),I1609*R1609,0)</f>
        <v>0</v>
      </c>
      <c r="T1609" s="26" t="n">
        <f aca="false">IF(R1609&lt;&gt;"",M1609-S1609,0)</f>
        <v>0</v>
      </c>
      <c r="U1609" s="26" t="n">
        <f aca="false">IF(R1609="",M1609,0)</f>
        <v>2000</v>
      </c>
    </row>
    <row r="1610" customFormat="false" ht="15" hidden="false" customHeight="false" outlineLevel="0" collapsed="false">
      <c r="A1610" s="25" t="s">
        <v>65</v>
      </c>
      <c r="B1610" s="25" t="s">
        <v>73</v>
      </c>
      <c r="C1610" s="25" t="s">
        <v>48</v>
      </c>
      <c r="D1610" s="25" t="n">
        <v>3</v>
      </c>
      <c r="E1610" s="25" t="s">
        <v>544</v>
      </c>
      <c r="F1610" s="25" t="s">
        <v>298</v>
      </c>
      <c r="G1610" s="25" t="n">
        <v>1576</v>
      </c>
      <c r="H1610" s="25" t="s">
        <v>682</v>
      </c>
      <c r="I1610" s="25" t="n">
        <v>2</v>
      </c>
      <c r="J1610" s="26" t="n">
        <v>500</v>
      </c>
      <c r="K1610" s="25" t="s">
        <v>546</v>
      </c>
      <c r="L1610" s="25" t="s">
        <v>547</v>
      </c>
      <c r="M1610" s="26" t="n">
        <f aca="false">IF(AND(L1610="Oui",K1610="Principal"),I1610*J1610,0)</f>
        <v>1000</v>
      </c>
      <c r="N1610" s="25" t="s">
        <v>548</v>
      </c>
      <c r="O1610" s="25"/>
      <c r="P1610" s="25" t="s">
        <v>556</v>
      </c>
      <c r="Q1610" s="25" t="s">
        <v>557</v>
      </c>
      <c r="R1610" s="26" t="n">
        <v>400</v>
      </c>
      <c r="S1610" s="26" t="n">
        <f aca="false">IF(AND(L1610="Oui",K1610="Principal",R1610&lt;&gt;""),I1610*R1610,0)</f>
        <v>800</v>
      </c>
      <c r="T1610" s="26" t="n">
        <f aca="false">IF(R1610&lt;&gt;"",M1610-S1610,0)</f>
        <v>200</v>
      </c>
      <c r="U1610" s="26" t="n">
        <f aca="false">IF(R1610="",M1610,0)</f>
        <v>0</v>
      </c>
    </row>
    <row r="1611" customFormat="false" ht="15" hidden="false" customHeight="false" outlineLevel="0" collapsed="false">
      <c r="A1611" s="25" t="s">
        <v>65</v>
      </c>
      <c r="B1611" s="25" t="s">
        <v>73</v>
      </c>
      <c r="C1611" s="25" t="s">
        <v>48</v>
      </c>
      <c r="D1611" s="25" t="n">
        <v>4</v>
      </c>
      <c r="E1611" s="25" t="s">
        <v>544</v>
      </c>
      <c r="F1611" s="25" t="s">
        <v>338</v>
      </c>
      <c r="G1611" s="25" t="n">
        <v>2</v>
      </c>
      <c r="H1611" s="25" t="s">
        <v>705</v>
      </c>
      <c r="I1611" s="25" t="n">
        <v>4</v>
      </c>
      <c r="J1611" s="26" t="n">
        <v>900</v>
      </c>
      <c r="K1611" s="25" t="s">
        <v>546</v>
      </c>
      <c r="L1611" s="25" t="s">
        <v>547</v>
      </c>
      <c r="M1611" s="26" t="n">
        <f aca="false">IF(AND(L1611="Oui",K1611="Principal"),I1611*J1611,0)</f>
        <v>3600</v>
      </c>
      <c r="N1611" s="25" t="s">
        <v>548</v>
      </c>
      <c r="O1611" s="25"/>
      <c r="P1611" s="25" t="s">
        <v>559</v>
      </c>
      <c r="Q1611" s="25" t="s">
        <v>551</v>
      </c>
      <c r="R1611" s="26"/>
      <c r="S1611" s="26" t="n">
        <f aca="false">IF(AND(L1611="Oui",K1611="Principal",R1611&lt;&gt;""),I1611*R1611,0)</f>
        <v>0</v>
      </c>
      <c r="T1611" s="26" t="n">
        <f aca="false">IF(R1611&lt;&gt;"",M1611-S1611,0)</f>
        <v>0</v>
      </c>
      <c r="U1611" s="26" t="n">
        <f aca="false">IF(R1611="",M1611,0)</f>
        <v>3600</v>
      </c>
    </row>
    <row r="1612" customFormat="false" ht="15" hidden="false" customHeight="false" outlineLevel="0" collapsed="false">
      <c r="A1612" s="25" t="s">
        <v>65</v>
      </c>
      <c r="B1612" s="25" t="s">
        <v>73</v>
      </c>
      <c r="C1612" s="25" t="s">
        <v>48</v>
      </c>
      <c r="D1612" s="25" t="n">
        <v>5</v>
      </c>
      <c r="E1612" s="25" t="s">
        <v>544</v>
      </c>
      <c r="F1612" s="25" t="s">
        <v>301</v>
      </c>
      <c r="G1612" s="25" t="n">
        <v>1728</v>
      </c>
      <c r="H1612" s="25" t="s">
        <v>545</v>
      </c>
      <c r="I1612" s="25" t="n">
        <v>1</v>
      </c>
      <c r="J1612" s="26" t="n">
        <v>900</v>
      </c>
      <c r="K1612" s="25" t="s">
        <v>546</v>
      </c>
      <c r="L1612" s="25" t="s">
        <v>547</v>
      </c>
      <c r="M1612" s="26" t="n">
        <f aca="false">IF(AND(L1612="Oui",K1612="Principal"),I1612*J1612,0)</f>
        <v>900</v>
      </c>
      <c r="N1612" s="25" t="s">
        <v>548</v>
      </c>
      <c r="O1612" s="25"/>
      <c r="P1612" s="25" t="s">
        <v>550</v>
      </c>
      <c r="Q1612" s="25" t="s">
        <v>551</v>
      </c>
      <c r="R1612" s="26"/>
      <c r="S1612" s="26" t="n">
        <f aca="false">IF(AND(L1612="Oui",K1612="Principal",R1612&lt;&gt;""),I1612*R1612,0)</f>
        <v>0</v>
      </c>
      <c r="T1612" s="26" t="n">
        <f aca="false">IF(R1612&lt;&gt;"",M1612-S1612,0)</f>
        <v>0</v>
      </c>
      <c r="U1612" s="26" t="n">
        <f aca="false">IF(R1612="",M1612,0)</f>
        <v>900</v>
      </c>
    </row>
    <row r="1613" customFormat="false" ht="15" hidden="false" customHeight="false" outlineLevel="0" collapsed="false">
      <c r="A1613" s="25" t="s">
        <v>65</v>
      </c>
      <c r="B1613" s="25" t="s">
        <v>73</v>
      </c>
      <c r="C1613" s="25" t="s">
        <v>48</v>
      </c>
      <c r="D1613" s="25" t="n">
        <v>6</v>
      </c>
      <c r="E1613" s="25" t="s">
        <v>563</v>
      </c>
      <c r="F1613" s="25" t="s">
        <v>255</v>
      </c>
      <c r="G1613" s="25" t="n">
        <v>1636</v>
      </c>
      <c r="H1613" s="25" t="s">
        <v>661</v>
      </c>
      <c r="I1613" s="25" t="n">
        <v>1</v>
      </c>
      <c r="J1613" s="26" t="n">
        <v>400</v>
      </c>
      <c r="K1613" s="25" t="s">
        <v>546</v>
      </c>
      <c r="L1613" s="25" t="s">
        <v>547</v>
      </c>
      <c r="M1613" s="26" t="n">
        <f aca="false">IF(AND(L1613="Oui",K1613="Principal"),I1613*J1613,0)</f>
        <v>400</v>
      </c>
      <c r="N1613" s="25" t="s">
        <v>548</v>
      </c>
      <c r="O1613" s="25"/>
      <c r="P1613" s="25" t="s">
        <v>556</v>
      </c>
      <c r="Q1613" s="25" t="s">
        <v>557</v>
      </c>
      <c r="R1613" s="26" t="n">
        <v>320</v>
      </c>
      <c r="S1613" s="26" t="n">
        <f aca="false">IF(AND(L1613="Oui",K1613="Principal",R1613&lt;&gt;""),I1613*R1613,0)</f>
        <v>320</v>
      </c>
      <c r="T1613" s="26" t="n">
        <f aca="false">IF(R1613&lt;&gt;"",M1613-S1613,0)</f>
        <v>80</v>
      </c>
      <c r="U1613" s="26" t="n">
        <f aca="false">IF(R1613="",M1613,0)</f>
        <v>0</v>
      </c>
    </row>
    <row r="1614" customFormat="false" ht="15" hidden="false" customHeight="false" outlineLevel="0" collapsed="false">
      <c r="A1614" s="25" t="s">
        <v>65</v>
      </c>
      <c r="B1614" s="25" t="s">
        <v>73</v>
      </c>
      <c r="C1614" s="25" t="s">
        <v>48</v>
      </c>
      <c r="D1614" s="25" t="n">
        <v>7</v>
      </c>
      <c r="E1614" s="25" t="s">
        <v>563</v>
      </c>
      <c r="F1614" s="25" t="s">
        <v>257</v>
      </c>
      <c r="G1614" s="25" t="n">
        <v>1635</v>
      </c>
      <c r="H1614" s="25" t="s">
        <v>607</v>
      </c>
      <c r="I1614" s="25" t="n">
        <v>1</v>
      </c>
      <c r="J1614" s="26" t="n">
        <v>100</v>
      </c>
      <c r="K1614" s="25" t="s">
        <v>546</v>
      </c>
      <c r="L1614" s="25" t="s">
        <v>547</v>
      </c>
      <c r="M1614" s="26" t="n">
        <f aca="false">IF(AND(L1614="Oui",K1614="Principal"),I1614*J1614,0)</f>
        <v>100</v>
      </c>
      <c r="N1614" s="25" t="s">
        <v>548</v>
      </c>
      <c r="O1614" s="25"/>
      <c r="P1614" s="25" t="s">
        <v>556</v>
      </c>
      <c r="Q1614" s="25" t="s">
        <v>557</v>
      </c>
      <c r="R1614" s="26" t="n">
        <v>80</v>
      </c>
      <c r="S1614" s="26" t="n">
        <f aca="false">IF(AND(L1614="Oui",K1614="Principal",R1614&lt;&gt;""),I1614*R1614,0)</f>
        <v>80</v>
      </c>
      <c r="T1614" s="26" t="n">
        <f aca="false">IF(R1614&lt;&gt;"",M1614-S1614,0)</f>
        <v>20</v>
      </c>
      <c r="U1614" s="26" t="n">
        <f aca="false">IF(R1614="",M1614,0)</f>
        <v>0</v>
      </c>
    </row>
    <row r="1615" customFormat="false" ht="15" hidden="false" customHeight="false" outlineLevel="0" collapsed="false">
      <c r="A1615" s="25" t="s">
        <v>65</v>
      </c>
      <c r="B1615" s="25" t="s">
        <v>73</v>
      </c>
      <c r="C1615" s="25" t="s">
        <v>48</v>
      </c>
      <c r="D1615" s="25" t="n">
        <v>8</v>
      </c>
      <c r="E1615" s="25" t="s">
        <v>563</v>
      </c>
      <c r="F1615" s="25" t="s">
        <v>97</v>
      </c>
      <c r="G1615" s="25" t="n">
        <v>1571</v>
      </c>
      <c r="H1615" s="25" t="s">
        <v>564</v>
      </c>
      <c r="I1615" s="25" t="n">
        <v>2</v>
      </c>
      <c r="J1615" s="26" t="n">
        <v>75</v>
      </c>
      <c r="K1615" s="25" t="s">
        <v>546</v>
      </c>
      <c r="L1615" s="25" t="s">
        <v>547</v>
      </c>
      <c r="M1615" s="26" t="n">
        <f aca="false">IF(AND(L1615="Oui",K1615="Principal"),I1615*J1615,0)</f>
        <v>150</v>
      </c>
      <c r="N1615" s="25" t="s">
        <v>548</v>
      </c>
      <c r="O1615" s="25"/>
      <c r="P1615" s="25" t="s">
        <v>550</v>
      </c>
      <c r="Q1615" s="25" t="s">
        <v>557</v>
      </c>
      <c r="R1615" s="26"/>
      <c r="S1615" s="26" t="n">
        <f aca="false">IF(AND(L1615="Oui",K1615="Principal",R1615&lt;&gt;""),I1615*R1615,0)</f>
        <v>0</v>
      </c>
      <c r="T1615" s="26" t="n">
        <f aca="false">IF(R1615&lt;&gt;"",M1615-S1615,0)</f>
        <v>0</v>
      </c>
      <c r="U1615" s="26" t="n">
        <f aca="false">IF(R1615="",M1615,0)</f>
        <v>150</v>
      </c>
    </row>
    <row r="1616" customFormat="false" ht="15" hidden="false" customHeight="false" outlineLevel="0" collapsed="false">
      <c r="A1616" s="25" t="s">
        <v>65</v>
      </c>
      <c r="B1616" s="25" t="s">
        <v>73</v>
      </c>
      <c r="C1616" s="25" t="s">
        <v>48</v>
      </c>
      <c r="D1616" s="25" t="n">
        <v>9</v>
      </c>
      <c r="E1616" s="25" t="s">
        <v>563</v>
      </c>
      <c r="F1616" s="25" t="s">
        <v>325</v>
      </c>
      <c r="G1616" s="25" t="n">
        <v>1248</v>
      </c>
      <c r="H1616" s="25" t="s">
        <v>697</v>
      </c>
      <c r="I1616" s="25" t="n">
        <v>1</v>
      </c>
      <c r="J1616" s="26" t="n">
        <v>400</v>
      </c>
      <c r="K1616" s="25" t="s">
        <v>546</v>
      </c>
      <c r="L1616" s="25" t="s">
        <v>547</v>
      </c>
      <c r="M1616" s="26" t="n">
        <f aca="false">IF(AND(L1616="Oui",K1616="Principal"),I1616*J1616,0)</f>
        <v>400</v>
      </c>
      <c r="N1616" s="25" t="s">
        <v>548</v>
      </c>
      <c r="O1616" s="25"/>
      <c r="P1616" s="25" t="s">
        <v>550</v>
      </c>
      <c r="Q1616" s="25" t="s">
        <v>557</v>
      </c>
      <c r="R1616" s="26" t="n">
        <v>250</v>
      </c>
      <c r="S1616" s="26" t="n">
        <f aca="false">IF(AND(L1616="Oui",K1616="Principal",R1616&lt;&gt;""),I1616*R1616,0)</f>
        <v>250</v>
      </c>
      <c r="T1616" s="26" t="n">
        <f aca="false">IF(R1616&lt;&gt;"",M1616-S1616,0)</f>
        <v>150</v>
      </c>
      <c r="U1616" s="26" t="n">
        <f aca="false">IF(R1616="",M1616,0)</f>
        <v>0</v>
      </c>
    </row>
    <row r="1617" customFormat="false" ht="15" hidden="false" customHeight="false" outlineLevel="0" collapsed="false">
      <c r="A1617" s="25" t="s">
        <v>65</v>
      </c>
      <c r="B1617" s="25" t="s">
        <v>73</v>
      </c>
      <c r="C1617" s="25" t="s">
        <v>48</v>
      </c>
      <c r="D1617" s="25" t="n">
        <v>10</v>
      </c>
      <c r="E1617" s="25" t="s">
        <v>565</v>
      </c>
      <c r="F1617" s="25" t="s">
        <v>99</v>
      </c>
      <c r="G1617" s="25" t="n">
        <v>9</v>
      </c>
      <c r="H1617" s="25" t="s">
        <v>566</v>
      </c>
      <c r="I1617" s="25" t="n">
        <v>1</v>
      </c>
      <c r="J1617" s="26" t="n">
        <v>150</v>
      </c>
      <c r="K1617" s="25" t="s">
        <v>546</v>
      </c>
      <c r="L1617" s="25" t="s">
        <v>547</v>
      </c>
      <c r="M1617" s="26" t="n">
        <f aca="false">IF(AND(L1617="Oui",K1617="Principal"),I1617*J1617,0)</f>
        <v>150</v>
      </c>
      <c r="N1617" s="25" t="s">
        <v>548</v>
      </c>
      <c r="O1617" s="25"/>
      <c r="P1617" s="25" t="s">
        <v>559</v>
      </c>
      <c r="Q1617" s="25" t="s">
        <v>551</v>
      </c>
      <c r="R1617" s="26"/>
      <c r="S1617" s="26" t="n">
        <f aca="false">IF(AND(L1617="Oui",K1617="Principal",R1617&lt;&gt;""),I1617*R1617,0)</f>
        <v>0</v>
      </c>
      <c r="T1617" s="26" t="n">
        <f aca="false">IF(R1617&lt;&gt;"",M1617-S1617,0)</f>
        <v>0</v>
      </c>
      <c r="U1617" s="26" t="n">
        <f aca="false">IF(R1617="",M1617,0)</f>
        <v>150</v>
      </c>
    </row>
    <row r="1618" customFormat="false" ht="15" hidden="false" customHeight="false" outlineLevel="0" collapsed="false">
      <c r="A1618" s="25" t="s">
        <v>65</v>
      </c>
      <c r="B1618" s="25" t="s">
        <v>73</v>
      </c>
      <c r="C1618" s="25" t="s">
        <v>48</v>
      </c>
      <c r="D1618" s="25" t="n">
        <v>11</v>
      </c>
      <c r="E1618" s="25" t="s">
        <v>565</v>
      </c>
      <c r="F1618" s="25" t="s">
        <v>164</v>
      </c>
      <c r="G1618" s="25" t="n">
        <v>10</v>
      </c>
      <c r="H1618" s="25" t="s">
        <v>608</v>
      </c>
      <c r="I1618" s="25" t="n">
        <v>1</v>
      </c>
      <c r="J1618" s="26" t="n">
        <v>200</v>
      </c>
      <c r="K1618" s="25" t="s">
        <v>546</v>
      </c>
      <c r="L1618" s="25" t="s">
        <v>547</v>
      </c>
      <c r="M1618" s="26" t="n">
        <f aca="false">IF(AND(L1618="Oui",K1618="Principal"),I1618*J1618,0)</f>
        <v>200</v>
      </c>
      <c r="N1618" s="25" t="s">
        <v>548</v>
      </c>
      <c r="O1618" s="25"/>
      <c r="P1618" s="25" t="s">
        <v>559</v>
      </c>
      <c r="Q1618" s="25" t="s">
        <v>551</v>
      </c>
      <c r="R1618" s="26"/>
      <c r="S1618" s="26" t="n">
        <f aca="false">IF(AND(L1618="Oui",K1618="Principal",R1618&lt;&gt;""),I1618*R1618,0)</f>
        <v>0</v>
      </c>
      <c r="T1618" s="26" t="n">
        <f aca="false">IF(R1618&lt;&gt;"",M1618-S1618,0)</f>
        <v>0</v>
      </c>
      <c r="U1618" s="26" t="n">
        <f aca="false">IF(R1618="",M1618,0)</f>
        <v>200</v>
      </c>
    </row>
    <row r="1619" customFormat="false" ht="15" hidden="false" customHeight="false" outlineLevel="0" collapsed="false">
      <c r="A1619" s="25" t="s">
        <v>65</v>
      </c>
      <c r="B1619" s="25" t="s">
        <v>73</v>
      </c>
      <c r="C1619" s="25" t="s">
        <v>48</v>
      </c>
      <c r="D1619" s="25" t="n">
        <v>12</v>
      </c>
      <c r="E1619" s="25" t="s">
        <v>565</v>
      </c>
      <c r="F1619" s="25" t="s">
        <v>166</v>
      </c>
      <c r="G1619" s="25" t="n">
        <v>1173</v>
      </c>
      <c r="H1619" s="25" t="s">
        <v>569</v>
      </c>
      <c r="I1619" s="25" t="n">
        <v>1</v>
      </c>
      <c r="J1619" s="26" t="n">
        <v>570</v>
      </c>
      <c r="K1619" s="25" t="s">
        <v>546</v>
      </c>
      <c r="L1619" s="25" t="s">
        <v>547</v>
      </c>
      <c r="M1619" s="26" t="n">
        <f aca="false">IF(AND(L1619="Oui",K1619="Principal"),I1619*J1619,0)</f>
        <v>570</v>
      </c>
      <c r="N1619" s="25" t="s">
        <v>548</v>
      </c>
      <c r="O1619" s="25"/>
      <c r="P1619" s="25" t="s">
        <v>550</v>
      </c>
      <c r="Q1619" s="25" t="s">
        <v>557</v>
      </c>
      <c r="R1619" s="26" t="n">
        <v>420</v>
      </c>
      <c r="S1619" s="26" t="n">
        <f aca="false">IF(AND(L1619="Oui",K1619="Principal",R1619&lt;&gt;""),I1619*R1619,0)</f>
        <v>420</v>
      </c>
      <c r="T1619" s="26" t="n">
        <f aca="false">IF(R1619&lt;&gt;"",M1619-S1619,0)</f>
        <v>150</v>
      </c>
      <c r="U1619" s="26" t="n">
        <f aca="false">IF(R1619="",M1619,0)</f>
        <v>0</v>
      </c>
    </row>
    <row r="1620" customFormat="false" ht="15" hidden="false" customHeight="false" outlineLevel="0" collapsed="false">
      <c r="A1620" s="25" t="s">
        <v>65</v>
      </c>
      <c r="B1620" s="25" t="s">
        <v>73</v>
      </c>
      <c r="C1620" s="25" t="s">
        <v>48</v>
      </c>
      <c r="D1620" s="25" t="n">
        <v>13</v>
      </c>
      <c r="E1620" s="25" t="s">
        <v>565</v>
      </c>
      <c r="F1620" s="25" t="s">
        <v>304</v>
      </c>
      <c r="G1620" s="25" t="n">
        <v>1250</v>
      </c>
      <c r="H1620" s="25" t="s">
        <v>570</v>
      </c>
      <c r="I1620" s="25" t="n">
        <v>1</v>
      </c>
      <c r="J1620" s="26" t="n">
        <v>250</v>
      </c>
      <c r="K1620" s="25" t="s">
        <v>546</v>
      </c>
      <c r="L1620" s="25" t="s">
        <v>547</v>
      </c>
      <c r="M1620" s="26" t="n">
        <f aca="false">IF(AND(L1620="Oui",K1620="Principal"),I1620*J1620,0)</f>
        <v>250</v>
      </c>
      <c r="N1620" s="25" t="s">
        <v>548</v>
      </c>
      <c r="O1620" s="25"/>
      <c r="P1620" s="25" t="s">
        <v>550</v>
      </c>
      <c r="Q1620" s="25" t="s">
        <v>557</v>
      </c>
      <c r="R1620" s="26" t="n">
        <v>100</v>
      </c>
      <c r="S1620" s="26" t="n">
        <f aca="false">IF(AND(L1620="Oui",K1620="Principal",R1620&lt;&gt;""),I1620*R1620,0)</f>
        <v>100</v>
      </c>
      <c r="T1620" s="26" t="n">
        <f aca="false">IF(R1620&lt;&gt;"",M1620-S1620,0)</f>
        <v>150</v>
      </c>
      <c r="U1620" s="26" t="n">
        <f aca="false">IF(R1620="",M1620,0)</f>
        <v>0</v>
      </c>
    </row>
    <row r="1621" customFormat="false" ht="15" hidden="false" customHeight="false" outlineLevel="0" collapsed="false">
      <c r="A1621" s="33" t="s">
        <v>65</v>
      </c>
      <c r="B1621" s="33" t="s">
        <v>73</v>
      </c>
      <c r="C1621" s="33" t="s">
        <v>48</v>
      </c>
      <c r="D1621" s="33" t="n">
        <v>14</v>
      </c>
      <c r="E1621" s="33" t="s">
        <v>609</v>
      </c>
      <c r="F1621" s="33" t="s">
        <v>199</v>
      </c>
      <c r="G1621" s="33" t="n">
        <v>1229</v>
      </c>
      <c r="H1621" s="33" t="s">
        <v>643</v>
      </c>
      <c r="I1621" s="33" t="n">
        <v>1</v>
      </c>
      <c r="J1621" s="34" t="n">
        <v>1800</v>
      </c>
      <c r="K1621" s="33" t="s">
        <v>546</v>
      </c>
      <c r="L1621" s="33" t="s">
        <v>547</v>
      </c>
      <c r="M1621" s="34" t="n">
        <f aca="false">IF(AND(L1621="Oui",K1621="Principal"),I1621*J1621,0)</f>
        <v>1800</v>
      </c>
      <c r="N1621" s="33" t="s">
        <v>182</v>
      </c>
      <c r="O1621" s="33" t="s">
        <v>644</v>
      </c>
      <c r="P1621" s="33" t="s">
        <v>550</v>
      </c>
      <c r="Q1621" s="33" t="s">
        <v>557</v>
      </c>
      <c r="R1621" s="34" t="n">
        <v>1500</v>
      </c>
      <c r="S1621" s="34" t="n">
        <f aca="false">IF(AND(L1621="Oui",K1621="Principal",R1621&lt;&gt;""),I1621*R1621,0)</f>
        <v>1500</v>
      </c>
      <c r="T1621" s="34" t="n">
        <f aca="false">IF(R1621&lt;&gt;"",M1621-S1621,0)</f>
        <v>300</v>
      </c>
      <c r="U1621" s="34" t="n">
        <f aca="false">IF(R1621="",M1621,0)</f>
        <v>0</v>
      </c>
    </row>
    <row r="1622" customFormat="false" ht="15" hidden="false" customHeight="false" outlineLevel="0" collapsed="false">
      <c r="A1622" s="25" t="s">
        <v>65</v>
      </c>
      <c r="B1622" s="25" t="s">
        <v>73</v>
      </c>
      <c r="C1622" s="25" t="s">
        <v>48</v>
      </c>
      <c r="D1622" s="25" t="n">
        <v>15</v>
      </c>
      <c r="E1622" s="25" t="s">
        <v>573</v>
      </c>
      <c r="F1622" s="25" t="s">
        <v>176</v>
      </c>
      <c r="G1622" s="25" t="n">
        <v>19</v>
      </c>
      <c r="H1622" s="25" t="s">
        <v>615</v>
      </c>
      <c r="I1622" s="25" t="n">
        <v>1</v>
      </c>
      <c r="J1622" s="26" t="n">
        <v>2500</v>
      </c>
      <c r="K1622" s="25" t="s">
        <v>546</v>
      </c>
      <c r="L1622" s="25" t="s">
        <v>547</v>
      </c>
      <c r="M1622" s="26" t="n">
        <f aca="false">IF(AND(L1622="Oui",K1622="Principal"),I1622*J1622,0)</f>
        <v>2500</v>
      </c>
      <c r="N1622" s="25" t="s">
        <v>548</v>
      </c>
      <c r="O1622" s="25"/>
      <c r="P1622" s="25" t="s">
        <v>559</v>
      </c>
      <c r="Q1622" s="25" t="s">
        <v>551</v>
      </c>
      <c r="R1622" s="26"/>
      <c r="S1622" s="26" t="n">
        <f aca="false">IF(AND(L1622="Oui",K1622="Principal",R1622&lt;&gt;""),I1622*R1622,0)</f>
        <v>0</v>
      </c>
      <c r="T1622" s="26" t="n">
        <f aca="false">IF(R1622&lt;&gt;"",M1622-S1622,0)</f>
        <v>0</v>
      </c>
      <c r="U1622" s="26" t="n">
        <f aca="false">IF(R1622="",M1622,0)</f>
        <v>2500</v>
      </c>
    </row>
    <row r="1623" customFormat="false" ht="15" hidden="false" customHeight="false" outlineLevel="0" collapsed="false">
      <c r="A1623" s="27" t="s">
        <v>65</v>
      </c>
      <c r="B1623" s="27" t="s">
        <v>73</v>
      </c>
      <c r="C1623" s="27" t="s">
        <v>48</v>
      </c>
      <c r="D1623" s="27" t="n">
        <v>16</v>
      </c>
      <c r="E1623" s="27" t="s">
        <v>689</v>
      </c>
      <c r="F1623" s="27" t="s">
        <v>498</v>
      </c>
      <c r="G1623" s="27"/>
      <c r="H1623" s="27" t="s">
        <v>585</v>
      </c>
      <c r="I1623" s="27" t="n">
        <v>1</v>
      </c>
      <c r="J1623" s="28" t="n">
        <v>0</v>
      </c>
      <c r="K1623" s="27" t="s">
        <v>618</v>
      </c>
      <c r="L1623" s="27" t="s">
        <v>579</v>
      </c>
      <c r="M1623" s="28" t="n">
        <f aca="false">IF(AND(L1623="Oui",K1623="Principal"),I1623*J1623,0)</f>
        <v>0</v>
      </c>
      <c r="N1623" s="27" t="s">
        <v>128</v>
      </c>
      <c r="O1623" s="27" t="s">
        <v>586</v>
      </c>
      <c r="P1623" s="27"/>
      <c r="Q1623" s="27"/>
      <c r="R1623" s="28"/>
      <c r="S1623" s="28" t="n">
        <f aca="false">IF(AND(L1623="Oui",K1623="Principal",R1623&lt;&gt;""),I1623*R1623,0)</f>
        <v>0</v>
      </c>
      <c r="T1623" s="28" t="n">
        <f aca="false">IF(R1623&lt;&gt;"",M1623-S1623,0)</f>
        <v>0</v>
      </c>
      <c r="U1623" s="28" t="n">
        <f aca="false">IF(R1623="",M1623,0)</f>
        <v>0</v>
      </c>
    </row>
    <row r="1624" customFormat="false" ht="15" hidden="false" customHeight="false" outlineLevel="0" collapsed="false">
      <c r="A1624" s="25" t="s">
        <v>65</v>
      </c>
      <c r="B1624" s="25" t="s">
        <v>73</v>
      </c>
      <c r="C1624" s="25" t="s">
        <v>48</v>
      </c>
      <c r="D1624" s="25" t="n">
        <v>17</v>
      </c>
      <c r="E1624" s="25" t="s">
        <v>689</v>
      </c>
      <c r="F1624" s="25" t="s">
        <v>499</v>
      </c>
      <c r="G1624" s="25" t="n">
        <v>1310</v>
      </c>
      <c r="H1624" s="25" t="s">
        <v>796</v>
      </c>
      <c r="I1624" s="25" t="n">
        <v>1</v>
      </c>
      <c r="J1624" s="26" t="n">
        <v>2800</v>
      </c>
      <c r="K1624" s="25" t="s">
        <v>618</v>
      </c>
      <c r="L1624" s="25" t="s">
        <v>579</v>
      </c>
      <c r="M1624" s="26" t="n">
        <f aca="false">IF(AND(L1624="Oui",K1624="Principal"),I1624*J1624,0)</f>
        <v>0</v>
      </c>
      <c r="N1624" s="25" t="s">
        <v>548</v>
      </c>
      <c r="O1624" s="25"/>
      <c r="P1624" s="25" t="s">
        <v>550</v>
      </c>
      <c r="Q1624" s="25" t="s">
        <v>557</v>
      </c>
      <c r="R1624" s="26" t="n">
        <v>1800</v>
      </c>
      <c r="S1624" s="26" t="n">
        <f aca="false">IF(AND(L1624="Oui",K1624="Principal",R1624&lt;&gt;""),I1624*R1624,0)</f>
        <v>0</v>
      </c>
      <c r="T1624" s="26" t="n">
        <f aca="false">IF(R1624&lt;&gt;"",M1624-S1624,0)</f>
        <v>0</v>
      </c>
      <c r="U1624" s="26" t="n">
        <f aca="false">IF(R1624="",M1624,0)</f>
        <v>0</v>
      </c>
    </row>
    <row r="1625" customFormat="false" ht="15" hidden="false" customHeight="false" outlineLevel="0" collapsed="false">
      <c r="A1625" s="25" t="s">
        <v>65</v>
      </c>
      <c r="B1625" s="25" t="s">
        <v>73</v>
      </c>
      <c r="C1625" s="25" t="s">
        <v>48</v>
      </c>
      <c r="D1625" s="25" t="n">
        <v>18</v>
      </c>
      <c r="E1625" s="25" t="s">
        <v>577</v>
      </c>
      <c r="F1625" s="25" t="s">
        <v>321</v>
      </c>
      <c r="G1625" s="25" t="n">
        <v>1192</v>
      </c>
      <c r="H1625" s="25" t="s">
        <v>694</v>
      </c>
      <c r="I1625" s="25" t="n">
        <v>1</v>
      </c>
      <c r="J1625" s="26" t="n">
        <v>7000</v>
      </c>
      <c r="K1625" s="25" t="s">
        <v>577</v>
      </c>
      <c r="L1625" s="25" t="s">
        <v>579</v>
      </c>
      <c r="M1625" s="26" t="n">
        <f aca="false">IF(AND(L1625="Oui",K1625="Principal"),I1625*J1625,0)</f>
        <v>0</v>
      </c>
      <c r="N1625" s="25" t="s">
        <v>548</v>
      </c>
      <c r="O1625" s="25"/>
      <c r="P1625" s="25" t="s">
        <v>550</v>
      </c>
      <c r="Q1625" s="25" t="s">
        <v>557</v>
      </c>
      <c r="R1625" s="26" t="n">
        <v>5500</v>
      </c>
      <c r="S1625" s="26" t="n">
        <f aca="false">IF(AND(L1625="Oui",K1625="Principal",R1625&lt;&gt;""),I1625*R1625,0)</f>
        <v>0</v>
      </c>
      <c r="T1625" s="26" t="n">
        <f aca="false">IF(R1625&lt;&gt;"",M1625-S1625,0)</f>
        <v>0</v>
      </c>
      <c r="U1625" s="26" t="n">
        <f aca="false">IF(R1625="",M1625,0)</f>
        <v>0</v>
      </c>
    </row>
    <row r="1626" customFormat="false" ht="15" hidden="false" customHeight="false" outlineLevel="0" collapsed="false">
      <c r="A1626" s="25" t="s">
        <v>65</v>
      </c>
      <c r="B1626" s="25" t="s">
        <v>73</v>
      </c>
      <c r="C1626" s="25" t="s">
        <v>49</v>
      </c>
      <c r="D1626" s="25" t="n">
        <v>1</v>
      </c>
      <c r="E1626" s="25" t="s">
        <v>544</v>
      </c>
      <c r="F1626" s="25" t="s">
        <v>295</v>
      </c>
      <c r="G1626" s="25" t="n">
        <v>1618</v>
      </c>
      <c r="H1626" s="25" t="s">
        <v>600</v>
      </c>
      <c r="I1626" s="25" t="n">
        <v>1</v>
      </c>
      <c r="J1626" s="26" t="n">
        <v>450</v>
      </c>
      <c r="K1626" s="25" t="s">
        <v>546</v>
      </c>
      <c r="L1626" s="25" t="s">
        <v>547</v>
      </c>
      <c r="M1626" s="26" t="n">
        <f aca="false">IF(AND(L1626="Oui",K1626="Principal"),I1626*J1626,0)</f>
        <v>450</v>
      </c>
      <c r="N1626" s="25" t="s">
        <v>548</v>
      </c>
      <c r="O1626" s="25"/>
      <c r="P1626" s="25" t="s">
        <v>556</v>
      </c>
      <c r="Q1626" s="25" t="s">
        <v>557</v>
      </c>
      <c r="R1626" s="26" t="n">
        <v>350</v>
      </c>
      <c r="S1626" s="26" t="n">
        <f aca="false">IF(AND(L1626="Oui",K1626="Principal",R1626&lt;&gt;""),I1626*R1626,0)</f>
        <v>350</v>
      </c>
      <c r="T1626" s="26" t="n">
        <f aca="false">IF(R1626&lt;&gt;"",M1626-S1626,0)</f>
        <v>100</v>
      </c>
      <c r="U1626" s="26" t="n">
        <f aca="false">IF(R1626="",M1626,0)</f>
        <v>0</v>
      </c>
    </row>
    <row r="1627" customFormat="false" ht="15" hidden="false" customHeight="false" outlineLevel="0" collapsed="false">
      <c r="A1627" s="25" t="s">
        <v>65</v>
      </c>
      <c r="B1627" s="25" t="s">
        <v>73</v>
      </c>
      <c r="C1627" s="25" t="s">
        <v>49</v>
      </c>
      <c r="D1627" s="25" t="n">
        <v>2</v>
      </c>
      <c r="E1627" s="25" t="s">
        <v>544</v>
      </c>
      <c r="F1627" s="25" t="s">
        <v>296</v>
      </c>
      <c r="G1627" s="25" t="n">
        <v>1</v>
      </c>
      <c r="H1627" s="25" t="s">
        <v>681</v>
      </c>
      <c r="I1627" s="25" t="n">
        <v>4</v>
      </c>
      <c r="J1627" s="26" t="n">
        <v>500</v>
      </c>
      <c r="K1627" s="25" t="s">
        <v>546</v>
      </c>
      <c r="L1627" s="25" t="s">
        <v>547</v>
      </c>
      <c r="M1627" s="26" t="n">
        <f aca="false">IF(AND(L1627="Oui",K1627="Principal"),I1627*J1627,0)</f>
        <v>2000</v>
      </c>
      <c r="N1627" s="25" t="s">
        <v>548</v>
      </c>
      <c r="O1627" s="25"/>
      <c r="P1627" s="25" t="s">
        <v>559</v>
      </c>
      <c r="Q1627" s="25" t="s">
        <v>551</v>
      </c>
      <c r="R1627" s="26"/>
      <c r="S1627" s="26" t="n">
        <f aca="false">IF(AND(L1627="Oui",K1627="Principal",R1627&lt;&gt;""),I1627*R1627,0)</f>
        <v>0</v>
      </c>
      <c r="T1627" s="26" t="n">
        <f aca="false">IF(R1627&lt;&gt;"",M1627-S1627,0)</f>
        <v>0</v>
      </c>
      <c r="U1627" s="26" t="n">
        <f aca="false">IF(R1627="",M1627,0)</f>
        <v>2000</v>
      </c>
    </row>
    <row r="1628" customFormat="false" ht="15" hidden="false" customHeight="false" outlineLevel="0" collapsed="false">
      <c r="A1628" s="25" t="s">
        <v>65</v>
      </c>
      <c r="B1628" s="25" t="s">
        <v>73</v>
      </c>
      <c r="C1628" s="25" t="s">
        <v>49</v>
      </c>
      <c r="D1628" s="25" t="n">
        <v>3</v>
      </c>
      <c r="E1628" s="25" t="s">
        <v>544</v>
      </c>
      <c r="F1628" s="25" t="s">
        <v>298</v>
      </c>
      <c r="G1628" s="25" t="n">
        <v>1616</v>
      </c>
      <c r="H1628" s="25" t="s">
        <v>695</v>
      </c>
      <c r="I1628" s="25" t="n">
        <v>2</v>
      </c>
      <c r="J1628" s="26" t="n">
        <v>900</v>
      </c>
      <c r="K1628" s="25" t="s">
        <v>546</v>
      </c>
      <c r="L1628" s="25" t="s">
        <v>547</v>
      </c>
      <c r="M1628" s="26" t="n">
        <f aca="false">IF(AND(L1628="Oui",K1628="Principal"),I1628*J1628,0)</f>
        <v>1800</v>
      </c>
      <c r="N1628" s="25" t="s">
        <v>548</v>
      </c>
      <c r="O1628" s="25"/>
      <c r="P1628" s="25" t="s">
        <v>556</v>
      </c>
      <c r="Q1628" s="25" t="s">
        <v>557</v>
      </c>
      <c r="R1628" s="26" t="n">
        <v>800</v>
      </c>
      <c r="S1628" s="26" t="n">
        <f aca="false">IF(AND(L1628="Oui",K1628="Principal",R1628&lt;&gt;""),I1628*R1628,0)</f>
        <v>1600</v>
      </c>
      <c r="T1628" s="26" t="n">
        <f aca="false">IF(R1628&lt;&gt;"",M1628-S1628,0)</f>
        <v>200</v>
      </c>
      <c r="U1628" s="26" t="n">
        <f aca="false">IF(R1628="",M1628,0)</f>
        <v>0</v>
      </c>
    </row>
    <row r="1629" customFormat="false" ht="15" hidden="false" customHeight="false" outlineLevel="0" collapsed="false">
      <c r="A1629" s="25" t="s">
        <v>65</v>
      </c>
      <c r="B1629" s="25" t="s">
        <v>73</v>
      </c>
      <c r="C1629" s="25" t="s">
        <v>49</v>
      </c>
      <c r="D1629" s="25" t="n">
        <v>4</v>
      </c>
      <c r="E1629" s="25" t="s">
        <v>544</v>
      </c>
      <c r="F1629" s="25" t="s">
        <v>338</v>
      </c>
      <c r="G1629" s="25" t="n">
        <v>1715</v>
      </c>
      <c r="H1629" s="25" t="s">
        <v>713</v>
      </c>
      <c r="I1629" s="25" t="n">
        <v>4</v>
      </c>
      <c r="J1629" s="26" t="n">
        <v>1600</v>
      </c>
      <c r="K1629" s="25" t="s">
        <v>546</v>
      </c>
      <c r="L1629" s="25" t="s">
        <v>547</v>
      </c>
      <c r="M1629" s="26" t="n">
        <f aca="false">IF(AND(L1629="Oui",K1629="Principal"),I1629*J1629,0)</f>
        <v>6400</v>
      </c>
      <c r="N1629" s="25" t="s">
        <v>548</v>
      </c>
      <c r="O1629" s="25"/>
      <c r="P1629" s="25" t="s">
        <v>550</v>
      </c>
      <c r="Q1629" s="25" t="s">
        <v>557</v>
      </c>
      <c r="R1629" s="26" t="n">
        <v>1300</v>
      </c>
      <c r="S1629" s="26" t="n">
        <f aca="false">IF(AND(L1629="Oui",K1629="Principal",R1629&lt;&gt;""),I1629*R1629,0)</f>
        <v>5200</v>
      </c>
      <c r="T1629" s="26" t="n">
        <f aca="false">IF(R1629&lt;&gt;"",M1629-S1629,0)</f>
        <v>1200</v>
      </c>
      <c r="U1629" s="26" t="n">
        <f aca="false">IF(R1629="",M1629,0)</f>
        <v>0</v>
      </c>
    </row>
    <row r="1630" customFormat="false" ht="15" hidden="false" customHeight="false" outlineLevel="0" collapsed="false">
      <c r="A1630" s="25" t="s">
        <v>65</v>
      </c>
      <c r="B1630" s="25" t="s">
        <v>73</v>
      </c>
      <c r="C1630" s="25" t="s">
        <v>49</v>
      </c>
      <c r="D1630" s="25" t="n">
        <v>5</v>
      </c>
      <c r="E1630" s="25" t="s">
        <v>544</v>
      </c>
      <c r="F1630" s="25" t="s">
        <v>301</v>
      </c>
      <c r="G1630" s="25" t="n">
        <v>1728</v>
      </c>
      <c r="H1630" s="25" t="s">
        <v>545</v>
      </c>
      <c r="I1630" s="25" t="n">
        <v>1</v>
      </c>
      <c r="J1630" s="26" t="n">
        <v>900</v>
      </c>
      <c r="K1630" s="25" t="s">
        <v>546</v>
      </c>
      <c r="L1630" s="25" t="s">
        <v>547</v>
      </c>
      <c r="M1630" s="26" t="n">
        <f aca="false">IF(AND(L1630="Oui",K1630="Principal"),I1630*J1630,0)</f>
        <v>900</v>
      </c>
      <c r="N1630" s="25" t="s">
        <v>548</v>
      </c>
      <c r="O1630" s="25"/>
      <c r="P1630" s="25" t="s">
        <v>550</v>
      </c>
      <c r="Q1630" s="25" t="s">
        <v>551</v>
      </c>
      <c r="R1630" s="26"/>
      <c r="S1630" s="26" t="n">
        <f aca="false">IF(AND(L1630="Oui",K1630="Principal",R1630&lt;&gt;""),I1630*R1630,0)</f>
        <v>0</v>
      </c>
      <c r="T1630" s="26" t="n">
        <f aca="false">IF(R1630&lt;&gt;"",M1630-S1630,0)</f>
        <v>0</v>
      </c>
      <c r="U1630" s="26" t="n">
        <f aca="false">IF(R1630="",M1630,0)</f>
        <v>900</v>
      </c>
    </row>
    <row r="1631" customFormat="false" ht="15" hidden="false" customHeight="false" outlineLevel="0" collapsed="false">
      <c r="A1631" s="25" t="s">
        <v>65</v>
      </c>
      <c r="B1631" s="25" t="s">
        <v>73</v>
      </c>
      <c r="C1631" s="25" t="s">
        <v>49</v>
      </c>
      <c r="D1631" s="25" t="n">
        <v>6</v>
      </c>
      <c r="E1631" s="25" t="s">
        <v>563</v>
      </c>
      <c r="F1631" s="25" t="s">
        <v>255</v>
      </c>
      <c r="G1631" s="25" t="n">
        <v>1636</v>
      </c>
      <c r="H1631" s="25" t="s">
        <v>661</v>
      </c>
      <c r="I1631" s="25" t="n">
        <v>1</v>
      </c>
      <c r="J1631" s="26" t="n">
        <v>400</v>
      </c>
      <c r="K1631" s="25" t="s">
        <v>546</v>
      </c>
      <c r="L1631" s="25" t="s">
        <v>547</v>
      </c>
      <c r="M1631" s="26" t="n">
        <f aca="false">IF(AND(L1631="Oui",K1631="Principal"),I1631*J1631,0)</f>
        <v>400</v>
      </c>
      <c r="N1631" s="25" t="s">
        <v>548</v>
      </c>
      <c r="O1631" s="25"/>
      <c r="P1631" s="25" t="s">
        <v>556</v>
      </c>
      <c r="Q1631" s="25" t="s">
        <v>557</v>
      </c>
      <c r="R1631" s="26" t="n">
        <v>320</v>
      </c>
      <c r="S1631" s="26" t="n">
        <f aca="false">IF(AND(L1631="Oui",K1631="Principal",R1631&lt;&gt;""),I1631*R1631,0)</f>
        <v>320</v>
      </c>
      <c r="T1631" s="26" t="n">
        <f aca="false">IF(R1631&lt;&gt;"",M1631-S1631,0)</f>
        <v>80</v>
      </c>
      <c r="U1631" s="26" t="n">
        <f aca="false">IF(R1631="",M1631,0)</f>
        <v>0</v>
      </c>
    </row>
    <row r="1632" customFormat="false" ht="15" hidden="false" customHeight="false" outlineLevel="0" collapsed="false">
      <c r="A1632" s="25" t="s">
        <v>65</v>
      </c>
      <c r="B1632" s="25" t="s">
        <v>73</v>
      </c>
      <c r="C1632" s="25" t="s">
        <v>49</v>
      </c>
      <c r="D1632" s="25" t="n">
        <v>7</v>
      </c>
      <c r="E1632" s="25" t="s">
        <v>563</v>
      </c>
      <c r="F1632" s="25" t="s">
        <v>257</v>
      </c>
      <c r="G1632" s="25" t="n">
        <v>1635</v>
      </c>
      <c r="H1632" s="25" t="s">
        <v>607</v>
      </c>
      <c r="I1632" s="25" t="n">
        <v>1</v>
      </c>
      <c r="J1632" s="26" t="n">
        <v>100</v>
      </c>
      <c r="K1632" s="25" t="s">
        <v>546</v>
      </c>
      <c r="L1632" s="25" t="s">
        <v>547</v>
      </c>
      <c r="M1632" s="26" t="n">
        <f aca="false">IF(AND(L1632="Oui",K1632="Principal"),I1632*J1632,0)</f>
        <v>100</v>
      </c>
      <c r="N1632" s="25" t="s">
        <v>548</v>
      </c>
      <c r="O1632" s="25"/>
      <c r="P1632" s="25" t="s">
        <v>556</v>
      </c>
      <c r="Q1632" s="25" t="s">
        <v>557</v>
      </c>
      <c r="R1632" s="26" t="n">
        <v>80</v>
      </c>
      <c r="S1632" s="26" t="n">
        <f aca="false">IF(AND(L1632="Oui",K1632="Principal",R1632&lt;&gt;""),I1632*R1632,0)</f>
        <v>80</v>
      </c>
      <c r="T1632" s="26" t="n">
        <f aca="false">IF(R1632&lt;&gt;"",M1632-S1632,0)</f>
        <v>20</v>
      </c>
      <c r="U1632" s="26" t="n">
        <f aca="false">IF(R1632="",M1632,0)</f>
        <v>0</v>
      </c>
    </row>
    <row r="1633" customFormat="false" ht="15" hidden="false" customHeight="false" outlineLevel="0" collapsed="false">
      <c r="A1633" s="25" t="s">
        <v>65</v>
      </c>
      <c r="B1633" s="25" t="s">
        <v>73</v>
      </c>
      <c r="C1633" s="25" t="s">
        <v>49</v>
      </c>
      <c r="D1633" s="25" t="n">
        <v>8</v>
      </c>
      <c r="E1633" s="25" t="s">
        <v>563</v>
      </c>
      <c r="F1633" s="25" t="s">
        <v>188</v>
      </c>
      <c r="G1633" s="25" t="n">
        <v>8</v>
      </c>
      <c r="H1633" s="25" t="s">
        <v>188</v>
      </c>
      <c r="I1633" s="25" t="n">
        <v>1</v>
      </c>
      <c r="J1633" s="26" t="n">
        <v>500</v>
      </c>
      <c r="K1633" s="25" t="s">
        <v>546</v>
      </c>
      <c r="L1633" s="25" t="s">
        <v>547</v>
      </c>
      <c r="M1633" s="26" t="n">
        <f aca="false">IF(AND(L1633="Oui",K1633="Principal"),I1633*J1633,0)</f>
        <v>500</v>
      </c>
      <c r="N1633" s="25" t="s">
        <v>548</v>
      </c>
      <c r="O1633" s="25"/>
      <c r="P1633" s="25" t="s">
        <v>559</v>
      </c>
      <c r="Q1633" s="25" t="s">
        <v>551</v>
      </c>
      <c r="R1633" s="26"/>
      <c r="S1633" s="26" t="n">
        <f aca="false">IF(AND(L1633="Oui",K1633="Principal",R1633&lt;&gt;""),I1633*R1633,0)</f>
        <v>0</v>
      </c>
      <c r="T1633" s="26" t="n">
        <f aca="false">IF(R1633&lt;&gt;"",M1633-S1633,0)</f>
        <v>0</v>
      </c>
      <c r="U1633" s="26" t="n">
        <f aca="false">IF(R1633="",M1633,0)</f>
        <v>500</v>
      </c>
    </row>
    <row r="1634" customFormat="false" ht="15" hidden="false" customHeight="false" outlineLevel="0" collapsed="false">
      <c r="A1634" s="25" t="s">
        <v>65</v>
      </c>
      <c r="B1634" s="25" t="s">
        <v>73</v>
      </c>
      <c r="C1634" s="25" t="s">
        <v>49</v>
      </c>
      <c r="D1634" s="25" t="n">
        <v>9</v>
      </c>
      <c r="E1634" s="25" t="s">
        <v>563</v>
      </c>
      <c r="F1634" s="25" t="s">
        <v>323</v>
      </c>
      <c r="G1634" s="25" t="n">
        <v>1607</v>
      </c>
      <c r="H1634" s="25" t="s">
        <v>696</v>
      </c>
      <c r="I1634" s="25" t="n">
        <v>1</v>
      </c>
      <c r="J1634" s="26" t="n">
        <v>2500</v>
      </c>
      <c r="K1634" s="25" t="s">
        <v>546</v>
      </c>
      <c r="L1634" s="25" t="s">
        <v>547</v>
      </c>
      <c r="M1634" s="26" t="n">
        <f aca="false">IF(AND(L1634="Oui",K1634="Principal"),I1634*J1634,0)</f>
        <v>2500</v>
      </c>
      <c r="N1634" s="25" t="s">
        <v>548</v>
      </c>
      <c r="O1634" s="25"/>
      <c r="P1634" s="25" t="s">
        <v>556</v>
      </c>
      <c r="Q1634" s="25" t="s">
        <v>557</v>
      </c>
      <c r="R1634" s="26" t="n">
        <v>2000</v>
      </c>
      <c r="S1634" s="26" t="n">
        <f aca="false">IF(AND(L1634="Oui",K1634="Principal",R1634&lt;&gt;""),I1634*R1634,0)</f>
        <v>2000</v>
      </c>
      <c r="T1634" s="26" t="n">
        <f aca="false">IF(R1634&lt;&gt;"",M1634-S1634,0)</f>
        <v>500</v>
      </c>
      <c r="U1634" s="26" t="n">
        <f aca="false">IF(R1634="",M1634,0)</f>
        <v>0</v>
      </c>
    </row>
    <row r="1635" customFormat="false" ht="15" hidden="false" customHeight="false" outlineLevel="0" collapsed="false">
      <c r="A1635" s="25" t="s">
        <v>65</v>
      </c>
      <c r="B1635" s="25" t="s">
        <v>73</v>
      </c>
      <c r="C1635" s="25" t="s">
        <v>49</v>
      </c>
      <c r="D1635" s="25" t="n">
        <v>10</v>
      </c>
      <c r="E1635" s="25" t="s">
        <v>563</v>
      </c>
      <c r="F1635" s="25" t="s">
        <v>325</v>
      </c>
      <c r="G1635" s="25" t="n">
        <v>1248</v>
      </c>
      <c r="H1635" s="25" t="s">
        <v>697</v>
      </c>
      <c r="I1635" s="25" t="n">
        <v>1</v>
      </c>
      <c r="J1635" s="26" t="n">
        <v>400</v>
      </c>
      <c r="K1635" s="25" t="s">
        <v>546</v>
      </c>
      <c r="L1635" s="25" t="s">
        <v>547</v>
      </c>
      <c r="M1635" s="26" t="n">
        <f aca="false">IF(AND(L1635="Oui",K1635="Principal"),I1635*J1635,0)</f>
        <v>400</v>
      </c>
      <c r="N1635" s="25" t="s">
        <v>548</v>
      </c>
      <c r="O1635" s="25"/>
      <c r="P1635" s="25" t="s">
        <v>550</v>
      </c>
      <c r="Q1635" s="25" t="s">
        <v>557</v>
      </c>
      <c r="R1635" s="26" t="n">
        <v>250</v>
      </c>
      <c r="S1635" s="26" t="n">
        <f aca="false">IF(AND(L1635="Oui",K1635="Principal",R1635&lt;&gt;""),I1635*R1635,0)</f>
        <v>250</v>
      </c>
      <c r="T1635" s="26" t="n">
        <f aca="false">IF(R1635&lt;&gt;"",M1635-S1635,0)</f>
        <v>150</v>
      </c>
      <c r="U1635" s="26" t="n">
        <f aca="false">IF(R1635="",M1635,0)</f>
        <v>0</v>
      </c>
    </row>
    <row r="1636" customFormat="false" ht="15" hidden="false" customHeight="false" outlineLevel="0" collapsed="false">
      <c r="A1636" s="25" t="s">
        <v>65</v>
      </c>
      <c r="B1636" s="25" t="s">
        <v>73</v>
      </c>
      <c r="C1636" s="25" t="s">
        <v>49</v>
      </c>
      <c r="D1636" s="25" t="n">
        <v>11</v>
      </c>
      <c r="E1636" s="25" t="s">
        <v>565</v>
      </c>
      <c r="F1636" s="25" t="s">
        <v>99</v>
      </c>
      <c r="G1636" s="25" t="n">
        <v>1181</v>
      </c>
      <c r="H1636" s="25" t="s">
        <v>581</v>
      </c>
      <c r="I1636" s="25" t="n">
        <v>1</v>
      </c>
      <c r="J1636" s="26" t="n">
        <v>250</v>
      </c>
      <c r="K1636" s="25" t="s">
        <v>546</v>
      </c>
      <c r="L1636" s="25" t="s">
        <v>547</v>
      </c>
      <c r="M1636" s="26" t="n">
        <f aca="false">IF(AND(L1636="Oui",K1636="Principal"),I1636*J1636,0)</f>
        <v>250</v>
      </c>
      <c r="N1636" s="25" t="s">
        <v>548</v>
      </c>
      <c r="O1636" s="25"/>
      <c r="P1636" s="25" t="s">
        <v>550</v>
      </c>
      <c r="Q1636" s="25" t="s">
        <v>557</v>
      </c>
      <c r="R1636" s="26" t="n">
        <v>110</v>
      </c>
      <c r="S1636" s="26" t="n">
        <f aca="false">IF(AND(L1636="Oui",K1636="Principal",R1636&lt;&gt;""),I1636*R1636,0)</f>
        <v>110</v>
      </c>
      <c r="T1636" s="26" t="n">
        <f aca="false">IF(R1636&lt;&gt;"",M1636-S1636,0)</f>
        <v>140</v>
      </c>
      <c r="U1636" s="26" t="n">
        <f aca="false">IF(R1636="",M1636,0)</f>
        <v>0</v>
      </c>
    </row>
    <row r="1637" customFormat="false" ht="15" hidden="false" customHeight="false" outlineLevel="0" collapsed="false">
      <c r="A1637" s="25" t="s">
        <v>65</v>
      </c>
      <c r="B1637" s="25" t="s">
        <v>73</v>
      </c>
      <c r="C1637" s="25" t="s">
        <v>49</v>
      </c>
      <c r="D1637" s="25" t="n">
        <v>12</v>
      </c>
      <c r="E1637" s="25" t="s">
        <v>565</v>
      </c>
      <c r="F1637" s="25" t="s">
        <v>164</v>
      </c>
      <c r="G1637" s="25" t="n">
        <v>1587</v>
      </c>
      <c r="H1637" s="25" t="s">
        <v>567</v>
      </c>
      <c r="I1637" s="25" t="n">
        <v>1</v>
      </c>
      <c r="J1637" s="26" t="n">
        <v>500</v>
      </c>
      <c r="K1637" s="25" t="s">
        <v>546</v>
      </c>
      <c r="L1637" s="25" t="s">
        <v>547</v>
      </c>
      <c r="M1637" s="26" t="n">
        <f aca="false">IF(AND(L1637="Oui",K1637="Principal"),I1637*J1637,0)</f>
        <v>500</v>
      </c>
      <c r="N1637" s="25" t="s">
        <v>548</v>
      </c>
      <c r="O1637" s="25"/>
      <c r="P1637" s="25" t="s">
        <v>556</v>
      </c>
      <c r="Q1637" s="25" t="s">
        <v>557</v>
      </c>
      <c r="R1637" s="26" t="n">
        <v>350</v>
      </c>
      <c r="S1637" s="26" t="n">
        <f aca="false">IF(AND(L1637="Oui",K1637="Principal",R1637&lt;&gt;""),I1637*R1637,0)</f>
        <v>350</v>
      </c>
      <c r="T1637" s="26" t="n">
        <f aca="false">IF(R1637&lt;&gt;"",M1637-S1637,0)</f>
        <v>150</v>
      </c>
      <c r="U1637" s="26" t="n">
        <f aca="false">IF(R1637="",M1637,0)</f>
        <v>0</v>
      </c>
    </row>
    <row r="1638" customFormat="false" ht="15" hidden="false" customHeight="false" outlineLevel="0" collapsed="false">
      <c r="A1638" s="25" t="s">
        <v>65</v>
      </c>
      <c r="B1638" s="25" t="s">
        <v>73</v>
      </c>
      <c r="C1638" s="25" t="s">
        <v>49</v>
      </c>
      <c r="D1638" s="25" t="n">
        <v>13</v>
      </c>
      <c r="E1638" s="25" t="s">
        <v>565</v>
      </c>
      <c r="F1638" s="25" t="s">
        <v>166</v>
      </c>
      <c r="G1638" s="25" t="n">
        <v>1604</v>
      </c>
      <c r="H1638" s="25" t="s">
        <v>582</v>
      </c>
      <c r="I1638" s="25" t="n">
        <v>2</v>
      </c>
      <c r="J1638" s="26" t="n">
        <v>700</v>
      </c>
      <c r="K1638" s="25" t="s">
        <v>546</v>
      </c>
      <c r="L1638" s="25" t="s">
        <v>547</v>
      </c>
      <c r="M1638" s="26" t="n">
        <f aca="false">IF(AND(L1638="Oui",K1638="Principal"),I1638*J1638,0)</f>
        <v>1400</v>
      </c>
      <c r="N1638" s="25" t="s">
        <v>548</v>
      </c>
      <c r="O1638" s="25"/>
      <c r="P1638" s="25" t="s">
        <v>556</v>
      </c>
      <c r="Q1638" s="25" t="s">
        <v>557</v>
      </c>
      <c r="R1638" s="26" t="n">
        <v>400</v>
      </c>
      <c r="S1638" s="26" t="n">
        <f aca="false">IF(AND(L1638="Oui",K1638="Principal",R1638&lt;&gt;""),I1638*R1638,0)</f>
        <v>800</v>
      </c>
      <c r="T1638" s="26" t="n">
        <f aca="false">IF(R1638&lt;&gt;"",M1638-S1638,0)</f>
        <v>600</v>
      </c>
      <c r="U1638" s="26" t="n">
        <f aca="false">IF(R1638="",M1638,0)</f>
        <v>0</v>
      </c>
    </row>
    <row r="1639" customFormat="false" ht="15" hidden="false" customHeight="false" outlineLevel="0" collapsed="false">
      <c r="A1639" s="25" t="s">
        <v>65</v>
      </c>
      <c r="B1639" s="25" t="s">
        <v>73</v>
      </c>
      <c r="C1639" s="25" t="s">
        <v>49</v>
      </c>
      <c r="D1639" s="25" t="n">
        <v>14</v>
      </c>
      <c r="E1639" s="25" t="s">
        <v>565</v>
      </c>
      <c r="F1639" s="25" t="s">
        <v>304</v>
      </c>
      <c r="G1639" s="25" t="n">
        <v>1586</v>
      </c>
      <c r="H1639" s="25" t="s">
        <v>583</v>
      </c>
      <c r="I1639" s="25" t="n">
        <v>1</v>
      </c>
      <c r="J1639" s="26" t="n">
        <v>900</v>
      </c>
      <c r="K1639" s="25" t="s">
        <v>546</v>
      </c>
      <c r="L1639" s="25" t="s">
        <v>547</v>
      </c>
      <c r="M1639" s="26" t="n">
        <f aca="false">IF(AND(L1639="Oui",K1639="Principal"),I1639*J1639,0)</f>
        <v>900</v>
      </c>
      <c r="N1639" s="25" t="s">
        <v>548</v>
      </c>
      <c r="O1639" s="25"/>
      <c r="P1639" s="25" t="s">
        <v>556</v>
      </c>
      <c r="Q1639" s="25" t="s">
        <v>557</v>
      </c>
      <c r="R1639" s="26" t="n">
        <v>650</v>
      </c>
      <c r="S1639" s="26" t="n">
        <f aca="false">IF(AND(L1639="Oui",K1639="Principal",R1639&lt;&gt;""),I1639*R1639,0)</f>
        <v>650</v>
      </c>
      <c r="T1639" s="26" t="n">
        <f aca="false">IF(R1639&lt;&gt;"",M1639-S1639,0)</f>
        <v>250</v>
      </c>
      <c r="U1639" s="26" t="n">
        <f aca="false">IF(R1639="",M1639,0)</f>
        <v>0</v>
      </c>
    </row>
    <row r="1640" customFormat="false" ht="15" hidden="false" customHeight="false" outlineLevel="0" collapsed="false">
      <c r="A1640" s="33" t="s">
        <v>65</v>
      </c>
      <c r="B1640" s="33" t="s">
        <v>73</v>
      </c>
      <c r="C1640" s="33" t="s">
        <v>49</v>
      </c>
      <c r="D1640" s="33" t="n">
        <v>15</v>
      </c>
      <c r="E1640" s="33" t="s">
        <v>609</v>
      </c>
      <c r="F1640" s="33" t="s">
        <v>199</v>
      </c>
      <c r="G1640" s="33" t="n">
        <v>1229</v>
      </c>
      <c r="H1640" s="33" t="s">
        <v>643</v>
      </c>
      <c r="I1640" s="33" t="n">
        <v>1</v>
      </c>
      <c r="J1640" s="34" t="n">
        <v>1800</v>
      </c>
      <c r="K1640" s="33" t="s">
        <v>546</v>
      </c>
      <c r="L1640" s="33" t="s">
        <v>547</v>
      </c>
      <c r="M1640" s="34" t="n">
        <f aca="false">IF(AND(L1640="Oui",K1640="Principal"),I1640*J1640,0)</f>
        <v>1800</v>
      </c>
      <c r="N1640" s="33" t="s">
        <v>182</v>
      </c>
      <c r="O1640" s="33" t="s">
        <v>644</v>
      </c>
      <c r="P1640" s="33" t="s">
        <v>550</v>
      </c>
      <c r="Q1640" s="33" t="s">
        <v>557</v>
      </c>
      <c r="R1640" s="34" t="n">
        <v>1500</v>
      </c>
      <c r="S1640" s="34" t="n">
        <f aca="false">IF(AND(L1640="Oui",K1640="Principal",R1640&lt;&gt;""),I1640*R1640,0)</f>
        <v>1500</v>
      </c>
      <c r="T1640" s="34" t="n">
        <f aca="false">IF(R1640&lt;&gt;"",M1640-S1640,0)</f>
        <v>300</v>
      </c>
      <c r="U1640" s="34" t="n">
        <f aca="false">IF(R1640="",M1640,0)</f>
        <v>0</v>
      </c>
    </row>
    <row r="1641" customFormat="false" ht="15" hidden="false" customHeight="false" outlineLevel="0" collapsed="false">
      <c r="A1641" s="25" t="s">
        <v>65</v>
      </c>
      <c r="B1641" s="25" t="s">
        <v>73</v>
      </c>
      <c r="C1641" s="25" t="s">
        <v>49</v>
      </c>
      <c r="D1641" s="25" t="n">
        <v>16</v>
      </c>
      <c r="E1641" s="25" t="s">
        <v>700</v>
      </c>
      <c r="F1641" s="25" t="s">
        <v>329</v>
      </c>
      <c r="G1641" s="25" t="n">
        <v>1716</v>
      </c>
      <c r="H1641" s="25" t="s">
        <v>701</v>
      </c>
      <c r="I1641" s="25" t="n">
        <v>1</v>
      </c>
      <c r="J1641" s="26" t="n">
        <v>1800</v>
      </c>
      <c r="K1641" s="25" t="s">
        <v>546</v>
      </c>
      <c r="L1641" s="25" t="s">
        <v>547</v>
      </c>
      <c r="M1641" s="26" t="n">
        <f aca="false">IF(AND(L1641="Oui",K1641="Principal"),I1641*J1641,0)</f>
        <v>1800</v>
      </c>
      <c r="N1641" s="25" t="s">
        <v>548</v>
      </c>
      <c r="O1641" s="25"/>
      <c r="P1641" s="25" t="s">
        <v>559</v>
      </c>
      <c r="Q1641" s="25" t="s">
        <v>557</v>
      </c>
      <c r="R1641" s="26" t="n">
        <v>1300</v>
      </c>
      <c r="S1641" s="26" t="n">
        <f aca="false">IF(AND(L1641="Oui",K1641="Principal",R1641&lt;&gt;""),I1641*R1641,0)</f>
        <v>1300</v>
      </c>
      <c r="T1641" s="26" t="n">
        <f aca="false">IF(R1641&lt;&gt;"",M1641-S1641,0)</f>
        <v>500</v>
      </c>
      <c r="U1641" s="26" t="n">
        <f aca="false">IF(R1641="",M1641,0)</f>
        <v>0</v>
      </c>
    </row>
    <row r="1642" customFormat="false" ht="15" hidden="false" customHeight="false" outlineLevel="0" collapsed="false">
      <c r="A1642" s="27" t="s">
        <v>65</v>
      </c>
      <c r="B1642" s="27" t="s">
        <v>73</v>
      </c>
      <c r="C1642" s="27" t="s">
        <v>49</v>
      </c>
      <c r="D1642" s="27" t="n">
        <v>17</v>
      </c>
      <c r="E1642" s="27" t="s">
        <v>700</v>
      </c>
      <c r="F1642" s="27" t="s">
        <v>382</v>
      </c>
      <c r="G1642" s="27"/>
      <c r="H1642" s="27" t="s">
        <v>585</v>
      </c>
      <c r="I1642" s="27" t="n">
        <v>1</v>
      </c>
      <c r="J1642" s="28" t="n">
        <v>0</v>
      </c>
      <c r="K1642" s="27" t="s">
        <v>546</v>
      </c>
      <c r="L1642" s="27" t="s">
        <v>579</v>
      </c>
      <c r="M1642" s="28" t="n">
        <f aca="false">IF(AND(L1642="Oui",K1642="Principal"),I1642*J1642,0)</f>
        <v>0</v>
      </c>
      <c r="N1642" s="27" t="s">
        <v>128</v>
      </c>
      <c r="O1642" s="27" t="s">
        <v>586</v>
      </c>
      <c r="P1642" s="27"/>
      <c r="Q1642" s="27"/>
      <c r="R1642" s="28"/>
      <c r="S1642" s="28" t="n">
        <f aca="false">IF(AND(L1642="Oui",K1642="Principal",R1642&lt;&gt;""),I1642*R1642,0)</f>
        <v>0</v>
      </c>
      <c r="T1642" s="28" t="n">
        <f aca="false">IF(R1642&lt;&gt;"",M1642-S1642,0)</f>
        <v>0</v>
      </c>
      <c r="U1642" s="28" t="n">
        <f aca="false">IF(R1642="",M1642,0)</f>
        <v>0</v>
      </c>
    </row>
    <row r="1643" customFormat="false" ht="15" hidden="false" customHeight="false" outlineLevel="0" collapsed="false">
      <c r="A1643" s="25" t="s">
        <v>65</v>
      </c>
      <c r="B1643" s="25" t="s">
        <v>73</v>
      </c>
      <c r="C1643" s="25" t="s">
        <v>49</v>
      </c>
      <c r="D1643" s="25" t="n">
        <v>18</v>
      </c>
      <c r="E1643" s="25" t="s">
        <v>571</v>
      </c>
      <c r="F1643" s="25" t="s">
        <v>431</v>
      </c>
      <c r="G1643" s="25" t="n">
        <v>1631</v>
      </c>
      <c r="H1643" s="25" t="s">
        <v>755</v>
      </c>
      <c r="I1643" s="25" t="n">
        <v>1</v>
      </c>
      <c r="J1643" s="26" t="n">
        <v>2700</v>
      </c>
      <c r="K1643" s="25" t="s">
        <v>546</v>
      </c>
      <c r="L1643" s="25" t="s">
        <v>547</v>
      </c>
      <c r="M1643" s="26" t="n">
        <f aca="false">IF(AND(L1643="Oui",K1643="Principal"),I1643*J1643,0)</f>
        <v>2700</v>
      </c>
      <c r="N1643" s="25" t="s">
        <v>548</v>
      </c>
      <c r="O1643" s="25"/>
      <c r="P1643" s="25" t="s">
        <v>556</v>
      </c>
      <c r="Q1643" s="25" t="s">
        <v>557</v>
      </c>
      <c r="R1643" s="26" t="n">
        <v>2000</v>
      </c>
      <c r="S1643" s="26" t="n">
        <f aca="false">IF(AND(L1643="Oui",K1643="Principal",R1643&lt;&gt;""),I1643*R1643,0)</f>
        <v>2000</v>
      </c>
      <c r="T1643" s="26" t="n">
        <f aca="false">IF(R1643&lt;&gt;"",M1643-S1643,0)</f>
        <v>700</v>
      </c>
      <c r="U1643" s="26" t="n">
        <f aca="false">IF(R1643="",M1643,0)</f>
        <v>0</v>
      </c>
    </row>
    <row r="1644" customFormat="false" ht="15" hidden="false" customHeight="false" outlineLevel="0" collapsed="false">
      <c r="A1644" s="25" t="s">
        <v>65</v>
      </c>
      <c r="B1644" s="25" t="s">
        <v>73</v>
      </c>
      <c r="C1644" s="25" t="s">
        <v>49</v>
      </c>
      <c r="D1644" s="25" t="n">
        <v>19</v>
      </c>
      <c r="E1644" s="25" t="s">
        <v>571</v>
      </c>
      <c r="F1644" s="25" t="s">
        <v>433</v>
      </c>
      <c r="G1644" s="25" t="n">
        <v>1683</v>
      </c>
      <c r="H1644" s="25" t="s">
        <v>756</v>
      </c>
      <c r="I1644" s="25" t="n">
        <v>1</v>
      </c>
      <c r="J1644" s="26" t="n">
        <v>1000</v>
      </c>
      <c r="K1644" s="25" t="s">
        <v>546</v>
      </c>
      <c r="L1644" s="25" t="s">
        <v>547</v>
      </c>
      <c r="M1644" s="26" t="n">
        <f aca="false">IF(AND(L1644="Oui",K1644="Principal"),I1644*J1644,0)</f>
        <v>1000</v>
      </c>
      <c r="N1644" s="25" t="s">
        <v>548</v>
      </c>
      <c r="O1644" s="25"/>
      <c r="P1644" s="25" t="s">
        <v>556</v>
      </c>
      <c r="Q1644" s="25" t="s">
        <v>557</v>
      </c>
      <c r="R1644" s="26"/>
      <c r="S1644" s="26" t="n">
        <f aca="false">IF(AND(L1644="Oui",K1644="Principal",R1644&lt;&gt;""),I1644*R1644,0)</f>
        <v>0</v>
      </c>
      <c r="T1644" s="26" t="n">
        <f aca="false">IF(R1644&lt;&gt;"",M1644-S1644,0)</f>
        <v>0</v>
      </c>
      <c r="U1644" s="26" t="n">
        <f aca="false">IF(R1644="",M1644,0)</f>
        <v>1000</v>
      </c>
    </row>
    <row r="1645" customFormat="false" ht="15" hidden="false" customHeight="false" outlineLevel="0" collapsed="false">
      <c r="A1645" s="33" t="s">
        <v>65</v>
      </c>
      <c r="B1645" s="33" t="s">
        <v>73</v>
      </c>
      <c r="C1645" s="33" t="s">
        <v>49</v>
      </c>
      <c r="D1645" s="33" t="n">
        <v>20</v>
      </c>
      <c r="E1645" s="33" t="s">
        <v>571</v>
      </c>
      <c r="F1645" s="33" t="s">
        <v>435</v>
      </c>
      <c r="G1645" s="33" t="n">
        <v>1269</v>
      </c>
      <c r="H1645" s="33" t="s">
        <v>757</v>
      </c>
      <c r="I1645" s="33" t="n">
        <v>1</v>
      </c>
      <c r="J1645" s="34" t="n">
        <v>1150</v>
      </c>
      <c r="K1645" s="33" t="s">
        <v>546</v>
      </c>
      <c r="L1645" s="33" t="s">
        <v>547</v>
      </c>
      <c r="M1645" s="34" t="n">
        <f aca="false">IF(AND(L1645="Oui",K1645="Principal"),I1645*J1645,0)</f>
        <v>1150</v>
      </c>
      <c r="N1645" s="33" t="s">
        <v>182</v>
      </c>
      <c r="O1645" s="33" t="s">
        <v>758</v>
      </c>
      <c r="P1645" s="33" t="s">
        <v>550</v>
      </c>
      <c r="Q1645" s="33" t="s">
        <v>557</v>
      </c>
      <c r="R1645" s="34" t="n">
        <v>850</v>
      </c>
      <c r="S1645" s="34" t="n">
        <f aca="false">IF(AND(L1645="Oui",K1645="Principal",R1645&lt;&gt;""),I1645*R1645,0)</f>
        <v>850</v>
      </c>
      <c r="T1645" s="34" t="n">
        <f aca="false">IF(R1645&lt;&gt;"",M1645-S1645,0)</f>
        <v>300</v>
      </c>
      <c r="U1645" s="34" t="n">
        <f aca="false">IF(R1645="",M1645,0)</f>
        <v>0</v>
      </c>
    </row>
    <row r="1646" customFormat="false" ht="15" hidden="false" customHeight="false" outlineLevel="0" collapsed="false">
      <c r="A1646" s="25" t="s">
        <v>65</v>
      </c>
      <c r="B1646" s="25" t="s">
        <v>73</v>
      </c>
      <c r="C1646" s="25" t="s">
        <v>49</v>
      </c>
      <c r="D1646" s="25" t="n">
        <v>21</v>
      </c>
      <c r="E1646" s="25" t="s">
        <v>573</v>
      </c>
      <c r="F1646" s="25" t="s">
        <v>176</v>
      </c>
      <c r="G1646" s="25" t="n">
        <v>19</v>
      </c>
      <c r="H1646" s="25" t="s">
        <v>615</v>
      </c>
      <c r="I1646" s="25" t="n">
        <v>1</v>
      </c>
      <c r="J1646" s="26" t="n">
        <v>2500</v>
      </c>
      <c r="K1646" s="25" t="s">
        <v>546</v>
      </c>
      <c r="L1646" s="25" t="s">
        <v>547</v>
      </c>
      <c r="M1646" s="26" t="n">
        <f aca="false">IF(AND(L1646="Oui",K1646="Principal"),I1646*J1646,0)</f>
        <v>2500</v>
      </c>
      <c r="N1646" s="25" t="s">
        <v>548</v>
      </c>
      <c r="O1646" s="25"/>
      <c r="P1646" s="25" t="s">
        <v>559</v>
      </c>
      <c r="Q1646" s="25" t="s">
        <v>551</v>
      </c>
      <c r="R1646" s="26"/>
      <c r="S1646" s="26" t="n">
        <f aca="false">IF(AND(L1646="Oui",K1646="Principal",R1646&lt;&gt;""),I1646*R1646,0)</f>
        <v>0</v>
      </c>
      <c r="T1646" s="26" t="n">
        <f aca="false">IF(R1646&lt;&gt;"",M1646-S1646,0)</f>
        <v>0</v>
      </c>
      <c r="U1646" s="26" t="n">
        <f aca="false">IF(R1646="",M1646,0)</f>
        <v>2500</v>
      </c>
    </row>
    <row r="1647" customFormat="false" ht="15" hidden="false" customHeight="false" outlineLevel="0" collapsed="false">
      <c r="A1647" s="25" t="s">
        <v>65</v>
      </c>
      <c r="B1647" s="25" t="s">
        <v>73</v>
      </c>
      <c r="C1647" s="25" t="s">
        <v>49</v>
      </c>
      <c r="D1647" s="25" t="n">
        <v>22</v>
      </c>
      <c r="E1647" s="25" t="s">
        <v>573</v>
      </c>
      <c r="F1647" s="25" t="s">
        <v>117</v>
      </c>
      <c r="G1647" s="25" t="n">
        <v>1288</v>
      </c>
      <c r="H1647" s="25" t="s">
        <v>624</v>
      </c>
      <c r="I1647" s="25" t="n">
        <v>1</v>
      </c>
      <c r="J1647" s="26" t="n">
        <v>2500</v>
      </c>
      <c r="K1647" s="25" t="s">
        <v>546</v>
      </c>
      <c r="L1647" s="25" t="s">
        <v>547</v>
      </c>
      <c r="M1647" s="26" t="n">
        <f aca="false">IF(AND(L1647="Oui",K1647="Principal"),I1647*J1647,0)</f>
        <v>2500</v>
      </c>
      <c r="N1647" s="25" t="s">
        <v>548</v>
      </c>
      <c r="O1647" s="25"/>
      <c r="P1647" s="25" t="s">
        <v>550</v>
      </c>
      <c r="Q1647" s="25" t="s">
        <v>557</v>
      </c>
      <c r="R1647" s="26" t="n">
        <v>2000</v>
      </c>
      <c r="S1647" s="26" t="n">
        <f aca="false">IF(AND(L1647="Oui",K1647="Principal",R1647&lt;&gt;""),I1647*R1647,0)</f>
        <v>2000</v>
      </c>
      <c r="T1647" s="26" t="n">
        <f aca="false">IF(R1647&lt;&gt;"",M1647-S1647,0)</f>
        <v>500</v>
      </c>
      <c r="U1647" s="26" t="n">
        <f aca="false">IF(R1647="",M1647,0)</f>
        <v>0</v>
      </c>
    </row>
    <row r="1648" customFormat="false" ht="15" hidden="false" customHeight="false" outlineLevel="0" collapsed="false">
      <c r="A1648" s="25" t="s">
        <v>65</v>
      </c>
      <c r="B1648" s="25" t="s">
        <v>73</v>
      </c>
      <c r="C1648" s="25" t="s">
        <v>49</v>
      </c>
      <c r="D1648" s="25" t="n">
        <v>23</v>
      </c>
      <c r="E1648" s="25" t="s">
        <v>573</v>
      </c>
      <c r="F1648" s="25" t="s">
        <v>321</v>
      </c>
      <c r="G1648" s="25" t="n">
        <v>1192</v>
      </c>
      <c r="H1648" s="25" t="s">
        <v>694</v>
      </c>
      <c r="I1648" s="25" t="n">
        <v>1</v>
      </c>
      <c r="J1648" s="26" t="n">
        <v>7000</v>
      </c>
      <c r="K1648" s="25" t="s">
        <v>546</v>
      </c>
      <c r="L1648" s="25" t="s">
        <v>547</v>
      </c>
      <c r="M1648" s="26" t="n">
        <f aca="false">IF(AND(L1648="Oui",K1648="Principal"),I1648*J1648,0)</f>
        <v>7000</v>
      </c>
      <c r="N1648" s="25" t="s">
        <v>548</v>
      </c>
      <c r="O1648" s="25"/>
      <c r="P1648" s="25" t="s">
        <v>550</v>
      </c>
      <c r="Q1648" s="25" t="s">
        <v>557</v>
      </c>
      <c r="R1648" s="26" t="n">
        <v>5500</v>
      </c>
      <c r="S1648" s="26" t="n">
        <f aca="false">IF(AND(L1648="Oui",K1648="Principal",R1648&lt;&gt;""),I1648*R1648,0)</f>
        <v>5500</v>
      </c>
      <c r="T1648" s="26" t="n">
        <f aca="false">IF(R1648&lt;&gt;"",M1648-S1648,0)</f>
        <v>1500</v>
      </c>
      <c r="U1648" s="26" t="n">
        <f aca="false">IF(R1648="",M1648,0)</f>
        <v>0</v>
      </c>
    </row>
    <row r="1649" customFormat="false" ht="15" hidden="false" customHeight="false" outlineLevel="0" collapsed="false">
      <c r="A1649" s="27" t="s">
        <v>65</v>
      </c>
      <c r="B1649" s="27" t="s">
        <v>73</v>
      </c>
      <c r="C1649" s="27" t="s">
        <v>49</v>
      </c>
      <c r="D1649" s="27" t="n">
        <v>24</v>
      </c>
      <c r="E1649" s="27" t="s">
        <v>689</v>
      </c>
      <c r="F1649" s="27" t="s">
        <v>498</v>
      </c>
      <c r="G1649" s="27"/>
      <c r="H1649" s="27" t="s">
        <v>585</v>
      </c>
      <c r="I1649" s="27" t="n">
        <v>1</v>
      </c>
      <c r="J1649" s="28" t="n">
        <v>0</v>
      </c>
      <c r="K1649" s="27" t="s">
        <v>546</v>
      </c>
      <c r="L1649" s="27" t="s">
        <v>579</v>
      </c>
      <c r="M1649" s="28" t="n">
        <f aca="false">IF(AND(L1649="Oui",K1649="Principal"),I1649*J1649,0)</f>
        <v>0</v>
      </c>
      <c r="N1649" s="27" t="s">
        <v>128</v>
      </c>
      <c r="O1649" s="27" t="s">
        <v>586</v>
      </c>
      <c r="P1649" s="27"/>
      <c r="Q1649" s="27"/>
      <c r="R1649" s="28"/>
      <c r="S1649" s="28" t="n">
        <f aca="false">IF(AND(L1649="Oui",K1649="Principal",R1649&lt;&gt;""),I1649*R1649,0)</f>
        <v>0</v>
      </c>
      <c r="T1649" s="28" t="n">
        <f aca="false">IF(R1649&lt;&gt;"",M1649-S1649,0)</f>
        <v>0</v>
      </c>
      <c r="U1649" s="28" t="n">
        <f aca="false">IF(R1649="",M1649,0)</f>
        <v>0</v>
      </c>
    </row>
    <row r="1650" customFormat="false" ht="15" hidden="false" customHeight="false" outlineLevel="0" collapsed="false">
      <c r="A1650" s="25" t="s">
        <v>65</v>
      </c>
      <c r="B1650" s="25" t="s">
        <v>73</v>
      </c>
      <c r="C1650" s="25" t="s">
        <v>49</v>
      </c>
      <c r="D1650" s="25" t="n">
        <v>25</v>
      </c>
      <c r="E1650" s="25" t="s">
        <v>689</v>
      </c>
      <c r="F1650" s="25" t="s">
        <v>499</v>
      </c>
      <c r="G1650" s="25" t="n">
        <v>1310</v>
      </c>
      <c r="H1650" s="25" t="s">
        <v>796</v>
      </c>
      <c r="I1650" s="25" t="n">
        <v>1</v>
      </c>
      <c r="J1650" s="26" t="n">
        <v>2800</v>
      </c>
      <c r="K1650" s="25" t="s">
        <v>546</v>
      </c>
      <c r="L1650" s="25" t="s">
        <v>547</v>
      </c>
      <c r="M1650" s="26" t="n">
        <f aca="false">IF(AND(L1650="Oui",K1650="Principal"),I1650*J1650,0)</f>
        <v>2800</v>
      </c>
      <c r="N1650" s="25" t="s">
        <v>548</v>
      </c>
      <c r="O1650" s="25"/>
      <c r="P1650" s="25" t="s">
        <v>550</v>
      </c>
      <c r="Q1650" s="25" t="s">
        <v>557</v>
      </c>
      <c r="R1650" s="26" t="n">
        <v>1800</v>
      </c>
      <c r="S1650" s="26" t="n">
        <f aca="false">IF(AND(L1650="Oui",K1650="Principal",R1650&lt;&gt;""),I1650*R1650,0)</f>
        <v>1800</v>
      </c>
      <c r="T1650" s="26" t="n">
        <f aca="false">IF(R1650&lt;&gt;"",M1650-S1650,0)</f>
        <v>1000</v>
      </c>
      <c r="U1650" s="26" t="n">
        <f aca="false">IF(R1650="",M1650,0)</f>
        <v>0</v>
      </c>
    </row>
    <row r="1651" customFormat="false" ht="15" hidden="false" customHeight="false" outlineLevel="0" collapsed="false">
      <c r="A1651" s="25" t="s">
        <v>65</v>
      </c>
      <c r="B1651" s="25" t="s">
        <v>73</v>
      </c>
      <c r="C1651" s="25" t="s">
        <v>50</v>
      </c>
      <c r="D1651" s="25" t="n">
        <v>1</v>
      </c>
      <c r="E1651" s="25" t="s">
        <v>544</v>
      </c>
      <c r="F1651" s="25" t="s">
        <v>295</v>
      </c>
      <c r="G1651" s="25" t="n">
        <v>1618</v>
      </c>
      <c r="H1651" s="25" t="s">
        <v>600</v>
      </c>
      <c r="I1651" s="25" t="n">
        <v>1</v>
      </c>
      <c r="J1651" s="26" t="n">
        <v>450</v>
      </c>
      <c r="K1651" s="25" t="s">
        <v>546</v>
      </c>
      <c r="L1651" s="25" t="s">
        <v>547</v>
      </c>
      <c r="M1651" s="26" t="n">
        <f aca="false">IF(AND(L1651="Oui",K1651="Principal"),I1651*J1651,0)</f>
        <v>450</v>
      </c>
      <c r="N1651" s="25" t="s">
        <v>548</v>
      </c>
      <c r="O1651" s="25"/>
      <c r="P1651" s="25" t="s">
        <v>556</v>
      </c>
      <c r="Q1651" s="25" t="s">
        <v>557</v>
      </c>
      <c r="R1651" s="26" t="n">
        <v>350</v>
      </c>
      <c r="S1651" s="26" t="n">
        <f aca="false">IF(AND(L1651="Oui",K1651="Principal",R1651&lt;&gt;""),I1651*R1651,0)</f>
        <v>350</v>
      </c>
      <c r="T1651" s="26" t="n">
        <f aca="false">IF(R1651&lt;&gt;"",M1651-S1651,0)</f>
        <v>100</v>
      </c>
      <c r="U1651" s="26" t="n">
        <f aca="false">IF(R1651="",M1651,0)</f>
        <v>0</v>
      </c>
    </row>
    <row r="1652" customFormat="false" ht="15" hidden="false" customHeight="false" outlineLevel="0" collapsed="false">
      <c r="A1652" s="25" t="s">
        <v>65</v>
      </c>
      <c r="B1652" s="25" t="s">
        <v>73</v>
      </c>
      <c r="C1652" s="25" t="s">
        <v>50</v>
      </c>
      <c r="D1652" s="25" t="n">
        <v>2</v>
      </c>
      <c r="E1652" s="25" t="s">
        <v>544</v>
      </c>
      <c r="F1652" s="25" t="s">
        <v>296</v>
      </c>
      <c r="G1652" s="25" t="n">
        <v>1</v>
      </c>
      <c r="H1652" s="25" t="s">
        <v>681</v>
      </c>
      <c r="I1652" s="25" t="n">
        <v>4</v>
      </c>
      <c r="J1652" s="26" t="n">
        <v>500</v>
      </c>
      <c r="K1652" s="25" t="s">
        <v>546</v>
      </c>
      <c r="L1652" s="25" t="s">
        <v>547</v>
      </c>
      <c r="M1652" s="26" t="n">
        <f aca="false">IF(AND(L1652="Oui",K1652="Principal"),I1652*J1652,0)</f>
        <v>2000</v>
      </c>
      <c r="N1652" s="25" t="s">
        <v>548</v>
      </c>
      <c r="O1652" s="25"/>
      <c r="P1652" s="25" t="s">
        <v>559</v>
      </c>
      <c r="Q1652" s="25" t="s">
        <v>551</v>
      </c>
      <c r="R1652" s="26"/>
      <c r="S1652" s="26" t="n">
        <f aca="false">IF(AND(L1652="Oui",K1652="Principal",R1652&lt;&gt;""),I1652*R1652,0)</f>
        <v>0</v>
      </c>
      <c r="T1652" s="26" t="n">
        <f aca="false">IF(R1652&lt;&gt;"",M1652-S1652,0)</f>
        <v>0</v>
      </c>
      <c r="U1652" s="26" t="n">
        <f aca="false">IF(R1652="",M1652,0)</f>
        <v>2000</v>
      </c>
    </row>
    <row r="1653" customFormat="false" ht="15" hidden="false" customHeight="false" outlineLevel="0" collapsed="false">
      <c r="A1653" s="25" t="s">
        <v>65</v>
      </c>
      <c r="B1653" s="25" t="s">
        <v>73</v>
      </c>
      <c r="C1653" s="25" t="s">
        <v>50</v>
      </c>
      <c r="D1653" s="25" t="n">
        <v>3</v>
      </c>
      <c r="E1653" s="25" t="s">
        <v>544</v>
      </c>
      <c r="F1653" s="25" t="s">
        <v>298</v>
      </c>
      <c r="G1653" s="25" t="n">
        <v>1616</v>
      </c>
      <c r="H1653" s="25" t="s">
        <v>695</v>
      </c>
      <c r="I1653" s="25" t="n">
        <v>2</v>
      </c>
      <c r="J1653" s="26" t="n">
        <v>900</v>
      </c>
      <c r="K1653" s="25" t="s">
        <v>546</v>
      </c>
      <c r="L1653" s="25" t="s">
        <v>547</v>
      </c>
      <c r="M1653" s="26" t="n">
        <f aca="false">IF(AND(L1653="Oui",K1653="Principal"),I1653*J1653,0)</f>
        <v>1800</v>
      </c>
      <c r="N1653" s="25" t="s">
        <v>548</v>
      </c>
      <c r="O1653" s="25"/>
      <c r="P1653" s="25" t="s">
        <v>556</v>
      </c>
      <c r="Q1653" s="25" t="s">
        <v>557</v>
      </c>
      <c r="R1653" s="26" t="n">
        <v>800</v>
      </c>
      <c r="S1653" s="26" t="n">
        <f aca="false">IF(AND(L1653="Oui",K1653="Principal",R1653&lt;&gt;""),I1653*R1653,0)</f>
        <v>1600</v>
      </c>
      <c r="T1653" s="26" t="n">
        <f aca="false">IF(R1653&lt;&gt;"",M1653-S1653,0)</f>
        <v>200</v>
      </c>
      <c r="U1653" s="26" t="n">
        <f aca="false">IF(R1653="",M1653,0)</f>
        <v>0</v>
      </c>
    </row>
    <row r="1654" customFormat="false" ht="15" hidden="false" customHeight="false" outlineLevel="0" collapsed="false">
      <c r="A1654" s="25" t="s">
        <v>65</v>
      </c>
      <c r="B1654" s="25" t="s">
        <v>73</v>
      </c>
      <c r="C1654" s="25" t="s">
        <v>50</v>
      </c>
      <c r="D1654" s="25" t="n">
        <v>4</v>
      </c>
      <c r="E1654" s="25" t="s">
        <v>544</v>
      </c>
      <c r="F1654" s="25" t="s">
        <v>338</v>
      </c>
      <c r="G1654" s="25" t="n">
        <v>1715</v>
      </c>
      <c r="H1654" s="25" t="s">
        <v>713</v>
      </c>
      <c r="I1654" s="25" t="n">
        <v>4</v>
      </c>
      <c r="J1654" s="26" t="n">
        <v>1600</v>
      </c>
      <c r="K1654" s="25" t="s">
        <v>546</v>
      </c>
      <c r="L1654" s="25" t="s">
        <v>547</v>
      </c>
      <c r="M1654" s="26" t="n">
        <f aca="false">IF(AND(L1654="Oui",K1654="Principal"),I1654*J1654,0)</f>
        <v>6400</v>
      </c>
      <c r="N1654" s="25" t="s">
        <v>548</v>
      </c>
      <c r="O1654" s="25"/>
      <c r="P1654" s="25" t="s">
        <v>550</v>
      </c>
      <c r="Q1654" s="25" t="s">
        <v>557</v>
      </c>
      <c r="R1654" s="26" t="n">
        <v>1300</v>
      </c>
      <c r="S1654" s="26" t="n">
        <f aca="false">IF(AND(L1654="Oui",K1654="Principal",R1654&lt;&gt;""),I1654*R1654,0)</f>
        <v>5200</v>
      </c>
      <c r="T1654" s="26" t="n">
        <f aca="false">IF(R1654&lt;&gt;"",M1654-S1654,0)</f>
        <v>1200</v>
      </c>
      <c r="U1654" s="26" t="n">
        <f aca="false">IF(R1654="",M1654,0)</f>
        <v>0</v>
      </c>
    </row>
    <row r="1655" customFormat="false" ht="15" hidden="false" customHeight="false" outlineLevel="0" collapsed="false">
      <c r="A1655" s="25" t="s">
        <v>65</v>
      </c>
      <c r="B1655" s="25" t="s">
        <v>73</v>
      </c>
      <c r="C1655" s="25" t="s">
        <v>50</v>
      </c>
      <c r="D1655" s="25" t="n">
        <v>5</v>
      </c>
      <c r="E1655" s="25" t="s">
        <v>544</v>
      </c>
      <c r="F1655" s="25" t="s">
        <v>301</v>
      </c>
      <c r="G1655" s="25" t="n">
        <v>1728</v>
      </c>
      <c r="H1655" s="25" t="s">
        <v>545</v>
      </c>
      <c r="I1655" s="25" t="n">
        <v>1</v>
      </c>
      <c r="J1655" s="26" t="n">
        <v>900</v>
      </c>
      <c r="K1655" s="25" t="s">
        <v>546</v>
      </c>
      <c r="L1655" s="25" t="s">
        <v>547</v>
      </c>
      <c r="M1655" s="26" t="n">
        <f aca="false">IF(AND(L1655="Oui",K1655="Principal"),I1655*J1655,0)</f>
        <v>900</v>
      </c>
      <c r="N1655" s="25" t="s">
        <v>548</v>
      </c>
      <c r="O1655" s="25"/>
      <c r="P1655" s="25" t="s">
        <v>550</v>
      </c>
      <c r="Q1655" s="25" t="s">
        <v>551</v>
      </c>
      <c r="R1655" s="26"/>
      <c r="S1655" s="26" t="n">
        <f aca="false">IF(AND(L1655="Oui",K1655="Principal",R1655&lt;&gt;""),I1655*R1655,0)</f>
        <v>0</v>
      </c>
      <c r="T1655" s="26" t="n">
        <f aca="false">IF(R1655&lt;&gt;"",M1655-S1655,0)</f>
        <v>0</v>
      </c>
      <c r="U1655" s="26" t="n">
        <f aca="false">IF(R1655="",M1655,0)</f>
        <v>900</v>
      </c>
    </row>
    <row r="1656" customFormat="false" ht="15" hidden="false" customHeight="false" outlineLevel="0" collapsed="false">
      <c r="A1656" s="25" t="s">
        <v>65</v>
      </c>
      <c r="B1656" s="25" t="s">
        <v>73</v>
      </c>
      <c r="C1656" s="25" t="s">
        <v>50</v>
      </c>
      <c r="D1656" s="25" t="n">
        <v>6</v>
      </c>
      <c r="E1656" s="25" t="s">
        <v>563</v>
      </c>
      <c r="F1656" s="25" t="s">
        <v>255</v>
      </c>
      <c r="G1656" s="25" t="n">
        <v>1636</v>
      </c>
      <c r="H1656" s="25" t="s">
        <v>661</v>
      </c>
      <c r="I1656" s="25" t="n">
        <v>1</v>
      </c>
      <c r="J1656" s="26" t="n">
        <v>400</v>
      </c>
      <c r="K1656" s="25" t="s">
        <v>546</v>
      </c>
      <c r="L1656" s="25" t="s">
        <v>547</v>
      </c>
      <c r="M1656" s="26" t="n">
        <f aca="false">IF(AND(L1656="Oui",K1656="Principal"),I1656*J1656,0)</f>
        <v>400</v>
      </c>
      <c r="N1656" s="25" t="s">
        <v>548</v>
      </c>
      <c r="O1656" s="25"/>
      <c r="P1656" s="25" t="s">
        <v>556</v>
      </c>
      <c r="Q1656" s="25" t="s">
        <v>557</v>
      </c>
      <c r="R1656" s="26" t="n">
        <v>320</v>
      </c>
      <c r="S1656" s="26" t="n">
        <f aca="false">IF(AND(L1656="Oui",K1656="Principal",R1656&lt;&gt;""),I1656*R1656,0)</f>
        <v>320</v>
      </c>
      <c r="T1656" s="26" t="n">
        <f aca="false">IF(R1656&lt;&gt;"",M1656-S1656,0)</f>
        <v>80</v>
      </c>
      <c r="U1656" s="26" t="n">
        <f aca="false">IF(R1656="",M1656,0)</f>
        <v>0</v>
      </c>
    </row>
    <row r="1657" customFormat="false" ht="15" hidden="false" customHeight="false" outlineLevel="0" collapsed="false">
      <c r="A1657" s="25" t="s">
        <v>65</v>
      </c>
      <c r="B1657" s="25" t="s">
        <v>73</v>
      </c>
      <c r="C1657" s="25" t="s">
        <v>50</v>
      </c>
      <c r="D1657" s="25" t="n">
        <v>7</v>
      </c>
      <c r="E1657" s="25" t="s">
        <v>563</v>
      </c>
      <c r="F1657" s="25" t="s">
        <v>257</v>
      </c>
      <c r="G1657" s="25" t="n">
        <v>1635</v>
      </c>
      <c r="H1657" s="25" t="s">
        <v>607</v>
      </c>
      <c r="I1657" s="25" t="n">
        <v>1</v>
      </c>
      <c r="J1657" s="26" t="n">
        <v>100</v>
      </c>
      <c r="K1657" s="25" t="s">
        <v>546</v>
      </c>
      <c r="L1657" s="25" t="s">
        <v>547</v>
      </c>
      <c r="M1657" s="26" t="n">
        <f aca="false">IF(AND(L1657="Oui",K1657="Principal"),I1657*J1657,0)</f>
        <v>100</v>
      </c>
      <c r="N1657" s="25" t="s">
        <v>548</v>
      </c>
      <c r="O1657" s="25"/>
      <c r="P1657" s="25" t="s">
        <v>556</v>
      </c>
      <c r="Q1657" s="25" t="s">
        <v>557</v>
      </c>
      <c r="R1657" s="26" t="n">
        <v>80</v>
      </c>
      <c r="S1657" s="26" t="n">
        <f aca="false">IF(AND(L1657="Oui",K1657="Principal",R1657&lt;&gt;""),I1657*R1657,0)</f>
        <v>80</v>
      </c>
      <c r="T1657" s="26" t="n">
        <f aca="false">IF(R1657&lt;&gt;"",M1657-S1657,0)</f>
        <v>20</v>
      </c>
      <c r="U1657" s="26" t="n">
        <f aca="false">IF(R1657="",M1657,0)</f>
        <v>0</v>
      </c>
    </row>
    <row r="1658" customFormat="false" ht="15" hidden="false" customHeight="false" outlineLevel="0" collapsed="false">
      <c r="A1658" s="25" t="s">
        <v>65</v>
      </c>
      <c r="B1658" s="25" t="s">
        <v>73</v>
      </c>
      <c r="C1658" s="25" t="s">
        <v>50</v>
      </c>
      <c r="D1658" s="25" t="n">
        <v>8</v>
      </c>
      <c r="E1658" s="25" t="s">
        <v>563</v>
      </c>
      <c r="F1658" s="25" t="s">
        <v>188</v>
      </c>
      <c r="G1658" s="25" t="n">
        <v>8</v>
      </c>
      <c r="H1658" s="25" t="s">
        <v>188</v>
      </c>
      <c r="I1658" s="25" t="n">
        <v>1</v>
      </c>
      <c r="J1658" s="26" t="n">
        <v>500</v>
      </c>
      <c r="K1658" s="25" t="s">
        <v>546</v>
      </c>
      <c r="L1658" s="25" t="s">
        <v>547</v>
      </c>
      <c r="M1658" s="26" t="n">
        <f aca="false">IF(AND(L1658="Oui",K1658="Principal"),I1658*J1658,0)</f>
        <v>500</v>
      </c>
      <c r="N1658" s="25" t="s">
        <v>548</v>
      </c>
      <c r="O1658" s="25"/>
      <c r="P1658" s="25" t="s">
        <v>559</v>
      </c>
      <c r="Q1658" s="25" t="s">
        <v>551</v>
      </c>
      <c r="R1658" s="26"/>
      <c r="S1658" s="26" t="n">
        <f aca="false">IF(AND(L1658="Oui",K1658="Principal",R1658&lt;&gt;""),I1658*R1658,0)</f>
        <v>0</v>
      </c>
      <c r="T1658" s="26" t="n">
        <f aca="false">IF(R1658&lt;&gt;"",M1658-S1658,0)</f>
        <v>0</v>
      </c>
      <c r="U1658" s="26" t="n">
        <f aca="false">IF(R1658="",M1658,0)</f>
        <v>500</v>
      </c>
    </row>
    <row r="1659" customFormat="false" ht="15" hidden="false" customHeight="false" outlineLevel="0" collapsed="false">
      <c r="A1659" s="25" t="s">
        <v>65</v>
      </c>
      <c r="B1659" s="25" t="s">
        <v>73</v>
      </c>
      <c r="C1659" s="25" t="s">
        <v>50</v>
      </c>
      <c r="D1659" s="25" t="n">
        <v>9</v>
      </c>
      <c r="E1659" s="25" t="s">
        <v>563</v>
      </c>
      <c r="F1659" s="25" t="s">
        <v>323</v>
      </c>
      <c r="G1659" s="25" t="n">
        <v>1607</v>
      </c>
      <c r="H1659" s="25" t="s">
        <v>696</v>
      </c>
      <c r="I1659" s="25" t="n">
        <v>1</v>
      </c>
      <c r="J1659" s="26" t="n">
        <v>2500</v>
      </c>
      <c r="K1659" s="25" t="s">
        <v>546</v>
      </c>
      <c r="L1659" s="25" t="s">
        <v>547</v>
      </c>
      <c r="M1659" s="26" t="n">
        <f aca="false">IF(AND(L1659="Oui",K1659="Principal"),I1659*J1659,0)</f>
        <v>2500</v>
      </c>
      <c r="N1659" s="25" t="s">
        <v>548</v>
      </c>
      <c r="O1659" s="25"/>
      <c r="P1659" s="25" t="s">
        <v>556</v>
      </c>
      <c r="Q1659" s="25" t="s">
        <v>557</v>
      </c>
      <c r="R1659" s="26" t="n">
        <v>2000</v>
      </c>
      <c r="S1659" s="26" t="n">
        <f aca="false">IF(AND(L1659="Oui",K1659="Principal",R1659&lt;&gt;""),I1659*R1659,0)</f>
        <v>2000</v>
      </c>
      <c r="T1659" s="26" t="n">
        <f aca="false">IF(R1659&lt;&gt;"",M1659-S1659,0)</f>
        <v>500</v>
      </c>
      <c r="U1659" s="26" t="n">
        <f aca="false">IF(R1659="",M1659,0)</f>
        <v>0</v>
      </c>
    </row>
    <row r="1660" customFormat="false" ht="15" hidden="false" customHeight="false" outlineLevel="0" collapsed="false">
      <c r="A1660" s="25" t="s">
        <v>65</v>
      </c>
      <c r="B1660" s="25" t="s">
        <v>73</v>
      </c>
      <c r="C1660" s="25" t="s">
        <v>50</v>
      </c>
      <c r="D1660" s="25" t="n">
        <v>10</v>
      </c>
      <c r="E1660" s="25" t="s">
        <v>563</v>
      </c>
      <c r="F1660" s="25" t="s">
        <v>325</v>
      </c>
      <c r="G1660" s="25" t="n">
        <v>1639</v>
      </c>
      <c r="H1660" s="25" t="s">
        <v>702</v>
      </c>
      <c r="I1660" s="25" t="n">
        <v>1</v>
      </c>
      <c r="J1660" s="26" t="n">
        <v>1000</v>
      </c>
      <c r="K1660" s="25" t="s">
        <v>546</v>
      </c>
      <c r="L1660" s="25" t="s">
        <v>547</v>
      </c>
      <c r="M1660" s="26" t="n">
        <f aca="false">IF(AND(L1660="Oui",K1660="Principal"),I1660*J1660,0)</f>
        <v>1000</v>
      </c>
      <c r="N1660" s="25" t="s">
        <v>548</v>
      </c>
      <c r="O1660" s="25"/>
      <c r="P1660" s="25" t="s">
        <v>556</v>
      </c>
      <c r="Q1660" s="25" t="s">
        <v>557</v>
      </c>
      <c r="R1660" s="26" t="n">
        <v>700</v>
      </c>
      <c r="S1660" s="26" t="n">
        <f aca="false">IF(AND(L1660="Oui",K1660="Principal",R1660&lt;&gt;""),I1660*R1660,0)</f>
        <v>700</v>
      </c>
      <c r="T1660" s="26" t="n">
        <f aca="false">IF(R1660&lt;&gt;"",M1660-S1660,0)</f>
        <v>300</v>
      </c>
      <c r="U1660" s="26" t="n">
        <f aca="false">IF(R1660="",M1660,0)</f>
        <v>0</v>
      </c>
    </row>
    <row r="1661" customFormat="false" ht="15" hidden="false" customHeight="false" outlineLevel="0" collapsed="false">
      <c r="A1661" s="25" t="s">
        <v>65</v>
      </c>
      <c r="B1661" s="25" t="s">
        <v>73</v>
      </c>
      <c r="C1661" s="25" t="s">
        <v>50</v>
      </c>
      <c r="D1661" s="25" t="n">
        <v>11</v>
      </c>
      <c r="E1661" s="25" t="s">
        <v>565</v>
      </c>
      <c r="F1661" s="25" t="s">
        <v>99</v>
      </c>
      <c r="G1661" s="25" t="n">
        <v>1181</v>
      </c>
      <c r="H1661" s="25" t="s">
        <v>581</v>
      </c>
      <c r="I1661" s="25" t="n">
        <v>1</v>
      </c>
      <c r="J1661" s="26" t="n">
        <v>250</v>
      </c>
      <c r="K1661" s="25" t="s">
        <v>546</v>
      </c>
      <c r="L1661" s="25" t="s">
        <v>547</v>
      </c>
      <c r="M1661" s="26" t="n">
        <f aca="false">IF(AND(L1661="Oui",K1661="Principal"),I1661*J1661,0)</f>
        <v>250</v>
      </c>
      <c r="N1661" s="25" t="s">
        <v>548</v>
      </c>
      <c r="O1661" s="25"/>
      <c r="P1661" s="25" t="s">
        <v>550</v>
      </c>
      <c r="Q1661" s="25" t="s">
        <v>557</v>
      </c>
      <c r="R1661" s="26" t="n">
        <v>110</v>
      </c>
      <c r="S1661" s="26" t="n">
        <f aca="false">IF(AND(L1661="Oui",K1661="Principal",R1661&lt;&gt;""),I1661*R1661,0)</f>
        <v>110</v>
      </c>
      <c r="T1661" s="26" t="n">
        <f aca="false">IF(R1661&lt;&gt;"",M1661-S1661,0)</f>
        <v>140</v>
      </c>
      <c r="U1661" s="26" t="n">
        <f aca="false">IF(R1661="",M1661,0)</f>
        <v>0</v>
      </c>
    </row>
    <row r="1662" customFormat="false" ht="15" hidden="false" customHeight="false" outlineLevel="0" collapsed="false">
      <c r="A1662" s="25" t="s">
        <v>65</v>
      </c>
      <c r="B1662" s="25" t="s">
        <v>73</v>
      </c>
      <c r="C1662" s="25" t="s">
        <v>50</v>
      </c>
      <c r="D1662" s="25" t="n">
        <v>12</v>
      </c>
      <c r="E1662" s="25" t="s">
        <v>565</v>
      </c>
      <c r="F1662" s="25" t="s">
        <v>164</v>
      </c>
      <c r="G1662" s="25" t="n">
        <v>1587</v>
      </c>
      <c r="H1662" s="25" t="s">
        <v>567</v>
      </c>
      <c r="I1662" s="25" t="n">
        <v>1</v>
      </c>
      <c r="J1662" s="26" t="n">
        <v>500</v>
      </c>
      <c r="K1662" s="25" t="s">
        <v>546</v>
      </c>
      <c r="L1662" s="25" t="s">
        <v>547</v>
      </c>
      <c r="M1662" s="26" t="n">
        <f aca="false">IF(AND(L1662="Oui",K1662="Principal"),I1662*J1662,0)</f>
        <v>500</v>
      </c>
      <c r="N1662" s="25" t="s">
        <v>548</v>
      </c>
      <c r="O1662" s="25"/>
      <c r="P1662" s="25" t="s">
        <v>556</v>
      </c>
      <c r="Q1662" s="25" t="s">
        <v>557</v>
      </c>
      <c r="R1662" s="26" t="n">
        <v>350</v>
      </c>
      <c r="S1662" s="26" t="n">
        <f aca="false">IF(AND(L1662="Oui",K1662="Principal",R1662&lt;&gt;""),I1662*R1662,0)</f>
        <v>350</v>
      </c>
      <c r="T1662" s="26" t="n">
        <f aca="false">IF(R1662&lt;&gt;"",M1662-S1662,0)</f>
        <v>150</v>
      </c>
      <c r="U1662" s="26" t="n">
        <f aca="false">IF(R1662="",M1662,0)</f>
        <v>0</v>
      </c>
    </row>
    <row r="1663" customFormat="false" ht="15" hidden="false" customHeight="false" outlineLevel="0" collapsed="false">
      <c r="A1663" s="25" t="s">
        <v>65</v>
      </c>
      <c r="B1663" s="25" t="s">
        <v>73</v>
      </c>
      <c r="C1663" s="25" t="s">
        <v>50</v>
      </c>
      <c r="D1663" s="25" t="n">
        <v>13</v>
      </c>
      <c r="E1663" s="25" t="s">
        <v>565</v>
      </c>
      <c r="F1663" s="25" t="s">
        <v>166</v>
      </c>
      <c r="G1663" s="25" t="n">
        <v>1604</v>
      </c>
      <c r="H1663" s="25" t="s">
        <v>582</v>
      </c>
      <c r="I1663" s="25" t="n">
        <v>2</v>
      </c>
      <c r="J1663" s="26" t="n">
        <v>700</v>
      </c>
      <c r="K1663" s="25" t="s">
        <v>546</v>
      </c>
      <c r="L1663" s="25" t="s">
        <v>547</v>
      </c>
      <c r="M1663" s="26" t="n">
        <f aca="false">IF(AND(L1663="Oui",K1663="Principal"),I1663*J1663,0)</f>
        <v>1400</v>
      </c>
      <c r="N1663" s="25" t="s">
        <v>548</v>
      </c>
      <c r="O1663" s="25"/>
      <c r="P1663" s="25" t="s">
        <v>556</v>
      </c>
      <c r="Q1663" s="25" t="s">
        <v>557</v>
      </c>
      <c r="R1663" s="26" t="n">
        <v>400</v>
      </c>
      <c r="S1663" s="26" t="n">
        <f aca="false">IF(AND(L1663="Oui",K1663="Principal",R1663&lt;&gt;""),I1663*R1663,0)</f>
        <v>800</v>
      </c>
      <c r="T1663" s="26" t="n">
        <f aca="false">IF(R1663&lt;&gt;"",M1663-S1663,0)</f>
        <v>600</v>
      </c>
      <c r="U1663" s="26" t="n">
        <f aca="false">IF(R1663="",M1663,0)</f>
        <v>0</v>
      </c>
    </row>
    <row r="1664" customFormat="false" ht="15" hidden="false" customHeight="false" outlineLevel="0" collapsed="false">
      <c r="A1664" s="25" t="s">
        <v>65</v>
      </c>
      <c r="B1664" s="25" t="s">
        <v>73</v>
      </c>
      <c r="C1664" s="25" t="s">
        <v>50</v>
      </c>
      <c r="D1664" s="25" t="n">
        <v>14</v>
      </c>
      <c r="E1664" s="25" t="s">
        <v>565</v>
      </c>
      <c r="F1664" s="25" t="s">
        <v>304</v>
      </c>
      <c r="G1664" s="25" t="n">
        <v>1586</v>
      </c>
      <c r="H1664" s="25" t="s">
        <v>583</v>
      </c>
      <c r="I1664" s="25" t="n">
        <v>1</v>
      </c>
      <c r="J1664" s="26" t="n">
        <v>900</v>
      </c>
      <c r="K1664" s="25" t="s">
        <v>546</v>
      </c>
      <c r="L1664" s="25" t="s">
        <v>547</v>
      </c>
      <c r="M1664" s="26" t="n">
        <f aca="false">IF(AND(L1664="Oui",K1664="Principal"),I1664*J1664,0)</f>
        <v>900</v>
      </c>
      <c r="N1664" s="25" t="s">
        <v>548</v>
      </c>
      <c r="O1664" s="25"/>
      <c r="P1664" s="25" t="s">
        <v>556</v>
      </c>
      <c r="Q1664" s="25" t="s">
        <v>557</v>
      </c>
      <c r="R1664" s="26" t="n">
        <v>650</v>
      </c>
      <c r="S1664" s="26" t="n">
        <f aca="false">IF(AND(L1664="Oui",K1664="Principal",R1664&lt;&gt;""),I1664*R1664,0)</f>
        <v>650</v>
      </c>
      <c r="T1664" s="26" t="n">
        <f aca="false">IF(R1664&lt;&gt;"",M1664-S1664,0)</f>
        <v>250</v>
      </c>
      <c r="U1664" s="26" t="n">
        <f aca="false">IF(R1664="",M1664,0)</f>
        <v>0</v>
      </c>
    </row>
    <row r="1665" customFormat="false" ht="15" hidden="false" customHeight="false" outlineLevel="0" collapsed="false">
      <c r="A1665" s="33" t="s">
        <v>65</v>
      </c>
      <c r="B1665" s="33" t="s">
        <v>73</v>
      </c>
      <c r="C1665" s="33" t="s">
        <v>50</v>
      </c>
      <c r="D1665" s="33" t="n">
        <v>15</v>
      </c>
      <c r="E1665" s="33" t="s">
        <v>609</v>
      </c>
      <c r="F1665" s="33" t="s">
        <v>199</v>
      </c>
      <c r="G1665" s="33" t="n">
        <v>1229</v>
      </c>
      <c r="H1665" s="33" t="s">
        <v>643</v>
      </c>
      <c r="I1665" s="33" t="n">
        <v>1</v>
      </c>
      <c r="J1665" s="34" t="n">
        <v>1800</v>
      </c>
      <c r="K1665" s="33" t="s">
        <v>546</v>
      </c>
      <c r="L1665" s="33" t="s">
        <v>547</v>
      </c>
      <c r="M1665" s="34" t="n">
        <f aca="false">IF(AND(L1665="Oui",K1665="Principal"),I1665*J1665,0)</f>
        <v>1800</v>
      </c>
      <c r="N1665" s="33" t="s">
        <v>182</v>
      </c>
      <c r="O1665" s="33" t="s">
        <v>644</v>
      </c>
      <c r="P1665" s="33" t="s">
        <v>550</v>
      </c>
      <c r="Q1665" s="33" t="s">
        <v>557</v>
      </c>
      <c r="R1665" s="34" t="n">
        <v>1500</v>
      </c>
      <c r="S1665" s="34" t="n">
        <f aca="false">IF(AND(L1665="Oui",K1665="Principal",R1665&lt;&gt;""),I1665*R1665,0)</f>
        <v>1500</v>
      </c>
      <c r="T1665" s="34" t="n">
        <f aca="false">IF(R1665&lt;&gt;"",M1665-S1665,0)</f>
        <v>300</v>
      </c>
      <c r="U1665" s="34" t="n">
        <f aca="false">IF(R1665="",M1665,0)</f>
        <v>0</v>
      </c>
    </row>
    <row r="1666" customFormat="false" ht="15" hidden="false" customHeight="false" outlineLevel="0" collapsed="false">
      <c r="A1666" s="25" t="s">
        <v>65</v>
      </c>
      <c r="B1666" s="25" t="s">
        <v>73</v>
      </c>
      <c r="C1666" s="25" t="s">
        <v>50</v>
      </c>
      <c r="D1666" s="25" t="n">
        <v>16</v>
      </c>
      <c r="E1666" s="25" t="s">
        <v>700</v>
      </c>
      <c r="F1666" s="25" t="s">
        <v>329</v>
      </c>
      <c r="G1666" s="25" t="n">
        <v>1716</v>
      </c>
      <c r="H1666" s="25" t="s">
        <v>701</v>
      </c>
      <c r="I1666" s="25" t="n">
        <v>1</v>
      </c>
      <c r="J1666" s="26" t="n">
        <v>1800</v>
      </c>
      <c r="K1666" s="25" t="s">
        <v>546</v>
      </c>
      <c r="L1666" s="25" t="s">
        <v>547</v>
      </c>
      <c r="M1666" s="26" t="n">
        <f aca="false">IF(AND(L1666="Oui",K1666="Principal"),I1666*J1666,0)</f>
        <v>1800</v>
      </c>
      <c r="N1666" s="25" t="s">
        <v>548</v>
      </c>
      <c r="O1666" s="25"/>
      <c r="P1666" s="25" t="s">
        <v>559</v>
      </c>
      <c r="Q1666" s="25" t="s">
        <v>557</v>
      </c>
      <c r="R1666" s="26" t="n">
        <v>1300</v>
      </c>
      <c r="S1666" s="26" t="n">
        <f aca="false">IF(AND(L1666="Oui",K1666="Principal",R1666&lt;&gt;""),I1666*R1666,0)</f>
        <v>1300</v>
      </c>
      <c r="T1666" s="26" t="n">
        <f aca="false">IF(R1666&lt;&gt;"",M1666-S1666,0)</f>
        <v>500</v>
      </c>
      <c r="U1666" s="26" t="n">
        <f aca="false">IF(R1666="",M1666,0)</f>
        <v>0</v>
      </c>
    </row>
    <row r="1667" customFormat="false" ht="15" hidden="false" customHeight="false" outlineLevel="0" collapsed="false">
      <c r="A1667" s="27" t="s">
        <v>65</v>
      </c>
      <c r="B1667" s="27" t="s">
        <v>73</v>
      </c>
      <c r="C1667" s="27" t="s">
        <v>50</v>
      </c>
      <c r="D1667" s="27" t="n">
        <v>17</v>
      </c>
      <c r="E1667" s="27" t="s">
        <v>700</v>
      </c>
      <c r="F1667" s="27" t="s">
        <v>382</v>
      </c>
      <c r="G1667" s="27"/>
      <c r="H1667" s="27" t="s">
        <v>585</v>
      </c>
      <c r="I1667" s="27" t="n">
        <v>1</v>
      </c>
      <c r="J1667" s="28" t="n">
        <v>0</v>
      </c>
      <c r="K1667" s="27" t="s">
        <v>546</v>
      </c>
      <c r="L1667" s="27" t="s">
        <v>579</v>
      </c>
      <c r="M1667" s="28" t="n">
        <f aca="false">IF(AND(L1667="Oui",K1667="Principal"),I1667*J1667,0)</f>
        <v>0</v>
      </c>
      <c r="N1667" s="27" t="s">
        <v>128</v>
      </c>
      <c r="O1667" s="27" t="s">
        <v>586</v>
      </c>
      <c r="P1667" s="27"/>
      <c r="Q1667" s="27"/>
      <c r="R1667" s="28"/>
      <c r="S1667" s="28" t="n">
        <f aca="false">IF(AND(L1667="Oui",K1667="Principal",R1667&lt;&gt;""),I1667*R1667,0)</f>
        <v>0</v>
      </c>
      <c r="T1667" s="28" t="n">
        <f aca="false">IF(R1667&lt;&gt;"",M1667-S1667,0)</f>
        <v>0</v>
      </c>
      <c r="U1667" s="28" t="n">
        <f aca="false">IF(R1667="",M1667,0)</f>
        <v>0</v>
      </c>
    </row>
    <row r="1668" customFormat="false" ht="15" hidden="false" customHeight="false" outlineLevel="0" collapsed="false">
      <c r="A1668" s="25" t="s">
        <v>65</v>
      </c>
      <c r="B1668" s="25" t="s">
        <v>73</v>
      </c>
      <c r="C1668" s="25" t="s">
        <v>50</v>
      </c>
      <c r="D1668" s="25" t="n">
        <v>18</v>
      </c>
      <c r="E1668" s="25" t="s">
        <v>571</v>
      </c>
      <c r="F1668" s="25" t="s">
        <v>431</v>
      </c>
      <c r="G1668" s="25" t="n">
        <v>1631</v>
      </c>
      <c r="H1668" s="25" t="s">
        <v>755</v>
      </c>
      <c r="I1668" s="25" t="n">
        <v>1</v>
      </c>
      <c r="J1668" s="26" t="n">
        <v>2700</v>
      </c>
      <c r="K1668" s="25" t="s">
        <v>546</v>
      </c>
      <c r="L1668" s="25" t="s">
        <v>547</v>
      </c>
      <c r="M1668" s="26" t="n">
        <f aca="false">IF(AND(L1668="Oui",K1668="Principal"),I1668*J1668,0)</f>
        <v>2700</v>
      </c>
      <c r="N1668" s="25" t="s">
        <v>548</v>
      </c>
      <c r="O1668" s="25"/>
      <c r="P1668" s="25" t="s">
        <v>556</v>
      </c>
      <c r="Q1668" s="25" t="s">
        <v>557</v>
      </c>
      <c r="R1668" s="26" t="n">
        <v>2000</v>
      </c>
      <c r="S1668" s="26" t="n">
        <f aca="false">IF(AND(L1668="Oui",K1668="Principal",R1668&lt;&gt;""),I1668*R1668,0)</f>
        <v>2000</v>
      </c>
      <c r="T1668" s="26" t="n">
        <f aca="false">IF(R1668&lt;&gt;"",M1668-S1668,0)</f>
        <v>700</v>
      </c>
      <c r="U1668" s="26" t="n">
        <f aca="false">IF(R1668="",M1668,0)</f>
        <v>0</v>
      </c>
    </row>
    <row r="1669" customFormat="false" ht="15" hidden="false" customHeight="false" outlineLevel="0" collapsed="false">
      <c r="A1669" s="25" t="s">
        <v>65</v>
      </c>
      <c r="B1669" s="25" t="s">
        <v>73</v>
      </c>
      <c r="C1669" s="25" t="s">
        <v>50</v>
      </c>
      <c r="D1669" s="25" t="n">
        <v>19</v>
      </c>
      <c r="E1669" s="25" t="s">
        <v>571</v>
      </c>
      <c r="F1669" s="25" t="s">
        <v>433</v>
      </c>
      <c r="G1669" s="25" t="n">
        <v>1683</v>
      </c>
      <c r="H1669" s="25" t="s">
        <v>756</v>
      </c>
      <c r="I1669" s="25" t="n">
        <v>1</v>
      </c>
      <c r="J1669" s="26" t="n">
        <v>1000</v>
      </c>
      <c r="K1669" s="25" t="s">
        <v>546</v>
      </c>
      <c r="L1669" s="25" t="s">
        <v>547</v>
      </c>
      <c r="M1669" s="26" t="n">
        <f aca="false">IF(AND(L1669="Oui",K1669="Principal"),I1669*J1669,0)</f>
        <v>1000</v>
      </c>
      <c r="N1669" s="25" t="s">
        <v>548</v>
      </c>
      <c r="O1669" s="25"/>
      <c r="P1669" s="25" t="s">
        <v>556</v>
      </c>
      <c r="Q1669" s="25" t="s">
        <v>557</v>
      </c>
      <c r="R1669" s="26"/>
      <c r="S1669" s="26" t="n">
        <f aca="false">IF(AND(L1669="Oui",K1669="Principal",R1669&lt;&gt;""),I1669*R1669,0)</f>
        <v>0</v>
      </c>
      <c r="T1669" s="26" t="n">
        <f aca="false">IF(R1669&lt;&gt;"",M1669-S1669,0)</f>
        <v>0</v>
      </c>
      <c r="U1669" s="26" t="n">
        <f aca="false">IF(R1669="",M1669,0)</f>
        <v>1000</v>
      </c>
    </row>
    <row r="1670" customFormat="false" ht="15" hidden="false" customHeight="false" outlineLevel="0" collapsed="false">
      <c r="A1670" s="33" t="s">
        <v>65</v>
      </c>
      <c r="B1670" s="33" t="s">
        <v>73</v>
      </c>
      <c r="C1670" s="33" t="s">
        <v>50</v>
      </c>
      <c r="D1670" s="33" t="n">
        <v>20</v>
      </c>
      <c r="E1670" s="33" t="s">
        <v>571</v>
      </c>
      <c r="F1670" s="33" t="s">
        <v>435</v>
      </c>
      <c r="G1670" s="33" t="n">
        <v>1269</v>
      </c>
      <c r="H1670" s="33" t="s">
        <v>757</v>
      </c>
      <c r="I1670" s="33" t="n">
        <v>1</v>
      </c>
      <c r="J1670" s="34" t="n">
        <v>1150</v>
      </c>
      <c r="K1670" s="33" t="s">
        <v>546</v>
      </c>
      <c r="L1670" s="33" t="s">
        <v>547</v>
      </c>
      <c r="M1670" s="34" t="n">
        <f aca="false">IF(AND(L1670="Oui",K1670="Principal"),I1670*J1670,0)</f>
        <v>1150</v>
      </c>
      <c r="N1670" s="33" t="s">
        <v>182</v>
      </c>
      <c r="O1670" s="33" t="s">
        <v>758</v>
      </c>
      <c r="P1670" s="33" t="s">
        <v>550</v>
      </c>
      <c r="Q1670" s="33" t="s">
        <v>557</v>
      </c>
      <c r="R1670" s="34" t="n">
        <v>850</v>
      </c>
      <c r="S1670" s="34" t="n">
        <f aca="false">IF(AND(L1670="Oui",K1670="Principal",R1670&lt;&gt;""),I1670*R1670,0)</f>
        <v>850</v>
      </c>
      <c r="T1670" s="34" t="n">
        <f aca="false">IF(R1670&lt;&gt;"",M1670-S1670,0)</f>
        <v>300</v>
      </c>
      <c r="U1670" s="34" t="n">
        <f aca="false">IF(R1670="",M1670,0)</f>
        <v>0</v>
      </c>
    </row>
    <row r="1671" customFormat="false" ht="15" hidden="false" customHeight="false" outlineLevel="0" collapsed="false">
      <c r="A1671" s="25" t="s">
        <v>65</v>
      </c>
      <c r="B1671" s="25" t="s">
        <v>73</v>
      </c>
      <c r="C1671" s="25" t="s">
        <v>50</v>
      </c>
      <c r="D1671" s="25" t="n">
        <v>21</v>
      </c>
      <c r="E1671" s="25" t="s">
        <v>573</v>
      </c>
      <c r="F1671" s="25" t="s">
        <v>176</v>
      </c>
      <c r="G1671" s="25" t="n">
        <v>19</v>
      </c>
      <c r="H1671" s="25" t="s">
        <v>615</v>
      </c>
      <c r="I1671" s="25" t="n">
        <v>1</v>
      </c>
      <c r="J1671" s="26" t="n">
        <v>2500</v>
      </c>
      <c r="K1671" s="25" t="s">
        <v>546</v>
      </c>
      <c r="L1671" s="25" t="s">
        <v>547</v>
      </c>
      <c r="M1671" s="26" t="n">
        <f aca="false">IF(AND(L1671="Oui",K1671="Principal"),I1671*J1671,0)</f>
        <v>2500</v>
      </c>
      <c r="N1671" s="25" t="s">
        <v>548</v>
      </c>
      <c r="O1671" s="25"/>
      <c r="P1671" s="25" t="s">
        <v>559</v>
      </c>
      <c r="Q1671" s="25" t="s">
        <v>551</v>
      </c>
      <c r="R1671" s="26"/>
      <c r="S1671" s="26" t="n">
        <f aca="false">IF(AND(L1671="Oui",K1671="Principal",R1671&lt;&gt;""),I1671*R1671,0)</f>
        <v>0</v>
      </c>
      <c r="T1671" s="26" t="n">
        <f aca="false">IF(R1671&lt;&gt;"",M1671-S1671,0)</f>
        <v>0</v>
      </c>
      <c r="U1671" s="26" t="n">
        <f aca="false">IF(R1671="",M1671,0)</f>
        <v>2500</v>
      </c>
    </row>
    <row r="1672" customFormat="false" ht="15" hidden="false" customHeight="false" outlineLevel="0" collapsed="false">
      <c r="A1672" s="25" t="s">
        <v>65</v>
      </c>
      <c r="B1672" s="25" t="s">
        <v>73</v>
      </c>
      <c r="C1672" s="25" t="s">
        <v>50</v>
      </c>
      <c r="D1672" s="25" t="n">
        <v>22</v>
      </c>
      <c r="E1672" s="25" t="s">
        <v>573</v>
      </c>
      <c r="F1672" s="25" t="s">
        <v>117</v>
      </c>
      <c r="G1672" s="25" t="n">
        <v>1288</v>
      </c>
      <c r="H1672" s="25" t="s">
        <v>624</v>
      </c>
      <c r="I1672" s="25" t="n">
        <v>1</v>
      </c>
      <c r="J1672" s="26" t="n">
        <v>2500</v>
      </c>
      <c r="K1672" s="25" t="s">
        <v>546</v>
      </c>
      <c r="L1672" s="25" t="s">
        <v>547</v>
      </c>
      <c r="M1672" s="26" t="n">
        <f aca="false">IF(AND(L1672="Oui",K1672="Principal"),I1672*J1672,0)</f>
        <v>2500</v>
      </c>
      <c r="N1672" s="25" t="s">
        <v>548</v>
      </c>
      <c r="O1672" s="25"/>
      <c r="P1672" s="25" t="s">
        <v>550</v>
      </c>
      <c r="Q1672" s="25" t="s">
        <v>557</v>
      </c>
      <c r="R1672" s="26" t="n">
        <v>2000</v>
      </c>
      <c r="S1672" s="26" t="n">
        <f aca="false">IF(AND(L1672="Oui",K1672="Principal",R1672&lt;&gt;""),I1672*R1672,0)</f>
        <v>2000</v>
      </c>
      <c r="T1672" s="26" t="n">
        <f aca="false">IF(R1672&lt;&gt;"",M1672-S1672,0)</f>
        <v>500</v>
      </c>
      <c r="U1672" s="26" t="n">
        <f aca="false">IF(R1672="",M1672,0)</f>
        <v>0</v>
      </c>
    </row>
    <row r="1673" customFormat="false" ht="15" hidden="false" customHeight="false" outlineLevel="0" collapsed="false">
      <c r="A1673" s="25" t="s">
        <v>65</v>
      </c>
      <c r="B1673" s="25" t="s">
        <v>73</v>
      </c>
      <c r="C1673" s="25" t="s">
        <v>50</v>
      </c>
      <c r="D1673" s="25" t="n">
        <v>23</v>
      </c>
      <c r="E1673" s="25" t="s">
        <v>573</v>
      </c>
      <c r="F1673" s="25" t="s">
        <v>321</v>
      </c>
      <c r="G1673" s="25" t="n">
        <v>1192</v>
      </c>
      <c r="H1673" s="25" t="s">
        <v>694</v>
      </c>
      <c r="I1673" s="25" t="n">
        <v>1</v>
      </c>
      <c r="J1673" s="26" t="n">
        <v>7000</v>
      </c>
      <c r="K1673" s="25" t="s">
        <v>546</v>
      </c>
      <c r="L1673" s="25" t="s">
        <v>547</v>
      </c>
      <c r="M1673" s="26" t="n">
        <f aca="false">IF(AND(L1673="Oui",K1673="Principal"),I1673*J1673,0)</f>
        <v>7000</v>
      </c>
      <c r="N1673" s="25" t="s">
        <v>548</v>
      </c>
      <c r="O1673" s="25"/>
      <c r="P1673" s="25" t="s">
        <v>550</v>
      </c>
      <c r="Q1673" s="25" t="s">
        <v>557</v>
      </c>
      <c r="R1673" s="26" t="n">
        <v>5500</v>
      </c>
      <c r="S1673" s="26" t="n">
        <f aca="false">IF(AND(L1673="Oui",K1673="Principal",R1673&lt;&gt;""),I1673*R1673,0)</f>
        <v>5500</v>
      </c>
      <c r="T1673" s="26" t="n">
        <f aca="false">IF(R1673&lt;&gt;"",M1673-S1673,0)</f>
        <v>1500</v>
      </c>
      <c r="U1673" s="26" t="n">
        <f aca="false">IF(R1673="",M1673,0)</f>
        <v>0</v>
      </c>
    </row>
    <row r="1674" customFormat="false" ht="15" hidden="false" customHeight="false" outlineLevel="0" collapsed="false">
      <c r="A1674" s="27" t="s">
        <v>65</v>
      </c>
      <c r="B1674" s="27" t="s">
        <v>73</v>
      </c>
      <c r="C1674" s="27" t="s">
        <v>50</v>
      </c>
      <c r="D1674" s="27" t="n">
        <v>24</v>
      </c>
      <c r="E1674" s="27" t="s">
        <v>689</v>
      </c>
      <c r="F1674" s="27" t="s">
        <v>498</v>
      </c>
      <c r="G1674" s="27"/>
      <c r="H1674" s="27" t="s">
        <v>585</v>
      </c>
      <c r="I1674" s="27" t="n">
        <v>1</v>
      </c>
      <c r="J1674" s="28" t="n">
        <v>0</v>
      </c>
      <c r="K1674" s="27" t="s">
        <v>546</v>
      </c>
      <c r="L1674" s="27" t="s">
        <v>579</v>
      </c>
      <c r="M1674" s="28" t="n">
        <f aca="false">IF(AND(L1674="Oui",K1674="Principal"),I1674*J1674,0)</f>
        <v>0</v>
      </c>
      <c r="N1674" s="27" t="s">
        <v>128</v>
      </c>
      <c r="O1674" s="27" t="s">
        <v>586</v>
      </c>
      <c r="P1674" s="27"/>
      <c r="Q1674" s="27"/>
      <c r="R1674" s="28"/>
      <c r="S1674" s="28" t="n">
        <f aca="false">IF(AND(L1674="Oui",K1674="Principal",R1674&lt;&gt;""),I1674*R1674,0)</f>
        <v>0</v>
      </c>
      <c r="T1674" s="28" t="n">
        <f aca="false">IF(R1674&lt;&gt;"",M1674-S1674,0)</f>
        <v>0</v>
      </c>
      <c r="U1674" s="28" t="n">
        <f aca="false">IF(R1674="",M1674,0)</f>
        <v>0</v>
      </c>
    </row>
    <row r="1675" customFormat="false" ht="15" hidden="false" customHeight="false" outlineLevel="0" collapsed="false">
      <c r="A1675" s="25" t="s">
        <v>65</v>
      </c>
      <c r="B1675" s="25" t="s">
        <v>73</v>
      </c>
      <c r="C1675" s="25" t="s">
        <v>50</v>
      </c>
      <c r="D1675" s="25" t="n">
        <v>25</v>
      </c>
      <c r="E1675" s="25" t="s">
        <v>689</v>
      </c>
      <c r="F1675" s="25" t="s">
        <v>499</v>
      </c>
      <c r="G1675" s="25" t="n">
        <v>1310</v>
      </c>
      <c r="H1675" s="25" t="s">
        <v>796</v>
      </c>
      <c r="I1675" s="25" t="n">
        <v>1</v>
      </c>
      <c r="J1675" s="26" t="n">
        <v>2800</v>
      </c>
      <c r="K1675" s="25" t="s">
        <v>546</v>
      </c>
      <c r="L1675" s="25" t="s">
        <v>547</v>
      </c>
      <c r="M1675" s="26" t="n">
        <f aca="false">IF(AND(L1675="Oui",K1675="Principal"),I1675*J1675,0)</f>
        <v>2800</v>
      </c>
      <c r="N1675" s="25" t="s">
        <v>548</v>
      </c>
      <c r="O1675" s="25"/>
      <c r="P1675" s="25" t="s">
        <v>550</v>
      </c>
      <c r="Q1675" s="25" t="s">
        <v>557</v>
      </c>
      <c r="R1675" s="26" t="n">
        <v>1800</v>
      </c>
      <c r="S1675" s="26" t="n">
        <f aca="false">IF(AND(L1675="Oui",K1675="Principal",R1675&lt;&gt;""),I1675*R1675,0)</f>
        <v>1800</v>
      </c>
      <c r="T1675" s="26" t="n">
        <f aca="false">IF(R1675&lt;&gt;"",M1675-S1675,0)</f>
        <v>1000</v>
      </c>
      <c r="U1675" s="26" t="n">
        <f aca="false">IF(R1675="",M1675,0)</f>
        <v>0</v>
      </c>
    </row>
    <row r="1676" customFormat="false" ht="15" hidden="false" customHeight="false" outlineLevel="0" collapsed="false">
      <c r="A1676" s="25" t="s">
        <v>65</v>
      </c>
      <c r="B1676" s="25" t="s">
        <v>73</v>
      </c>
      <c r="C1676" s="25" t="s">
        <v>50</v>
      </c>
      <c r="D1676" s="25" t="n">
        <v>26</v>
      </c>
      <c r="E1676" s="25" t="s">
        <v>689</v>
      </c>
      <c r="F1676" s="25" t="s">
        <v>471</v>
      </c>
      <c r="G1676" s="25" t="n">
        <v>1308</v>
      </c>
      <c r="H1676" s="25" t="s">
        <v>779</v>
      </c>
      <c r="I1676" s="25" t="n">
        <v>1</v>
      </c>
      <c r="J1676" s="26" t="n">
        <v>2800</v>
      </c>
      <c r="K1676" s="25" t="s">
        <v>546</v>
      </c>
      <c r="L1676" s="25" t="s">
        <v>547</v>
      </c>
      <c r="M1676" s="26" t="n">
        <f aca="false">IF(AND(L1676="Oui",K1676="Principal"),I1676*J1676,0)</f>
        <v>2800</v>
      </c>
      <c r="N1676" s="25" t="s">
        <v>548</v>
      </c>
      <c r="O1676" s="25"/>
      <c r="P1676" s="25" t="s">
        <v>550</v>
      </c>
      <c r="Q1676" s="25" t="s">
        <v>557</v>
      </c>
      <c r="R1676" s="26" t="n">
        <v>1800</v>
      </c>
      <c r="S1676" s="26" t="n">
        <f aca="false">IF(AND(L1676="Oui",K1676="Principal",R1676&lt;&gt;""),I1676*R1676,0)</f>
        <v>1800</v>
      </c>
      <c r="T1676" s="26" t="n">
        <f aca="false">IF(R1676&lt;&gt;"",M1676-S1676,0)</f>
        <v>1000</v>
      </c>
      <c r="U1676" s="26" t="n">
        <f aca="false">IF(R1676="",M1676,0)</f>
        <v>0</v>
      </c>
    </row>
    <row r="1677" customFormat="false" ht="15" hidden="false" customHeight="false" outlineLevel="0" collapsed="false">
      <c r="A1677" s="27" t="s">
        <v>65</v>
      </c>
      <c r="B1677" s="27" t="s">
        <v>73</v>
      </c>
      <c r="C1677" s="27" t="s">
        <v>50</v>
      </c>
      <c r="D1677" s="27" t="n">
        <v>27</v>
      </c>
      <c r="E1677" s="27" t="s">
        <v>689</v>
      </c>
      <c r="F1677" s="27" t="s">
        <v>473</v>
      </c>
      <c r="G1677" s="27"/>
      <c r="H1677" s="27" t="s">
        <v>585</v>
      </c>
      <c r="I1677" s="27" t="n">
        <v>1</v>
      </c>
      <c r="J1677" s="28" t="n">
        <v>0</v>
      </c>
      <c r="K1677" s="27" t="s">
        <v>546</v>
      </c>
      <c r="L1677" s="27" t="s">
        <v>579</v>
      </c>
      <c r="M1677" s="28" t="n">
        <f aca="false">IF(AND(L1677="Oui",K1677="Principal"),I1677*J1677,0)</f>
        <v>0</v>
      </c>
      <c r="N1677" s="27" t="s">
        <v>128</v>
      </c>
      <c r="O1677" s="27" t="s">
        <v>586</v>
      </c>
      <c r="P1677" s="27"/>
      <c r="Q1677" s="27"/>
      <c r="R1677" s="28"/>
      <c r="S1677" s="28" t="n">
        <f aca="false">IF(AND(L1677="Oui",K1677="Principal",R1677&lt;&gt;""),I1677*R1677,0)</f>
        <v>0</v>
      </c>
      <c r="T1677" s="28" t="n">
        <f aca="false">IF(R1677&lt;&gt;"",M1677-S1677,0)</f>
        <v>0</v>
      </c>
      <c r="U1677" s="28" t="n">
        <f aca="false">IF(R1677="",M1677,0)</f>
        <v>0</v>
      </c>
    </row>
    <row r="1678" customFormat="false" ht="15" hidden="false" customHeight="false" outlineLevel="0" collapsed="false">
      <c r="A1678" s="31" t="s">
        <v>65</v>
      </c>
      <c r="B1678" s="31" t="s">
        <v>73</v>
      </c>
      <c r="C1678" s="31" t="s">
        <v>50</v>
      </c>
      <c r="D1678" s="31" t="n">
        <v>28</v>
      </c>
      <c r="E1678" s="31" t="s">
        <v>588</v>
      </c>
      <c r="F1678" s="31" t="s">
        <v>437</v>
      </c>
      <c r="G1678" s="31" t="s">
        <v>759</v>
      </c>
      <c r="H1678" s="31" t="s">
        <v>760</v>
      </c>
      <c r="I1678" s="31" t="n">
        <v>1</v>
      </c>
      <c r="J1678" s="32" t="n">
        <v>2750</v>
      </c>
      <c r="K1678" s="31" t="s">
        <v>546</v>
      </c>
      <c r="L1678" s="31" t="s">
        <v>547</v>
      </c>
      <c r="M1678" s="32" t="n">
        <f aca="false">IF(AND(L1678="Oui",K1678="Principal"),I1678*J1678,0)</f>
        <v>2750</v>
      </c>
      <c r="N1678" s="31" t="s">
        <v>172</v>
      </c>
      <c r="O1678" s="31" t="s">
        <v>761</v>
      </c>
      <c r="P1678" s="31" t="s">
        <v>550</v>
      </c>
      <c r="Q1678" s="31" t="s">
        <v>557</v>
      </c>
      <c r="R1678" s="32" t="n">
        <v>2000</v>
      </c>
      <c r="S1678" s="32" t="n">
        <f aca="false">IF(AND(L1678="Oui",K1678="Principal",R1678&lt;&gt;""),I1678*R1678,0)</f>
        <v>2000</v>
      </c>
      <c r="T1678" s="32" t="n">
        <f aca="false">IF(R1678&lt;&gt;"",M1678-S1678,0)</f>
        <v>750</v>
      </c>
      <c r="U1678" s="32" t="n">
        <f aca="false">IF(R1678="",M1678,0)</f>
        <v>0</v>
      </c>
    </row>
    <row r="1679" customFormat="false" ht="15" hidden="false" customHeight="false" outlineLevel="0" collapsed="false">
      <c r="A1679" s="31" t="s">
        <v>65</v>
      </c>
      <c r="B1679" s="31" t="s">
        <v>73</v>
      </c>
      <c r="C1679" s="31" t="s">
        <v>50</v>
      </c>
      <c r="D1679" s="31" t="n">
        <v>29</v>
      </c>
      <c r="E1679" s="31" t="s">
        <v>588</v>
      </c>
      <c r="F1679" s="31" t="s">
        <v>439</v>
      </c>
      <c r="G1679" s="31" t="s">
        <v>762</v>
      </c>
      <c r="H1679" s="31" t="s">
        <v>763</v>
      </c>
      <c r="I1679" s="31" t="n">
        <v>1</v>
      </c>
      <c r="J1679" s="32" t="n">
        <v>3000</v>
      </c>
      <c r="K1679" s="31" t="s">
        <v>546</v>
      </c>
      <c r="L1679" s="31" t="s">
        <v>547</v>
      </c>
      <c r="M1679" s="32" t="n">
        <f aca="false">IF(AND(L1679="Oui",K1679="Principal"),I1679*J1679,0)</f>
        <v>3000</v>
      </c>
      <c r="N1679" s="31" t="s">
        <v>172</v>
      </c>
      <c r="O1679" s="31" t="s">
        <v>764</v>
      </c>
      <c r="P1679" s="31" t="s">
        <v>550</v>
      </c>
      <c r="Q1679" s="31" t="s">
        <v>557</v>
      </c>
      <c r="R1679" s="32" t="n">
        <v>2000</v>
      </c>
      <c r="S1679" s="32" t="n">
        <f aca="false">IF(AND(L1679="Oui",K1679="Principal",R1679&lt;&gt;""),I1679*R1679,0)</f>
        <v>2000</v>
      </c>
      <c r="T1679" s="32" t="n">
        <f aca="false">IF(R1679&lt;&gt;"",M1679-S1679,0)</f>
        <v>1000</v>
      </c>
      <c r="U1679" s="32" t="n">
        <f aca="false">IF(R1679="",M1679,0)</f>
        <v>0</v>
      </c>
    </row>
    <row r="1680" customFormat="false" ht="15" hidden="false" customHeight="false" outlineLevel="0" collapsed="false">
      <c r="A1680" s="25" t="s">
        <v>65</v>
      </c>
      <c r="B1680" s="25" t="s">
        <v>74</v>
      </c>
      <c r="C1680" s="25" t="s">
        <v>48</v>
      </c>
      <c r="D1680" s="25" t="n">
        <v>1</v>
      </c>
      <c r="E1680" s="25" t="s">
        <v>544</v>
      </c>
      <c r="F1680" s="25" t="s">
        <v>295</v>
      </c>
      <c r="G1680" s="25" t="n">
        <v>1618</v>
      </c>
      <c r="H1680" s="25" t="s">
        <v>600</v>
      </c>
      <c r="I1680" s="25" t="n">
        <v>2</v>
      </c>
      <c r="J1680" s="26" t="n">
        <v>450</v>
      </c>
      <c r="K1680" s="25" t="s">
        <v>546</v>
      </c>
      <c r="L1680" s="25" t="s">
        <v>547</v>
      </c>
      <c r="M1680" s="26" t="n">
        <f aca="false">IF(AND(L1680="Oui",K1680="Principal"),I1680*J1680,0)</f>
        <v>900</v>
      </c>
      <c r="N1680" s="25" t="s">
        <v>548</v>
      </c>
      <c r="O1680" s="25"/>
      <c r="P1680" s="25" t="s">
        <v>556</v>
      </c>
      <c r="Q1680" s="25" t="s">
        <v>557</v>
      </c>
      <c r="R1680" s="26" t="n">
        <v>350</v>
      </c>
      <c r="S1680" s="26" t="n">
        <f aca="false">IF(AND(L1680="Oui",K1680="Principal",R1680&lt;&gt;""),I1680*R1680,0)</f>
        <v>700</v>
      </c>
      <c r="T1680" s="26" t="n">
        <f aca="false">IF(R1680&lt;&gt;"",M1680-S1680,0)</f>
        <v>200</v>
      </c>
      <c r="U1680" s="26" t="n">
        <f aca="false">IF(R1680="",M1680,0)</f>
        <v>0</v>
      </c>
    </row>
    <row r="1681" customFormat="false" ht="15" hidden="false" customHeight="false" outlineLevel="0" collapsed="false">
      <c r="A1681" s="25" t="s">
        <v>65</v>
      </c>
      <c r="B1681" s="25" t="s">
        <v>74</v>
      </c>
      <c r="C1681" s="25" t="s">
        <v>48</v>
      </c>
      <c r="D1681" s="25" t="n">
        <v>2</v>
      </c>
      <c r="E1681" s="25" t="s">
        <v>544</v>
      </c>
      <c r="F1681" s="25" t="s">
        <v>296</v>
      </c>
      <c r="G1681" s="25" t="n">
        <v>1</v>
      </c>
      <c r="H1681" s="25" t="s">
        <v>681</v>
      </c>
      <c r="I1681" s="25" t="n">
        <v>4</v>
      </c>
      <c r="J1681" s="26" t="n">
        <v>500</v>
      </c>
      <c r="K1681" s="25" t="s">
        <v>546</v>
      </c>
      <c r="L1681" s="25" t="s">
        <v>547</v>
      </c>
      <c r="M1681" s="26" t="n">
        <f aca="false">IF(AND(L1681="Oui",K1681="Principal"),I1681*J1681,0)</f>
        <v>2000</v>
      </c>
      <c r="N1681" s="25" t="s">
        <v>548</v>
      </c>
      <c r="O1681" s="25"/>
      <c r="P1681" s="25" t="s">
        <v>559</v>
      </c>
      <c r="Q1681" s="25" t="s">
        <v>551</v>
      </c>
      <c r="R1681" s="26"/>
      <c r="S1681" s="26" t="n">
        <f aca="false">IF(AND(L1681="Oui",K1681="Principal",R1681&lt;&gt;""),I1681*R1681,0)</f>
        <v>0</v>
      </c>
      <c r="T1681" s="26" t="n">
        <f aca="false">IF(R1681&lt;&gt;"",M1681-S1681,0)</f>
        <v>0</v>
      </c>
      <c r="U1681" s="26" t="n">
        <f aca="false">IF(R1681="",M1681,0)</f>
        <v>2000</v>
      </c>
    </row>
    <row r="1682" customFormat="false" ht="15" hidden="false" customHeight="false" outlineLevel="0" collapsed="false">
      <c r="A1682" s="25" t="s">
        <v>65</v>
      </c>
      <c r="B1682" s="25" t="s">
        <v>74</v>
      </c>
      <c r="C1682" s="25" t="s">
        <v>48</v>
      </c>
      <c r="D1682" s="25" t="n">
        <v>3</v>
      </c>
      <c r="E1682" s="25" t="s">
        <v>544</v>
      </c>
      <c r="F1682" s="25" t="s">
        <v>298</v>
      </c>
      <c r="G1682" s="25" t="n">
        <v>1576</v>
      </c>
      <c r="H1682" s="25" t="s">
        <v>682</v>
      </c>
      <c r="I1682" s="25" t="n">
        <v>2</v>
      </c>
      <c r="J1682" s="26" t="n">
        <v>500</v>
      </c>
      <c r="K1682" s="25" t="s">
        <v>546</v>
      </c>
      <c r="L1682" s="25" t="s">
        <v>547</v>
      </c>
      <c r="M1682" s="26" t="n">
        <f aca="false">IF(AND(L1682="Oui",K1682="Principal"),I1682*J1682,0)</f>
        <v>1000</v>
      </c>
      <c r="N1682" s="25" t="s">
        <v>548</v>
      </c>
      <c r="O1682" s="25"/>
      <c r="P1682" s="25" t="s">
        <v>556</v>
      </c>
      <c r="Q1682" s="25" t="s">
        <v>557</v>
      </c>
      <c r="R1682" s="26" t="n">
        <v>400</v>
      </c>
      <c r="S1682" s="26" t="n">
        <f aca="false">IF(AND(L1682="Oui",K1682="Principal",R1682&lt;&gt;""),I1682*R1682,0)</f>
        <v>800</v>
      </c>
      <c r="T1682" s="26" t="n">
        <f aca="false">IF(R1682&lt;&gt;"",M1682-S1682,0)</f>
        <v>200</v>
      </c>
      <c r="U1682" s="26" t="n">
        <f aca="false">IF(R1682="",M1682,0)</f>
        <v>0</v>
      </c>
    </row>
    <row r="1683" customFormat="false" ht="15" hidden="false" customHeight="false" outlineLevel="0" collapsed="false">
      <c r="A1683" s="25" t="s">
        <v>65</v>
      </c>
      <c r="B1683" s="25" t="s">
        <v>74</v>
      </c>
      <c r="C1683" s="25" t="s">
        <v>48</v>
      </c>
      <c r="D1683" s="25" t="n">
        <v>4</v>
      </c>
      <c r="E1683" s="25" t="s">
        <v>544</v>
      </c>
      <c r="F1683" s="25" t="s">
        <v>338</v>
      </c>
      <c r="G1683" s="25" t="n">
        <v>2</v>
      </c>
      <c r="H1683" s="25" t="s">
        <v>705</v>
      </c>
      <c r="I1683" s="25" t="n">
        <v>5</v>
      </c>
      <c r="J1683" s="26" t="n">
        <v>900</v>
      </c>
      <c r="K1683" s="25" t="s">
        <v>546</v>
      </c>
      <c r="L1683" s="25" t="s">
        <v>547</v>
      </c>
      <c r="M1683" s="26" t="n">
        <f aca="false">IF(AND(L1683="Oui",K1683="Principal"),I1683*J1683,0)</f>
        <v>4500</v>
      </c>
      <c r="N1683" s="25" t="s">
        <v>548</v>
      </c>
      <c r="O1683" s="25"/>
      <c r="P1683" s="25" t="s">
        <v>559</v>
      </c>
      <c r="Q1683" s="25" t="s">
        <v>551</v>
      </c>
      <c r="R1683" s="26"/>
      <c r="S1683" s="26" t="n">
        <f aca="false">IF(AND(L1683="Oui",K1683="Principal",R1683&lt;&gt;""),I1683*R1683,0)</f>
        <v>0</v>
      </c>
      <c r="T1683" s="26" t="n">
        <f aca="false">IF(R1683&lt;&gt;"",M1683-S1683,0)</f>
        <v>0</v>
      </c>
      <c r="U1683" s="26" t="n">
        <f aca="false">IF(R1683="",M1683,0)</f>
        <v>4500</v>
      </c>
    </row>
    <row r="1684" customFormat="false" ht="15" hidden="false" customHeight="false" outlineLevel="0" collapsed="false">
      <c r="A1684" s="25" t="s">
        <v>65</v>
      </c>
      <c r="B1684" s="25" t="s">
        <v>74</v>
      </c>
      <c r="C1684" s="25" t="s">
        <v>48</v>
      </c>
      <c r="D1684" s="25" t="n">
        <v>5</v>
      </c>
      <c r="E1684" s="25" t="s">
        <v>544</v>
      </c>
      <c r="F1684" s="25" t="s">
        <v>442</v>
      </c>
      <c r="G1684" s="25" t="n">
        <v>1729</v>
      </c>
      <c r="H1684" s="25" t="s">
        <v>552</v>
      </c>
      <c r="I1684" s="25" t="n">
        <v>1</v>
      </c>
      <c r="J1684" s="26" t="n">
        <v>1300</v>
      </c>
      <c r="K1684" s="25" t="s">
        <v>546</v>
      </c>
      <c r="L1684" s="25" t="s">
        <v>547</v>
      </c>
      <c r="M1684" s="26" t="n">
        <f aca="false">IF(AND(L1684="Oui",K1684="Principal"),I1684*J1684,0)</f>
        <v>1300</v>
      </c>
      <c r="N1684" s="25" t="s">
        <v>548</v>
      </c>
      <c r="O1684" s="25"/>
      <c r="P1684" s="25" t="s">
        <v>550</v>
      </c>
      <c r="Q1684" s="25" t="s">
        <v>551</v>
      </c>
      <c r="R1684" s="26"/>
      <c r="S1684" s="26" t="n">
        <f aca="false">IF(AND(L1684="Oui",K1684="Principal",R1684&lt;&gt;""),I1684*R1684,0)</f>
        <v>0</v>
      </c>
      <c r="T1684" s="26" t="n">
        <f aca="false">IF(R1684&lt;&gt;"",M1684-S1684,0)</f>
        <v>0</v>
      </c>
      <c r="U1684" s="26" t="n">
        <f aca="false">IF(R1684="",M1684,0)</f>
        <v>1300</v>
      </c>
    </row>
    <row r="1685" customFormat="false" ht="15" hidden="false" customHeight="false" outlineLevel="0" collapsed="false">
      <c r="A1685" s="25" t="s">
        <v>65</v>
      </c>
      <c r="B1685" s="25" t="s">
        <v>74</v>
      </c>
      <c r="C1685" s="25" t="s">
        <v>48</v>
      </c>
      <c r="D1685" s="25" t="n">
        <v>6</v>
      </c>
      <c r="E1685" s="25" t="s">
        <v>563</v>
      </c>
      <c r="F1685" s="25" t="s">
        <v>255</v>
      </c>
      <c r="G1685" s="25" t="n">
        <v>1636</v>
      </c>
      <c r="H1685" s="25" t="s">
        <v>661</v>
      </c>
      <c r="I1685" s="25" t="n">
        <v>1</v>
      </c>
      <c r="J1685" s="26" t="n">
        <v>400</v>
      </c>
      <c r="K1685" s="25" t="s">
        <v>546</v>
      </c>
      <c r="L1685" s="25" t="s">
        <v>547</v>
      </c>
      <c r="M1685" s="26" t="n">
        <f aca="false">IF(AND(L1685="Oui",K1685="Principal"),I1685*J1685,0)</f>
        <v>400</v>
      </c>
      <c r="N1685" s="25" t="s">
        <v>548</v>
      </c>
      <c r="O1685" s="25"/>
      <c r="P1685" s="25" t="s">
        <v>556</v>
      </c>
      <c r="Q1685" s="25" t="s">
        <v>557</v>
      </c>
      <c r="R1685" s="26" t="n">
        <v>320</v>
      </c>
      <c r="S1685" s="26" t="n">
        <f aca="false">IF(AND(L1685="Oui",K1685="Principal",R1685&lt;&gt;""),I1685*R1685,0)</f>
        <v>320</v>
      </c>
      <c r="T1685" s="26" t="n">
        <f aca="false">IF(R1685&lt;&gt;"",M1685-S1685,0)</f>
        <v>80</v>
      </c>
      <c r="U1685" s="26" t="n">
        <f aca="false">IF(R1685="",M1685,0)</f>
        <v>0</v>
      </c>
    </row>
    <row r="1686" customFormat="false" ht="15" hidden="false" customHeight="false" outlineLevel="0" collapsed="false">
      <c r="A1686" s="25" t="s">
        <v>65</v>
      </c>
      <c r="B1686" s="25" t="s">
        <v>74</v>
      </c>
      <c r="C1686" s="25" t="s">
        <v>48</v>
      </c>
      <c r="D1686" s="25" t="n">
        <v>7</v>
      </c>
      <c r="E1686" s="25" t="s">
        <v>563</v>
      </c>
      <c r="F1686" s="25" t="s">
        <v>257</v>
      </c>
      <c r="G1686" s="25" t="n">
        <v>1635</v>
      </c>
      <c r="H1686" s="25" t="s">
        <v>607</v>
      </c>
      <c r="I1686" s="25" t="n">
        <v>1</v>
      </c>
      <c r="J1686" s="26" t="n">
        <v>100</v>
      </c>
      <c r="K1686" s="25" t="s">
        <v>546</v>
      </c>
      <c r="L1686" s="25" t="s">
        <v>547</v>
      </c>
      <c r="M1686" s="26" t="n">
        <f aca="false">IF(AND(L1686="Oui",K1686="Principal"),I1686*J1686,0)</f>
        <v>100</v>
      </c>
      <c r="N1686" s="25" t="s">
        <v>548</v>
      </c>
      <c r="O1686" s="25"/>
      <c r="P1686" s="25" t="s">
        <v>556</v>
      </c>
      <c r="Q1686" s="25" t="s">
        <v>557</v>
      </c>
      <c r="R1686" s="26" t="n">
        <v>80</v>
      </c>
      <c r="S1686" s="26" t="n">
        <f aca="false">IF(AND(L1686="Oui",K1686="Principal",R1686&lt;&gt;""),I1686*R1686,0)</f>
        <v>80</v>
      </c>
      <c r="T1686" s="26" t="n">
        <f aca="false">IF(R1686&lt;&gt;"",M1686-S1686,0)</f>
        <v>20</v>
      </c>
      <c r="U1686" s="26" t="n">
        <f aca="false">IF(R1686="",M1686,0)</f>
        <v>0</v>
      </c>
    </row>
    <row r="1687" customFormat="false" ht="15" hidden="false" customHeight="false" outlineLevel="0" collapsed="false">
      <c r="A1687" s="25" t="s">
        <v>65</v>
      </c>
      <c r="B1687" s="25" t="s">
        <v>74</v>
      </c>
      <c r="C1687" s="25" t="s">
        <v>48</v>
      </c>
      <c r="D1687" s="25" t="n">
        <v>8</v>
      </c>
      <c r="E1687" s="25" t="s">
        <v>563</v>
      </c>
      <c r="F1687" s="25" t="s">
        <v>97</v>
      </c>
      <c r="G1687" s="25" t="n">
        <v>1571</v>
      </c>
      <c r="H1687" s="25" t="s">
        <v>564</v>
      </c>
      <c r="I1687" s="25" t="n">
        <v>2</v>
      </c>
      <c r="J1687" s="26" t="n">
        <v>75</v>
      </c>
      <c r="K1687" s="25" t="s">
        <v>546</v>
      </c>
      <c r="L1687" s="25" t="s">
        <v>547</v>
      </c>
      <c r="M1687" s="26" t="n">
        <f aca="false">IF(AND(L1687="Oui",K1687="Principal"),I1687*J1687,0)</f>
        <v>150</v>
      </c>
      <c r="N1687" s="25" t="s">
        <v>548</v>
      </c>
      <c r="O1687" s="25"/>
      <c r="P1687" s="25" t="s">
        <v>550</v>
      </c>
      <c r="Q1687" s="25" t="s">
        <v>557</v>
      </c>
      <c r="R1687" s="26"/>
      <c r="S1687" s="26" t="n">
        <f aca="false">IF(AND(L1687="Oui",K1687="Principal",R1687&lt;&gt;""),I1687*R1687,0)</f>
        <v>0</v>
      </c>
      <c r="T1687" s="26" t="n">
        <f aca="false">IF(R1687&lt;&gt;"",M1687-S1687,0)</f>
        <v>0</v>
      </c>
      <c r="U1687" s="26" t="n">
        <f aca="false">IF(R1687="",M1687,0)</f>
        <v>150</v>
      </c>
    </row>
    <row r="1688" customFormat="false" ht="15" hidden="false" customHeight="false" outlineLevel="0" collapsed="false">
      <c r="A1688" s="25" t="s">
        <v>65</v>
      </c>
      <c r="B1688" s="25" t="s">
        <v>74</v>
      </c>
      <c r="C1688" s="25" t="s">
        <v>48</v>
      </c>
      <c r="D1688" s="25" t="n">
        <v>9</v>
      </c>
      <c r="E1688" s="25" t="s">
        <v>563</v>
      </c>
      <c r="F1688" s="25" t="s">
        <v>325</v>
      </c>
      <c r="G1688" s="25" t="n">
        <v>1248</v>
      </c>
      <c r="H1688" s="25" t="s">
        <v>697</v>
      </c>
      <c r="I1688" s="25" t="n">
        <v>1</v>
      </c>
      <c r="J1688" s="26" t="n">
        <v>400</v>
      </c>
      <c r="K1688" s="25" t="s">
        <v>546</v>
      </c>
      <c r="L1688" s="25" t="s">
        <v>547</v>
      </c>
      <c r="M1688" s="26" t="n">
        <f aca="false">IF(AND(L1688="Oui",K1688="Principal"),I1688*J1688,0)</f>
        <v>400</v>
      </c>
      <c r="N1688" s="25" t="s">
        <v>548</v>
      </c>
      <c r="O1688" s="25"/>
      <c r="P1688" s="25" t="s">
        <v>550</v>
      </c>
      <c r="Q1688" s="25" t="s">
        <v>557</v>
      </c>
      <c r="R1688" s="26" t="n">
        <v>250</v>
      </c>
      <c r="S1688" s="26" t="n">
        <f aca="false">IF(AND(L1688="Oui",K1688="Principal",R1688&lt;&gt;""),I1688*R1688,0)</f>
        <v>250</v>
      </c>
      <c r="T1688" s="26" t="n">
        <f aca="false">IF(R1688&lt;&gt;"",M1688-S1688,0)</f>
        <v>150</v>
      </c>
      <c r="U1688" s="26" t="n">
        <f aca="false">IF(R1688="",M1688,0)</f>
        <v>0</v>
      </c>
    </row>
    <row r="1689" customFormat="false" ht="15" hidden="false" customHeight="false" outlineLevel="0" collapsed="false">
      <c r="A1689" s="25" t="s">
        <v>65</v>
      </c>
      <c r="B1689" s="25" t="s">
        <v>74</v>
      </c>
      <c r="C1689" s="25" t="s">
        <v>48</v>
      </c>
      <c r="D1689" s="25" t="n">
        <v>10</v>
      </c>
      <c r="E1689" s="25" t="s">
        <v>565</v>
      </c>
      <c r="F1689" s="25" t="s">
        <v>99</v>
      </c>
      <c r="G1689" s="25" t="n">
        <v>9</v>
      </c>
      <c r="H1689" s="25" t="s">
        <v>566</v>
      </c>
      <c r="I1689" s="25" t="n">
        <v>1</v>
      </c>
      <c r="J1689" s="26" t="n">
        <v>150</v>
      </c>
      <c r="K1689" s="25" t="s">
        <v>546</v>
      </c>
      <c r="L1689" s="25" t="s">
        <v>547</v>
      </c>
      <c r="M1689" s="26" t="n">
        <f aca="false">IF(AND(L1689="Oui",K1689="Principal"),I1689*J1689,0)</f>
        <v>150</v>
      </c>
      <c r="N1689" s="25" t="s">
        <v>548</v>
      </c>
      <c r="O1689" s="25"/>
      <c r="P1689" s="25" t="s">
        <v>559</v>
      </c>
      <c r="Q1689" s="25" t="s">
        <v>551</v>
      </c>
      <c r="R1689" s="26"/>
      <c r="S1689" s="26" t="n">
        <f aca="false">IF(AND(L1689="Oui",K1689="Principal",R1689&lt;&gt;""),I1689*R1689,0)</f>
        <v>0</v>
      </c>
      <c r="T1689" s="26" t="n">
        <f aca="false">IF(R1689&lt;&gt;"",M1689-S1689,0)</f>
        <v>0</v>
      </c>
      <c r="U1689" s="26" t="n">
        <f aca="false">IF(R1689="",M1689,0)</f>
        <v>150</v>
      </c>
    </row>
    <row r="1690" customFormat="false" ht="15" hidden="false" customHeight="false" outlineLevel="0" collapsed="false">
      <c r="A1690" s="25" t="s">
        <v>65</v>
      </c>
      <c r="B1690" s="25" t="s">
        <v>74</v>
      </c>
      <c r="C1690" s="25" t="s">
        <v>48</v>
      </c>
      <c r="D1690" s="25" t="n">
        <v>11</v>
      </c>
      <c r="E1690" s="25" t="s">
        <v>565</v>
      </c>
      <c r="F1690" s="25" t="s">
        <v>164</v>
      </c>
      <c r="G1690" s="25" t="n">
        <v>10</v>
      </c>
      <c r="H1690" s="25" t="s">
        <v>608</v>
      </c>
      <c r="I1690" s="25" t="n">
        <v>1</v>
      </c>
      <c r="J1690" s="26" t="n">
        <v>200</v>
      </c>
      <c r="K1690" s="25" t="s">
        <v>546</v>
      </c>
      <c r="L1690" s="25" t="s">
        <v>547</v>
      </c>
      <c r="M1690" s="26" t="n">
        <f aca="false">IF(AND(L1690="Oui",K1690="Principal"),I1690*J1690,0)</f>
        <v>200</v>
      </c>
      <c r="N1690" s="25" t="s">
        <v>548</v>
      </c>
      <c r="O1690" s="25"/>
      <c r="P1690" s="25" t="s">
        <v>559</v>
      </c>
      <c r="Q1690" s="25" t="s">
        <v>551</v>
      </c>
      <c r="R1690" s="26"/>
      <c r="S1690" s="26" t="n">
        <f aca="false">IF(AND(L1690="Oui",K1690="Principal",R1690&lt;&gt;""),I1690*R1690,0)</f>
        <v>0</v>
      </c>
      <c r="T1690" s="26" t="n">
        <f aca="false">IF(R1690&lt;&gt;"",M1690-S1690,0)</f>
        <v>0</v>
      </c>
      <c r="U1690" s="26" t="n">
        <f aca="false">IF(R1690="",M1690,0)</f>
        <v>200</v>
      </c>
    </row>
    <row r="1691" customFormat="false" ht="15" hidden="false" customHeight="false" outlineLevel="0" collapsed="false">
      <c r="A1691" s="25" t="s">
        <v>65</v>
      </c>
      <c r="B1691" s="25" t="s">
        <v>74</v>
      </c>
      <c r="C1691" s="25" t="s">
        <v>48</v>
      </c>
      <c r="D1691" s="25" t="n">
        <v>12</v>
      </c>
      <c r="E1691" s="25" t="s">
        <v>565</v>
      </c>
      <c r="F1691" s="25" t="s">
        <v>166</v>
      </c>
      <c r="G1691" s="25" t="n">
        <v>1173</v>
      </c>
      <c r="H1691" s="25" t="s">
        <v>569</v>
      </c>
      <c r="I1691" s="25" t="n">
        <v>1</v>
      </c>
      <c r="J1691" s="26" t="n">
        <v>570</v>
      </c>
      <c r="K1691" s="25" t="s">
        <v>546</v>
      </c>
      <c r="L1691" s="25" t="s">
        <v>547</v>
      </c>
      <c r="M1691" s="26" t="n">
        <f aca="false">IF(AND(L1691="Oui",K1691="Principal"),I1691*J1691,0)</f>
        <v>570</v>
      </c>
      <c r="N1691" s="25" t="s">
        <v>548</v>
      </c>
      <c r="O1691" s="25"/>
      <c r="P1691" s="25" t="s">
        <v>550</v>
      </c>
      <c r="Q1691" s="25" t="s">
        <v>557</v>
      </c>
      <c r="R1691" s="26" t="n">
        <v>420</v>
      </c>
      <c r="S1691" s="26" t="n">
        <f aca="false">IF(AND(L1691="Oui",K1691="Principal",R1691&lt;&gt;""),I1691*R1691,0)</f>
        <v>420</v>
      </c>
      <c r="T1691" s="26" t="n">
        <f aca="false">IF(R1691&lt;&gt;"",M1691-S1691,0)</f>
        <v>150</v>
      </c>
      <c r="U1691" s="26" t="n">
        <f aca="false">IF(R1691="",M1691,0)</f>
        <v>0</v>
      </c>
    </row>
    <row r="1692" customFormat="false" ht="15" hidden="false" customHeight="false" outlineLevel="0" collapsed="false">
      <c r="A1692" s="25" t="s">
        <v>65</v>
      </c>
      <c r="B1692" s="25" t="s">
        <v>74</v>
      </c>
      <c r="C1692" s="25" t="s">
        <v>48</v>
      </c>
      <c r="D1692" s="25" t="n">
        <v>13</v>
      </c>
      <c r="E1692" s="25" t="s">
        <v>565</v>
      </c>
      <c r="F1692" s="25" t="s">
        <v>304</v>
      </c>
      <c r="G1692" s="25" t="n">
        <v>1250</v>
      </c>
      <c r="H1692" s="25" t="s">
        <v>570</v>
      </c>
      <c r="I1692" s="25" t="n">
        <v>1</v>
      </c>
      <c r="J1692" s="26" t="n">
        <v>250</v>
      </c>
      <c r="K1692" s="25" t="s">
        <v>546</v>
      </c>
      <c r="L1692" s="25" t="s">
        <v>547</v>
      </c>
      <c r="M1692" s="26" t="n">
        <f aca="false">IF(AND(L1692="Oui",K1692="Principal"),I1692*J1692,0)</f>
        <v>250</v>
      </c>
      <c r="N1692" s="25" t="s">
        <v>548</v>
      </c>
      <c r="O1692" s="25"/>
      <c r="P1692" s="25" t="s">
        <v>550</v>
      </c>
      <c r="Q1692" s="25" t="s">
        <v>557</v>
      </c>
      <c r="R1692" s="26" t="n">
        <v>100</v>
      </c>
      <c r="S1692" s="26" t="n">
        <f aca="false">IF(AND(L1692="Oui",K1692="Principal",R1692&lt;&gt;""),I1692*R1692,0)</f>
        <v>100</v>
      </c>
      <c r="T1692" s="26" t="n">
        <f aca="false">IF(R1692&lt;&gt;"",M1692-S1692,0)</f>
        <v>150</v>
      </c>
      <c r="U1692" s="26" t="n">
        <f aca="false">IF(R1692="",M1692,0)</f>
        <v>0</v>
      </c>
    </row>
    <row r="1693" customFormat="false" ht="15" hidden="false" customHeight="false" outlineLevel="0" collapsed="false">
      <c r="A1693" s="33" t="s">
        <v>65</v>
      </c>
      <c r="B1693" s="33" t="s">
        <v>74</v>
      </c>
      <c r="C1693" s="33" t="s">
        <v>48</v>
      </c>
      <c r="D1693" s="33" t="n">
        <v>14</v>
      </c>
      <c r="E1693" s="33" t="s">
        <v>609</v>
      </c>
      <c r="F1693" s="33" t="s">
        <v>199</v>
      </c>
      <c r="G1693" s="33" t="n">
        <v>1229</v>
      </c>
      <c r="H1693" s="33" t="s">
        <v>643</v>
      </c>
      <c r="I1693" s="33" t="n">
        <v>1</v>
      </c>
      <c r="J1693" s="34" t="n">
        <v>1800</v>
      </c>
      <c r="K1693" s="33" t="s">
        <v>546</v>
      </c>
      <c r="L1693" s="33" t="s">
        <v>547</v>
      </c>
      <c r="M1693" s="34" t="n">
        <f aca="false">IF(AND(L1693="Oui",K1693="Principal"),I1693*J1693,0)</f>
        <v>1800</v>
      </c>
      <c r="N1693" s="33" t="s">
        <v>182</v>
      </c>
      <c r="O1693" s="33" t="s">
        <v>644</v>
      </c>
      <c r="P1693" s="33" t="s">
        <v>550</v>
      </c>
      <c r="Q1693" s="33" t="s">
        <v>557</v>
      </c>
      <c r="R1693" s="34" t="n">
        <v>1500</v>
      </c>
      <c r="S1693" s="34" t="n">
        <f aca="false">IF(AND(L1693="Oui",K1693="Principal",R1693&lt;&gt;""),I1693*R1693,0)</f>
        <v>1500</v>
      </c>
      <c r="T1693" s="34" t="n">
        <f aca="false">IF(R1693&lt;&gt;"",M1693-S1693,0)</f>
        <v>300</v>
      </c>
      <c r="U1693" s="34" t="n">
        <f aca="false">IF(R1693="",M1693,0)</f>
        <v>0</v>
      </c>
    </row>
    <row r="1694" customFormat="false" ht="15" hidden="false" customHeight="false" outlineLevel="0" collapsed="false">
      <c r="A1694" s="25" t="s">
        <v>65</v>
      </c>
      <c r="B1694" s="25" t="s">
        <v>74</v>
      </c>
      <c r="C1694" s="25" t="s">
        <v>48</v>
      </c>
      <c r="D1694" s="25" t="n">
        <v>15</v>
      </c>
      <c r="E1694" s="25" t="s">
        <v>609</v>
      </c>
      <c r="F1694" s="25" t="s">
        <v>443</v>
      </c>
      <c r="G1694" s="25" t="n">
        <v>1727</v>
      </c>
      <c r="H1694" s="25" t="s">
        <v>698</v>
      </c>
      <c r="I1694" s="25" t="n">
        <v>1</v>
      </c>
      <c r="J1694" s="26" t="n">
        <v>4750</v>
      </c>
      <c r="K1694" s="25" t="s">
        <v>546</v>
      </c>
      <c r="L1694" s="25" t="s">
        <v>547</v>
      </c>
      <c r="M1694" s="26" t="n">
        <f aca="false">IF(AND(L1694="Oui",K1694="Principal"),I1694*J1694,0)</f>
        <v>4750</v>
      </c>
      <c r="N1694" s="25" t="s">
        <v>548</v>
      </c>
      <c r="O1694" s="25"/>
      <c r="P1694" s="25" t="s">
        <v>559</v>
      </c>
      <c r="Q1694" s="25" t="s">
        <v>557</v>
      </c>
      <c r="R1694" s="26" t="n">
        <v>3700</v>
      </c>
      <c r="S1694" s="26" t="n">
        <f aca="false">IF(AND(L1694="Oui",K1694="Principal",R1694&lt;&gt;""),I1694*R1694,0)</f>
        <v>3700</v>
      </c>
      <c r="T1694" s="26" t="n">
        <f aca="false">IF(R1694&lt;&gt;"",M1694-S1694,0)</f>
        <v>1050</v>
      </c>
      <c r="U1694" s="26" t="n">
        <f aca="false">IF(R1694="",M1694,0)</f>
        <v>0</v>
      </c>
    </row>
    <row r="1695" customFormat="false" ht="15" hidden="false" customHeight="false" outlineLevel="0" collapsed="false">
      <c r="A1695" s="25" t="s">
        <v>65</v>
      </c>
      <c r="B1695" s="25" t="s">
        <v>74</v>
      </c>
      <c r="C1695" s="25" t="s">
        <v>48</v>
      </c>
      <c r="D1695" s="25" t="n">
        <v>16</v>
      </c>
      <c r="E1695" s="25" t="s">
        <v>573</v>
      </c>
      <c r="F1695" s="25" t="s">
        <v>176</v>
      </c>
      <c r="G1695" s="25" t="n">
        <v>19</v>
      </c>
      <c r="H1695" s="25" t="s">
        <v>615</v>
      </c>
      <c r="I1695" s="25" t="n">
        <v>1</v>
      </c>
      <c r="J1695" s="26" t="n">
        <v>2500</v>
      </c>
      <c r="K1695" s="25" t="s">
        <v>546</v>
      </c>
      <c r="L1695" s="25" t="s">
        <v>547</v>
      </c>
      <c r="M1695" s="26" t="n">
        <f aca="false">IF(AND(L1695="Oui",K1695="Principal"),I1695*J1695,0)</f>
        <v>2500</v>
      </c>
      <c r="N1695" s="25" t="s">
        <v>548</v>
      </c>
      <c r="O1695" s="25"/>
      <c r="P1695" s="25" t="s">
        <v>559</v>
      </c>
      <c r="Q1695" s="25" t="s">
        <v>551</v>
      </c>
      <c r="R1695" s="26"/>
      <c r="S1695" s="26" t="n">
        <f aca="false">IF(AND(L1695="Oui",K1695="Principal",R1695&lt;&gt;""),I1695*R1695,0)</f>
        <v>0</v>
      </c>
      <c r="T1695" s="26" t="n">
        <f aca="false">IF(R1695&lt;&gt;"",M1695-S1695,0)</f>
        <v>0</v>
      </c>
      <c r="U1695" s="26" t="n">
        <f aca="false">IF(R1695="",M1695,0)</f>
        <v>2500</v>
      </c>
    </row>
    <row r="1696" customFormat="false" ht="15" hidden="false" customHeight="false" outlineLevel="0" collapsed="false">
      <c r="A1696" s="33" t="s">
        <v>65</v>
      </c>
      <c r="B1696" s="33" t="s">
        <v>74</v>
      </c>
      <c r="C1696" s="33" t="s">
        <v>48</v>
      </c>
      <c r="D1696" s="33" t="n">
        <v>17</v>
      </c>
      <c r="E1696" s="33" t="s">
        <v>588</v>
      </c>
      <c r="F1696" s="33" t="s">
        <v>503</v>
      </c>
      <c r="G1696" s="33" t="n">
        <v>58</v>
      </c>
      <c r="H1696" s="33" t="s">
        <v>797</v>
      </c>
      <c r="I1696" s="33" t="n">
        <v>1</v>
      </c>
      <c r="J1696" s="34" t="n">
        <v>35000</v>
      </c>
      <c r="K1696" s="33" t="s">
        <v>618</v>
      </c>
      <c r="L1696" s="33" t="s">
        <v>579</v>
      </c>
      <c r="M1696" s="34" t="n">
        <f aca="false">IF(AND(L1696="Oui",K1696="Principal"),I1696*J1696,0)</f>
        <v>0</v>
      </c>
      <c r="N1696" s="33" t="s">
        <v>182</v>
      </c>
      <c r="O1696" s="33" t="s">
        <v>798</v>
      </c>
      <c r="P1696" s="33" t="s">
        <v>559</v>
      </c>
      <c r="Q1696" s="33" t="s">
        <v>557</v>
      </c>
      <c r="R1696" s="34" t="n">
        <v>28000</v>
      </c>
      <c r="S1696" s="34" t="n">
        <f aca="false">IF(AND(L1696="Oui",K1696="Principal",R1696&lt;&gt;""),I1696*R1696,0)</f>
        <v>0</v>
      </c>
      <c r="T1696" s="34" t="n">
        <f aca="false">IF(R1696&lt;&gt;"",M1696-S1696,0)</f>
        <v>0</v>
      </c>
      <c r="U1696" s="34" t="n">
        <f aca="false">IF(R1696="",M1696,0)</f>
        <v>0</v>
      </c>
    </row>
    <row r="1697" customFormat="false" ht="15" hidden="false" customHeight="false" outlineLevel="0" collapsed="false">
      <c r="A1697" s="27" t="s">
        <v>65</v>
      </c>
      <c r="B1697" s="27" t="s">
        <v>74</v>
      </c>
      <c r="C1697" s="27" t="s">
        <v>48</v>
      </c>
      <c r="D1697" s="27" t="n">
        <v>18</v>
      </c>
      <c r="E1697" s="27" t="s">
        <v>588</v>
      </c>
      <c r="F1697" s="27" t="s">
        <v>505</v>
      </c>
      <c r="G1697" s="27"/>
      <c r="H1697" s="27" t="s">
        <v>585</v>
      </c>
      <c r="I1697" s="27" t="n">
        <v>1</v>
      </c>
      <c r="J1697" s="28" t="n">
        <v>0</v>
      </c>
      <c r="K1697" s="27" t="s">
        <v>618</v>
      </c>
      <c r="L1697" s="27" t="s">
        <v>579</v>
      </c>
      <c r="M1697" s="28" t="n">
        <f aca="false">IF(AND(L1697="Oui",K1697="Principal"),I1697*J1697,0)</f>
        <v>0</v>
      </c>
      <c r="N1697" s="27" t="s">
        <v>128</v>
      </c>
      <c r="O1697" s="27" t="s">
        <v>799</v>
      </c>
      <c r="P1697" s="27"/>
      <c r="Q1697" s="27"/>
      <c r="R1697" s="28"/>
      <c r="S1697" s="28" t="n">
        <f aca="false">IF(AND(L1697="Oui",K1697="Principal",R1697&lt;&gt;""),I1697*R1697,0)</f>
        <v>0</v>
      </c>
      <c r="T1697" s="28" t="n">
        <f aca="false">IF(R1697&lt;&gt;"",M1697-S1697,0)</f>
        <v>0</v>
      </c>
      <c r="U1697" s="28" t="n">
        <f aca="false">IF(R1697="",M1697,0)</f>
        <v>0</v>
      </c>
    </row>
    <row r="1698" customFormat="false" ht="15" hidden="false" customHeight="false" outlineLevel="0" collapsed="false">
      <c r="A1698" s="33" t="s">
        <v>65</v>
      </c>
      <c r="B1698" s="33" t="s">
        <v>74</v>
      </c>
      <c r="C1698" s="33" t="s">
        <v>48</v>
      </c>
      <c r="D1698" s="33" t="n">
        <v>19</v>
      </c>
      <c r="E1698" s="33" t="s">
        <v>588</v>
      </c>
      <c r="F1698" s="33" t="s">
        <v>506</v>
      </c>
      <c r="G1698" s="33" t="n">
        <v>69</v>
      </c>
      <c r="H1698" s="33" t="s">
        <v>800</v>
      </c>
      <c r="I1698" s="33" t="n">
        <v>1</v>
      </c>
      <c r="J1698" s="34" t="n">
        <v>15000</v>
      </c>
      <c r="K1698" s="33" t="s">
        <v>618</v>
      </c>
      <c r="L1698" s="33" t="s">
        <v>579</v>
      </c>
      <c r="M1698" s="34" t="n">
        <f aca="false">IF(AND(L1698="Oui",K1698="Principal"),I1698*J1698,0)</f>
        <v>0</v>
      </c>
      <c r="N1698" s="33" t="s">
        <v>182</v>
      </c>
      <c r="O1698" s="33" t="s">
        <v>801</v>
      </c>
      <c r="P1698" s="33" t="s">
        <v>559</v>
      </c>
      <c r="Q1698" s="33" t="s">
        <v>557</v>
      </c>
      <c r="R1698" s="34" t="n">
        <v>12000</v>
      </c>
      <c r="S1698" s="34" t="n">
        <f aca="false">IF(AND(L1698="Oui",K1698="Principal",R1698&lt;&gt;""),I1698*R1698,0)</f>
        <v>0</v>
      </c>
      <c r="T1698" s="34" t="n">
        <f aca="false">IF(R1698&lt;&gt;"",M1698-S1698,0)</f>
        <v>0</v>
      </c>
      <c r="U1698" s="34" t="n">
        <f aca="false">IF(R1698="",M1698,0)</f>
        <v>0</v>
      </c>
    </row>
    <row r="1699" customFormat="false" ht="15" hidden="false" customHeight="false" outlineLevel="0" collapsed="false">
      <c r="A1699" s="33" t="s">
        <v>65</v>
      </c>
      <c r="B1699" s="33" t="s">
        <v>74</v>
      </c>
      <c r="C1699" s="33" t="s">
        <v>48</v>
      </c>
      <c r="D1699" s="33" t="n">
        <v>20</v>
      </c>
      <c r="E1699" s="33" t="s">
        <v>588</v>
      </c>
      <c r="F1699" s="33" t="s">
        <v>508</v>
      </c>
      <c r="G1699" s="33" t="n">
        <v>62</v>
      </c>
      <c r="H1699" s="33" t="s">
        <v>802</v>
      </c>
      <c r="I1699" s="33" t="n">
        <v>1</v>
      </c>
      <c r="J1699" s="34" t="n">
        <v>15000</v>
      </c>
      <c r="K1699" s="33" t="s">
        <v>618</v>
      </c>
      <c r="L1699" s="33" t="s">
        <v>579</v>
      </c>
      <c r="M1699" s="34" t="n">
        <f aca="false">IF(AND(L1699="Oui",K1699="Principal"),I1699*J1699,0)</f>
        <v>0</v>
      </c>
      <c r="N1699" s="33" t="s">
        <v>182</v>
      </c>
      <c r="O1699" s="33" t="s">
        <v>803</v>
      </c>
      <c r="P1699" s="33" t="s">
        <v>559</v>
      </c>
      <c r="Q1699" s="33" t="s">
        <v>557</v>
      </c>
      <c r="R1699" s="34" t="n">
        <v>12000</v>
      </c>
      <c r="S1699" s="34" t="n">
        <f aca="false">IF(AND(L1699="Oui",K1699="Principal",R1699&lt;&gt;""),I1699*R1699,0)</f>
        <v>0</v>
      </c>
      <c r="T1699" s="34" t="n">
        <f aca="false">IF(R1699&lt;&gt;"",M1699-S1699,0)</f>
        <v>0</v>
      </c>
      <c r="U1699" s="34" t="n">
        <f aca="false">IF(R1699="",M1699,0)</f>
        <v>0</v>
      </c>
    </row>
    <row r="1700" customFormat="false" ht="15" hidden="false" customHeight="false" outlineLevel="0" collapsed="false">
      <c r="A1700" s="33" t="s">
        <v>65</v>
      </c>
      <c r="B1700" s="33" t="s">
        <v>74</v>
      </c>
      <c r="C1700" s="33" t="s">
        <v>48</v>
      </c>
      <c r="D1700" s="33" t="n">
        <v>21</v>
      </c>
      <c r="E1700" s="33" t="s">
        <v>588</v>
      </c>
      <c r="F1700" s="33" t="s">
        <v>510</v>
      </c>
      <c r="G1700" s="33" t="n">
        <v>60</v>
      </c>
      <c r="H1700" s="33" t="s">
        <v>804</v>
      </c>
      <c r="I1700" s="33" t="n">
        <v>1</v>
      </c>
      <c r="J1700" s="34" t="n">
        <v>10000</v>
      </c>
      <c r="K1700" s="33" t="s">
        <v>618</v>
      </c>
      <c r="L1700" s="33" t="s">
        <v>579</v>
      </c>
      <c r="M1700" s="34" t="n">
        <f aca="false">IF(AND(L1700="Oui",K1700="Principal"),I1700*J1700,0)</f>
        <v>0</v>
      </c>
      <c r="N1700" s="33" t="s">
        <v>182</v>
      </c>
      <c r="O1700" s="33" t="s">
        <v>805</v>
      </c>
      <c r="P1700" s="33" t="s">
        <v>559</v>
      </c>
      <c r="Q1700" s="33" t="s">
        <v>557</v>
      </c>
      <c r="R1700" s="34" t="n">
        <v>8000</v>
      </c>
      <c r="S1700" s="34" t="n">
        <f aca="false">IF(AND(L1700="Oui",K1700="Principal",R1700&lt;&gt;""),I1700*R1700,0)</f>
        <v>0</v>
      </c>
      <c r="T1700" s="34" t="n">
        <f aca="false">IF(R1700&lt;&gt;"",M1700-S1700,0)</f>
        <v>0</v>
      </c>
      <c r="U1700" s="34" t="n">
        <f aca="false">IF(R1700="",M1700,0)</f>
        <v>0</v>
      </c>
    </row>
    <row r="1701" customFormat="false" ht="15" hidden="false" customHeight="false" outlineLevel="0" collapsed="false">
      <c r="A1701" s="25" t="s">
        <v>65</v>
      </c>
      <c r="B1701" s="25" t="s">
        <v>74</v>
      </c>
      <c r="C1701" s="25" t="s">
        <v>48</v>
      </c>
      <c r="D1701" s="25" t="n">
        <v>22</v>
      </c>
      <c r="E1701" s="25" t="s">
        <v>588</v>
      </c>
      <c r="F1701" s="25" t="s">
        <v>512</v>
      </c>
      <c r="G1701" s="25" t="n">
        <v>72</v>
      </c>
      <c r="H1701" s="25" t="s">
        <v>806</v>
      </c>
      <c r="I1701" s="25" t="n">
        <v>1</v>
      </c>
      <c r="J1701" s="26" t="n">
        <v>15000</v>
      </c>
      <c r="K1701" s="25" t="s">
        <v>618</v>
      </c>
      <c r="L1701" s="25" t="s">
        <v>579</v>
      </c>
      <c r="M1701" s="26" t="n">
        <f aca="false">IF(AND(L1701="Oui",K1701="Principal"),I1701*J1701,0)</f>
        <v>0</v>
      </c>
      <c r="N1701" s="25" t="s">
        <v>548</v>
      </c>
      <c r="O1701" s="25"/>
      <c r="P1701" s="25" t="s">
        <v>559</v>
      </c>
      <c r="Q1701" s="25" t="s">
        <v>557</v>
      </c>
      <c r="R1701" s="26" t="n">
        <v>12000</v>
      </c>
      <c r="S1701" s="26" t="n">
        <f aca="false">IF(AND(L1701="Oui",K1701="Principal",R1701&lt;&gt;""),I1701*R1701,0)</f>
        <v>0</v>
      </c>
      <c r="T1701" s="26" t="n">
        <f aca="false">IF(R1701&lt;&gt;"",M1701-S1701,0)</f>
        <v>0</v>
      </c>
      <c r="U1701" s="26" t="n">
        <f aca="false">IF(R1701="",M1701,0)</f>
        <v>0</v>
      </c>
    </row>
    <row r="1702" customFormat="false" ht="15" hidden="false" customHeight="false" outlineLevel="0" collapsed="false">
      <c r="A1702" s="25" t="s">
        <v>65</v>
      </c>
      <c r="B1702" s="25" t="s">
        <v>74</v>
      </c>
      <c r="C1702" s="25" t="s">
        <v>48</v>
      </c>
      <c r="D1702" s="25" t="n">
        <v>23</v>
      </c>
      <c r="E1702" s="25" t="s">
        <v>588</v>
      </c>
      <c r="F1702" s="25" t="s">
        <v>514</v>
      </c>
      <c r="G1702" s="25" t="n">
        <v>74</v>
      </c>
      <c r="H1702" s="25" t="s">
        <v>807</v>
      </c>
      <c r="I1702" s="25" t="n">
        <v>1</v>
      </c>
      <c r="J1702" s="26" t="n">
        <v>15000</v>
      </c>
      <c r="K1702" s="25" t="s">
        <v>618</v>
      </c>
      <c r="L1702" s="25" t="s">
        <v>579</v>
      </c>
      <c r="M1702" s="26" t="n">
        <f aca="false">IF(AND(L1702="Oui",K1702="Principal"),I1702*J1702,0)</f>
        <v>0</v>
      </c>
      <c r="N1702" s="25" t="s">
        <v>548</v>
      </c>
      <c r="O1702" s="25"/>
      <c r="P1702" s="25" t="s">
        <v>559</v>
      </c>
      <c r="Q1702" s="25" t="s">
        <v>557</v>
      </c>
      <c r="R1702" s="26" t="n">
        <v>12000</v>
      </c>
      <c r="S1702" s="26" t="n">
        <f aca="false">IF(AND(L1702="Oui",K1702="Principal",R1702&lt;&gt;""),I1702*R1702,0)</f>
        <v>0</v>
      </c>
      <c r="T1702" s="26" t="n">
        <f aca="false">IF(R1702&lt;&gt;"",M1702-S1702,0)</f>
        <v>0</v>
      </c>
      <c r="U1702" s="26" t="n">
        <f aca="false">IF(R1702="",M1702,0)</f>
        <v>0</v>
      </c>
    </row>
    <row r="1703" customFormat="false" ht="15" hidden="false" customHeight="false" outlineLevel="0" collapsed="false">
      <c r="A1703" s="25" t="s">
        <v>65</v>
      </c>
      <c r="B1703" s="25" t="s">
        <v>74</v>
      </c>
      <c r="C1703" s="25" t="s">
        <v>48</v>
      </c>
      <c r="D1703" s="25" t="n">
        <v>24</v>
      </c>
      <c r="E1703" s="25" t="s">
        <v>588</v>
      </c>
      <c r="F1703" s="25" t="s">
        <v>516</v>
      </c>
      <c r="G1703" s="25" t="n">
        <v>75</v>
      </c>
      <c r="H1703" s="25" t="s">
        <v>788</v>
      </c>
      <c r="I1703" s="25" t="n">
        <v>1</v>
      </c>
      <c r="J1703" s="26" t="n">
        <v>15000</v>
      </c>
      <c r="K1703" s="25" t="s">
        <v>618</v>
      </c>
      <c r="L1703" s="25" t="s">
        <v>579</v>
      </c>
      <c r="M1703" s="26" t="n">
        <f aca="false">IF(AND(L1703="Oui",K1703="Principal"),I1703*J1703,0)</f>
        <v>0</v>
      </c>
      <c r="N1703" s="25" t="s">
        <v>548</v>
      </c>
      <c r="O1703" s="25" t="s">
        <v>789</v>
      </c>
      <c r="P1703" s="25" t="s">
        <v>559</v>
      </c>
      <c r="Q1703" s="25" t="s">
        <v>557</v>
      </c>
      <c r="R1703" s="26" t="n">
        <v>12000</v>
      </c>
      <c r="S1703" s="26" t="n">
        <f aca="false">IF(AND(L1703="Oui",K1703="Principal",R1703&lt;&gt;""),I1703*R1703,0)</f>
        <v>0</v>
      </c>
      <c r="T1703" s="26" t="n">
        <f aca="false">IF(R1703&lt;&gt;"",M1703-S1703,0)</f>
        <v>0</v>
      </c>
      <c r="U1703" s="26" t="n">
        <f aca="false">IF(R1703="",M1703,0)</f>
        <v>0</v>
      </c>
    </row>
    <row r="1704" customFormat="false" ht="15" hidden="false" customHeight="false" outlineLevel="0" collapsed="false">
      <c r="A1704" s="25" t="s">
        <v>65</v>
      </c>
      <c r="B1704" s="25" t="s">
        <v>74</v>
      </c>
      <c r="C1704" s="25" t="s">
        <v>48</v>
      </c>
      <c r="D1704" s="25" t="n">
        <v>25</v>
      </c>
      <c r="E1704" s="25" t="s">
        <v>577</v>
      </c>
      <c r="F1704" s="25" t="s">
        <v>321</v>
      </c>
      <c r="G1704" s="25" t="n">
        <v>1192</v>
      </c>
      <c r="H1704" s="25" t="s">
        <v>694</v>
      </c>
      <c r="I1704" s="25" t="n">
        <v>1</v>
      </c>
      <c r="J1704" s="26" t="n">
        <v>7000</v>
      </c>
      <c r="K1704" s="25" t="s">
        <v>577</v>
      </c>
      <c r="L1704" s="25" t="s">
        <v>579</v>
      </c>
      <c r="M1704" s="26" t="n">
        <f aca="false">IF(AND(L1704="Oui",K1704="Principal"),I1704*J1704,0)</f>
        <v>0</v>
      </c>
      <c r="N1704" s="25" t="s">
        <v>548</v>
      </c>
      <c r="O1704" s="25"/>
      <c r="P1704" s="25" t="s">
        <v>550</v>
      </c>
      <c r="Q1704" s="25" t="s">
        <v>557</v>
      </c>
      <c r="R1704" s="26" t="n">
        <v>5500</v>
      </c>
      <c r="S1704" s="26" t="n">
        <f aca="false">IF(AND(L1704="Oui",K1704="Principal",R1704&lt;&gt;""),I1704*R1704,0)</f>
        <v>0</v>
      </c>
      <c r="T1704" s="26" t="n">
        <f aca="false">IF(R1704&lt;&gt;"",M1704-S1704,0)</f>
        <v>0</v>
      </c>
      <c r="U1704" s="26" t="n">
        <f aca="false">IF(R1704="",M1704,0)</f>
        <v>0</v>
      </c>
    </row>
    <row r="1705" customFormat="false" ht="15" hidden="false" customHeight="false" outlineLevel="0" collapsed="false">
      <c r="A1705" s="25" t="s">
        <v>65</v>
      </c>
      <c r="B1705" s="25" t="s">
        <v>74</v>
      </c>
      <c r="C1705" s="25" t="s">
        <v>49</v>
      </c>
      <c r="D1705" s="25" t="n">
        <v>1</v>
      </c>
      <c r="E1705" s="25" t="s">
        <v>544</v>
      </c>
      <c r="F1705" s="25" t="s">
        <v>295</v>
      </c>
      <c r="G1705" s="25" t="n">
        <v>1618</v>
      </c>
      <c r="H1705" s="25" t="s">
        <v>600</v>
      </c>
      <c r="I1705" s="25" t="n">
        <v>2</v>
      </c>
      <c r="J1705" s="26" t="n">
        <v>450</v>
      </c>
      <c r="K1705" s="25" t="s">
        <v>546</v>
      </c>
      <c r="L1705" s="25" t="s">
        <v>547</v>
      </c>
      <c r="M1705" s="26" t="n">
        <f aca="false">IF(AND(L1705="Oui",K1705="Principal"),I1705*J1705,0)</f>
        <v>900</v>
      </c>
      <c r="N1705" s="25" t="s">
        <v>548</v>
      </c>
      <c r="O1705" s="25"/>
      <c r="P1705" s="25" t="s">
        <v>556</v>
      </c>
      <c r="Q1705" s="25" t="s">
        <v>557</v>
      </c>
      <c r="R1705" s="26" t="n">
        <v>350</v>
      </c>
      <c r="S1705" s="26" t="n">
        <f aca="false">IF(AND(L1705="Oui",K1705="Principal",R1705&lt;&gt;""),I1705*R1705,0)</f>
        <v>700</v>
      </c>
      <c r="T1705" s="26" t="n">
        <f aca="false">IF(R1705&lt;&gt;"",M1705-S1705,0)</f>
        <v>200</v>
      </c>
      <c r="U1705" s="26" t="n">
        <f aca="false">IF(R1705="",M1705,0)</f>
        <v>0</v>
      </c>
    </row>
    <row r="1706" customFormat="false" ht="15" hidden="false" customHeight="false" outlineLevel="0" collapsed="false">
      <c r="A1706" s="25" t="s">
        <v>65</v>
      </c>
      <c r="B1706" s="25" t="s">
        <v>74</v>
      </c>
      <c r="C1706" s="25" t="s">
        <v>49</v>
      </c>
      <c r="D1706" s="25" t="n">
        <v>2</v>
      </c>
      <c r="E1706" s="25" t="s">
        <v>544</v>
      </c>
      <c r="F1706" s="25" t="s">
        <v>296</v>
      </c>
      <c r="G1706" s="25" t="n">
        <v>1</v>
      </c>
      <c r="H1706" s="25" t="s">
        <v>681</v>
      </c>
      <c r="I1706" s="25" t="n">
        <v>4</v>
      </c>
      <c r="J1706" s="26" t="n">
        <v>500</v>
      </c>
      <c r="K1706" s="25" t="s">
        <v>546</v>
      </c>
      <c r="L1706" s="25" t="s">
        <v>547</v>
      </c>
      <c r="M1706" s="26" t="n">
        <f aca="false">IF(AND(L1706="Oui",K1706="Principal"),I1706*J1706,0)</f>
        <v>2000</v>
      </c>
      <c r="N1706" s="25" t="s">
        <v>548</v>
      </c>
      <c r="O1706" s="25"/>
      <c r="P1706" s="25" t="s">
        <v>559</v>
      </c>
      <c r="Q1706" s="25" t="s">
        <v>551</v>
      </c>
      <c r="R1706" s="26"/>
      <c r="S1706" s="26" t="n">
        <f aca="false">IF(AND(L1706="Oui",K1706="Principal",R1706&lt;&gt;""),I1706*R1706,0)</f>
        <v>0</v>
      </c>
      <c r="T1706" s="26" t="n">
        <f aca="false">IF(R1706&lt;&gt;"",M1706-S1706,0)</f>
        <v>0</v>
      </c>
      <c r="U1706" s="26" t="n">
        <f aca="false">IF(R1706="",M1706,0)</f>
        <v>2000</v>
      </c>
    </row>
    <row r="1707" customFormat="false" ht="15" hidden="false" customHeight="false" outlineLevel="0" collapsed="false">
      <c r="A1707" s="25" t="s">
        <v>65</v>
      </c>
      <c r="B1707" s="25" t="s">
        <v>74</v>
      </c>
      <c r="C1707" s="25" t="s">
        <v>49</v>
      </c>
      <c r="D1707" s="25" t="n">
        <v>3</v>
      </c>
      <c r="E1707" s="25" t="s">
        <v>544</v>
      </c>
      <c r="F1707" s="25" t="s">
        <v>298</v>
      </c>
      <c r="G1707" s="25" t="n">
        <v>1616</v>
      </c>
      <c r="H1707" s="25" t="s">
        <v>695</v>
      </c>
      <c r="I1707" s="25" t="n">
        <v>2</v>
      </c>
      <c r="J1707" s="26" t="n">
        <v>900</v>
      </c>
      <c r="K1707" s="25" t="s">
        <v>546</v>
      </c>
      <c r="L1707" s="25" t="s">
        <v>547</v>
      </c>
      <c r="M1707" s="26" t="n">
        <f aca="false">IF(AND(L1707="Oui",K1707="Principal"),I1707*J1707,0)</f>
        <v>1800</v>
      </c>
      <c r="N1707" s="25" t="s">
        <v>548</v>
      </c>
      <c r="O1707" s="25"/>
      <c r="P1707" s="25" t="s">
        <v>556</v>
      </c>
      <c r="Q1707" s="25" t="s">
        <v>557</v>
      </c>
      <c r="R1707" s="26" t="n">
        <v>800</v>
      </c>
      <c r="S1707" s="26" t="n">
        <f aca="false">IF(AND(L1707="Oui",K1707="Principal",R1707&lt;&gt;""),I1707*R1707,0)</f>
        <v>1600</v>
      </c>
      <c r="T1707" s="26" t="n">
        <f aca="false">IF(R1707&lt;&gt;"",M1707-S1707,0)</f>
        <v>200</v>
      </c>
      <c r="U1707" s="26" t="n">
        <f aca="false">IF(R1707="",M1707,0)</f>
        <v>0</v>
      </c>
    </row>
    <row r="1708" customFormat="false" ht="15" hidden="false" customHeight="false" outlineLevel="0" collapsed="false">
      <c r="A1708" s="25" t="s">
        <v>65</v>
      </c>
      <c r="B1708" s="25" t="s">
        <v>74</v>
      </c>
      <c r="C1708" s="25" t="s">
        <v>49</v>
      </c>
      <c r="D1708" s="25" t="n">
        <v>4</v>
      </c>
      <c r="E1708" s="25" t="s">
        <v>544</v>
      </c>
      <c r="F1708" s="25" t="s">
        <v>338</v>
      </c>
      <c r="G1708" s="25" t="n">
        <v>1715</v>
      </c>
      <c r="H1708" s="25" t="s">
        <v>713</v>
      </c>
      <c r="I1708" s="25" t="n">
        <v>5</v>
      </c>
      <c r="J1708" s="26" t="n">
        <v>1600</v>
      </c>
      <c r="K1708" s="25" t="s">
        <v>546</v>
      </c>
      <c r="L1708" s="25" t="s">
        <v>547</v>
      </c>
      <c r="M1708" s="26" t="n">
        <f aca="false">IF(AND(L1708="Oui",K1708="Principal"),I1708*J1708,0)</f>
        <v>8000</v>
      </c>
      <c r="N1708" s="25" t="s">
        <v>548</v>
      </c>
      <c r="O1708" s="25"/>
      <c r="P1708" s="25" t="s">
        <v>550</v>
      </c>
      <c r="Q1708" s="25" t="s">
        <v>557</v>
      </c>
      <c r="R1708" s="26" t="n">
        <v>1300</v>
      </c>
      <c r="S1708" s="26" t="n">
        <f aca="false">IF(AND(L1708="Oui",K1708="Principal",R1708&lt;&gt;""),I1708*R1708,0)</f>
        <v>6500</v>
      </c>
      <c r="T1708" s="26" t="n">
        <f aca="false">IF(R1708&lt;&gt;"",M1708-S1708,0)</f>
        <v>1500</v>
      </c>
      <c r="U1708" s="26" t="n">
        <f aca="false">IF(R1708="",M1708,0)</f>
        <v>0</v>
      </c>
    </row>
    <row r="1709" customFormat="false" ht="15" hidden="false" customHeight="false" outlineLevel="0" collapsed="false">
      <c r="A1709" s="25" t="s">
        <v>65</v>
      </c>
      <c r="B1709" s="25" t="s">
        <v>74</v>
      </c>
      <c r="C1709" s="25" t="s">
        <v>49</v>
      </c>
      <c r="D1709" s="25" t="n">
        <v>5</v>
      </c>
      <c r="E1709" s="25" t="s">
        <v>544</v>
      </c>
      <c r="F1709" s="25" t="s">
        <v>442</v>
      </c>
      <c r="G1709" s="25" t="n">
        <v>1729</v>
      </c>
      <c r="H1709" s="25" t="s">
        <v>552</v>
      </c>
      <c r="I1709" s="25" t="n">
        <v>1</v>
      </c>
      <c r="J1709" s="26" t="n">
        <v>1300</v>
      </c>
      <c r="K1709" s="25" t="s">
        <v>546</v>
      </c>
      <c r="L1709" s="25" t="s">
        <v>547</v>
      </c>
      <c r="M1709" s="26" t="n">
        <f aca="false">IF(AND(L1709="Oui",K1709="Principal"),I1709*J1709,0)</f>
        <v>1300</v>
      </c>
      <c r="N1709" s="25" t="s">
        <v>548</v>
      </c>
      <c r="O1709" s="25"/>
      <c r="P1709" s="25" t="s">
        <v>550</v>
      </c>
      <c r="Q1709" s="25" t="s">
        <v>551</v>
      </c>
      <c r="R1709" s="26"/>
      <c r="S1709" s="26" t="n">
        <f aca="false">IF(AND(L1709="Oui",K1709="Principal",R1709&lt;&gt;""),I1709*R1709,0)</f>
        <v>0</v>
      </c>
      <c r="T1709" s="26" t="n">
        <f aca="false">IF(R1709&lt;&gt;"",M1709-S1709,0)</f>
        <v>0</v>
      </c>
      <c r="U1709" s="26" t="n">
        <f aca="false">IF(R1709="",M1709,0)</f>
        <v>1300</v>
      </c>
    </row>
    <row r="1710" customFormat="false" ht="15" hidden="false" customHeight="false" outlineLevel="0" collapsed="false">
      <c r="A1710" s="25" t="s">
        <v>65</v>
      </c>
      <c r="B1710" s="25" t="s">
        <v>74</v>
      </c>
      <c r="C1710" s="25" t="s">
        <v>49</v>
      </c>
      <c r="D1710" s="25" t="n">
        <v>6</v>
      </c>
      <c r="E1710" s="25" t="s">
        <v>563</v>
      </c>
      <c r="F1710" s="25" t="s">
        <v>255</v>
      </c>
      <c r="G1710" s="25" t="n">
        <v>1636</v>
      </c>
      <c r="H1710" s="25" t="s">
        <v>661</v>
      </c>
      <c r="I1710" s="25" t="n">
        <v>1</v>
      </c>
      <c r="J1710" s="26" t="n">
        <v>400</v>
      </c>
      <c r="K1710" s="25" t="s">
        <v>546</v>
      </c>
      <c r="L1710" s="25" t="s">
        <v>547</v>
      </c>
      <c r="M1710" s="26" t="n">
        <f aca="false">IF(AND(L1710="Oui",K1710="Principal"),I1710*J1710,0)</f>
        <v>400</v>
      </c>
      <c r="N1710" s="25" t="s">
        <v>548</v>
      </c>
      <c r="O1710" s="25"/>
      <c r="P1710" s="25" t="s">
        <v>556</v>
      </c>
      <c r="Q1710" s="25" t="s">
        <v>557</v>
      </c>
      <c r="R1710" s="26" t="n">
        <v>320</v>
      </c>
      <c r="S1710" s="26" t="n">
        <f aca="false">IF(AND(L1710="Oui",K1710="Principal",R1710&lt;&gt;""),I1710*R1710,0)</f>
        <v>320</v>
      </c>
      <c r="T1710" s="26" t="n">
        <f aca="false">IF(R1710&lt;&gt;"",M1710-S1710,0)</f>
        <v>80</v>
      </c>
      <c r="U1710" s="26" t="n">
        <f aca="false">IF(R1710="",M1710,0)</f>
        <v>0</v>
      </c>
    </row>
    <row r="1711" customFormat="false" ht="15" hidden="false" customHeight="false" outlineLevel="0" collapsed="false">
      <c r="A1711" s="25" t="s">
        <v>65</v>
      </c>
      <c r="B1711" s="25" t="s">
        <v>74</v>
      </c>
      <c r="C1711" s="25" t="s">
        <v>49</v>
      </c>
      <c r="D1711" s="25" t="n">
        <v>7</v>
      </c>
      <c r="E1711" s="25" t="s">
        <v>563</v>
      </c>
      <c r="F1711" s="25" t="s">
        <v>257</v>
      </c>
      <c r="G1711" s="25" t="n">
        <v>1635</v>
      </c>
      <c r="H1711" s="25" t="s">
        <v>607</v>
      </c>
      <c r="I1711" s="25" t="n">
        <v>1</v>
      </c>
      <c r="J1711" s="26" t="n">
        <v>100</v>
      </c>
      <c r="K1711" s="25" t="s">
        <v>546</v>
      </c>
      <c r="L1711" s="25" t="s">
        <v>547</v>
      </c>
      <c r="M1711" s="26" t="n">
        <f aca="false">IF(AND(L1711="Oui",K1711="Principal"),I1711*J1711,0)</f>
        <v>100</v>
      </c>
      <c r="N1711" s="25" t="s">
        <v>548</v>
      </c>
      <c r="O1711" s="25"/>
      <c r="P1711" s="25" t="s">
        <v>556</v>
      </c>
      <c r="Q1711" s="25" t="s">
        <v>557</v>
      </c>
      <c r="R1711" s="26" t="n">
        <v>80</v>
      </c>
      <c r="S1711" s="26" t="n">
        <f aca="false">IF(AND(L1711="Oui",K1711="Principal",R1711&lt;&gt;""),I1711*R1711,0)</f>
        <v>80</v>
      </c>
      <c r="T1711" s="26" t="n">
        <f aca="false">IF(R1711&lt;&gt;"",M1711-S1711,0)</f>
        <v>20</v>
      </c>
      <c r="U1711" s="26" t="n">
        <f aca="false">IF(R1711="",M1711,0)</f>
        <v>0</v>
      </c>
    </row>
    <row r="1712" customFormat="false" ht="15" hidden="false" customHeight="false" outlineLevel="0" collapsed="false">
      <c r="A1712" s="25" t="s">
        <v>65</v>
      </c>
      <c r="B1712" s="25" t="s">
        <v>74</v>
      </c>
      <c r="C1712" s="25" t="s">
        <v>49</v>
      </c>
      <c r="D1712" s="25" t="n">
        <v>8</v>
      </c>
      <c r="E1712" s="25" t="s">
        <v>563</v>
      </c>
      <c r="F1712" s="25" t="s">
        <v>188</v>
      </c>
      <c r="G1712" s="25" t="n">
        <v>8</v>
      </c>
      <c r="H1712" s="25" t="s">
        <v>188</v>
      </c>
      <c r="I1712" s="25" t="n">
        <v>1</v>
      </c>
      <c r="J1712" s="26" t="n">
        <v>500</v>
      </c>
      <c r="K1712" s="25" t="s">
        <v>546</v>
      </c>
      <c r="L1712" s="25" t="s">
        <v>547</v>
      </c>
      <c r="M1712" s="26" t="n">
        <f aca="false">IF(AND(L1712="Oui",K1712="Principal"),I1712*J1712,0)</f>
        <v>500</v>
      </c>
      <c r="N1712" s="25" t="s">
        <v>548</v>
      </c>
      <c r="O1712" s="25"/>
      <c r="P1712" s="25" t="s">
        <v>559</v>
      </c>
      <c r="Q1712" s="25" t="s">
        <v>551</v>
      </c>
      <c r="R1712" s="26"/>
      <c r="S1712" s="26" t="n">
        <f aca="false">IF(AND(L1712="Oui",K1712="Principal",R1712&lt;&gt;""),I1712*R1712,0)</f>
        <v>0</v>
      </c>
      <c r="T1712" s="26" t="n">
        <f aca="false">IF(R1712&lt;&gt;"",M1712-S1712,0)</f>
        <v>0</v>
      </c>
      <c r="U1712" s="26" t="n">
        <f aca="false">IF(R1712="",M1712,0)</f>
        <v>500</v>
      </c>
    </row>
    <row r="1713" customFormat="false" ht="15" hidden="false" customHeight="false" outlineLevel="0" collapsed="false">
      <c r="A1713" s="25" t="s">
        <v>65</v>
      </c>
      <c r="B1713" s="25" t="s">
        <v>74</v>
      </c>
      <c r="C1713" s="25" t="s">
        <v>49</v>
      </c>
      <c r="D1713" s="25" t="n">
        <v>9</v>
      </c>
      <c r="E1713" s="25" t="s">
        <v>563</v>
      </c>
      <c r="F1713" s="25" t="s">
        <v>323</v>
      </c>
      <c r="G1713" s="25" t="n">
        <v>1607</v>
      </c>
      <c r="H1713" s="25" t="s">
        <v>696</v>
      </c>
      <c r="I1713" s="25" t="n">
        <v>1</v>
      </c>
      <c r="J1713" s="26" t="n">
        <v>2500</v>
      </c>
      <c r="K1713" s="25" t="s">
        <v>546</v>
      </c>
      <c r="L1713" s="25" t="s">
        <v>547</v>
      </c>
      <c r="M1713" s="26" t="n">
        <f aca="false">IF(AND(L1713="Oui",K1713="Principal"),I1713*J1713,0)</f>
        <v>2500</v>
      </c>
      <c r="N1713" s="25" t="s">
        <v>548</v>
      </c>
      <c r="O1713" s="25"/>
      <c r="P1713" s="25" t="s">
        <v>556</v>
      </c>
      <c r="Q1713" s="25" t="s">
        <v>557</v>
      </c>
      <c r="R1713" s="26" t="n">
        <v>2000</v>
      </c>
      <c r="S1713" s="26" t="n">
        <f aca="false">IF(AND(L1713="Oui",K1713="Principal",R1713&lt;&gt;""),I1713*R1713,0)</f>
        <v>2000</v>
      </c>
      <c r="T1713" s="26" t="n">
        <f aca="false">IF(R1713&lt;&gt;"",M1713-S1713,0)</f>
        <v>500</v>
      </c>
      <c r="U1713" s="26" t="n">
        <f aca="false">IF(R1713="",M1713,0)</f>
        <v>0</v>
      </c>
    </row>
    <row r="1714" customFormat="false" ht="15" hidden="false" customHeight="false" outlineLevel="0" collapsed="false">
      <c r="A1714" s="25" t="s">
        <v>65</v>
      </c>
      <c r="B1714" s="25" t="s">
        <v>74</v>
      </c>
      <c r="C1714" s="25" t="s">
        <v>49</v>
      </c>
      <c r="D1714" s="25" t="n">
        <v>10</v>
      </c>
      <c r="E1714" s="25" t="s">
        <v>563</v>
      </c>
      <c r="F1714" s="25" t="s">
        <v>325</v>
      </c>
      <c r="G1714" s="25" t="n">
        <v>1248</v>
      </c>
      <c r="H1714" s="25" t="s">
        <v>697</v>
      </c>
      <c r="I1714" s="25" t="n">
        <v>1</v>
      </c>
      <c r="J1714" s="26" t="n">
        <v>400</v>
      </c>
      <c r="K1714" s="25" t="s">
        <v>546</v>
      </c>
      <c r="L1714" s="25" t="s">
        <v>547</v>
      </c>
      <c r="M1714" s="26" t="n">
        <f aca="false">IF(AND(L1714="Oui",K1714="Principal"),I1714*J1714,0)</f>
        <v>400</v>
      </c>
      <c r="N1714" s="25" t="s">
        <v>548</v>
      </c>
      <c r="O1714" s="25"/>
      <c r="P1714" s="25" t="s">
        <v>550</v>
      </c>
      <c r="Q1714" s="25" t="s">
        <v>557</v>
      </c>
      <c r="R1714" s="26" t="n">
        <v>250</v>
      </c>
      <c r="S1714" s="26" t="n">
        <f aca="false">IF(AND(L1714="Oui",K1714="Principal",R1714&lt;&gt;""),I1714*R1714,0)</f>
        <v>250</v>
      </c>
      <c r="T1714" s="26" t="n">
        <f aca="false">IF(R1714&lt;&gt;"",M1714-S1714,0)</f>
        <v>150</v>
      </c>
      <c r="U1714" s="26" t="n">
        <f aca="false">IF(R1714="",M1714,0)</f>
        <v>0</v>
      </c>
    </row>
    <row r="1715" customFormat="false" ht="15" hidden="false" customHeight="false" outlineLevel="0" collapsed="false">
      <c r="A1715" s="25" t="s">
        <v>65</v>
      </c>
      <c r="B1715" s="25" t="s">
        <v>74</v>
      </c>
      <c r="C1715" s="25" t="s">
        <v>49</v>
      </c>
      <c r="D1715" s="25" t="n">
        <v>11</v>
      </c>
      <c r="E1715" s="25" t="s">
        <v>565</v>
      </c>
      <c r="F1715" s="25" t="s">
        <v>99</v>
      </c>
      <c r="G1715" s="25" t="n">
        <v>1181</v>
      </c>
      <c r="H1715" s="25" t="s">
        <v>581</v>
      </c>
      <c r="I1715" s="25" t="n">
        <v>1</v>
      </c>
      <c r="J1715" s="26" t="n">
        <v>250</v>
      </c>
      <c r="K1715" s="25" t="s">
        <v>546</v>
      </c>
      <c r="L1715" s="25" t="s">
        <v>547</v>
      </c>
      <c r="M1715" s="26" t="n">
        <f aca="false">IF(AND(L1715="Oui",K1715="Principal"),I1715*J1715,0)</f>
        <v>250</v>
      </c>
      <c r="N1715" s="25" t="s">
        <v>548</v>
      </c>
      <c r="O1715" s="25"/>
      <c r="P1715" s="25" t="s">
        <v>550</v>
      </c>
      <c r="Q1715" s="25" t="s">
        <v>557</v>
      </c>
      <c r="R1715" s="26" t="n">
        <v>110</v>
      </c>
      <c r="S1715" s="26" t="n">
        <f aca="false">IF(AND(L1715="Oui",K1715="Principal",R1715&lt;&gt;""),I1715*R1715,0)</f>
        <v>110</v>
      </c>
      <c r="T1715" s="26" t="n">
        <f aca="false">IF(R1715&lt;&gt;"",M1715-S1715,0)</f>
        <v>140</v>
      </c>
      <c r="U1715" s="26" t="n">
        <f aca="false">IF(R1715="",M1715,0)</f>
        <v>0</v>
      </c>
    </row>
    <row r="1716" customFormat="false" ht="15" hidden="false" customHeight="false" outlineLevel="0" collapsed="false">
      <c r="A1716" s="25" t="s">
        <v>65</v>
      </c>
      <c r="B1716" s="25" t="s">
        <v>74</v>
      </c>
      <c r="C1716" s="25" t="s">
        <v>49</v>
      </c>
      <c r="D1716" s="25" t="n">
        <v>12</v>
      </c>
      <c r="E1716" s="25" t="s">
        <v>565</v>
      </c>
      <c r="F1716" s="25" t="s">
        <v>164</v>
      </c>
      <c r="G1716" s="25" t="n">
        <v>1587</v>
      </c>
      <c r="H1716" s="25" t="s">
        <v>567</v>
      </c>
      <c r="I1716" s="25" t="n">
        <v>1</v>
      </c>
      <c r="J1716" s="26" t="n">
        <v>500</v>
      </c>
      <c r="K1716" s="25" t="s">
        <v>546</v>
      </c>
      <c r="L1716" s="25" t="s">
        <v>547</v>
      </c>
      <c r="M1716" s="26" t="n">
        <f aca="false">IF(AND(L1716="Oui",K1716="Principal"),I1716*J1716,0)</f>
        <v>500</v>
      </c>
      <c r="N1716" s="25" t="s">
        <v>548</v>
      </c>
      <c r="O1716" s="25"/>
      <c r="P1716" s="25" t="s">
        <v>556</v>
      </c>
      <c r="Q1716" s="25" t="s">
        <v>557</v>
      </c>
      <c r="R1716" s="26" t="n">
        <v>350</v>
      </c>
      <c r="S1716" s="26" t="n">
        <f aca="false">IF(AND(L1716="Oui",K1716="Principal",R1716&lt;&gt;""),I1716*R1716,0)</f>
        <v>350</v>
      </c>
      <c r="T1716" s="26" t="n">
        <f aca="false">IF(R1716&lt;&gt;"",M1716-S1716,0)</f>
        <v>150</v>
      </c>
      <c r="U1716" s="26" t="n">
        <f aca="false">IF(R1716="",M1716,0)</f>
        <v>0</v>
      </c>
    </row>
    <row r="1717" customFormat="false" ht="15" hidden="false" customHeight="false" outlineLevel="0" collapsed="false">
      <c r="A1717" s="25" t="s">
        <v>65</v>
      </c>
      <c r="B1717" s="25" t="s">
        <v>74</v>
      </c>
      <c r="C1717" s="25" t="s">
        <v>49</v>
      </c>
      <c r="D1717" s="25" t="n">
        <v>13</v>
      </c>
      <c r="E1717" s="25" t="s">
        <v>565</v>
      </c>
      <c r="F1717" s="25" t="s">
        <v>166</v>
      </c>
      <c r="G1717" s="25" t="n">
        <v>1604</v>
      </c>
      <c r="H1717" s="25" t="s">
        <v>582</v>
      </c>
      <c r="I1717" s="25" t="n">
        <v>2</v>
      </c>
      <c r="J1717" s="26" t="n">
        <v>700</v>
      </c>
      <c r="K1717" s="25" t="s">
        <v>546</v>
      </c>
      <c r="L1717" s="25" t="s">
        <v>547</v>
      </c>
      <c r="M1717" s="26" t="n">
        <f aca="false">IF(AND(L1717="Oui",K1717="Principal"),I1717*J1717,0)</f>
        <v>1400</v>
      </c>
      <c r="N1717" s="25" t="s">
        <v>548</v>
      </c>
      <c r="O1717" s="25"/>
      <c r="P1717" s="25" t="s">
        <v>556</v>
      </c>
      <c r="Q1717" s="25" t="s">
        <v>557</v>
      </c>
      <c r="R1717" s="26" t="n">
        <v>400</v>
      </c>
      <c r="S1717" s="26" t="n">
        <f aca="false">IF(AND(L1717="Oui",K1717="Principal",R1717&lt;&gt;""),I1717*R1717,0)</f>
        <v>800</v>
      </c>
      <c r="T1717" s="26" t="n">
        <f aca="false">IF(R1717&lt;&gt;"",M1717-S1717,0)</f>
        <v>600</v>
      </c>
      <c r="U1717" s="26" t="n">
        <f aca="false">IF(R1717="",M1717,0)</f>
        <v>0</v>
      </c>
    </row>
    <row r="1718" customFormat="false" ht="15" hidden="false" customHeight="false" outlineLevel="0" collapsed="false">
      <c r="A1718" s="25" t="s">
        <v>65</v>
      </c>
      <c r="B1718" s="25" t="s">
        <v>74</v>
      </c>
      <c r="C1718" s="25" t="s">
        <v>49</v>
      </c>
      <c r="D1718" s="25" t="n">
        <v>14</v>
      </c>
      <c r="E1718" s="25" t="s">
        <v>565</v>
      </c>
      <c r="F1718" s="25" t="s">
        <v>304</v>
      </c>
      <c r="G1718" s="25" t="n">
        <v>1586</v>
      </c>
      <c r="H1718" s="25" t="s">
        <v>583</v>
      </c>
      <c r="I1718" s="25" t="n">
        <v>1</v>
      </c>
      <c r="J1718" s="26" t="n">
        <v>900</v>
      </c>
      <c r="K1718" s="25" t="s">
        <v>546</v>
      </c>
      <c r="L1718" s="25" t="s">
        <v>547</v>
      </c>
      <c r="M1718" s="26" t="n">
        <f aca="false">IF(AND(L1718="Oui",K1718="Principal"),I1718*J1718,0)</f>
        <v>900</v>
      </c>
      <c r="N1718" s="25" t="s">
        <v>548</v>
      </c>
      <c r="O1718" s="25"/>
      <c r="P1718" s="25" t="s">
        <v>556</v>
      </c>
      <c r="Q1718" s="25" t="s">
        <v>557</v>
      </c>
      <c r="R1718" s="26" t="n">
        <v>650</v>
      </c>
      <c r="S1718" s="26" t="n">
        <f aca="false">IF(AND(L1718="Oui",K1718="Principal",R1718&lt;&gt;""),I1718*R1718,0)</f>
        <v>650</v>
      </c>
      <c r="T1718" s="26" t="n">
        <f aca="false">IF(R1718&lt;&gt;"",M1718-S1718,0)</f>
        <v>250</v>
      </c>
      <c r="U1718" s="26" t="n">
        <f aca="false">IF(R1718="",M1718,0)</f>
        <v>0</v>
      </c>
    </row>
    <row r="1719" customFormat="false" ht="15" hidden="false" customHeight="false" outlineLevel="0" collapsed="false">
      <c r="A1719" s="33" t="s">
        <v>65</v>
      </c>
      <c r="B1719" s="33" t="s">
        <v>74</v>
      </c>
      <c r="C1719" s="33" t="s">
        <v>49</v>
      </c>
      <c r="D1719" s="33" t="n">
        <v>15</v>
      </c>
      <c r="E1719" s="33" t="s">
        <v>609</v>
      </c>
      <c r="F1719" s="33" t="s">
        <v>199</v>
      </c>
      <c r="G1719" s="33" t="n">
        <v>1229</v>
      </c>
      <c r="H1719" s="33" t="s">
        <v>643</v>
      </c>
      <c r="I1719" s="33" t="n">
        <v>1</v>
      </c>
      <c r="J1719" s="34" t="n">
        <v>1800</v>
      </c>
      <c r="K1719" s="33" t="s">
        <v>546</v>
      </c>
      <c r="L1719" s="33" t="s">
        <v>547</v>
      </c>
      <c r="M1719" s="34" t="n">
        <f aca="false">IF(AND(L1719="Oui",K1719="Principal"),I1719*J1719,0)</f>
        <v>1800</v>
      </c>
      <c r="N1719" s="33" t="s">
        <v>182</v>
      </c>
      <c r="O1719" s="33" t="s">
        <v>644</v>
      </c>
      <c r="P1719" s="33" t="s">
        <v>550</v>
      </c>
      <c r="Q1719" s="33" t="s">
        <v>557</v>
      </c>
      <c r="R1719" s="34" t="n">
        <v>1500</v>
      </c>
      <c r="S1719" s="34" t="n">
        <f aca="false">IF(AND(L1719="Oui",K1719="Principal",R1719&lt;&gt;""),I1719*R1719,0)</f>
        <v>1500</v>
      </c>
      <c r="T1719" s="34" t="n">
        <f aca="false">IF(R1719&lt;&gt;"",M1719-S1719,0)</f>
        <v>300</v>
      </c>
      <c r="U1719" s="34" t="n">
        <f aca="false">IF(R1719="",M1719,0)</f>
        <v>0</v>
      </c>
    </row>
    <row r="1720" customFormat="false" ht="15" hidden="false" customHeight="false" outlineLevel="0" collapsed="false">
      <c r="A1720" s="25" t="s">
        <v>65</v>
      </c>
      <c r="B1720" s="25" t="s">
        <v>74</v>
      </c>
      <c r="C1720" s="25" t="s">
        <v>49</v>
      </c>
      <c r="D1720" s="25" t="n">
        <v>16</v>
      </c>
      <c r="E1720" s="25" t="s">
        <v>609</v>
      </c>
      <c r="F1720" s="25" t="s">
        <v>443</v>
      </c>
      <c r="G1720" s="25" t="n">
        <v>1727</v>
      </c>
      <c r="H1720" s="25" t="s">
        <v>698</v>
      </c>
      <c r="I1720" s="25" t="n">
        <v>1</v>
      </c>
      <c r="J1720" s="26" t="n">
        <v>4750</v>
      </c>
      <c r="K1720" s="25" t="s">
        <v>546</v>
      </c>
      <c r="L1720" s="25" t="s">
        <v>547</v>
      </c>
      <c r="M1720" s="26" t="n">
        <f aca="false">IF(AND(L1720="Oui",K1720="Principal"),I1720*J1720,0)</f>
        <v>4750</v>
      </c>
      <c r="N1720" s="25" t="s">
        <v>548</v>
      </c>
      <c r="O1720" s="25"/>
      <c r="P1720" s="25" t="s">
        <v>559</v>
      </c>
      <c r="Q1720" s="25" t="s">
        <v>557</v>
      </c>
      <c r="R1720" s="26" t="n">
        <v>3700</v>
      </c>
      <c r="S1720" s="26" t="n">
        <f aca="false">IF(AND(L1720="Oui",K1720="Principal",R1720&lt;&gt;""),I1720*R1720,0)</f>
        <v>3700</v>
      </c>
      <c r="T1720" s="26" t="n">
        <f aca="false">IF(R1720&lt;&gt;"",M1720-S1720,0)</f>
        <v>1050</v>
      </c>
      <c r="U1720" s="26" t="n">
        <f aca="false">IF(R1720="",M1720,0)</f>
        <v>0</v>
      </c>
    </row>
    <row r="1721" customFormat="false" ht="15" hidden="false" customHeight="false" outlineLevel="0" collapsed="false">
      <c r="A1721" s="25" t="s">
        <v>65</v>
      </c>
      <c r="B1721" s="25" t="s">
        <v>74</v>
      </c>
      <c r="C1721" s="25" t="s">
        <v>49</v>
      </c>
      <c r="D1721" s="25" t="n">
        <v>17</v>
      </c>
      <c r="E1721" s="25" t="s">
        <v>700</v>
      </c>
      <c r="F1721" s="25" t="s">
        <v>329</v>
      </c>
      <c r="G1721" s="25" t="n">
        <v>1716</v>
      </c>
      <c r="H1721" s="25" t="s">
        <v>701</v>
      </c>
      <c r="I1721" s="25" t="n">
        <v>1</v>
      </c>
      <c r="J1721" s="26" t="n">
        <v>1800</v>
      </c>
      <c r="K1721" s="25" t="s">
        <v>546</v>
      </c>
      <c r="L1721" s="25" t="s">
        <v>547</v>
      </c>
      <c r="M1721" s="26" t="n">
        <f aca="false">IF(AND(L1721="Oui",K1721="Principal"),I1721*J1721,0)</f>
        <v>1800</v>
      </c>
      <c r="N1721" s="25" t="s">
        <v>548</v>
      </c>
      <c r="O1721" s="25"/>
      <c r="P1721" s="25" t="s">
        <v>559</v>
      </c>
      <c r="Q1721" s="25" t="s">
        <v>557</v>
      </c>
      <c r="R1721" s="26" t="n">
        <v>1300</v>
      </c>
      <c r="S1721" s="26" t="n">
        <f aca="false">IF(AND(L1721="Oui",K1721="Principal",R1721&lt;&gt;""),I1721*R1721,0)</f>
        <v>1300</v>
      </c>
      <c r="T1721" s="26" t="n">
        <f aca="false">IF(R1721&lt;&gt;"",M1721-S1721,0)</f>
        <v>500</v>
      </c>
      <c r="U1721" s="26" t="n">
        <f aca="false">IF(R1721="",M1721,0)</f>
        <v>0</v>
      </c>
    </row>
    <row r="1722" customFormat="false" ht="15" hidden="false" customHeight="false" outlineLevel="0" collapsed="false">
      <c r="A1722" s="27" t="s">
        <v>65</v>
      </c>
      <c r="B1722" s="27" t="s">
        <v>74</v>
      </c>
      <c r="C1722" s="27" t="s">
        <v>49</v>
      </c>
      <c r="D1722" s="27" t="n">
        <v>18</v>
      </c>
      <c r="E1722" s="27" t="s">
        <v>700</v>
      </c>
      <c r="F1722" s="27" t="s">
        <v>430</v>
      </c>
      <c r="G1722" s="27"/>
      <c r="H1722" s="27" t="s">
        <v>585</v>
      </c>
      <c r="I1722" s="27" t="n">
        <v>1</v>
      </c>
      <c r="J1722" s="28" t="n">
        <v>0</v>
      </c>
      <c r="K1722" s="27" t="s">
        <v>546</v>
      </c>
      <c r="L1722" s="27" t="s">
        <v>579</v>
      </c>
      <c r="M1722" s="28" t="n">
        <f aca="false">IF(AND(L1722="Oui",K1722="Principal"),I1722*J1722,0)</f>
        <v>0</v>
      </c>
      <c r="N1722" s="27" t="s">
        <v>128</v>
      </c>
      <c r="O1722" s="27" t="s">
        <v>586</v>
      </c>
      <c r="P1722" s="27"/>
      <c r="Q1722" s="27"/>
      <c r="R1722" s="28"/>
      <c r="S1722" s="28" t="n">
        <f aca="false">IF(AND(L1722="Oui",K1722="Principal",R1722&lt;&gt;""),I1722*R1722,0)</f>
        <v>0</v>
      </c>
      <c r="T1722" s="28" t="n">
        <f aca="false">IF(R1722&lt;&gt;"",M1722-S1722,0)</f>
        <v>0</v>
      </c>
      <c r="U1722" s="28" t="n">
        <f aca="false">IF(R1722="",M1722,0)</f>
        <v>0</v>
      </c>
    </row>
    <row r="1723" customFormat="false" ht="15" hidden="false" customHeight="false" outlineLevel="0" collapsed="false">
      <c r="A1723" s="27" t="s">
        <v>65</v>
      </c>
      <c r="B1723" s="27" t="s">
        <v>74</v>
      </c>
      <c r="C1723" s="27" t="s">
        <v>49</v>
      </c>
      <c r="D1723" s="27" t="n">
        <v>19</v>
      </c>
      <c r="E1723" s="27" t="s">
        <v>700</v>
      </c>
      <c r="F1723" s="27" t="s">
        <v>382</v>
      </c>
      <c r="G1723" s="27"/>
      <c r="H1723" s="27" t="s">
        <v>585</v>
      </c>
      <c r="I1723" s="27" t="n">
        <v>1</v>
      </c>
      <c r="J1723" s="28" t="n">
        <v>0</v>
      </c>
      <c r="K1723" s="27" t="s">
        <v>546</v>
      </c>
      <c r="L1723" s="27" t="s">
        <v>579</v>
      </c>
      <c r="M1723" s="28" t="n">
        <f aca="false">IF(AND(L1723="Oui",K1723="Principal"),I1723*J1723,0)</f>
        <v>0</v>
      </c>
      <c r="N1723" s="27" t="s">
        <v>128</v>
      </c>
      <c r="O1723" s="27" t="s">
        <v>586</v>
      </c>
      <c r="P1723" s="27"/>
      <c r="Q1723" s="27"/>
      <c r="R1723" s="28"/>
      <c r="S1723" s="28" t="n">
        <f aca="false">IF(AND(L1723="Oui",K1723="Principal",R1723&lt;&gt;""),I1723*R1723,0)</f>
        <v>0</v>
      </c>
      <c r="T1723" s="28" t="n">
        <f aca="false">IF(R1723&lt;&gt;"",M1723-S1723,0)</f>
        <v>0</v>
      </c>
      <c r="U1723" s="28" t="n">
        <f aca="false">IF(R1723="",M1723,0)</f>
        <v>0</v>
      </c>
    </row>
    <row r="1724" customFormat="false" ht="15" hidden="false" customHeight="false" outlineLevel="0" collapsed="false">
      <c r="A1724" s="25" t="s">
        <v>65</v>
      </c>
      <c r="B1724" s="25" t="s">
        <v>74</v>
      </c>
      <c r="C1724" s="25" t="s">
        <v>49</v>
      </c>
      <c r="D1724" s="25" t="n">
        <v>20</v>
      </c>
      <c r="E1724" s="25" t="s">
        <v>571</v>
      </c>
      <c r="F1724" s="25" t="s">
        <v>431</v>
      </c>
      <c r="G1724" s="25" t="n">
        <v>1631</v>
      </c>
      <c r="H1724" s="25" t="s">
        <v>755</v>
      </c>
      <c r="I1724" s="25" t="n">
        <v>1</v>
      </c>
      <c r="J1724" s="26" t="n">
        <v>2700</v>
      </c>
      <c r="K1724" s="25" t="s">
        <v>546</v>
      </c>
      <c r="L1724" s="25" t="s">
        <v>547</v>
      </c>
      <c r="M1724" s="26" t="n">
        <f aca="false">IF(AND(L1724="Oui",K1724="Principal"),I1724*J1724,0)</f>
        <v>2700</v>
      </c>
      <c r="N1724" s="25" t="s">
        <v>548</v>
      </c>
      <c r="O1724" s="25"/>
      <c r="P1724" s="25" t="s">
        <v>556</v>
      </c>
      <c r="Q1724" s="25" t="s">
        <v>557</v>
      </c>
      <c r="R1724" s="26" t="n">
        <v>2000</v>
      </c>
      <c r="S1724" s="26" t="n">
        <f aca="false">IF(AND(L1724="Oui",K1724="Principal",R1724&lt;&gt;""),I1724*R1724,0)</f>
        <v>2000</v>
      </c>
      <c r="T1724" s="26" t="n">
        <f aca="false">IF(R1724&lt;&gt;"",M1724-S1724,0)</f>
        <v>700</v>
      </c>
      <c r="U1724" s="26" t="n">
        <f aca="false">IF(R1724="",M1724,0)</f>
        <v>0</v>
      </c>
    </row>
    <row r="1725" customFormat="false" ht="15" hidden="false" customHeight="false" outlineLevel="0" collapsed="false">
      <c r="A1725" s="25" t="s">
        <v>65</v>
      </c>
      <c r="B1725" s="25" t="s">
        <v>74</v>
      </c>
      <c r="C1725" s="25" t="s">
        <v>49</v>
      </c>
      <c r="D1725" s="25" t="n">
        <v>21</v>
      </c>
      <c r="E1725" s="25" t="s">
        <v>571</v>
      </c>
      <c r="F1725" s="25" t="s">
        <v>433</v>
      </c>
      <c r="G1725" s="25" t="n">
        <v>1683</v>
      </c>
      <c r="H1725" s="25" t="s">
        <v>756</v>
      </c>
      <c r="I1725" s="25" t="n">
        <v>1</v>
      </c>
      <c r="J1725" s="26" t="n">
        <v>1000</v>
      </c>
      <c r="K1725" s="25" t="s">
        <v>546</v>
      </c>
      <c r="L1725" s="25" t="s">
        <v>547</v>
      </c>
      <c r="M1725" s="26" t="n">
        <f aca="false">IF(AND(L1725="Oui",K1725="Principal"),I1725*J1725,0)</f>
        <v>1000</v>
      </c>
      <c r="N1725" s="25" t="s">
        <v>548</v>
      </c>
      <c r="O1725" s="25"/>
      <c r="P1725" s="25" t="s">
        <v>556</v>
      </c>
      <c r="Q1725" s="25" t="s">
        <v>557</v>
      </c>
      <c r="R1725" s="26"/>
      <c r="S1725" s="26" t="n">
        <f aca="false">IF(AND(L1725="Oui",K1725="Principal",R1725&lt;&gt;""),I1725*R1725,0)</f>
        <v>0</v>
      </c>
      <c r="T1725" s="26" t="n">
        <f aca="false">IF(R1725&lt;&gt;"",M1725-S1725,0)</f>
        <v>0</v>
      </c>
      <c r="U1725" s="26" t="n">
        <f aca="false">IF(R1725="",M1725,0)</f>
        <v>1000</v>
      </c>
    </row>
    <row r="1726" customFormat="false" ht="15" hidden="false" customHeight="false" outlineLevel="0" collapsed="false">
      <c r="A1726" s="33" t="s">
        <v>65</v>
      </c>
      <c r="B1726" s="33" t="s">
        <v>74</v>
      </c>
      <c r="C1726" s="33" t="s">
        <v>49</v>
      </c>
      <c r="D1726" s="33" t="n">
        <v>22</v>
      </c>
      <c r="E1726" s="33" t="s">
        <v>571</v>
      </c>
      <c r="F1726" s="33" t="s">
        <v>435</v>
      </c>
      <c r="G1726" s="33" t="n">
        <v>1269</v>
      </c>
      <c r="H1726" s="33" t="s">
        <v>757</v>
      </c>
      <c r="I1726" s="33" t="n">
        <v>1</v>
      </c>
      <c r="J1726" s="34" t="n">
        <v>1150</v>
      </c>
      <c r="K1726" s="33" t="s">
        <v>546</v>
      </c>
      <c r="L1726" s="33" t="s">
        <v>547</v>
      </c>
      <c r="M1726" s="34" t="n">
        <f aca="false">IF(AND(L1726="Oui",K1726="Principal"),I1726*J1726,0)</f>
        <v>1150</v>
      </c>
      <c r="N1726" s="33" t="s">
        <v>182</v>
      </c>
      <c r="O1726" s="33" t="s">
        <v>758</v>
      </c>
      <c r="P1726" s="33" t="s">
        <v>550</v>
      </c>
      <c r="Q1726" s="33" t="s">
        <v>557</v>
      </c>
      <c r="R1726" s="34" t="n">
        <v>850</v>
      </c>
      <c r="S1726" s="34" t="n">
        <f aca="false">IF(AND(L1726="Oui",K1726="Principal",R1726&lt;&gt;""),I1726*R1726,0)</f>
        <v>850</v>
      </c>
      <c r="T1726" s="34" t="n">
        <f aca="false">IF(R1726&lt;&gt;"",M1726-S1726,0)</f>
        <v>300</v>
      </c>
      <c r="U1726" s="34" t="n">
        <f aca="false">IF(R1726="",M1726,0)</f>
        <v>0</v>
      </c>
    </row>
    <row r="1727" customFormat="false" ht="15" hidden="false" customHeight="false" outlineLevel="0" collapsed="false">
      <c r="A1727" s="25" t="s">
        <v>65</v>
      </c>
      <c r="B1727" s="25" t="s">
        <v>74</v>
      </c>
      <c r="C1727" s="25" t="s">
        <v>49</v>
      </c>
      <c r="D1727" s="25" t="n">
        <v>23</v>
      </c>
      <c r="E1727" s="25" t="s">
        <v>573</v>
      </c>
      <c r="F1727" s="25" t="s">
        <v>176</v>
      </c>
      <c r="G1727" s="25" t="n">
        <v>19</v>
      </c>
      <c r="H1727" s="25" t="s">
        <v>615</v>
      </c>
      <c r="I1727" s="25" t="n">
        <v>1</v>
      </c>
      <c r="J1727" s="26" t="n">
        <v>2500</v>
      </c>
      <c r="K1727" s="25" t="s">
        <v>546</v>
      </c>
      <c r="L1727" s="25" t="s">
        <v>547</v>
      </c>
      <c r="M1727" s="26" t="n">
        <f aca="false">IF(AND(L1727="Oui",K1727="Principal"),I1727*J1727,0)</f>
        <v>2500</v>
      </c>
      <c r="N1727" s="25" t="s">
        <v>548</v>
      </c>
      <c r="O1727" s="25"/>
      <c r="P1727" s="25" t="s">
        <v>559</v>
      </c>
      <c r="Q1727" s="25" t="s">
        <v>551</v>
      </c>
      <c r="R1727" s="26"/>
      <c r="S1727" s="26" t="n">
        <f aca="false">IF(AND(L1727="Oui",K1727="Principal",R1727&lt;&gt;""),I1727*R1727,0)</f>
        <v>0</v>
      </c>
      <c r="T1727" s="26" t="n">
        <f aca="false">IF(R1727&lt;&gt;"",M1727-S1727,0)</f>
        <v>0</v>
      </c>
      <c r="U1727" s="26" t="n">
        <f aca="false">IF(R1727="",M1727,0)</f>
        <v>2500</v>
      </c>
    </row>
    <row r="1728" customFormat="false" ht="15" hidden="false" customHeight="false" outlineLevel="0" collapsed="false">
      <c r="A1728" s="25" t="s">
        <v>65</v>
      </c>
      <c r="B1728" s="25" t="s">
        <v>74</v>
      </c>
      <c r="C1728" s="25" t="s">
        <v>49</v>
      </c>
      <c r="D1728" s="25" t="n">
        <v>24</v>
      </c>
      <c r="E1728" s="25" t="s">
        <v>573</v>
      </c>
      <c r="F1728" s="25" t="s">
        <v>117</v>
      </c>
      <c r="G1728" s="25" t="n">
        <v>1288</v>
      </c>
      <c r="H1728" s="25" t="s">
        <v>624</v>
      </c>
      <c r="I1728" s="25" t="n">
        <v>1</v>
      </c>
      <c r="J1728" s="26" t="n">
        <v>2500</v>
      </c>
      <c r="K1728" s="25" t="s">
        <v>546</v>
      </c>
      <c r="L1728" s="25" t="s">
        <v>547</v>
      </c>
      <c r="M1728" s="26" t="n">
        <f aca="false">IF(AND(L1728="Oui",K1728="Principal"),I1728*J1728,0)</f>
        <v>2500</v>
      </c>
      <c r="N1728" s="25" t="s">
        <v>548</v>
      </c>
      <c r="O1728" s="25"/>
      <c r="P1728" s="25" t="s">
        <v>550</v>
      </c>
      <c r="Q1728" s="25" t="s">
        <v>557</v>
      </c>
      <c r="R1728" s="26" t="n">
        <v>2000</v>
      </c>
      <c r="S1728" s="26" t="n">
        <f aca="false">IF(AND(L1728="Oui",K1728="Principal",R1728&lt;&gt;""),I1728*R1728,0)</f>
        <v>2000</v>
      </c>
      <c r="T1728" s="26" t="n">
        <f aca="false">IF(R1728&lt;&gt;"",M1728-S1728,0)</f>
        <v>500</v>
      </c>
      <c r="U1728" s="26" t="n">
        <f aca="false">IF(R1728="",M1728,0)</f>
        <v>0</v>
      </c>
    </row>
    <row r="1729" customFormat="false" ht="15" hidden="false" customHeight="false" outlineLevel="0" collapsed="false">
      <c r="A1729" s="25" t="s">
        <v>65</v>
      </c>
      <c r="B1729" s="25" t="s">
        <v>74</v>
      </c>
      <c r="C1729" s="25" t="s">
        <v>49</v>
      </c>
      <c r="D1729" s="25" t="n">
        <v>25</v>
      </c>
      <c r="E1729" s="25" t="s">
        <v>573</v>
      </c>
      <c r="F1729" s="25" t="s">
        <v>321</v>
      </c>
      <c r="G1729" s="25" t="n">
        <v>1192</v>
      </c>
      <c r="H1729" s="25" t="s">
        <v>694</v>
      </c>
      <c r="I1729" s="25" t="n">
        <v>1</v>
      </c>
      <c r="J1729" s="26" t="n">
        <v>7000</v>
      </c>
      <c r="K1729" s="25" t="s">
        <v>546</v>
      </c>
      <c r="L1729" s="25" t="s">
        <v>547</v>
      </c>
      <c r="M1729" s="26" t="n">
        <f aca="false">IF(AND(L1729="Oui",K1729="Principal"),I1729*J1729,0)</f>
        <v>7000</v>
      </c>
      <c r="N1729" s="25" t="s">
        <v>548</v>
      </c>
      <c r="O1729" s="25"/>
      <c r="P1729" s="25" t="s">
        <v>550</v>
      </c>
      <c r="Q1729" s="25" t="s">
        <v>557</v>
      </c>
      <c r="R1729" s="26" t="n">
        <v>5500</v>
      </c>
      <c r="S1729" s="26" t="n">
        <f aca="false">IF(AND(L1729="Oui",K1729="Principal",R1729&lt;&gt;""),I1729*R1729,0)</f>
        <v>5500</v>
      </c>
      <c r="T1729" s="26" t="n">
        <f aca="false">IF(R1729&lt;&gt;"",M1729-S1729,0)</f>
        <v>1500</v>
      </c>
      <c r="U1729" s="26" t="n">
        <f aca="false">IF(R1729="",M1729,0)</f>
        <v>0</v>
      </c>
    </row>
    <row r="1730" customFormat="false" ht="15" hidden="false" customHeight="false" outlineLevel="0" collapsed="false">
      <c r="A1730" s="33" t="s">
        <v>65</v>
      </c>
      <c r="B1730" s="33" t="s">
        <v>74</v>
      </c>
      <c r="C1730" s="33" t="s">
        <v>49</v>
      </c>
      <c r="D1730" s="33" t="n">
        <v>26</v>
      </c>
      <c r="E1730" s="33" t="s">
        <v>588</v>
      </c>
      <c r="F1730" s="33" t="s">
        <v>503</v>
      </c>
      <c r="G1730" s="33" t="n">
        <v>58</v>
      </c>
      <c r="H1730" s="33" t="s">
        <v>797</v>
      </c>
      <c r="I1730" s="33" t="n">
        <v>1</v>
      </c>
      <c r="J1730" s="34" t="n">
        <v>35000</v>
      </c>
      <c r="K1730" s="33" t="s">
        <v>546</v>
      </c>
      <c r="L1730" s="33" t="s">
        <v>547</v>
      </c>
      <c r="M1730" s="34" t="n">
        <f aca="false">IF(AND(L1730="Oui",K1730="Principal"),I1730*J1730,0)</f>
        <v>35000</v>
      </c>
      <c r="N1730" s="33" t="s">
        <v>182</v>
      </c>
      <c r="O1730" s="33" t="s">
        <v>798</v>
      </c>
      <c r="P1730" s="33" t="s">
        <v>559</v>
      </c>
      <c r="Q1730" s="33" t="s">
        <v>557</v>
      </c>
      <c r="R1730" s="34" t="n">
        <v>28000</v>
      </c>
      <c r="S1730" s="34" t="n">
        <f aca="false">IF(AND(L1730="Oui",K1730="Principal",R1730&lt;&gt;""),I1730*R1730,0)</f>
        <v>28000</v>
      </c>
      <c r="T1730" s="34" t="n">
        <f aca="false">IF(R1730&lt;&gt;"",M1730-S1730,0)</f>
        <v>7000</v>
      </c>
      <c r="U1730" s="34" t="n">
        <f aca="false">IF(R1730="",M1730,0)</f>
        <v>0</v>
      </c>
    </row>
    <row r="1731" customFormat="false" ht="15" hidden="false" customHeight="false" outlineLevel="0" collapsed="false">
      <c r="A1731" s="27" t="s">
        <v>65</v>
      </c>
      <c r="B1731" s="27" t="s">
        <v>74</v>
      </c>
      <c r="C1731" s="27" t="s">
        <v>49</v>
      </c>
      <c r="D1731" s="27" t="n">
        <v>27</v>
      </c>
      <c r="E1731" s="27" t="s">
        <v>588</v>
      </c>
      <c r="F1731" s="27" t="s">
        <v>505</v>
      </c>
      <c r="G1731" s="27"/>
      <c r="H1731" s="27" t="s">
        <v>585</v>
      </c>
      <c r="I1731" s="27" t="n">
        <v>1</v>
      </c>
      <c r="J1731" s="28" t="n">
        <v>0</v>
      </c>
      <c r="K1731" s="27" t="s">
        <v>546</v>
      </c>
      <c r="L1731" s="27" t="s">
        <v>579</v>
      </c>
      <c r="M1731" s="28" t="n">
        <f aca="false">IF(AND(L1731="Oui",K1731="Principal"),I1731*J1731,0)</f>
        <v>0</v>
      </c>
      <c r="N1731" s="27" t="s">
        <v>128</v>
      </c>
      <c r="O1731" s="27" t="s">
        <v>799</v>
      </c>
      <c r="P1731" s="27"/>
      <c r="Q1731" s="27"/>
      <c r="R1731" s="28"/>
      <c r="S1731" s="28" t="n">
        <f aca="false">IF(AND(L1731="Oui",K1731="Principal",R1731&lt;&gt;""),I1731*R1731,0)</f>
        <v>0</v>
      </c>
      <c r="T1731" s="28" t="n">
        <f aca="false">IF(R1731&lt;&gt;"",M1731-S1731,0)</f>
        <v>0</v>
      </c>
      <c r="U1731" s="28" t="n">
        <f aca="false">IF(R1731="",M1731,0)</f>
        <v>0</v>
      </c>
    </row>
    <row r="1732" customFormat="false" ht="15" hidden="false" customHeight="false" outlineLevel="0" collapsed="false">
      <c r="A1732" s="33" t="s">
        <v>65</v>
      </c>
      <c r="B1732" s="33" t="s">
        <v>74</v>
      </c>
      <c r="C1732" s="33" t="s">
        <v>49</v>
      </c>
      <c r="D1732" s="33" t="n">
        <v>28</v>
      </c>
      <c r="E1732" s="33" t="s">
        <v>588</v>
      </c>
      <c r="F1732" s="33" t="s">
        <v>506</v>
      </c>
      <c r="G1732" s="33" t="n">
        <v>69</v>
      </c>
      <c r="H1732" s="33" t="s">
        <v>800</v>
      </c>
      <c r="I1732" s="33" t="n">
        <v>1</v>
      </c>
      <c r="J1732" s="34" t="n">
        <v>15000</v>
      </c>
      <c r="K1732" s="33" t="s">
        <v>546</v>
      </c>
      <c r="L1732" s="33" t="s">
        <v>547</v>
      </c>
      <c r="M1732" s="34" t="n">
        <f aca="false">IF(AND(L1732="Oui",K1732="Principal"),I1732*J1732,0)</f>
        <v>15000</v>
      </c>
      <c r="N1732" s="33" t="s">
        <v>182</v>
      </c>
      <c r="O1732" s="33" t="s">
        <v>801</v>
      </c>
      <c r="P1732" s="33" t="s">
        <v>559</v>
      </c>
      <c r="Q1732" s="33" t="s">
        <v>557</v>
      </c>
      <c r="R1732" s="34" t="n">
        <v>12000</v>
      </c>
      <c r="S1732" s="34" t="n">
        <f aca="false">IF(AND(L1732="Oui",K1732="Principal",R1732&lt;&gt;""),I1732*R1732,0)</f>
        <v>12000</v>
      </c>
      <c r="T1732" s="34" t="n">
        <f aca="false">IF(R1732&lt;&gt;"",M1732-S1732,0)</f>
        <v>3000</v>
      </c>
      <c r="U1732" s="34" t="n">
        <f aca="false">IF(R1732="",M1732,0)</f>
        <v>0</v>
      </c>
    </row>
    <row r="1733" customFormat="false" ht="15" hidden="false" customHeight="false" outlineLevel="0" collapsed="false">
      <c r="A1733" s="33" t="s">
        <v>65</v>
      </c>
      <c r="B1733" s="33" t="s">
        <v>74</v>
      </c>
      <c r="C1733" s="33" t="s">
        <v>49</v>
      </c>
      <c r="D1733" s="33" t="n">
        <v>29</v>
      </c>
      <c r="E1733" s="33" t="s">
        <v>588</v>
      </c>
      <c r="F1733" s="33" t="s">
        <v>508</v>
      </c>
      <c r="G1733" s="33" t="n">
        <v>62</v>
      </c>
      <c r="H1733" s="33" t="s">
        <v>802</v>
      </c>
      <c r="I1733" s="33" t="n">
        <v>1</v>
      </c>
      <c r="J1733" s="34" t="n">
        <v>15000</v>
      </c>
      <c r="K1733" s="33" t="s">
        <v>546</v>
      </c>
      <c r="L1733" s="33" t="s">
        <v>547</v>
      </c>
      <c r="M1733" s="34" t="n">
        <f aca="false">IF(AND(L1733="Oui",K1733="Principal"),I1733*J1733,0)</f>
        <v>15000</v>
      </c>
      <c r="N1733" s="33" t="s">
        <v>182</v>
      </c>
      <c r="O1733" s="33" t="s">
        <v>803</v>
      </c>
      <c r="P1733" s="33" t="s">
        <v>559</v>
      </c>
      <c r="Q1733" s="33" t="s">
        <v>557</v>
      </c>
      <c r="R1733" s="34" t="n">
        <v>12000</v>
      </c>
      <c r="S1733" s="34" t="n">
        <f aca="false">IF(AND(L1733="Oui",K1733="Principal",R1733&lt;&gt;""),I1733*R1733,0)</f>
        <v>12000</v>
      </c>
      <c r="T1733" s="34" t="n">
        <f aca="false">IF(R1733&lt;&gt;"",M1733-S1733,0)</f>
        <v>3000</v>
      </c>
      <c r="U1733" s="34" t="n">
        <f aca="false">IF(R1733="",M1733,0)</f>
        <v>0</v>
      </c>
    </row>
    <row r="1734" customFormat="false" ht="15" hidden="false" customHeight="false" outlineLevel="0" collapsed="false">
      <c r="A1734" s="33" t="s">
        <v>65</v>
      </c>
      <c r="B1734" s="33" t="s">
        <v>74</v>
      </c>
      <c r="C1734" s="33" t="s">
        <v>49</v>
      </c>
      <c r="D1734" s="33" t="n">
        <v>30</v>
      </c>
      <c r="E1734" s="33" t="s">
        <v>588</v>
      </c>
      <c r="F1734" s="33" t="s">
        <v>510</v>
      </c>
      <c r="G1734" s="33" t="n">
        <v>60</v>
      </c>
      <c r="H1734" s="33" t="s">
        <v>804</v>
      </c>
      <c r="I1734" s="33" t="n">
        <v>1</v>
      </c>
      <c r="J1734" s="34" t="n">
        <v>10000</v>
      </c>
      <c r="K1734" s="33" t="s">
        <v>546</v>
      </c>
      <c r="L1734" s="33" t="s">
        <v>547</v>
      </c>
      <c r="M1734" s="34" t="n">
        <f aca="false">IF(AND(L1734="Oui",K1734="Principal"),I1734*J1734,0)</f>
        <v>10000</v>
      </c>
      <c r="N1734" s="33" t="s">
        <v>182</v>
      </c>
      <c r="O1734" s="33" t="s">
        <v>805</v>
      </c>
      <c r="P1734" s="33" t="s">
        <v>559</v>
      </c>
      <c r="Q1734" s="33" t="s">
        <v>557</v>
      </c>
      <c r="R1734" s="34" t="n">
        <v>8000</v>
      </c>
      <c r="S1734" s="34" t="n">
        <f aca="false">IF(AND(L1734="Oui",K1734="Principal",R1734&lt;&gt;""),I1734*R1734,0)</f>
        <v>8000</v>
      </c>
      <c r="T1734" s="34" t="n">
        <f aca="false">IF(R1734&lt;&gt;"",M1734-S1734,0)</f>
        <v>2000</v>
      </c>
      <c r="U1734" s="34" t="n">
        <f aca="false">IF(R1734="",M1734,0)</f>
        <v>0</v>
      </c>
    </row>
    <row r="1735" customFormat="false" ht="15" hidden="false" customHeight="false" outlineLevel="0" collapsed="false">
      <c r="A1735" s="25" t="s">
        <v>65</v>
      </c>
      <c r="B1735" s="25" t="s">
        <v>74</v>
      </c>
      <c r="C1735" s="25" t="s">
        <v>49</v>
      </c>
      <c r="D1735" s="25" t="n">
        <v>31</v>
      </c>
      <c r="E1735" s="25" t="s">
        <v>588</v>
      </c>
      <c r="F1735" s="25" t="s">
        <v>512</v>
      </c>
      <c r="G1735" s="25" t="n">
        <v>72</v>
      </c>
      <c r="H1735" s="25" t="s">
        <v>806</v>
      </c>
      <c r="I1735" s="25" t="n">
        <v>1</v>
      </c>
      <c r="J1735" s="26" t="n">
        <v>15000</v>
      </c>
      <c r="K1735" s="25" t="s">
        <v>546</v>
      </c>
      <c r="L1735" s="25" t="s">
        <v>547</v>
      </c>
      <c r="M1735" s="26" t="n">
        <f aca="false">IF(AND(L1735="Oui",K1735="Principal"),I1735*J1735,0)</f>
        <v>15000</v>
      </c>
      <c r="N1735" s="25" t="s">
        <v>548</v>
      </c>
      <c r="O1735" s="25"/>
      <c r="P1735" s="25" t="s">
        <v>559</v>
      </c>
      <c r="Q1735" s="25" t="s">
        <v>557</v>
      </c>
      <c r="R1735" s="26" t="n">
        <v>12000</v>
      </c>
      <c r="S1735" s="26" t="n">
        <f aca="false">IF(AND(L1735="Oui",K1735="Principal",R1735&lt;&gt;""),I1735*R1735,0)</f>
        <v>12000</v>
      </c>
      <c r="T1735" s="26" t="n">
        <f aca="false">IF(R1735&lt;&gt;"",M1735-S1735,0)</f>
        <v>3000</v>
      </c>
      <c r="U1735" s="26" t="n">
        <f aca="false">IF(R1735="",M1735,0)</f>
        <v>0</v>
      </c>
    </row>
    <row r="1736" customFormat="false" ht="15" hidden="false" customHeight="false" outlineLevel="0" collapsed="false">
      <c r="A1736" s="25" t="s">
        <v>65</v>
      </c>
      <c r="B1736" s="25" t="s">
        <v>74</v>
      </c>
      <c r="C1736" s="25" t="s">
        <v>49</v>
      </c>
      <c r="D1736" s="25" t="n">
        <v>32</v>
      </c>
      <c r="E1736" s="25" t="s">
        <v>588</v>
      </c>
      <c r="F1736" s="25" t="s">
        <v>514</v>
      </c>
      <c r="G1736" s="25" t="n">
        <v>74</v>
      </c>
      <c r="H1736" s="25" t="s">
        <v>807</v>
      </c>
      <c r="I1736" s="25" t="n">
        <v>1</v>
      </c>
      <c r="J1736" s="26" t="n">
        <v>15000</v>
      </c>
      <c r="K1736" s="25" t="s">
        <v>546</v>
      </c>
      <c r="L1736" s="25" t="s">
        <v>547</v>
      </c>
      <c r="M1736" s="26" t="n">
        <f aca="false">IF(AND(L1736="Oui",K1736="Principal"),I1736*J1736,0)</f>
        <v>15000</v>
      </c>
      <c r="N1736" s="25" t="s">
        <v>548</v>
      </c>
      <c r="O1736" s="25"/>
      <c r="P1736" s="25" t="s">
        <v>559</v>
      </c>
      <c r="Q1736" s="25" t="s">
        <v>557</v>
      </c>
      <c r="R1736" s="26" t="n">
        <v>12000</v>
      </c>
      <c r="S1736" s="26" t="n">
        <f aca="false">IF(AND(L1736="Oui",K1736="Principal",R1736&lt;&gt;""),I1736*R1736,0)</f>
        <v>12000</v>
      </c>
      <c r="T1736" s="26" t="n">
        <f aca="false">IF(R1736&lt;&gt;"",M1736-S1736,0)</f>
        <v>3000</v>
      </c>
      <c r="U1736" s="26" t="n">
        <f aca="false">IF(R1736="",M1736,0)</f>
        <v>0</v>
      </c>
    </row>
    <row r="1737" customFormat="false" ht="15" hidden="false" customHeight="false" outlineLevel="0" collapsed="false">
      <c r="A1737" s="25" t="s">
        <v>65</v>
      </c>
      <c r="B1737" s="25" t="s">
        <v>74</v>
      </c>
      <c r="C1737" s="25" t="s">
        <v>49</v>
      </c>
      <c r="D1737" s="25" t="n">
        <v>33</v>
      </c>
      <c r="E1737" s="25" t="s">
        <v>588</v>
      </c>
      <c r="F1737" s="25" t="s">
        <v>516</v>
      </c>
      <c r="G1737" s="25" t="n">
        <v>75</v>
      </c>
      <c r="H1737" s="25" t="s">
        <v>788</v>
      </c>
      <c r="I1737" s="25" t="n">
        <v>1</v>
      </c>
      <c r="J1737" s="26" t="n">
        <v>15000</v>
      </c>
      <c r="K1737" s="25" t="s">
        <v>546</v>
      </c>
      <c r="L1737" s="25" t="s">
        <v>547</v>
      </c>
      <c r="M1737" s="26" t="n">
        <f aca="false">IF(AND(L1737="Oui",K1737="Principal"),I1737*J1737,0)</f>
        <v>15000</v>
      </c>
      <c r="N1737" s="25" t="s">
        <v>548</v>
      </c>
      <c r="O1737" s="25" t="s">
        <v>789</v>
      </c>
      <c r="P1737" s="25" t="s">
        <v>559</v>
      </c>
      <c r="Q1737" s="25" t="s">
        <v>557</v>
      </c>
      <c r="R1737" s="26" t="n">
        <v>12000</v>
      </c>
      <c r="S1737" s="26" t="n">
        <f aca="false">IF(AND(L1737="Oui",K1737="Principal",R1737&lt;&gt;""),I1737*R1737,0)</f>
        <v>12000</v>
      </c>
      <c r="T1737" s="26" t="n">
        <f aca="false">IF(R1737&lt;&gt;"",M1737-S1737,0)</f>
        <v>3000</v>
      </c>
      <c r="U1737" s="26" t="n">
        <f aca="false">IF(R1737="",M1737,0)</f>
        <v>0</v>
      </c>
    </row>
    <row r="1738" customFormat="false" ht="15" hidden="false" customHeight="false" outlineLevel="0" collapsed="false">
      <c r="A1738" s="25" t="s">
        <v>65</v>
      </c>
      <c r="B1738" s="25" t="s">
        <v>74</v>
      </c>
      <c r="C1738" s="25" t="s">
        <v>50</v>
      </c>
      <c r="D1738" s="25" t="n">
        <v>1</v>
      </c>
      <c r="E1738" s="25" t="s">
        <v>544</v>
      </c>
      <c r="F1738" s="25" t="s">
        <v>295</v>
      </c>
      <c r="G1738" s="25" t="n">
        <v>1618</v>
      </c>
      <c r="H1738" s="25" t="s">
        <v>600</v>
      </c>
      <c r="I1738" s="25" t="n">
        <v>2</v>
      </c>
      <c r="J1738" s="26" t="n">
        <v>450</v>
      </c>
      <c r="K1738" s="25" t="s">
        <v>546</v>
      </c>
      <c r="L1738" s="25" t="s">
        <v>547</v>
      </c>
      <c r="M1738" s="26" t="n">
        <f aca="false">IF(AND(L1738="Oui",K1738="Principal"),I1738*J1738,0)</f>
        <v>900</v>
      </c>
      <c r="N1738" s="25" t="s">
        <v>548</v>
      </c>
      <c r="O1738" s="25"/>
      <c r="P1738" s="25" t="s">
        <v>556</v>
      </c>
      <c r="Q1738" s="25" t="s">
        <v>557</v>
      </c>
      <c r="R1738" s="26" t="n">
        <v>350</v>
      </c>
      <c r="S1738" s="26" t="n">
        <f aca="false">IF(AND(L1738="Oui",K1738="Principal",R1738&lt;&gt;""),I1738*R1738,0)</f>
        <v>700</v>
      </c>
      <c r="T1738" s="26" t="n">
        <f aca="false">IF(R1738&lt;&gt;"",M1738-S1738,0)</f>
        <v>200</v>
      </c>
      <c r="U1738" s="26" t="n">
        <f aca="false">IF(R1738="",M1738,0)</f>
        <v>0</v>
      </c>
    </row>
    <row r="1739" customFormat="false" ht="15" hidden="false" customHeight="false" outlineLevel="0" collapsed="false">
      <c r="A1739" s="25" t="s">
        <v>65</v>
      </c>
      <c r="B1739" s="25" t="s">
        <v>74</v>
      </c>
      <c r="C1739" s="25" t="s">
        <v>50</v>
      </c>
      <c r="D1739" s="25" t="n">
        <v>2</v>
      </c>
      <c r="E1739" s="25" t="s">
        <v>544</v>
      </c>
      <c r="F1739" s="25" t="s">
        <v>296</v>
      </c>
      <c r="G1739" s="25" t="n">
        <v>1</v>
      </c>
      <c r="H1739" s="25" t="s">
        <v>681</v>
      </c>
      <c r="I1739" s="25" t="n">
        <v>4</v>
      </c>
      <c r="J1739" s="26" t="n">
        <v>500</v>
      </c>
      <c r="K1739" s="25" t="s">
        <v>546</v>
      </c>
      <c r="L1739" s="25" t="s">
        <v>547</v>
      </c>
      <c r="M1739" s="26" t="n">
        <f aca="false">IF(AND(L1739="Oui",K1739="Principal"),I1739*J1739,0)</f>
        <v>2000</v>
      </c>
      <c r="N1739" s="25" t="s">
        <v>548</v>
      </c>
      <c r="O1739" s="25"/>
      <c r="P1739" s="25" t="s">
        <v>559</v>
      </c>
      <c r="Q1739" s="25" t="s">
        <v>551</v>
      </c>
      <c r="R1739" s="26"/>
      <c r="S1739" s="26" t="n">
        <f aca="false">IF(AND(L1739="Oui",K1739="Principal",R1739&lt;&gt;""),I1739*R1739,0)</f>
        <v>0</v>
      </c>
      <c r="T1739" s="26" t="n">
        <f aca="false">IF(R1739&lt;&gt;"",M1739-S1739,0)</f>
        <v>0</v>
      </c>
      <c r="U1739" s="26" t="n">
        <f aca="false">IF(R1739="",M1739,0)</f>
        <v>2000</v>
      </c>
    </row>
    <row r="1740" customFormat="false" ht="15" hidden="false" customHeight="false" outlineLevel="0" collapsed="false">
      <c r="A1740" s="25" t="s">
        <v>65</v>
      </c>
      <c r="B1740" s="25" t="s">
        <v>74</v>
      </c>
      <c r="C1740" s="25" t="s">
        <v>50</v>
      </c>
      <c r="D1740" s="25" t="n">
        <v>3</v>
      </c>
      <c r="E1740" s="25" t="s">
        <v>544</v>
      </c>
      <c r="F1740" s="25" t="s">
        <v>298</v>
      </c>
      <c r="G1740" s="25" t="n">
        <v>1616</v>
      </c>
      <c r="H1740" s="25" t="s">
        <v>695</v>
      </c>
      <c r="I1740" s="25" t="n">
        <v>2</v>
      </c>
      <c r="J1740" s="26" t="n">
        <v>900</v>
      </c>
      <c r="K1740" s="25" t="s">
        <v>546</v>
      </c>
      <c r="L1740" s="25" t="s">
        <v>547</v>
      </c>
      <c r="M1740" s="26" t="n">
        <f aca="false">IF(AND(L1740="Oui",K1740="Principal"),I1740*J1740,0)</f>
        <v>1800</v>
      </c>
      <c r="N1740" s="25" t="s">
        <v>548</v>
      </c>
      <c r="O1740" s="25"/>
      <c r="P1740" s="25" t="s">
        <v>556</v>
      </c>
      <c r="Q1740" s="25" t="s">
        <v>557</v>
      </c>
      <c r="R1740" s="26" t="n">
        <v>800</v>
      </c>
      <c r="S1740" s="26" t="n">
        <f aca="false">IF(AND(L1740="Oui",K1740="Principal",R1740&lt;&gt;""),I1740*R1740,0)</f>
        <v>1600</v>
      </c>
      <c r="T1740" s="26" t="n">
        <f aca="false">IF(R1740&lt;&gt;"",M1740-S1740,0)</f>
        <v>200</v>
      </c>
      <c r="U1740" s="26" t="n">
        <f aca="false">IF(R1740="",M1740,0)</f>
        <v>0</v>
      </c>
    </row>
    <row r="1741" customFormat="false" ht="15" hidden="false" customHeight="false" outlineLevel="0" collapsed="false">
      <c r="A1741" s="25" t="s">
        <v>65</v>
      </c>
      <c r="B1741" s="25" t="s">
        <v>74</v>
      </c>
      <c r="C1741" s="25" t="s">
        <v>50</v>
      </c>
      <c r="D1741" s="25" t="n">
        <v>4</v>
      </c>
      <c r="E1741" s="25" t="s">
        <v>544</v>
      </c>
      <c r="F1741" s="25" t="s">
        <v>338</v>
      </c>
      <c r="G1741" s="25" t="n">
        <v>1715</v>
      </c>
      <c r="H1741" s="25" t="s">
        <v>713</v>
      </c>
      <c r="I1741" s="25" t="n">
        <v>5</v>
      </c>
      <c r="J1741" s="26" t="n">
        <v>1600</v>
      </c>
      <c r="K1741" s="25" t="s">
        <v>546</v>
      </c>
      <c r="L1741" s="25" t="s">
        <v>547</v>
      </c>
      <c r="M1741" s="26" t="n">
        <f aca="false">IF(AND(L1741="Oui",K1741="Principal"),I1741*J1741,0)</f>
        <v>8000</v>
      </c>
      <c r="N1741" s="25" t="s">
        <v>548</v>
      </c>
      <c r="O1741" s="25"/>
      <c r="P1741" s="25" t="s">
        <v>550</v>
      </c>
      <c r="Q1741" s="25" t="s">
        <v>557</v>
      </c>
      <c r="R1741" s="26" t="n">
        <v>1300</v>
      </c>
      <c r="S1741" s="26" t="n">
        <f aca="false">IF(AND(L1741="Oui",K1741="Principal",R1741&lt;&gt;""),I1741*R1741,0)</f>
        <v>6500</v>
      </c>
      <c r="T1741" s="26" t="n">
        <f aca="false">IF(R1741&lt;&gt;"",M1741-S1741,0)</f>
        <v>1500</v>
      </c>
      <c r="U1741" s="26" t="n">
        <f aca="false">IF(R1741="",M1741,0)</f>
        <v>0</v>
      </c>
    </row>
    <row r="1742" customFormat="false" ht="15" hidden="false" customHeight="false" outlineLevel="0" collapsed="false">
      <c r="A1742" s="25" t="s">
        <v>65</v>
      </c>
      <c r="B1742" s="25" t="s">
        <v>74</v>
      </c>
      <c r="C1742" s="25" t="s">
        <v>50</v>
      </c>
      <c r="D1742" s="25" t="n">
        <v>5</v>
      </c>
      <c r="E1742" s="25" t="s">
        <v>544</v>
      </c>
      <c r="F1742" s="25" t="s">
        <v>442</v>
      </c>
      <c r="G1742" s="25" t="n">
        <v>1729</v>
      </c>
      <c r="H1742" s="25" t="s">
        <v>552</v>
      </c>
      <c r="I1742" s="25" t="n">
        <v>1</v>
      </c>
      <c r="J1742" s="26" t="n">
        <v>1300</v>
      </c>
      <c r="K1742" s="25" t="s">
        <v>546</v>
      </c>
      <c r="L1742" s="25" t="s">
        <v>547</v>
      </c>
      <c r="M1742" s="26" t="n">
        <f aca="false">IF(AND(L1742="Oui",K1742="Principal"),I1742*J1742,0)</f>
        <v>1300</v>
      </c>
      <c r="N1742" s="25" t="s">
        <v>548</v>
      </c>
      <c r="O1742" s="25"/>
      <c r="P1742" s="25" t="s">
        <v>550</v>
      </c>
      <c r="Q1742" s="25" t="s">
        <v>551</v>
      </c>
      <c r="R1742" s="26"/>
      <c r="S1742" s="26" t="n">
        <f aca="false">IF(AND(L1742="Oui",K1742="Principal",R1742&lt;&gt;""),I1742*R1742,0)</f>
        <v>0</v>
      </c>
      <c r="T1742" s="26" t="n">
        <f aca="false">IF(R1742&lt;&gt;"",M1742-S1742,0)</f>
        <v>0</v>
      </c>
      <c r="U1742" s="26" t="n">
        <f aca="false">IF(R1742="",M1742,0)</f>
        <v>1300</v>
      </c>
    </row>
    <row r="1743" customFormat="false" ht="15" hidden="false" customHeight="false" outlineLevel="0" collapsed="false">
      <c r="A1743" s="25" t="s">
        <v>65</v>
      </c>
      <c r="B1743" s="25" t="s">
        <v>74</v>
      </c>
      <c r="C1743" s="25" t="s">
        <v>50</v>
      </c>
      <c r="D1743" s="25" t="n">
        <v>6</v>
      </c>
      <c r="E1743" s="25" t="s">
        <v>563</v>
      </c>
      <c r="F1743" s="25" t="s">
        <v>255</v>
      </c>
      <c r="G1743" s="25" t="n">
        <v>1636</v>
      </c>
      <c r="H1743" s="25" t="s">
        <v>661</v>
      </c>
      <c r="I1743" s="25" t="n">
        <v>1</v>
      </c>
      <c r="J1743" s="26" t="n">
        <v>400</v>
      </c>
      <c r="K1743" s="25" t="s">
        <v>546</v>
      </c>
      <c r="L1743" s="25" t="s">
        <v>547</v>
      </c>
      <c r="M1743" s="26" t="n">
        <f aca="false">IF(AND(L1743="Oui",K1743="Principal"),I1743*J1743,0)</f>
        <v>400</v>
      </c>
      <c r="N1743" s="25" t="s">
        <v>548</v>
      </c>
      <c r="O1743" s="25"/>
      <c r="P1743" s="25" t="s">
        <v>556</v>
      </c>
      <c r="Q1743" s="25" t="s">
        <v>557</v>
      </c>
      <c r="R1743" s="26" t="n">
        <v>320</v>
      </c>
      <c r="S1743" s="26" t="n">
        <f aca="false">IF(AND(L1743="Oui",K1743="Principal",R1743&lt;&gt;""),I1743*R1743,0)</f>
        <v>320</v>
      </c>
      <c r="T1743" s="26" t="n">
        <f aca="false">IF(R1743&lt;&gt;"",M1743-S1743,0)</f>
        <v>80</v>
      </c>
      <c r="U1743" s="26" t="n">
        <f aca="false">IF(R1743="",M1743,0)</f>
        <v>0</v>
      </c>
    </row>
    <row r="1744" customFormat="false" ht="15" hidden="false" customHeight="false" outlineLevel="0" collapsed="false">
      <c r="A1744" s="25" t="s">
        <v>65</v>
      </c>
      <c r="B1744" s="25" t="s">
        <v>74</v>
      </c>
      <c r="C1744" s="25" t="s">
        <v>50</v>
      </c>
      <c r="D1744" s="25" t="n">
        <v>7</v>
      </c>
      <c r="E1744" s="25" t="s">
        <v>563</v>
      </c>
      <c r="F1744" s="25" t="s">
        <v>257</v>
      </c>
      <c r="G1744" s="25" t="n">
        <v>1635</v>
      </c>
      <c r="H1744" s="25" t="s">
        <v>607</v>
      </c>
      <c r="I1744" s="25" t="n">
        <v>1</v>
      </c>
      <c r="J1744" s="26" t="n">
        <v>100</v>
      </c>
      <c r="K1744" s="25" t="s">
        <v>546</v>
      </c>
      <c r="L1744" s="25" t="s">
        <v>547</v>
      </c>
      <c r="M1744" s="26" t="n">
        <f aca="false">IF(AND(L1744="Oui",K1744="Principal"),I1744*J1744,0)</f>
        <v>100</v>
      </c>
      <c r="N1744" s="25" t="s">
        <v>548</v>
      </c>
      <c r="O1744" s="25"/>
      <c r="P1744" s="25" t="s">
        <v>556</v>
      </c>
      <c r="Q1744" s="25" t="s">
        <v>557</v>
      </c>
      <c r="R1744" s="26" t="n">
        <v>80</v>
      </c>
      <c r="S1744" s="26" t="n">
        <f aca="false">IF(AND(L1744="Oui",K1744="Principal",R1744&lt;&gt;""),I1744*R1744,0)</f>
        <v>80</v>
      </c>
      <c r="T1744" s="26" t="n">
        <f aca="false">IF(R1744&lt;&gt;"",M1744-S1744,0)</f>
        <v>20</v>
      </c>
      <c r="U1744" s="26" t="n">
        <f aca="false">IF(R1744="",M1744,0)</f>
        <v>0</v>
      </c>
    </row>
    <row r="1745" customFormat="false" ht="15" hidden="false" customHeight="false" outlineLevel="0" collapsed="false">
      <c r="A1745" s="25" t="s">
        <v>65</v>
      </c>
      <c r="B1745" s="25" t="s">
        <v>74</v>
      </c>
      <c r="C1745" s="25" t="s">
        <v>50</v>
      </c>
      <c r="D1745" s="25" t="n">
        <v>8</v>
      </c>
      <c r="E1745" s="25" t="s">
        <v>563</v>
      </c>
      <c r="F1745" s="25" t="s">
        <v>188</v>
      </c>
      <c r="G1745" s="25" t="n">
        <v>8</v>
      </c>
      <c r="H1745" s="25" t="s">
        <v>188</v>
      </c>
      <c r="I1745" s="25" t="n">
        <v>1</v>
      </c>
      <c r="J1745" s="26" t="n">
        <v>500</v>
      </c>
      <c r="K1745" s="25" t="s">
        <v>546</v>
      </c>
      <c r="L1745" s="25" t="s">
        <v>547</v>
      </c>
      <c r="M1745" s="26" t="n">
        <f aca="false">IF(AND(L1745="Oui",K1745="Principal"),I1745*J1745,0)</f>
        <v>500</v>
      </c>
      <c r="N1745" s="25" t="s">
        <v>548</v>
      </c>
      <c r="O1745" s="25"/>
      <c r="P1745" s="25" t="s">
        <v>559</v>
      </c>
      <c r="Q1745" s="25" t="s">
        <v>551</v>
      </c>
      <c r="R1745" s="26"/>
      <c r="S1745" s="26" t="n">
        <f aca="false">IF(AND(L1745="Oui",K1745="Principal",R1745&lt;&gt;""),I1745*R1745,0)</f>
        <v>0</v>
      </c>
      <c r="T1745" s="26" t="n">
        <f aca="false">IF(R1745&lt;&gt;"",M1745-S1745,0)</f>
        <v>0</v>
      </c>
      <c r="U1745" s="26" t="n">
        <f aca="false">IF(R1745="",M1745,0)</f>
        <v>500</v>
      </c>
    </row>
    <row r="1746" customFormat="false" ht="15" hidden="false" customHeight="false" outlineLevel="0" collapsed="false">
      <c r="A1746" s="25" t="s">
        <v>65</v>
      </c>
      <c r="B1746" s="25" t="s">
        <v>74</v>
      </c>
      <c r="C1746" s="25" t="s">
        <v>50</v>
      </c>
      <c r="D1746" s="25" t="n">
        <v>9</v>
      </c>
      <c r="E1746" s="25" t="s">
        <v>563</v>
      </c>
      <c r="F1746" s="25" t="s">
        <v>323</v>
      </c>
      <c r="G1746" s="25" t="n">
        <v>1607</v>
      </c>
      <c r="H1746" s="25" t="s">
        <v>696</v>
      </c>
      <c r="I1746" s="25" t="n">
        <v>1</v>
      </c>
      <c r="J1746" s="26" t="n">
        <v>2500</v>
      </c>
      <c r="K1746" s="25" t="s">
        <v>546</v>
      </c>
      <c r="L1746" s="25" t="s">
        <v>547</v>
      </c>
      <c r="M1746" s="26" t="n">
        <f aca="false">IF(AND(L1746="Oui",K1746="Principal"),I1746*J1746,0)</f>
        <v>2500</v>
      </c>
      <c r="N1746" s="25" t="s">
        <v>548</v>
      </c>
      <c r="O1746" s="25"/>
      <c r="P1746" s="25" t="s">
        <v>556</v>
      </c>
      <c r="Q1746" s="25" t="s">
        <v>557</v>
      </c>
      <c r="R1746" s="26" t="n">
        <v>2000</v>
      </c>
      <c r="S1746" s="26" t="n">
        <f aca="false">IF(AND(L1746="Oui",K1746="Principal",R1746&lt;&gt;""),I1746*R1746,0)</f>
        <v>2000</v>
      </c>
      <c r="T1746" s="26" t="n">
        <f aca="false">IF(R1746&lt;&gt;"",M1746-S1746,0)</f>
        <v>500</v>
      </c>
      <c r="U1746" s="26" t="n">
        <f aca="false">IF(R1746="",M1746,0)</f>
        <v>0</v>
      </c>
    </row>
    <row r="1747" customFormat="false" ht="15" hidden="false" customHeight="false" outlineLevel="0" collapsed="false">
      <c r="A1747" s="25" t="s">
        <v>65</v>
      </c>
      <c r="B1747" s="25" t="s">
        <v>74</v>
      </c>
      <c r="C1747" s="25" t="s">
        <v>50</v>
      </c>
      <c r="D1747" s="25" t="n">
        <v>10</v>
      </c>
      <c r="E1747" s="25" t="s">
        <v>563</v>
      </c>
      <c r="F1747" s="25" t="s">
        <v>325</v>
      </c>
      <c r="G1747" s="25" t="n">
        <v>1639</v>
      </c>
      <c r="H1747" s="25" t="s">
        <v>702</v>
      </c>
      <c r="I1747" s="25" t="n">
        <v>1</v>
      </c>
      <c r="J1747" s="26" t="n">
        <v>1000</v>
      </c>
      <c r="K1747" s="25" t="s">
        <v>546</v>
      </c>
      <c r="L1747" s="25" t="s">
        <v>547</v>
      </c>
      <c r="M1747" s="26" t="n">
        <f aca="false">IF(AND(L1747="Oui",K1747="Principal"),I1747*J1747,0)</f>
        <v>1000</v>
      </c>
      <c r="N1747" s="25" t="s">
        <v>548</v>
      </c>
      <c r="O1747" s="25"/>
      <c r="P1747" s="25" t="s">
        <v>556</v>
      </c>
      <c r="Q1747" s="25" t="s">
        <v>557</v>
      </c>
      <c r="R1747" s="26" t="n">
        <v>700</v>
      </c>
      <c r="S1747" s="26" t="n">
        <f aca="false">IF(AND(L1747="Oui",K1747="Principal",R1747&lt;&gt;""),I1747*R1747,0)</f>
        <v>700</v>
      </c>
      <c r="T1747" s="26" t="n">
        <f aca="false">IF(R1747&lt;&gt;"",M1747-S1747,0)</f>
        <v>300</v>
      </c>
      <c r="U1747" s="26" t="n">
        <f aca="false">IF(R1747="",M1747,0)</f>
        <v>0</v>
      </c>
    </row>
    <row r="1748" customFormat="false" ht="15" hidden="false" customHeight="false" outlineLevel="0" collapsed="false">
      <c r="A1748" s="25" t="s">
        <v>65</v>
      </c>
      <c r="B1748" s="25" t="s">
        <v>74</v>
      </c>
      <c r="C1748" s="25" t="s">
        <v>50</v>
      </c>
      <c r="D1748" s="25" t="n">
        <v>11</v>
      </c>
      <c r="E1748" s="25" t="s">
        <v>565</v>
      </c>
      <c r="F1748" s="25" t="s">
        <v>99</v>
      </c>
      <c r="G1748" s="25" t="n">
        <v>1181</v>
      </c>
      <c r="H1748" s="25" t="s">
        <v>581</v>
      </c>
      <c r="I1748" s="25" t="n">
        <v>1</v>
      </c>
      <c r="J1748" s="26" t="n">
        <v>250</v>
      </c>
      <c r="K1748" s="25" t="s">
        <v>546</v>
      </c>
      <c r="L1748" s="25" t="s">
        <v>547</v>
      </c>
      <c r="M1748" s="26" t="n">
        <f aca="false">IF(AND(L1748="Oui",K1748="Principal"),I1748*J1748,0)</f>
        <v>250</v>
      </c>
      <c r="N1748" s="25" t="s">
        <v>548</v>
      </c>
      <c r="O1748" s="25"/>
      <c r="P1748" s="25" t="s">
        <v>550</v>
      </c>
      <c r="Q1748" s="25" t="s">
        <v>557</v>
      </c>
      <c r="R1748" s="26" t="n">
        <v>110</v>
      </c>
      <c r="S1748" s="26" t="n">
        <f aca="false">IF(AND(L1748="Oui",K1748="Principal",R1748&lt;&gt;""),I1748*R1748,0)</f>
        <v>110</v>
      </c>
      <c r="T1748" s="26" t="n">
        <f aca="false">IF(R1748&lt;&gt;"",M1748-S1748,0)</f>
        <v>140</v>
      </c>
      <c r="U1748" s="26" t="n">
        <f aca="false">IF(R1748="",M1748,0)</f>
        <v>0</v>
      </c>
    </row>
    <row r="1749" customFormat="false" ht="15" hidden="false" customHeight="false" outlineLevel="0" collapsed="false">
      <c r="A1749" s="25" t="s">
        <v>65</v>
      </c>
      <c r="B1749" s="25" t="s">
        <v>74</v>
      </c>
      <c r="C1749" s="25" t="s">
        <v>50</v>
      </c>
      <c r="D1749" s="25" t="n">
        <v>12</v>
      </c>
      <c r="E1749" s="25" t="s">
        <v>565</v>
      </c>
      <c r="F1749" s="25" t="s">
        <v>164</v>
      </c>
      <c r="G1749" s="25" t="n">
        <v>1587</v>
      </c>
      <c r="H1749" s="25" t="s">
        <v>567</v>
      </c>
      <c r="I1749" s="25" t="n">
        <v>1</v>
      </c>
      <c r="J1749" s="26" t="n">
        <v>500</v>
      </c>
      <c r="K1749" s="25" t="s">
        <v>546</v>
      </c>
      <c r="L1749" s="25" t="s">
        <v>547</v>
      </c>
      <c r="M1749" s="26" t="n">
        <f aca="false">IF(AND(L1749="Oui",K1749="Principal"),I1749*J1749,0)</f>
        <v>500</v>
      </c>
      <c r="N1749" s="25" t="s">
        <v>548</v>
      </c>
      <c r="O1749" s="25"/>
      <c r="P1749" s="25" t="s">
        <v>556</v>
      </c>
      <c r="Q1749" s="25" t="s">
        <v>557</v>
      </c>
      <c r="R1749" s="26" t="n">
        <v>350</v>
      </c>
      <c r="S1749" s="26" t="n">
        <f aca="false">IF(AND(L1749="Oui",K1749="Principal",R1749&lt;&gt;""),I1749*R1749,0)</f>
        <v>350</v>
      </c>
      <c r="T1749" s="26" t="n">
        <f aca="false">IF(R1749&lt;&gt;"",M1749-S1749,0)</f>
        <v>150</v>
      </c>
      <c r="U1749" s="26" t="n">
        <f aca="false">IF(R1749="",M1749,0)</f>
        <v>0</v>
      </c>
    </row>
    <row r="1750" customFormat="false" ht="15" hidden="false" customHeight="false" outlineLevel="0" collapsed="false">
      <c r="A1750" s="25" t="s">
        <v>65</v>
      </c>
      <c r="B1750" s="25" t="s">
        <v>74</v>
      </c>
      <c r="C1750" s="25" t="s">
        <v>50</v>
      </c>
      <c r="D1750" s="25" t="n">
        <v>13</v>
      </c>
      <c r="E1750" s="25" t="s">
        <v>565</v>
      </c>
      <c r="F1750" s="25" t="s">
        <v>166</v>
      </c>
      <c r="G1750" s="25" t="n">
        <v>1604</v>
      </c>
      <c r="H1750" s="25" t="s">
        <v>582</v>
      </c>
      <c r="I1750" s="25" t="n">
        <v>2</v>
      </c>
      <c r="J1750" s="26" t="n">
        <v>700</v>
      </c>
      <c r="K1750" s="25" t="s">
        <v>546</v>
      </c>
      <c r="L1750" s="25" t="s">
        <v>547</v>
      </c>
      <c r="M1750" s="26" t="n">
        <f aca="false">IF(AND(L1750="Oui",K1750="Principal"),I1750*J1750,0)</f>
        <v>1400</v>
      </c>
      <c r="N1750" s="25" t="s">
        <v>548</v>
      </c>
      <c r="O1750" s="25"/>
      <c r="P1750" s="25" t="s">
        <v>556</v>
      </c>
      <c r="Q1750" s="25" t="s">
        <v>557</v>
      </c>
      <c r="R1750" s="26" t="n">
        <v>400</v>
      </c>
      <c r="S1750" s="26" t="n">
        <f aca="false">IF(AND(L1750="Oui",K1750="Principal",R1750&lt;&gt;""),I1750*R1750,0)</f>
        <v>800</v>
      </c>
      <c r="T1750" s="26" t="n">
        <f aca="false">IF(R1750&lt;&gt;"",M1750-S1750,0)</f>
        <v>600</v>
      </c>
      <c r="U1750" s="26" t="n">
        <f aca="false">IF(R1750="",M1750,0)</f>
        <v>0</v>
      </c>
    </row>
    <row r="1751" customFormat="false" ht="15" hidden="false" customHeight="false" outlineLevel="0" collapsed="false">
      <c r="A1751" s="25" t="s">
        <v>65</v>
      </c>
      <c r="B1751" s="25" t="s">
        <v>74</v>
      </c>
      <c r="C1751" s="25" t="s">
        <v>50</v>
      </c>
      <c r="D1751" s="25" t="n">
        <v>14</v>
      </c>
      <c r="E1751" s="25" t="s">
        <v>565</v>
      </c>
      <c r="F1751" s="25" t="s">
        <v>304</v>
      </c>
      <c r="G1751" s="25" t="n">
        <v>1586</v>
      </c>
      <c r="H1751" s="25" t="s">
        <v>583</v>
      </c>
      <c r="I1751" s="25" t="n">
        <v>1</v>
      </c>
      <c r="J1751" s="26" t="n">
        <v>900</v>
      </c>
      <c r="K1751" s="25" t="s">
        <v>546</v>
      </c>
      <c r="L1751" s="25" t="s">
        <v>547</v>
      </c>
      <c r="M1751" s="26" t="n">
        <f aca="false">IF(AND(L1751="Oui",K1751="Principal"),I1751*J1751,0)</f>
        <v>900</v>
      </c>
      <c r="N1751" s="25" t="s">
        <v>548</v>
      </c>
      <c r="O1751" s="25"/>
      <c r="P1751" s="25" t="s">
        <v>556</v>
      </c>
      <c r="Q1751" s="25" t="s">
        <v>557</v>
      </c>
      <c r="R1751" s="26" t="n">
        <v>650</v>
      </c>
      <c r="S1751" s="26" t="n">
        <f aca="false">IF(AND(L1751="Oui",K1751="Principal",R1751&lt;&gt;""),I1751*R1751,0)</f>
        <v>650</v>
      </c>
      <c r="T1751" s="26" t="n">
        <f aca="false">IF(R1751&lt;&gt;"",M1751-S1751,0)</f>
        <v>250</v>
      </c>
      <c r="U1751" s="26" t="n">
        <f aca="false">IF(R1751="",M1751,0)</f>
        <v>0</v>
      </c>
    </row>
    <row r="1752" customFormat="false" ht="15" hidden="false" customHeight="false" outlineLevel="0" collapsed="false">
      <c r="A1752" s="33" t="s">
        <v>65</v>
      </c>
      <c r="B1752" s="33" t="s">
        <v>74</v>
      </c>
      <c r="C1752" s="33" t="s">
        <v>50</v>
      </c>
      <c r="D1752" s="33" t="n">
        <v>15</v>
      </c>
      <c r="E1752" s="33" t="s">
        <v>609</v>
      </c>
      <c r="F1752" s="33" t="s">
        <v>199</v>
      </c>
      <c r="G1752" s="33" t="n">
        <v>1229</v>
      </c>
      <c r="H1752" s="33" t="s">
        <v>643</v>
      </c>
      <c r="I1752" s="33" t="n">
        <v>1</v>
      </c>
      <c r="J1752" s="34" t="n">
        <v>1800</v>
      </c>
      <c r="K1752" s="33" t="s">
        <v>546</v>
      </c>
      <c r="L1752" s="33" t="s">
        <v>547</v>
      </c>
      <c r="M1752" s="34" t="n">
        <f aca="false">IF(AND(L1752="Oui",K1752="Principal"),I1752*J1752,0)</f>
        <v>1800</v>
      </c>
      <c r="N1752" s="33" t="s">
        <v>182</v>
      </c>
      <c r="O1752" s="33" t="s">
        <v>644</v>
      </c>
      <c r="P1752" s="33" t="s">
        <v>550</v>
      </c>
      <c r="Q1752" s="33" t="s">
        <v>557</v>
      </c>
      <c r="R1752" s="34" t="n">
        <v>1500</v>
      </c>
      <c r="S1752" s="34" t="n">
        <f aca="false">IF(AND(L1752="Oui",K1752="Principal",R1752&lt;&gt;""),I1752*R1752,0)</f>
        <v>1500</v>
      </c>
      <c r="T1752" s="34" t="n">
        <f aca="false">IF(R1752&lt;&gt;"",M1752-S1752,0)</f>
        <v>300</v>
      </c>
      <c r="U1752" s="34" t="n">
        <f aca="false">IF(R1752="",M1752,0)</f>
        <v>0</v>
      </c>
    </row>
    <row r="1753" customFormat="false" ht="15" hidden="false" customHeight="false" outlineLevel="0" collapsed="false">
      <c r="A1753" s="25" t="s">
        <v>65</v>
      </c>
      <c r="B1753" s="25" t="s">
        <v>74</v>
      </c>
      <c r="C1753" s="25" t="s">
        <v>50</v>
      </c>
      <c r="D1753" s="25" t="n">
        <v>16</v>
      </c>
      <c r="E1753" s="25" t="s">
        <v>609</v>
      </c>
      <c r="F1753" s="25" t="s">
        <v>443</v>
      </c>
      <c r="G1753" s="25" t="n">
        <v>1727</v>
      </c>
      <c r="H1753" s="25" t="s">
        <v>698</v>
      </c>
      <c r="I1753" s="25" t="n">
        <v>1</v>
      </c>
      <c r="J1753" s="26" t="n">
        <v>4750</v>
      </c>
      <c r="K1753" s="25" t="s">
        <v>546</v>
      </c>
      <c r="L1753" s="25" t="s">
        <v>547</v>
      </c>
      <c r="M1753" s="26" t="n">
        <f aca="false">IF(AND(L1753="Oui",K1753="Principal"),I1753*J1753,0)</f>
        <v>4750</v>
      </c>
      <c r="N1753" s="25" t="s">
        <v>548</v>
      </c>
      <c r="O1753" s="25"/>
      <c r="P1753" s="25" t="s">
        <v>559</v>
      </c>
      <c r="Q1753" s="25" t="s">
        <v>557</v>
      </c>
      <c r="R1753" s="26" t="n">
        <v>3700</v>
      </c>
      <c r="S1753" s="26" t="n">
        <f aca="false">IF(AND(L1753="Oui",K1753="Principal",R1753&lt;&gt;""),I1753*R1753,0)</f>
        <v>3700</v>
      </c>
      <c r="T1753" s="26" t="n">
        <f aca="false">IF(R1753&lt;&gt;"",M1753-S1753,0)</f>
        <v>1050</v>
      </c>
      <c r="U1753" s="26" t="n">
        <f aca="false">IF(R1753="",M1753,0)</f>
        <v>0</v>
      </c>
    </row>
    <row r="1754" customFormat="false" ht="15" hidden="false" customHeight="false" outlineLevel="0" collapsed="false">
      <c r="A1754" s="25" t="s">
        <v>65</v>
      </c>
      <c r="B1754" s="25" t="s">
        <v>74</v>
      </c>
      <c r="C1754" s="25" t="s">
        <v>50</v>
      </c>
      <c r="D1754" s="25" t="n">
        <v>17</v>
      </c>
      <c r="E1754" s="25" t="s">
        <v>700</v>
      </c>
      <c r="F1754" s="25" t="s">
        <v>329</v>
      </c>
      <c r="G1754" s="25" t="n">
        <v>1716</v>
      </c>
      <c r="H1754" s="25" t="s">
        <v>701</v>
      </c>
      <c r="I1754" s="25" t="n">
        <v>1</v>
      </c>
      <c r="J1754" s="26" t="n">
        <v>1800</v>
      </c>
      <c r="K1754" s="25" t="s">
        <v>546</v>
      </c>
      <c r="L1754" s="25" t="s">
        <v>547</v>
      </c>
      <c r="M1754" s="26" t="n">
        <f aca="false">IF(AND(L1754="Oui",K1754="Principal"),I1754*J1754,0)</f>
        <v>1800</v>
      </c>
      <c r="N1754" s="25" t="s">
        <v>548</v>
      </c>
      <c r="O1754" s="25"/>
      <c r="P1754" s="25" t="s">
        <v>559</v>
      </c>
      <c r="Q1754" s="25" t="s">
        <v>557</v>
      </c>
      <c r="R1754" s="26" t="n">
        <v>1300</v>
      </c>
      <c r="S1754" s="26" t="n">
        <f aca="false">IF(AND(L1754="Oui",K1754="Principal",R1754&lt;&gt;""),I1754*R1754,0)</f>
        <v>1300</v>
      </c>
      <c r="T1754" s="26" t="n">
        <f aca="false">IF(R1754&lt;&gt;"",M1754-S1754,0)</f>
        <v>500</v>
      </c>
      <c r="U1754" s="26" t="n">
        <f aca="false">IF(R1754="",M1754,0)</f>
        <v>0</v>
      </c>
    </row>
    <row r="1755" customFormat="false" ht="15" hidden="false" customHeight="false" outlineLevel="0" collapsed="false">
      <c r="A1755" s="27" t="s">
        <v>65</v>
      </c>
      <c r="B1755" s="27" t="s">
        <v>74</v>
      </c>
      <c r="C1755" s="27" t="s">
        <v>50</v>
      </c>
      <c r="D1755" s="27" t="n">
        <v>18</v>
      </c>
      <c r="E1755" s="27" t="s">
        <v>700</v>
      </c>
      <c r="F1755" s="27" t="s">
        <v>430</v>
      </c>
      <c r="G1755" s="27"/>
      <c r="H1755" s="27" t="s">
        <v>585</v>
      </c>
      <c r="I1755" s="27" t="n">
        <v>1</v>
      </c>
      <c r="J1755" s="28" t="n">
        <v>0</v>
      </c>
      <c r="K1755" s="27" t="s">
        <v>546</v>
      </c>
      <c r="L1755" s="27" t="s">
        <v>579</v>
      </c>
      <c r="M1755" s="28" t="n">
        <f aca="false">IF(AND(L1755="Oui",K1755="Principal"),I1755*J1755,0)</f>
        <v>0</v>
      </c>
      <c r="N1755" s="27" t="s">
        <v>128</v>
      </c>
      <c r="O1755" s="27" t="s">
        <v>586</v>
      </c>
      <c r="P1755" s="27"/>
      <c r="Q1755" s="27"/>
      <c r="R1755" s="28"/>
      <c r="S1755" s="28" t="n">
        <f aca="false">IF(AND(L1755="Oui",K1755="Principal",R1755&lt;&gt;""),I1755*R1755,0)</f>
        <v>0</v>
      </c>
      <c r="T1755" s="28" t="n">
        <f aca="false">IF(R1755&lt;&gt;"",M1755-S1755,0)</f>
        <v>0</v>
      </c>
      <c r="U1755" s="28" t="n">
        <f aca="false">IF(R1755="",M1755,0)</f>
        <v>0</v>
      </c>
    </row>
    <row r="1756" customFormat="false" ht="15" hidden="false" customHeight="false" outlineLevel="0" collapsed="false">
      <c r="A1756" s="27" t="s">
        <v>65</v>
      </c>
      <c r="B1756" s="27" t="s">
        <v>74</v>
      </c>
      <c r="C1756" s="27" t="s">
        <v>50</v>
      </c>
      <c r="D1756" s="27" t="n">
        <v>19</v>
      </c>
      <c r="E1756" s="27" t="s">
        <v>700</v>
      </c>
      <c r="F1756" s="27" t="s">
        <v>382</v>
      </c>
      <c r="G1756" s="27"/>
      <c r="H1756" s="27" t="s">
        <v>585</v>
      </c>
      <c r="I1756" s="27" t="n">
        <v>1</v>
      </c>
      <c r="J1756" s="28" t="n">
        <v>0</v>
      </c>
      <c r="K1756" s="27" t="s">
        <v>546</v>
      </c>
      <c r="L1756" s="27" t="s">
        <v>579</v>
      </c>
      <c r="M1756" s="28" t="n">
        <f aca="false">IF(AND(L1756="Oui",K1756="Principal"),I1756*J1756,0)</f>
        <v>0</v>
      </c>
      <c r="N1756" s="27" t="s">
        <v>128</v>
      </c>
      <c r="O1756" s="27" t="s">
        <v>586</v>
      </c>
      <c r="P1756" s="27"/>
      <c r="Q1756" s="27"/>
      <c r="R1756" s="28"/>
      <c r="S1756" s="28" t="n">
        <f aca="false">IF(AND(L1756="Oui",K1756="Principal",R1756&lt;&gt;""),I1756*R1756,0)</f>
        <v>0</v>
      </c>
      <c r="T1756" s="28" t="n">
        <f aca="false">IF(R1756&lt;&gt;"",M1756-S1756,0)</f>
        <v>0</v>
      </c>
      <c r="U1756" s="28" t="n">
        <f aca="false">IF(R1756="",M1756,0)</f>
        <v>0</v>
      </c>
    </row>
    <row r="1757" customFormat="false" ht="15" hidden="false" customHeight="false" outlineLevel="0" collapsed="false">
      <c r="A1757" s="25" t="s">
        <v>65</v>
      </c>
      <c r="B1757" s="25" t="s">
        <v>74</v>
      </c>
      <c r="C1757" s="25" t="s">
        <v>50</v>
      </c>
      <c r="D1757" s="25" t="n">
        <v>20</v>
      </c>
      <c r="E1757" s="25" t="s">
        <v>571</v>
      </c>
      <c r="F1757" s="25" t="s">
        <v>431</v>
      </c>
      <c r="G1757" s="25" t="n">
        <v>1631</v>
      </c>
      <c r="H1757" s="25" t="s">
        <v>755</v>
      </c>
      <c r="I1757" s="25" t="n">
        <v>1</v>
      </c>
      <c r="J1757" s="26" t="n">
        <v>2700</v>
      </c>
      <c r="K1757" s="25" t="s">
        <v>546</v>
      </c>
      <c r="L1757" s="25" t="s">
        <v>547</v>
      </c>
      <c r="M1757" s="26" t="n">
        <f aca="false">IF(AND(L1757="Oui",K1757="Principal"),I1757*J1757,0)</f>
        <v>2700</v>
      </c>
      <c r="N1757" s="25" t="s">
        <v>548</v>
      </c>
      <c r="O1757" s="25"/>
      <c r="P1757" s="25" t="s">
        <v>556</v>
      </c>
      <c r="Q1757" s="25" t="s">
        <v>557</v>
      </c>
      <c r="R1757" s="26" t="n">
        <v>2000</v>
      </c>
      <c r="S1757" s="26" t="n">
        <f aca="false">IF(AND(L1757="Oui",K1757="Principal",R1757&lt;&gt;""),I1757*R1757,0)</f>
        <v>2000</v>
      </c>
      <c r="T1757" s="26" t="n">
        <f aca="false">IF(R1757&lt;&gt;"",M1757-S1757,0)</f>
        <v>700</v>
      </c>
      <c r="U1757" s="26" t="n">
        <f aca="false">IF(R1757="",M1757,0)</f>
        <v>0</v>
      </c>
    </row>
    <row r="1758" customFormat="false" ht="15" hidden="false" customHeight="false" outlineLevel="0" collapsed="false">
      <c r="A1758" s="25" t="s">
        <v>65</v>
      </c>
      <c r="B1758" s="25" t="s">
        <v>74</v>
      </c>
      <c r="C1758" s="25" t="s">
        <v>50</v>
      </c>
      <c r="D1758" s="25" t="n">
        <v>21</v>
      </c>
      <c r="E1758" s="25" t="s">
        <v>571</v>
      </c>
      <c r="F1758" s="25" t="s">
        <v>433</v>
      </c>
      <c r="G1758" s="25" t="n">
        <v>1683</v>
      </c>
      <c r="H1758" s="25" t="s">
        <v>756</v>
      </c>
      <c r="I1758" s="25" t="n">
        <v>1</v>
      </c>
      <c r="J1758" s="26" t="n">
        <v>1000</v>
      </c>
      <c r="K1758" s="25" t="s">
        <v>546</v>
      </c>
      <c r="L1758" s="25" t="s">
        <v>547</v>
      </c>
      <c r="M1758" s="26" t="n">
        <f aca="false">IF(AND(L1758="Oui",K1758="Principal"),I1758*J1758,0)</f>
        <v>1000</v>
      </c>
      <c r="N1758" s="25" t="s">
        <v>548</v>
      </c>
      <c r="O1758" s="25"/>
      <c r="P1758" s="25" t="s">
        <v>556</v>
      </c>
      <c r="Q1758" s="25" t="s">
        <v>557</v>
      </c>
      <c r="R1758" s="26"/>
      <c r="S1758" s="26" t="n">
        <f aca="false">IF(AND(L1758="Oui",K1758="Principal",R1758&lt;&gt;""),I1758*R1758,0)</f>
        <v>0</v>
      </c>
      <c r="T1758" s="26" t="n">
        <f aca="false">IF(R1758&lt;&gt;"",M1758-S1758,0)</f>
        <v>0</v>
      </c>
      <c r="U1758" s="26" t="n">
        <f aca="false">IF(R1758="",M1758,0)</f>
        <v>1000</v>
      </c>
    </row>
    <row r="1759" customFormat="false" ht="15" hidden="false" customHeight="false" outlineLevel="0" collapsed="false">
      <c r="A1759" s="33" t="s">
        <v>65</v>
      </c>
      <c r="B1759" s="33" t="s">
        <v>74</v>
      </c>
      <c r="C1759" s="33" t="s">
        <v>50</v>
      </c>
      <c r="D1759" s="33" t="n">
        <v>22</v>
      </c>
      <c r="E1759" s="33" t="s">
        <v>571</v>
      </c>
      <c r="F1759" s="33" t="s">
        <v>435</v>
      </c>
      <c r="G1759" s="33" t="n">
        <v>1269</v>
      </c>
      <c r="H1759" s="33" t="s">
        <v>757</v>
      </c>
      <c r="I1759" s="33" t="n">
        <v>1</v>
      </c>
      <c r="J1759" s="34" t="n">
        <v>1150</v>
      </c>
      <c r="K1759" s="33" t="s">
        <v>546</v>
      </c>
      <c r="L1759" s="33" t="s">
        <v>547</v>
      </c>
      <c r="M1759" s="34" t="n">
        <f aca="false">IF(AND(L1759="Oui",K1759="Principal"),I1759*J1759,0)</f>
        <v>1150</v>
      </c>
      <c r="N1759" s="33" t="s">
        <v>182</v>
      </c>
      <c r="O1759" s="33" t="s">
        <v>758</v>
      </c>
      <c r="P1759" s="33" t="s">
        <v>550</v>
      </c>
      <c r="Q1759" s="33" t="s">
        <v>557</v>
      </c>
      <c r="R1759" s="34" t="n">
        <v>850</v>
      </c>
      <c r="S1759" s="34" t="n">
        <f aca="false">IF(AND(L1759="Oui",K1759="Principal",R1759&lt;&gt;""),I1759*R1759,0)</f>
        <v>850</v>
      </c>
      <c r="T1759" s="34" t="n">
        <f aca="false">IF(R1759&lt;&gt;"",M1759-S1759,0)</f>
        <v>300</v>
      </c>
      <c r="U1759" s="34" t="n">
        <f aca="false">IF(R1759="",M1759,0)</f>
        <v>0</v>
      </c>
    </row>
    <row r="1760" customFormat="false" ht="15" hidden="false" customHeight="false" outlineLevel="0" collapsed="false">
      <c r="A1760" s="25" t="s">
        <v>65</v>
      </c>
      <c r="B1760" s="25" t="s">
        <v>74</v>
      </c>
      <c r="C1760" s="25" t="s">
        <v>50</v>
      </c>
      <c r="D1760" s="25" t="n">
        <v>23</v>
      </c>
      <c r="E1760" s="25" t="s">
        <v>573</v>
      </c>
      <c r="F1760" s="25" t="s">
        <v>176</v>
      </c>
      <c r="G1760" s="25" t="n">
        <v>19</v>
      </c>
      <c r="H1760" s="25" t="s">
        <v>615</v>
      </c>
      <c r="I1760" s="25" t="n">
        <v>1</v>
      </c>
      <c r="J1760" s="26" t="n">
        <v>2500</v>
      </c>
      <c r="K1760" s="25" t="s">
        <v>546</v>
      </c>
      <c r="L1760" s="25" t="s">
        <v>547</v>
      </c>
      <c r="M1760" s="26" t="n">
        <f aca="false">IF(AND(L1760="Oui",K1760="Principal"),I1760*J1760,0)</f>
        <v>2500</v>
      </c>
      <c r="N1760" s="25" t="s">
        <v>548</v>
      </c>
      <c r="O1760" s="25"/>
      <c r="P1760" s="25" t="s">
        <v>559</v>
      </c>
      <c r="Q1760" s="25" t="s">
        <v>551</v>
      </c>
      <c r="R1760" s="26"/>
      <c r="S1760" s="26" t="n">
        <f aca="false">IF(AND(L1760="Oui",K1760="Principal",R1760&lt;&gt;""),I1760*R1760,0)</f>
        <v>0</v>
      </c>
      <c r="T1760" s="26" t="n">
        <f aca="false">IF(R1760&lt;&gt;"",M1760-S1760,0)</f>
        <v>0</v>
      </c>
      <c r="U1760" s="26" t="n">
        <f aca="false">IF(R1760="",M1760,0)</f>
        <v>2500</v>
      </c>
    </row>
    <row r="1761" customFormat="false" ht="15" hidden="false" customHeight="false" outlineLevel="0" collapsed="false">
      <c r="A1761" s="25" t="s">
        <v>65</v>
      </c>
      <c r="B1761" s="25" t="s">
        <v>74</v>
      </c>
      <c r="C1761" s="25" t="s">
        <v>50</v>
      </c>
      <c r="D1761" s="25" t="n">
        <v>24</v>
      </c>
      <c r="E1761" s="25" t="s">
        <v>573</v>
      </c>
      <c r="F1761" s="25" t="s">
        <v>117</v>
      </c>
      <c r="G1761" s="25" t="n">
        <v>1288</v>
      </c>
      <c r="H1761" s="25" t="s">
        <v>624</v>
      </c>
      <c r="I1761" s="25" t="n">
        <v>1</v>
      </c>
      <c r="J1761" s="26" t="n">
        <v>2500</v>
      </c>
      <c r="K1761" s="25" t="s">
        <v>546</v>
      </c>
      <c r="L1761" s="25" t="s">
        <v>547</v>
      </c>
      <c r="M1761" s="26" t="n">
        <f aca="false">IF(AND(L1761="Oui",K1761="Principal"),I1761*J1761,0)</f>
        <v>2500</v>
      </c>
      <c r="N1761" s="25" t="s">
        <v>548</v>
      </c>
      <c r="O1761" s="25"/>
      <c r="P1761" s="25" t="s">
        <v>550</v>
      </c>
      <c r="Q1761" s="25" t="s">
        <v>557</v>
      </c>
      <c r="R1761" s="26" t="n">
        <v>2000</v>
      </c>
      <c r="S1761" s="26" t="n">
        <f aca="false">IF(AND(L1761="Oui",K1761="Principal",R1761&lt;&gt;""),I1761*R1761,0)</f>
        <v>2000</v>
      </c>
      <c r="T1761" s="26" t="n">
        <f aca="false">IF(R1761&lt;&gt;"",M1761-S1761,0)</f>
        <v>500</v>
      </c>
      <c r="U1761" s="26" t="n">
        <f aca="false">IF(R1761="",M1761,0)</f>
        <v>0</v>
      </c>
    </row>
    <row r="1762" customFormat="false" ht="15" hidden="false" customHeight="false" outlineLevel="0" collapsed="false">
      <c r="A1762" s="25" t="s">
        <v>65</v>
      </c>
      <c r="B1762" s="25" t="s">
        <v>74</v>
      </c>
      <c r="C1762" s="25" t="s">
        <v>50</v>
      </c>
      <c r="D1762" s="25" t="n">
        <v>25</v>
      </c>
      <c r="E1762" s="25" t="s">
        <v>573</v>
      </c>
      <c r="F1762" s="25" t="s">
        <v>321</v>
      </c>
      <c r="G1762" s="25" t="n">
        <v>1192</v>
      </c>
      <c r="H1762" s="25" t="s">
        <v>694</v>
      </c>
      <c r="I1762" s="25" t="n">
        <v>1</v>
      </c>
      <c r="J1762" s="26" t="n">
        <v>7000</v>
      </c>
      <c r="K1762" s="25" t="s">
        <v>546</v>
      </c>
      <c r="L1762" s="25" t="s">
        <v>547</v>
      </c>
      <c r="M1762" s="26" t="n">
        <f aca="false">IF(AND(L1762="Oui",K1762="Principal"),I1762*J1762,0)</f>
        <v>7000</v>
      </c>
      <c r="N1762" s="25" t="s">
        <v>548</v>
      </c>
      <c r="O1762" s="25"/>
      <c r="P1762" s="25" t="s">
        <v>550</v>
      </c>
      <c r="Q1762" s="25" t="s">
        <v>557</v>
      </c>
      <c r="R1762" s="26" t="n">
        <v>5500</v>
      </c>
      <c r="S1762" s="26" t="n">
        <f aca="false">IF(AND(L1762="Oui",K1762="Principal",R1762&lt;&gt;""),I1762*R1762,0)</f>
        <v>5500</v>
      </c>
      <c r="T1762" s="26" t="n">
        <f aca="false">IF(R1762&lt;&gt;"",M1762-S1762,0)</f>
        <v>1500</v>
      </c>
      <c r="U1762" s="26" t="n">
        <f aca="false">IF(R1762="",M1762,0)</f>
        <v>0</v>
      </c>
    </row>
    <row r="1763" customFormat="false" ht="15" hidden="false" customHeight="false" outlineLevel="0" collapsed="false">
      <c r="A1763" s="33" t="s">
        <v>65</v>
      </c>
      <c r="B1763" s="33" t="s">
        <v>74</v>
      </c>
      <c r="C1763" s="33" t="s">
        <v>50</v>
      </c>
      <c r="D1763" s="33" t="n">
        <v>26</v>
      </c>
      <c r="E1763" s="33" t="s">
        <v>588</v>
      </c>
      <c r="F1763" s="33" t="s">
        <v>503</v>
      </c>
      <c r="G1763" s="33" t="n">
        <v>58</v>
      </c>
      <c r="H1763" s="33" t="s">
        <v>797</v>
      </c>
      <c r="I1763" s="33" t="n">
        <v>1</v>
      </c>
      <c r="J1763" s="34" t="n">
        <v>35000</v>
      </c>
      <c r="K1763" s="33" t="s">
        <v>546</v>
      </c>
      <c r="L1763" s="33" t="s">
        <v>547</v>
      </c>
      <c r="M1763" s="34" t="n">
        <f aca="false">IF(AND(L1763="Oui",K1763="Principal"),I1763*J1763,0)</f>
        <v>35000</v>
      </c>
      <c r="N1763" s="33" t="s">
        <v>182</v>
      </c>
      <c r="O1763" s="33" t="s">
        <v>798</v>
      </c>
      <c r="P1763" s="33" t="s">
        <v>559</v>
      </c>
      <c r="Q1763" s="33" t="s">
        <v>557</v>
      </c>
      <c r="R1763" s="34" t="n">
        <v>28000</v>
      </c>
      <c r="S1763" s="34" t="n">
        <f aca="false">IF(AND(L1763="Oui",K1763="Principal",R1763&lt;&gt;""),I1763*R1763,0)</f>
        <v>28000</v>
      </c>
      <c r="T1763" s="34" t="n">
        <f aca="false">IF(R1763&lt;&gt;"",M1763-S1763,0)</f>
        <v>7000</v>
      </c>
      <c r="U1763" s="34" t="n">
        <f aca="false">IF(R1763="",M1763,0)</f>
        <v>0</v>
      </c>
    </row>
    <row r="1764" customFormat="false" ht="15" hidden="false" customHeight="false" outlineLevel="0" collapsed="false">
      <c r="A1764" s="27" t="s">
        <v>65</v>
      </c>
      <c r="B1764" s="27" t="s">
        <v>74</v>
      </c>
      <c r="C1764" s="27" t="s">
        <v>50</v>
      </c>
      <c r="D1764" s="27" t="n">
        <v>27</v>
      </c>
      <c r="E1764" s="27" t="s">
        <v>588</v>
      </c>
      <c r="F1764" s="27" t="s">
        <v>505</v>
      </c>
      <c r="G1764" s="27"/>
      <c r="H1764" s="27" t="s">
        <v>585</v>
      </c>
      <c r="I1764" s="27" t="n">
        <v>1</v>
      </c>
      <c r="J1764" s="28" t="n">
        <v>0</v>
      </c>
      <c r="K1764" s="27" t="s">
        <v>546</v>
      </c>
      <c r="L1764" s="27" t="s">
        <v>579</v>
      </c>
      <c r="M1764" s="28" t="n">
        <f aca="false">IF(AND(L1764="Oui",K1764="Principal"),I1764*J1764,0)</f>
        <v>0</v>
      </c>
      <c r="N1764" s="27" t="s">
        <v>128</v>
      </c>
      <c r="O1764" s="27" t="s">
        <v>799</v>
      </c>
      <c r="P1764" s="27"/>
      <c r="Q1764" s="27"/>
      <c r="R1764" s="28"/>
      <c r="S1764" s="28" t="n">
        <f aca="false">IF(AND(L1764="Oui",K1764="Principal",R1764&lt;&gt;""),I1764*R1764,0)</f>
        <v>0</v>
      </c>
      <c r="T1764" s="28" t="n">
        <f aca="false">IF(R1764&lt;&gt;"",M1764-S1764,0)</f>
        <v>0</v>
      </c>
      <c r="U1764" s="28" t="n">
        <f aca="false">IF(R1764="",M1764,0)</f>
        <v>0</v>
      </c>
    </row>
    <row r="1765" customFormat="false" ht="15" hidden="false" customHeight="false" outlineLevel="0" collapsed="false">
      <c r="A1765" s="33" t="s">
        <v>65</v>
      </c>
      <c r="B1765" s="33" t="s">
        <v>74</v>
      </c>
      <c r="C1765" s="33" t="s">
        <v>50</v>
      </c>
      <c r="D1765" s="33" t="n">
        <v>28</v>
      </c>
      <c r="E1765" s="33" t="s">
        <v>588</v>
      </c>
      <c r="F1765" s="33" t="s">
        <v>506</v>
      </c>
      <c r="G1765" s="33" t="n">
        <v>69</v>
      </c>
      <c r="H1765" s="33" t="s">
        <v>800</v>
      </c>
      <c r="I1765" s="33" t="n">
        <v>1</v>
      </c>
      <c r="J1765" s="34" t="n">
        <v>15000</v>
      </c>
      <c r="K1765" s="33" t="s">
        <v>546</v>
      </c>
      <c r="L1765" s="33" t="s">
        <v>547</v>
      </c>
      <c r="M1765" s="34" t="n">
        <f aca="false">IF(AND(L1765="Oui",K1765="Principal"),I1765*J1765,0)</f>
        <v>15000</v>
      </c>
      <c r="N1765" s="33" t="s">
        <v>182</v>
      </c>
      <c r="O1765" s="33" t="s">
        <v>801</v>
      </c>
      <c r="P1765" s="33" t="s">
        <v>559</v>
      </c>
      <c r="Q1765" s="33" t="s">
        <v>557</v>
      </c>
      <c r="R1765" s="34" t="n">
        <v>12000</v>
      </c>
      <c r="S1765" s="34" t="n">
        <f aca="false">IF(AND(L1765="Oui",K1765="Principal",R1765&lt;&gt;""),I1765*R1765,0)</f>
        <v>12000</v>
      </c>
      <c r="T1765" s="34" t="n">
        <f aca="false">IF(R1765&lt;&gt;"",M1765-S1765,0)</f>
        <v>3000</v>
      </c>
      <c r="U1765" s="34" t="n">
        <f aca="false">IF(R1765="",M1765,0)</f>
        <v>0</v>
      </c>
    </row>
    <row r="1766" customFormat="false" ht="15" hidden="false" customHeight="false" outlineLevel="0" collapsed="false">
      <c r="A1766" s="33" t="s">
        <v>65</v>
      </c>
      <c r="B1766" s="33" t="s">
        <v>74</v>
      </c>
      <c r="C1766" s="33" t="s">
        <v>50</v>
      </c>
      <c r="D1766" s="33" t="n">
        <v>29</v>
      </c>
      <c r="E1766" s="33" t="s">
        <v>588</v>
      </c>
      <c r="F1766" s="33" t="s">
        <v>508</v>
      </c>
      <c r="G1766" s="33" t="n">
        <v>62</v>
      </c>
      <c r="H1766" s="33" t="s">
        <v>802</v>
      </c>
      <c r="I1766" s="33" t="n">
        <v>1</v>
      </c>
      <c r="J1766" s="34" t="n">
        <v>15000</v>
      </c>
      <c r="K1766" s="33" t="s">
        <v>546</v>
      </c>
      <c r="L1766" s="33" t="s">
        <v>547</v>
      </c>
      <c r="M1766" s="34" t="n">
        <f aca="false">IF(AND(L1766="Oui",K1766="Principal"),I1766*J1766,0)</f>
        <v>15000</v>
      </c>
      <c r="N1766" s="33" t="s">
        <v>182</v>
      </c>
      <c r="O1766" s="33" t="s">
        <v>803</v>
      </c>
      <c r="P1766" s="33" t="s">
        <v>559</v>
      </c>
      <c r="Q1766" s="33" t="s">
        <v>557</v>
      </c>
      <c r="R1766" s="34" t="n">
        <v>12000</v>
      </c>
      <c r="S1766" s="34" t="n">
        <f aca="false">IF(AND(L1766="Oui",K1766="Principal",R1766&lt;&gt;""),I1766*R1766,0)</f>
        <v>12000</v>
      </c>
      <c r="T1766" s="34" t="n">
        <f aca="false">IF(R1766&lt;&gt;"",M1766-S1766,0)</f>
        <v>3000</v>
      </c>
      <c r="U1766" s="34" t="n">
        <f aca="false">IF(R1766="",M1766,0)</f>
        <v>0</v>
      </c>
    </row>
    <row r="1767" customFormat="false" ht="15" hidden="false" customHeight="false" outlineLevel="0" collapsed="false">
      <c r="A1767" s="33" t="s">
        <v>65</v>
      </c>
      <c r="B1767" s="33" t="s">
        <v>74</v>
      </c>
      <c r="C1767" s="33" t="s">
        <v>50</v>
      </c>
      <c r="D1767" s="33" t="n">
        <v>30</v>
      </c>
      <c r="E1767" s="33" t="s">
        <v>588</v>
      </c>
      <c r="F1767" s="33" t="s">
        <v>510</v>
      </c>
      <c r="G1767" s="33" t="n">
        <v>60</v>
      </c>
      <c r="H1767" s="33" t="s">
        <v>804</v>
      </c>
      <c r="I1767" s="33" t="n">
        <v>1</v>
      </c>
      <c r="J1767" s="34" t="n">
        <v>10000</v>
      </c>
      <c r="K1767" s="33" t="s">
        <v>546</v>
      </c>
      <c r="L1767" s="33" t="s">
        <v>547</v>
      </c>
      <c r="M1767" s="34" t="n">
        <f aca="false">IF(AND(L1767="Oui",K1767="Principal"),I1767*J1767,0)</f>
        <v>10000</v>
      </c>
      <c r="N1767" s="33" t="s">
        <v>182</v>
      </c>
      <c r="O1767" s="33" t="s">
        <v>805</v>
      </c>
      <c r="P1767" s="33" t="s">
        <v>559</v>
      </c>
      <c r="Q1767" s="33" t="s">
        <v>557</v>
      </c>
      <c r="R1767" s="34" t="n">
        <v>8000</v>
      </c>
      <c r="S1767" s="34" t="n">
        <f aca="false">IF(AND(L1767="Oui",K1767="Principal",R1767&lt;&gt;""),I1767*R1767,0)</f>
        <v>8000</v>
      </c>
      <c r="T1767" s="34" t="n">
        <f aca="false">IF(R1767&lt;&gt;"",M1767-S1767,0)</f>
        <v>2000</v>
      </c>
      <c r="U1767" s="34" t="n">
        <f aca="false">IF(R1767="",M1767,0)</f>
        <v>0</v>
      </c>
    </row>
    <row r="1768" customFormat="false" ht="15" hidden="false" customHeight="false" outlineLevel="0" collapsed="false">
      <c r="A1768" s="25" t="s">
        <v>65</v>
      </c>
      <c r="B1768" s="25" t="s">
        <v>74</v>
      </c>
      <c r="C1768" s="25" t="s">
        <v>50</v>
      </c>
      <c r="D1768" s="25" t="n">
        <v>31</v>
      </c>
      <c r="E1768" s="25" t="s">
        <v>588</v>
      </c>
      <c r="F1768" s="25" t="s">
        <v>512</v>
      </c>
      <c r="G1768" s="25" t="n">
        <v>72</v>
      </c>
      <c r="H1768" s="25" t="s">
        <v>806</v>
      </c>
      <c r="I1768" s="25" t="n">
        <v>1</v>
      </c>
      <c r="J1768" s="26" t="n">
        <v>15000</v>
      </c>
      <c r="K1768" s="25" t="s">
        <v>546</v>
      </c>
      <c r="L1768" s="25" t="s">
        <v>547</v>
      </c>
      <c r="M1768" s="26" t="n">
        <f aca="false">IF(AND(L1768="Oui",K1768="Principal"),I1768*J1768,0)</f>
        <v>15000</v>
      </c>
      <c r="N1768" s="25" t="s">
        <v>548</v>
      </c>
      <c r="O1768" s="25"/>
      <c r="P1768" s="25" t="s">
        <v>559</v>
      </c>
      <c r="Q1768" s="25" t="s">
        <v>557</v>
      </c>
      <c r="R1768" s="26" t="n">
        <v>12000</v>
      </c>
      <c r="S1768" s="26" t="n">
        <f aca="false">IF(AND(L1768="Oui",K1768="Principal",R1768&lt;&gt;""),I1768*R1768,0)</f>
        <v>12000</v>
      </c>
      <c r="T1768" s="26" t="n">
        <f aca="false">IF(R1768&lt;&gt;"",M1768-S1768,0)</f>
        <v>3000</v>
      </c>
      <c r="U1768" s="26" t="n">
        <f aca="false">IF(R1768="",M1768,0)</f>
        <v>0</v>
      </c>
    </row>
    <row r="1769" customFormat="false" ht="15" hidden="false" customHeight="false" outlineLevel="0" collapsed="false">
      <c r="A1769" s="25" t="s">
        <v>65</v>
      </c>
      <c r="B1769" s="25" t="s">
        <v>74</v>
      </c>
      <c r="C1769" s="25" t="s">
        <v>50</v>
      </c>
      <c r="D1769" s="25" t="n">
        <v>32</v>
      </c>
      <c r="E1769" s="25" t="s">
        <v>588</v>
      </c>
      <c r="F1769" s="25" t="s">
        <v>514</v>
      </c>
      <c r="G1769" s="25" t="n">
        <v>74</v>
      </c>
      <c r="H1769" s="25" t="s">
        <v>807</v>
      </c>
      <c r="I1769" s="25" t="n">
        <v>1</v>
      </c>
      <c r="J1769" s="26" t="n">
        <v>15000</v>
      </c>
      <c r="K1769" s="25" t="s">
        <v>546</v>
      </c>
      <c r="L1769" s="25" t="s">
        <v>547</v>
      </c>
      <c r="M1769" s="26" t="n">
        <f aca="false">IF(AND(L1769="Oui",K1769="Principal"),I1769*J1769,0)</f>
        <v>15000</v>
      </c>
      <c r="N1769" s="25" t="s">
        <v>548</v>
      </c>
      <c r="O1769" s="25"/>
      <c r="P1769" s="25" t="s">
        <v>559</v>
      </c>
      <c r="Q1769" s="25" t="s">
        <v>557</v>
      </c>
      <c r="R1769" s="26" t="n">
        <v>12000</v>
      </c>
      <c r="S1769" s="26" t="n">
        <f aca="false">IF(AND(L1769="Oui",K1769="Principal",R1769&lt;&gt;""),I1769*R1769,0)</f>
        <v>12000</v>
      </c>
      <c r="T1769" s="26" t="n">
        <f aca="false">IF(R1769&lt;&gt;"",M1769-S1769,0)</f>
        <v>3000</v>
      </c>
      <c r="U1769" s="26" t="n">
        <f aca="false">IF(R1769="",M1769,0)</f>
        <v>0</v>
      </c>
    </row>
    <row r="1770" customFormat="false" ht="15" hidden="false" customHeight="false" outlineLevel="0" collapsed="false">
      <c r="A1770" s="25" t="s">
        <v>65</v>
      </c>
      <c r="B1770" s="25" t="s">
        <v>74</v>
      </c>
      <c r="C1770" s="25" t="s">
        <v>50</v>
      </c>
      <c r="D1770" s="25" t="n">
        <v>33</v>
      </c>
      <c r="E1770" s="25" t="s">
        <v>588</v>
      </c>
      <c r="F1770" s="25" t="s">
        <v>516</v>
      </c>
      <c r="G1770" s="25" t="n">
        <v>75</v>
      </c>
      <c r="H1770" s="25" t="s">
        <v>788</v>
      </c>
      <c r="I1770" s="25" t="n">
        <v>1</v>
      </c>
      <c r="J1770" s="26" t="n">
        <v>15000</v>
      </c>
      <c r="K1770" s="25" t="s">
        <v>546</v>
      </c>
      <c r="L1770" s="25" t="s">
        <v>547</v>
      </c>
      <c r="M1770" s="26" t="n">
        <f aca="false">IF(AND(L1770="Oui",K1770="Principal"),I1770*J1770,0)</f>
        <v>15000</v>
      </c>
      <c r="N1770" s="25" t="s">
        <v>548</v>
      </c>
      <c r="O1770" s="25" t="s">
        <v>789</v>
      </c>
      <c r="P1770" s="25" t="s">
        <v>559</v>
      </c>
      <c r="Q1770" s="25" t="s">
        <v>557</v>
      </c>
      <c r="R1770" s="26" t="n">
        <v>12000</v>
      </c>
      <c r="S1770" s="26" t="n">
        <f aca="false">IF(AND(L1770="Oui",K1770="Principal",R1770&lt;&gt;""),I1770*R1770,0)</f>
        <v>12000</v>
      </c>
      <c r="T1770" s="26" t="n">
        <f aca="false">IF(R1770&lt;&gt;"",M1770-S1770,0)</f>
        <v>3000</v>
      </c>
      <c r="U1770" s="26" t="n">
        <f aca="false">IF(R1770="",M1770,0)</f>
        <v>0</v>
      </c>
    </row>
    <row r="1771" customFormat="false" ht="15" hidden="false" customHeight="false" outlineLevel="0" collapsed="false">
      <c r="A1771" s="25" t="s">
        <v>65</v>
      </c>
      <c r="B1771" s="25" t="s">
        <v>75</v>
      </c>
      <c r="C1771" s="25" t="s">
        <v>48</v>
      </c>
      <c r="D1771" s="25" t="n">
        <v>1</v>
      </c>
      <c r="E1771" s="25" t="s">
        <v>544</v>
      </c>
      <c r="F1771" s="25" t="s">
        <v>295</v>
      </c>
      <c r="G1771" s="25" t="n">
        <v>1618</v>
      </c>
      <c r="H1771" s="25" t="s">
        <v>600</v>
      </c>
      <c r="I1771" s="25" t="n">
        <v>2</v>
      </c>
      <c r="J1771" s="26" t="n">
        <v>450</v>
      </c>
      <c r="K1771" s="25" t="s">
        <v>546</v>
      </c>
      <c r="L1771" s="25" t="s">
        <v>547</v>
      </c>
      <c r="M1771" s="26" t="n">
        <f aca="false">IF(AND(L1771="Oui",K1771="Principal"),I1771*J1771,0)</f>
        <v>900</v>
      </c>
      <c r="N1771" s="25" t="s">
        <v>548</v>
      </c>
      <c r="O1771" s="25"/>
      <c r="P1771" s="25" t="s">
        <v>556</v>
      </c>
      <c r="Q1771" s="25" t="s">
        <v>557</v>
      </c>
      <c r="R1771" s="26" t="n">
        <v>350</v>
      </c>
      <c r="S1771" s="26" t="n">
        <f aca="false">IF(AND(L1771="Oui",K1771="Principal",R1771&lt;&gt;""),I1771*R1771,0)</f>
        <v>700</v>
      </c>
      <c r="T1771" s="26" t="n">
        <f aca="false">IF(R1771&lt;&gt;"",M1771-S1771,0)</f>
        <v>200</v>
      </c>
      <c r="U1771" s="26" t="n">
        <f aca="false">IF(R1771="",M1771,0)</f>
        <v>0</v>
      </c>
    </row>
    <row r="1772" customFormat="false" ht="15" hidden="false" customHeight="false" outlineLevel="0" collapsed="false">
      <c r="A1772" s="25" t="s">
        <v>65</v>
      </c>
      <c r="B1772" s="25" t="s">
        <v>75</v>
      </c>
      <c r="C1772" s="25" t="s">
        <v>48</v>
      </c>
      <c r="D1772" s="25" t="n">
        <v>2</v>
      </c>
      <c r="E1772" s="25" t="s">
        <v>544</v>
      </c>
      <c r="F1772" s="25" t="s">
        <v>296</v>
      </c>
      <c r="G1772" s="25" t="n">
        <v>1</v>
      </c>
      <c r="H1772" s="25" t="s">
        <v>681</v>
      </c>
      <c r="I1772" s="25" t="n">
        <v>4</v>
      </c>
      <c r="J1772" s="26" t="n">
        <v>500</v>
      </c>
      <c r="K1772" s="25" t="s">
        <v>546</v>
      </c>
      <c r="L1772" s="25" t="s">
        <v>547</v>
      </c>
      <c r="M1772" s="26" t="n">
        <f aca="false">IF(AND(L1772="Oui",K1772="Principal"),I1772*J1772,0)</f>
        <v>2000</v>
      </c>
      <c r="N1772" s="25" t="s">
        <v>548</v>
      </c>
      <c r="O1772" s="25"/>
      <c r="P1772" s="25" t="s">
        <v>559</v>
      </c>
      <c r="Q1772" s="25" t="s">
        <v>551</v>
      </c>
      <c r="R1772" s="26"/>
      <c r="S1772" s="26" t="n">
        <f aca="false">IF(AND(L1772="Oui",K1772="Principal",R1772&lt;&gt;""),I1772*R1772,0)</f>
        <v>0</v>
      </c>
      <c r="T1772" s="26" t="n">
        <f aca="false">IF(R1772&lt;&gt;"",M1772-S1772,0)</f>
        <v>0</v>
      </c>
      <c r="U1772" s="26" t="n">
        <f aca="false">IF(R1772="",M1772,0)</f>
        <v>2000</v>
      </c>
    </row>
    <row r="1773" customFormat="false" ht="15" hidden="false" customHeight="false" outlineLevel="0" collapsed="false">
      <c r="A1773" s="25" t="s">
        <v>65</v>
      </c>
      <c r="B1773" s="25" t="s">
        <v>75</v>
      </c>
      <c r="C1773" s="25" t="s">
        <v>48</v>
      </c>
      <c r="D1773" s="25" t="n">
        <v>3</v>
      </c>
      <c r="E1773" s="25" t="s">
        <v>544</v>
      </c>
      <c r="F1773" s="25" t="s">
        <v>298</v>
      </c>
      <c r="G1773" s="25" t="n">
        <v>1576</v>
      </c>
      <c r="H1773" s="25" t="s">
        <v>682</v>
      </c>
      <c r="I1773" s="25" t="n">
        <v>2</v>
      </c>
      <c r="J1773" s="26" t="n">
        <v>500</v>
      </c>
      <c r="K1773" s="25" t="s">
        <v>546</v>
      </c>
      <c r="L1773" s="25" t="s">
        <v>547</v>
      </c>
      <c r="M1773" s="26" t="n">
        <f aca="false">IF(AND(L1773="Oui",K1773="Principal"),I1773*J1773,0)</f>
        <v>1000</v>
      </c>
      <c r="N1773" s="25" t="s">
        <v>548</v>
      </c>
      <c r="O1773" s="25"/>
      <c r="P1773" s="25" t="s">
        <v>556</v>
      </c>
      <c r="Q1773" s="25" t="s">
        <v>557</v>
      </c>
      <c r="R1773" s="26" t="n">
        <v>400</v>
      </c>
      <c r="S1773" s="26" t="n">
        <f aca="false">IF(AND(L1773="Oui",K1773="Principal",R1773&lt;&gt;""),I1773*R1773,0)</f>
        <v>800</v>
      </c>
      <c r="T1773" s="26" t="n">
        <f aca="false">IF(R1773&lt;&gt;"",M1773-S1773,0)</f>
        <v>200</v>
      </c>
      <c r="U1773" s="26" t="n">
        <f aca="false">IF(R1773="",M1773,0)</f>
        <v>0</v>
      </c>
    </row>
    <row r="1774" customFormat="false" ht="15" hidden="false" customHeight="false" outlineLevel="0" collapsed="false">
      <c r="A1774" s="25" t="s">
        <v>65</v>
      </c>
      <c r="B1774" s="25" t="s">
        <v>75</v>
      </c>
      <c r="C1774" s="25" t="s">
        <v>48</v>
      </c>
      <c r="D1774" s="25" t="n">
        <v>4</v>
      </c>
      <c r="E1774" s="25" t="s">
        <v>544</v>
      </c>
      <c r="F1774" s="25" t="s">
        <v>338</v>
      </c>
      <c r="G1774" s="25" t="n">
        <v>2</v>
      </c>
      <c r="H1774" s="25" t="s">
        <v>705</v>
      </c>
      <c r="I1774" s="25" t="n">
        <v>5</v>
      </c>
      <c r="J1774" s="26" t="n">
        <v>900</v>
      </c>
      <c r="K1774" s="25" t="s">
        <v>546</v>
      </c>
      <c r="L1774" s="25" t="s">
        <v>547</v>
      </c>
      <c r="M1774" s="26" t="n">
        <f aca="false">IF(AND(L1774="Oui",K1774="Principal"),I1774*J1774,0)</f>
        <v>4500</v>
      </c>
      <c r="N1774" s="25" t="s">
        <v>548</v>
      </c>
      <c r="O1774" s="25"/>
      <c r="P1774" s="25" t="s">
        <v>559</v>
      </c>
      <c r="Q1774" s="25" t="s">
        <v>551</v>
      </c>
      <c r="R1774" s="26"/>
      <c r="S1774" s="26" t="n">
        <f aca="false">IF(AND(L1774="Oui",K1774="Principal",R1774&lt;&gt;""),I1774*R1774,0)</f>
        <v>0</v>
      </c>
      <c r="T1774" s="26" t="n">
        <f aca="false">IF(R1774&lt;&gt;"",M1774-S1774,0)</f>
        <v>0</v>
      </c>
      <c r="U1774" s="26" t="n">
        <f aca="false">IF(R1774="",M1774,0)</f>
        <v>4500</v>
      </c>
    </row>
    <row r="1775" customFormat="false" ht="15" hidden="false" customHeight="false" outlineLevel="0" collapsed="false">
      <c r="A1775" s="25" t="s">
        <v>65</v>
      </c>
      <c r="B1775" s="25" t="s">
        <v>75</v>
      </c>
      <c r="C1775" s="25" t="s">
        <v>48</v>
      </c>
      <c r="D1775" s="25" t="n">
        <v>5</v>
      </c>
      <c r="E1775" s="25" t="s">
        <v>544</v>
      </c>
      <c r="F1775" s="25" t="s">
        <v>442</v>
      </c>
      <c r="G1775" s="25" t="n">
        <v>1729</v>
      </c>
      <c r="H1775" s="25" t="s">
        <v>552</v>
      </c>
      <c r="I1775" s="25" t="n">
        <v>1</v>
      </c>
      <c r="J1775" s="26" t="n">
        <v>1300</v>
      </c>
      <c r="K1775" s="25" t="s">
        <v>546</v>
      </c>
      <c r="L1775" s="25" t="s">
        <v>547</v>
      </c>
      <c r="M1775" s="26" t="n">
        <f aca="false">IF(AND(L1775="Oui",K1775="Principal"),I1775*J1775,0)</f>
        <v>1300</v>
      </c>
      <c r="N1775" s="25" t="s">
        <v>548</v>
      </c>
      <c r="O1775" s="25"/>
      <c r="P1775" s="25" t="s">
        <v>550</v>
      </c>
      <c r="Q1775" s="25" t="s">
        <v>551</v>
      </c>
      <c r="R1775" s="26"/>
      <c r="S1775" s="26" t="n">
        <f aca="false">IF(AND(L1775="Oui",K1775="Principal",R1775&lt;&gt;""),I1775*R1775,0)</f>
        <v>0</v>
      </c>
      <c r="T1775" s="26" t="n">
        <f aca="false">IF(R1775&lt;&gt;"",M1775-S1775,0)</f>
        <v>0</v>
      </c>
      <c r="U1775" s="26" t="n">
        <f aca="false">IF(R1775="",M1775,0)</f>
        <v>1300</v>
      </c>
    </row>
    <row r="1776" customFormat="false" ht="15" hidden="false" customHeight="false" outlineLevel="0" collapsed="false">
      <c r="A1776" s="25" t="s">
        <v>65</v>
      </c>
      <c r="B1776" s="25" t="s">
        <v>75</v>
      </c>
      <c r="C1776" s="25" t="s">
        <v>48</v>
      </c>
      <c r="D1776" s="25" t="n">
        <v>6</v>
      </c>
      <c r="E1776" s="25" t="s">
        <v>563</v>
      </c>
      <c r="F1776" s="25" t="s">
        <v>255</v>
      </c>
      <c r="G1776" s="25" t="n">
        <v>1636</v>
      </c>
      <c r="H1776" s="25" t="s">
        <v>661</v>
      </c>
      <c r="I1776" s="25" t="n">
        <v>1</v>
      </c>
      <c r="J1776" s="26" t="n">
        <v>400</v>
      </c>
      <c r="K1776" s="25" t="s">
        <v>546</v>
      </c>
      <c r="L1776" s="25" t="s">
        <v>547</v>
      </c>
      <c r="M1776" s="26" t="n">
        <f aca="false">IF(AND(L1776="Oui",K1776="Principal"),I1776*J1776,0)</f>
        <v>400</v>
      </c>
      <c r="N1776" s="25" t="s">
        <v>548</v>
      </c>
      <c r="O1776" s="25"/>
      <c r="P1776" s="25" t="s">
        <v>556</v>
      </c>
      <c r="Q1776" s="25" t="s">
        <v>557</v>
      </c>
      <c r="R1776" s="26" t="n">
        <v>320</v>
      </c>
      <c r="S1776" s="26" t="n">
        <f aca="false">IF(AND(L1776="Oui",K1776="Principal",R1776&lt;&gt;""),I1776*R1776,0)</f>
        <v>320</v>
      </c>
      <c r="T1776" s="26" t="n">
        <f aca="false">IF(R1776&lt;&gt;"",M1776-S1776,0)</f>
        <v>80</v>
      </c>
      <c r="U1776" s="26" t="n">
        <f aca="false">IF(R1776="",M1776,0)</f>
        <v>0</v>
      </c>
    </row>
    <row r="1777" customFormat="false" ht="15" hidden="false" customHeight="false" outlineLevel="0" collapsed="false">
      <c r="A1777" s="25" t="s">
        <v>65</v>
      </c>
      <c r="B1777" s="25" t="s">
        <v>75</v>
      </c>
      <c r="C1777" s="25" t="s">
        <v>48</v>
      </c>
      <c r="D1777" s="25" t="n">
        <v>7</v>
      </c>
      <c r="E1777" s="25" t="s">
        <v>563</v>
      </c>
      <c r="F1777" s="25" t="s">
        <v>257</v>
      </c>
      <c r="G1777" s="25" t="n">
        <v>1635</v>
      </c>
      <c r="H1777" s="25" t="s">
        <v>607</v>
      </c>
      <c r="I1777" s="25" t="n">
        <v>1</v>
      </c>
      <c r="J1777" s="26" t="n">
        <v>100</v>
      </c>
      <c r="K1777" s="25" t="s">
        <v>546</v>
      </c>
      <c r="L1777" s="25" t="s">
        <v>547</v>
      </c>
      <c r="M1777" s="26" t="n">
        <f aca="false">IF(AND(L1777="Oui",K1777="Principal"),I1777*J1777,0)</f>
        <v>100</v>
      </c>
      <c r="N1777" s="25" t="s">
        <v>548</v>
      </c>
      <c r="O1777" s="25"/>
      <c r="P1777" s="25" t="s">
        <v>556</v>
      </c>
      <c r="Q1777" s="25" t="s">
        <v>557</v>
      </c>
      <c r="R1777" s="26" t="n">
        <v>80</v>
      </c>
      <c r="S1777" s="26" t="n">
        <f aca="false">IF(AND(L1777="Oui",K1777="Principal",R1777&lt;&gt;""),I1777*R1777,0)</f>
        <v>80</v>
      </c>
      <c r="T1777" s="26" t="n">
        <f aca="false">IF(R1777&lt;&gt;"",M1777-S1777,0)</f>
        <v>20</v>
      </c>
      <c r="U1777" s="26" t="n">
        <f aca="false">IF(R1777="",M1777,0)</f>
        <v>0</v>
      </c>
    </row>
    <row r="1778" customFormat="false" ht="15" hidden="false" customHeight="false" outlineLevel="0" collapsed="false">
      <c r="A1778" s="25" t="s">
        <v>65</v>
      </c>
      <c r="B1778" s="25" t="s">
        <v>75</v>
      </c>
      <c r="C1778" s="25" t="s">
        <v>48</v>
      </c>
      <c r="D1778" s="25" t="n">
        <v>8</v>
      </c>
      <c r="E1778" s="25" t="s">
        <v>563</v>
      </c>
      <c r="F1778" s="25" t="s">
        <v>97</v>
      </c>
      <c r="G1778" s="25" t="n">
        <v>1571</v>
      </c>
      <c r="H1778" s="25" t="s">
        <v>564</v>
      </c>
      <c r="I1778" s="25" t="n">
        <v>2</v>
      </c>
      <c r="J1778" s="26" t="n">
        <v>75</v>
      </c>
      <c r="K1778" s="25" t="s">
        <v>546</v>
      </c>
      <c r="L1778" s="25" t="s">
        <v>547</v>
      </c>
      <c r="M1778" s="26" t="n">
        <f aca="false">IF(AND(L1778="Oui",K1778="Principal"),I1778*J1778,0)</f>
        <v>150</v>
      </c>
      <c r="N1778" s="25" t="s">
        <v>548</v>
      </c>
      <c r="O1778" s="25"/>
      <c r="P1778" s="25" t="s">
        <v>550</v>
      </c>
      <c r="Q1778" s="25" t="s">
        <v>557</v>
      </c>
      <c r="R1778" s="26"/>
      <c r="S1778" s="26" t="n">
        <f aca="false">IF(AND(L1778="Oui",K1778="Principal",R1778&lt;&gt;""),I1778*R1778,0)</f>
        <v>0</v>
      </c>
      <c r="T1778" s="26" t="n">
        <f aca="false">IF(R1778&lt;&gt;"",M1778-S1778,0)</f>
        <v>0</v>
      </c>
      <c r="U1778" s="26" t="n">
        <f aca="false">IF(R1778="",M1778,0)</f>
        <v>150</v>
      </c>
    </row>
    <row r="1779" customFormat="false" ht="15" hidden="false" customHeight="false" outlineLevel="0" collapsed="false">
      <c r="A1779" s="25" t="s">
        <v>65</v>
      </c>
      <c r="B1779" s="25" t="s">
        <v>75</v>
      </c>
      <c r="C1779" s="25" t="s">
        <v>48</v>
      </c>
      <c r="D1779" s="25" t="n">
        <v>9</v>
      </c>
      <c r="E1779" s="25" t="s">
        <v>563</v>
      </c>
      <c r="F1779" s="25" t="s">
        <v>325</v>
      </c>
      <c r="G1779" s="25" t="n">
        <v>1248</v>
      </c>
      <c r="H1779" s="25" t="s">
        <v>697</v>
      </c>
      <c r="I1779" s="25" t="n">
        <v>1</v>
      </c>
      <c r="J1779" s="26" t="n">
        <v>400</v>
      </c>
      <c r="K1779" s="25" t="s">
        <v>546</v>
      </c>
      <c r="L1779" s="25" t="s">
        <v>547</v>
      </c>
      <c r="M1779" s="26" t="n">
        <f aca="false">IF(AND(L1779="Oui",K1779="Principal"),I1779*J1779,0)</f>
        <v>400</v>
      </c>
      <c r="N1779" s="25" t="s">
        <v>548</v>
      </c>
      <c r="O1779" s="25"/>
      <c r="P1779" s="25" t="s">
        <v>550</v>
      </c>
      <c r="Q1779" s="25" t="s">
        <v>557</v>
      </c>
      <c r="R1779" s="26" t="n">
        <v>250</v>
      </c>
      <c r="S1779" s="26" t="n">
        <f aca="false">IF(AND(L1779="Oui",K1779="Principal",R1779&lt;&gt;""),I1779*R1779,0)</f>
        <v>250</v>
      </c>
      <c r="T1779" s="26" t="n">
        <f aca="false">IF(R1779&lt;&gt;"",M1779-S1779,0)</f>
        <v>150</v>
      </c>
      <c r="U1779" s="26" t="n">
        <f aca="false">IF(R1779="",M1779,0)</f>
        <v>0</v>
      </c>
    </row>
    <row r="1780" customFormat="false" ht="15" hidden="false" customHeight="false" outlineLevel="0" collapsed="false">
      <c r="A1780" s="25" t="s">
        <v>65</v>
      </c>
      <c r="B1780" s="25" t="s">
        <v>75</v>
      </c>
      <c r="C1780" s="25" t="s">
        <v>48</v>
      </c>
      <c r="D1780" s="25" t="n">
        <v>10</v>
      </c>
      <c r="E1780" s="25" t="s">
        <v>565</v>
      </c>
      <c r="F1780" s="25" t="s">
        <v>99</v>
      </c>
      <c r="G1780" s="25" t="n">
        <v>9</v>
      </c>
      <c r="H1780" s="25" t="s">
        <v>566</v>
      </c>
      <c r="I1780" s="25" t="n">
        <v>1</v>
      </c>
      <c r="J1780" s="26" t="n">
        <v>150</v>
      </c>
      <c r="K1780" s="25" t="s">
        <v>546</v>
      </c>
      <c r="L1780" s="25" t="s">
        <v>547</v>
      </c>
      <c r="M1780" s="26" t="n">
        <f aca="false">IF(AND(L1780="Oui",K1780="Principal"),I1780*J1780,0)</f>
        <v>150</v>
      </c>
      <c r="N1780" s="25" t="s">
        <v>548</v>
      </c>
      <c r="O1780" s="25"/>
      <c r="P1780" s="25" t="s">
        <v>559</v>
      </c>
      <c r="Q1780" s="25" t="s">
        <v>551</v>
      </c>
      <c r="R1780" s="26"/>
      <c r="S1780" s="26" t="n">
        <f aca="false">IF(AND(L1780="Oui",K1780="Principal",R1780&lt;&gt;""),I1780*R1780,0)</f>
        <v>0</v>
      </c>
      <c r="T1780" s="26" t="n">
        <f aca="false">IF(R1780&lt;&gt;"",M1780-S1780,0)</f>
        <v>0</v>
      </c>
      <c r="U1780" s="26" t="n">
        <f aca="false">IF(R1780="",M1780,0)</f>
        <v>150</v>
      </c>
    </row>
    <row r="1781" customFormat="false" ht="15" hidden="false" customHeight="false" outlineLevel="0" collapsed="false">
      <c r="A1781" s="25" t="s">
        <v>65</v>
      </c>
      <c r="B1781" s="25" t="s">
        <v>75</v>
      </c>
      <c r="C1781" s="25" t="s">
        <v>48</v>
      </c>
      <c r="D1781" s="25" t="n">
        <v>11</v>
      </c>
      <c r="E1781" s="25" t="s">
        <v>565</v>
      </c>
      <c r="F1781" s="25" t="s">
        <v>164</v>
      </c>
      <c r="G1781" s="25" t="n">
        <v>10</v>
      </c>
      <c r="H1781" s="25" t="s">
        <v>608</v>
      </c>
      <c r="I1781" s="25" t="n">
        <v>1</v>
      </c>
      <c r="J1781" s="26" t="n">
        <v>200</v>
      </c>
      <c r="K1781" s="25" t="s">
        <v>546</v>
      </c>
      <c r="L1781" s="25" t="s">
        <v>547</v>
      </c>
      <c r="M1781" s="26" t="n">
        <f aca="false">IF(AND(L1781="Oui",K1781="Principal"),I1781*J1781,0)</f>
        <v>200</v>
      </c>
      <c r="N1781" s="25" t="s">
        <v>548</v>
      </c>
      <c r="O1781" s="25"/>
      <c r="P1781" s="25" t="s">
        <v>559</v>
      </c>
      <c r="Q1781" s="25" t="s">
        <v>551</v>
      </c>
      <c r="R1781" s="26"/>
      <c r="S1781" s="26" t="n">
        <f aca="false">IF(AND(L1781="Oui",K1781="Principal",R1781&lt;&gt;""),I1781*R1781,0)</f>
        <v>0</v>
      </c>
      <c r="T1781" s="26" t="n">
        <f aca="false">IF(R1781&lt;&gt;"",M1781-S1781,0)</f>
        <v>0</v>
      </c>
      <c r="U1781" s="26" t="n">
        <f aca="false">IF(R1781="",M1781,0)</f>
        <v>200</v>
      </c>
    </row>
    <row r="1782" customFormat="false" ht="15" hidden="false" customHeight="false" outlineLevel="0" collapsed="false">
      <c r="A1782" s="25" t="s">
        <v>65</v>
      </c>
      <c r="B1782" s="25" t="s">
        <v>75</v>
      </c>
      <c r="C1782" s="25" t="s">
        <v>48</v>
      </c>
      <c r="D1782" s="25" t="n">
        <v>12</v>
      </c>
      <c r="E1782" s="25" t="s">
        <v>565</v>
      </c>
      <c r="F1782" s="25" t="s">
        <v>166</v>
      </c>
      <c r="G1782" s="25" t="n">
        <v>1173</v>
      </c>
      <c r="H1782" s="25" t="s">
        <v>569</v>
      </c>
      <c r="I1782" s="25" t="n">
        <v>1</v>
      </c>
      <c r="J1782" s="26" t="n">
        <v>570</v>
      </c>
      <c r="K1782" s="25" t="s">
        <v>546</v>
      </c>
      <c r="L1782" s="25" t="s">
        <v>547</v>
      </c>
      <c r="M1782" s="26" t="n">
        <f aca="false">IF(AND(L1782="Oui",K1782="Principal"),I1782*J1782,0)</f>
        <v>570</v>
      </c>
      <c r="N1782" s="25" t="s">
        <v>548</v>
      </c>
      <c r="O1782" s="25"/>
      <c r="P1782" s="25" t="s">
        <v>550</v>
      </c>
      <c r="Q1782" s="25" t="s">
        <v>557</v>
      </c>
      <c r="R1782" s="26" t="n">
        <v>420</v>
      </c>
      <c r="S1782" s="26" t="n">
        <f aca="false">IF(AND(L1782="Oui",K1782="Principal",R1782&lt;&gt;""),I1782*R1782,0)</f>
        <v>420</v>
      </c>
      <c r="T1782" s="26" t="n">
        <f aca="false">IF(R1782&lt;&gt;"",M1782-S1782,0)</f>
        <v>150</v>
      </c>
      <c r="U1782" s="26" t="n">
        <f aca="false">IF(R1782="",M1782,0)</f>
        <v>0</v>
      </c>
    </row>
    <row r="1783" customFormat="false" ht="15" hidden="false" customHeight="false" outlineLevel="0" collapsed="false">
      <c r="A1783" s="25" t="s">
        <v>65</v>
      </c>
      <c r="B1783" s="25" t="s">
        <v>75</v>
      </c>
      <c r="C1783" s="25" t="s">
        <v>48</v>
      </c>
      <c r="D1783" s="25" t="n">
        <v>13</v>
      </c>
      <c r="E1783" s="25" t="s">
        <v>565</v>
      </c>
      <c r="F1783" s="25" t="s">
        <v>304</v>
      </c>
      <c r="G1783" s="25" t="n">
        <v>1250</v>
      </c>
      <c r="H1783" s="25" t="s">
        <v>570</v>
      </c>
      <c r="I1783" s="25" t="n">
        <v>1</v>
      </c>
      <c r="J1783" s="26" t="n">
        <v>250</v>
      </c>
      <c r="K1783" s="25" t="s">
        <v>546</v>
      </c>
      <c r="L1783" s="25" t="s">
        <v>547</v>
      </c>
      <c r="M1783" s="26" t="n">
        <f aca="false">IF(AND(L1783="Oui",K1783="Principal"),I1783*J1783,0)</f>
        <v>250</v>
      </c>
      <c r="N1783" s="25" t="s">
        <v>548</v>
      </c>
      <c r="O1783" s="25"/>
      <c r="P1783" s="25" t="s">
        <v>550</v>
      </c>
      <c r="Q1783" s="25" t="s">
        <v>557</v>
      </c>
      <c r="R1783" s="26" t="n">
        <v>100</v>
      </c>
      <c r="S1783" s="26" t="n">
        <f aca="false">IF(AND(L1783="Oui",K1783="Principal",R1783&lt;&gt;""),I1783*R1783,0)</f>
        <v>100</v>
      </c>
      <c r="T1783" s="26" t="n">
        <f aca="false">IF(R1783&lt;&gt;"",M1783-S1783,0)</f>
        <v>150</v>
      </c>
      <c r="U1783" s="26" t="n">
        <f aca="false">IF(R1783="",M1783,0)</f>
        <v>0</v>
      </c>
    </row>
    <row r="1784" customFormat="false" ht="15" hidden="false" customHeight="false" outlineLevel="0" collapsed="false">
      <c r="A1784" s="33" t="s">
        <v>65</v>
      </c>
      <c r="B1784" s="33" t="s">
        <v>75</v>
      </c>
      <c r="C1784" s="33" t="s">
        <v>48</v>
      </c>
      <c r="D1784" s="33" t="n">
        <v>14</v>
      </c>
      <c r="E1784" s="33" t="s">
        <v>609</v>
      </c>
      <c r="F1784" s="33" t="s">
        <v>199</v>
      </c>
      <c r="G1784" s="33" t="n">
        <v>1229</v>
      </c>
      <c r="H1784" s="33" t="s">
        <v>643</v>
      </c>
      <c r="I1784" s="33" t="n">
        <v>1</v>
      </c>
      <c r="J1784" s="34" t="n">
        <v>1800</v>
      </c>
      <c r="K1784" s="33" t="s">
        <v>546</v>
      </c>
      <c r="L1784" s="33" t="s">
        <v>547</v>
      </c>
      <c r="M1784" s="34" t="n">
        <f aca="false">IF(AND(L1784="Oui",K1784="Principal"),I1784*J1784,0)</f>
        <v>1800</v>
      </c>
      <c r="N1784" s="33" t="s">
        <v>182</v>
      </c>
      <c r="O1784" s="33" t="s">
        <v>644</v>
      </c>
      <c r="P1784" s="33" t="s">
        <v>550</v>
      </c>
      <c r="Q1784" s="33" t="s">
        <v>557</v>
      </c>
      <c r="R1784" s="34" t="n">
        <v>1500</v>
      </c>
      <c r="S1784" s="34" t="n">
        <f aca="false">IF(AND(L1784="Oui",K1784="Principal",R1784&lt;&gt;""),I1784*R1784,0)</f>
        <v>1500</v>
      </c>
      <c r="T1784" s="34" t="n">
        <f aca="false">IF(R1784&lt;&gt;"",M1784-S1784,0)</f>
        <v>300</v>
      </c>
      <c r="U1784" s="34" t="n">
        <f aca="false">IF(R1784="",M1784,0)</f>
        <v>0</v>
      </c>
    </row>
    <row r="1785" customFormat="false" ht="15" hidden="false" customHeight="false" outlineLevel="0" collapsed="false">
      <c r="A1785" s="25" t="s">
        <v>65</v>
      </c>
      <c r="B1785" s="25" t="s">
        <v>75</v>
      </c>
      <c r="C1785" s="25" t="s">
        <v>48</v>
      </c>
      <c r="D1785" s="25" t="n">
        <v>15</v>
      </c>
      <c r="E1785" s="25" t="s">
        <v>609</v>
      </c>
      <c r="F1785" s="25" t="s">
        <v>443</v>
      </c>
      <c r="G1785" s="25" t="n">
        <v>1727</v>
      </c>
      <c r="H1785" s="25" t="s">
        <v>698</v>
      </c>
      <c r="I1785" s="25" t="n">
        <v>1</v>
      </c>
      <c r="J1785" s="26" t="n">
        <v>4750</v>
      </c>
      <c r="K1785" s="25" t="s">
        <v>546</v>
      </c>
      <c r="L1785" s="25" t="s">
        <v>547</v>
      </c>
      <c r="M1785" s="26" t="n">
        <f aca="false">IF(AND(L1785="Oui",K1785="Principal"),I1785*J1785,0)</f>
        <v>4750</v>
      </c>
      <c r="N1785" s="25" t="s">
        <v>548</v>
      </c>
      <c r="O1785" s="25"/>
      <c r="P1785" s="25" t="s">
        <v>559</v>
      </c>
      <c r="Q1785" s="25" t="s">
        <v>557</v>
      </c>
      <c r="R1785" s="26" t="n">
        <v>3700</v>
      </c>
      <c r="S1785" s="26" t="n">
        <f aca="false">IF(AND(L1785="Oui",K1785="Principal",R1785&lt;&gt;""),I1785*R1785,0)</f>
        <v>3700</v>
      </c>
      <c r="T1785" s="26" t="n">
        <f aca="false">IF(R1785&lt;&gt;"",M1785-S1785,0)</f>
        <v>1050</v>
      </c>
      <c r="U1785" s="26" t="n">
        <f aca="false">IF(R1785="",M1785,0)</f>
        <v>0</v>
      </c>
    </row>
    <row r="1786" customFormat="false" ht="15" hidden="false" customHeight="false" outlineLevel="0" collapsed="false">
      <c r="A1786" s="25" t="s">
        <v>65</v>
      </c>
      <c r="B1786" s="25" t="s">
        <v>75</v>
      </c>
      <c r="C1786" s="25" t="s">
        <v>48</v>
      </c>
      <c r="D1786" s="25" t="n">
        <v>16</v>
      </c>
      <c r="E1786" s="25" t="s">
        <v>573</v>
      </c>
      <c r="F1786" s="25" t="s">
        <v>176</v>
      </c>
      <c r="G1786" s="25" t="n">
        <v>19</v>
      </c>
      <c r="H1786" s="25" t="s">
        <v>615</v>
      </c>
      <c r="I1786" s="25" t="n">
        <v>1</v>
      </c>
      <c r="J1786" s="26" t="n">
        <v>2500</v>
      </c>
      <c r="K1786" s="25" t="s">
        <v>546</v>
      </c>
      <c r="L1786" s="25" t="s">
        <v>547</v>
      </c>
      <c r="M1786" s="26" t="n">
        <f aca="false">IF(AND(L1786="Oui",K1786="Principal"),I1786*J1786,0)</f>
        <v>2500</v>
      </c>
      <c r="N1786" s="25" t="s">
        <v>548</v>
      </c>
      <c r="O1786" s="25"/>
      <c r="P1786" s="25" t="s">
        <v>559</v>
      </c>
      <c r="Q1786" s="25" t="s">
        <v>551</v>
      </c>
      <c r="R1786" s="26"/>
      <c r="S1786" s="26" t="n">
        <f aca="false">IF(AND(L1786="Oui",K1786="Principal",R1786&lt;&gt;""),I1786*R1786,0)</f>
        <v>0</v>
      </c>
      <c r="T1786" s="26" t="n">
        <f aca="false">IF(R1786&lt;&gt;"",M1786-S1786,0)</f>
        <v>0</v>
      </c>
      <c r="U1786" s="26" t="n">
        <f aca="false">IF(R1786="",M1786,0)</f>
        <v>2500</v>
      </c>
    </row>
    <row r="1787" customFormat="false" ht="15" hidden="false" customHeight="false" outlineLevel="0" collapsed="false">
      <c r="A1787" s="27" t="s">
        <v>65</v>
      </c>
      <c r="B1787" s="27" t="s">
        <v>75</v>
      </c>
      <c r="C1787" s="27" t="s">
        <v>48</v>
      </c>
      <c r="D1787" s="27" t="n">
        <v>17</v>
      </c>
      <c r="E1787" s="27" t="s">
        <v>588</v>
      </c>
      <c r="F1787" s="27" t="s">
        <v>518</v>
      </c>
      <c r="G1787" s="27"/>
      <c r="H1787" s="27" t="s">
        <v>585</v>
      </c>
      <c r="I1787" s="27" t="n">
        <v>1</v>
      </c>
      <c r="J1787" s="28" t="n">
        <v>0</v>
      </c>
      <c r="K1787" s="27" t="s">
        <v>618</v>
      </c>
      <c r="L1787" s="27" t="s">
        <v>579</v>
      </c>
      <c r="M1787" s="28" t="n">
        <f aca="false">IF(AND(L1787="Oui",K1787="Principal"),I1787*J1787,0)</f>
        <v>0</v>
      </c>
      <c r="N1787" s="27" t="s">
        <v>128</v>
      </c>
      <c r="O1787" s="27" t="s">
        <v>808</v>
      </c>
      <c r="P1787" s="27"/>
      <c r="Q1787" s="27"/>
      <c r="R1787" s="28"/>
      <c r="S1787" s="28" t="n">
        <f aca="false">IF(AND(L1787="Oui",K1787="Principal",R1787&lt;&gt;""),I1787*R1787,0)</f>
        <v>0</v>
      </c>
      <c r="T1787" s="28" t="n">
        <f aca="false">IF(R1787&lt;&gt;"",M1787-S1787,0)</f>
        <v>0</v>
      </c>
      <c r="U1787" s="28" t="n">
        <f aca="false">IF(R1787="",M1787,0)</f>
        <v>0</v>
      </c>
    </row>
    <row r="1788" customFormat="false" ht="15" hidden="false" customHeight="false" outlineLevel="0" collapsed="false">
      <c r="A1788" s="33" t="s">
        <v>65</v>
      </c>
      <c r="B1788" s="33" t="s">
        <v>75</v>
      </c>
      <c r="C1788" s="33" t="s">
        <v>48</v>
      </c>
      <c r="D1788" s="33" t="n">
        <v>18</v>
      </c>
      <c r="E1788" s="33" t="s">
        <v>588</v>
      </c>
      <c r="F1788" s="33" t="s">
        <v>519</v>
      </c>
      <c r="G1788" s="33" t="n">
        <v>64</v>
      </c>
      <c r="H1788" s="33" t="s">
        <v>809</v>
      </c>
      <c r="I1788" s="33" t="n">
        <v>1</v>
      </c>
      <c r="J1788" s="34" t="n">
        <v>10000</v>
      </c>
      <c r="K1788" s="33" t="s">
        <v>618</v>
      </c>
      <c r="L1788" s="33" t="s">
        <v>579</v>
      </c>
      <c r="M1788" s="34" t="n">
        <f aca="false">IF(AND(L1788="Oui",K1788="Principal"),I1788*J1788,0)</f>
        <v>0</v>
      </c>
      <c r="N1788" s="33" t="s">
        <v>182</v>
      </c>
      <c r="O1788" s="33" t="s">
        <v>810</v>
      </c>
      <c r="P1788" s="33" t="s">
        <v>559</v>
      </c>
      <c r="Q1788" s="33" t="s">
        <v>557</v>
      </c>
      <c r="R1788" s="34" t="n">
        <v>8000</v>
      </c>
      <c r="S1788" s="34" t="n">
        <f aca="false">IF(AND(L1788="Oui",K1788="Principal",R1788&lt;&gt;""),I1788*R1788,0)</f>
        <v>0</v>
      </c>
      <c r="T1788" s="34" t="n">
        <f aca="false">IF(R1788&lt;&gt;"",M1788-S1788,0)</f>
        <v>0</v>
      </c>
      <c r="U1788" s="34" t="n">
        <f aca="false">IF(R1788="",M1788,0)</f>
        <v>0</v>
      </c>
    </row>
    <row r="1789" customFormat="false" ht="15" hidden="false" customHeight="false" outlineLevel="0" collapsed="false">
      <c r="A1789" s="25" t="s">
        <v>65</v>
      </c>
      <c r="B1789" s="25" t="s">
        <v>75</v>
      </c>
      <c r="C1789" s="25" t="s">
        <v>48</v>
      </c>
      <c r="D1789" s="25" t="n">
        <v>19</v>
      </c>
      <c r="E1789" s="25" t="s">
        <v>686</v>
      </c>
      <c r="F1789" s="25" t="s">
        <v>521</v>
      </c>
      <c r="G1789" s="25" t="n">
        <v>1561</v>
      </c>
      <c r="H1789" s="25" t="s">
        <v>811</v>
      </c>
      <c r="I1789" s="25" t="n">
        <v>1</v>
      </c>
      <c r="J1789" s="26" t="n">
        <v>4720</v>
      </c>
      <c r="K1789" s="25" t="s">
        <v>618</v>
      </c>
      <c r="L1789" s="25" t="s">
        <v>579</v>
      </c>
      <c r="M1789" s="26" t="n">
        <f aca="false">IF(AND(L1789="Oui",K1789="Principal"),I1789*J1789,0)</f>
        <v>0</v>
      </c>
      <c r="N1789" s="25" t="s">
        <v>548</v>
      </c>
      <c r="O1789" s="25"/>
      <c r="P1789" s="25" t="s">
        <v>550</v>
      </c>
      <c r="Q1789" s="25" t="s">
        <v>557</v>
      </c>
      <c r="R1789" s="26" t="n">
        <v>3720</v>
      </c>
      <c r="S1789" s="26" t="n">
        <f aca="false">IF(AND(L1789="Oui",K1789="Principal",R1789&lt;&gt;""),I1789*R1789,0)</f>
        <v>0</v>
      </c>
      <c r="T1789" s="26" t="n">
        <f aca="false">IF(R1789&lt;&gt;"",M1789-S1789,0)</f>
        <v>0</v>
      </c>
      <c r="U1789" s="26" t="n">
        <f aca="false">IF(R1789="",M1789,0)</f>
        <v>0</v>
      </c>
    </row>
    <row r="1790" customFormat="false" ht="15" hidden="false" customHeight="false" outlineLevel="0" collapsed="false">
      <c r="A1790" s="27" t="s">
        <v>65</v>
      </c>
      <c r="B1790" s="27" t="s">
        <v>75</v>
      </c>
      <c r="C1790" s="27" t="s">
        <v>48</v>
      </c>
      <c r="D1790" s="27" t="n">
        <v>20</v>
      </c>
      <c r="E1790" s="27" t="s">
        <v>588</v>
      </c>
      <c r="F1790" s="27" t="s">
        <v>523</v>
      </c>
      <c r="G1790" s="27"/>
      <c r="H1790" s="27" t="s">
        <v>585</v>
      </c>
      <c r="I1790" s="27" t="n">
        <v>1</v>
      </c>
      <c r="J1790" s="28" t="n">
        <v>0</v>
      </c>
      <c r="K1790" s="27" t="s">
        <v>618</v>
      </c>
      <c r="L1790" s="27" t="s">
        <v>579</v>
      </c>
      <c r="M1790" s="28" t="n">
        <f aca="false">IF(AND(L1790="Oui",K1790="Principal"),I1790*J1790,0)</f>
        <v>0</v>
      </c>
      <c r="N1790" s="27" t="s">
        <v>128</v>
      </c>
      <c r="O1790" s="27" t="s">
        <v>586</v>
      </c>
      <c r="P1790" s="27"/>
      <c r="Q1790" s="27"/>
      <c r="R1790" s="28"/>
      <c r="S1790" s="28" t="n">
        <f aca="false">IF(AND(L1790="Oui",K1790="Principal",R1790&lt;&gt;""),I1790*R1790,0)</f>
        <v>0</v>
      </c>
      <c r="T1790" s="28" t="n">
        <f aca="false">IF(R1790&lt;&gt;"",M1790-S1790,0)</f>
        <v>0</v>
      </c>
      <c r="U1790" s="28" t="n">
        <f aca="false">IF(R1790="",M1790,0)</f>
        <v>0</v>
      </c>
    </row>
    <row r="1791" customFormat="false" ht="15" hidden="false" customHeight="false" outlineLevel="0" collapsed="false">
      <c r="A1791" s="25" t="s">
        <v>65</v>
      </c>
      <c r="B1791" s="25" t="s">
        <v>75</v>
      </c>
      <c r="C1791" s="25" t="s">
        <v>48</v>
      </c>
      <c r="D1791" s="25" t="n">
        <v>21</v>
      </c>
      <c r="E1791" s="25" t="s">
        <v>588</v>
      </c>
      <c r="F1791" s="25" t="s">
        <v>524</v>
      </c>
      <c r="G1791" s="25" t="n">
        <v>63</v>
      </c>
      <c r="H1791" s="25" t="s">
        <v>812</v>
      </c>
      <c r="I1791" s="25" t="n">
        <v>1</v>
      </c>
      <c r="J1791" s="26" t="n">
        <v>10000</v>
      </c>
      <c r="K1791" s="25" t="s">
        <v>618</v>
      </c>
      <c r="L1791" s="25" t="s">
        <v>579</v>
      </c>
      <c r="M1791" s="26" t="n">
        <f aca="false">IF(AND(L1791="Oui",K1791="Principal"),I1791*J1791,0)</f>
        <v>0</v>
      </c>
      <c r="N1791" s="25" t="s">
        <v>548</v>
      </c>
      <c r="O1791" s="25"/>
      <c r="P1791" s="25" t="s">
        <v>559</v>
      </c>
      <c r="Q1791" s="25" t="s">
        <v>557</v>
      </c>
      <c r="R1791" s="26" t="n">
        <v>8000</v>
      </c>
      <c r="S1791" s="26" t="n">
        <f aca="false">IF(AND(L1791="Oui",K1791="Principal",R1791&lt;&gt;""),I1791*R1791,0)</f>
        <v>0</v>
      </c>
      <c r="T1791" s="26" t="n">
        <f aca="false">IF(R1791&lt;&gt;"",M1791-S1791,0)</f>
        <v>0</v>
      </c>
      <c r="U1791" s="26" t="n">
        <f aca="false">IF(R1791="",M1791,0)</f>
        <v>0</v>
      </c>
    </row>
    <row r="1792" customFormat="false" ht="15" hidden="false" customHeight="false" outlineLevel="0" collapsed="false">
      <c r="A1792" s="27" t="s">
        <v>65</v>
      </c>
      <c r="B1792" s="27" t="s">
        <v>75</v>
      </c>
      <c r="C1792" s="27" t="s">
        <v>48</v>
      </c>
      <c r="D1792" s="27" t="n">
        <v>22</v>
      </c>
      <c r="E1792" s="27" t="s">
        <v>588</v>
      </c>
      <c r="F1792" s="27" t="s">
        <v>526</v>
      </c>
      <c r="G1792" s="27"/>
      <c r="H1792" s="27" t="s">
        <v>585</v>
      </c>
      <c r="I1792" s="27" t="n">
        <v>1</v>
      </c>
      <c r="J1792" s="28" t="n">
        <v>0</v>
      </c>
      <c r="K1792" s="27" t="s">
        <v>618</v>
      </c>
      <c r="L1792" s="27" t="s">
        <v>579</v>
      </c>
      <c r="M1792" s="28" t="n">
        <f aca="false">IF(AND(L1792="Oui",K1792="Principal"),I1792*J1792,0)</f>
        <v>0</v>
      </c>
      <c r="N1792" s="27" t="s">
        <v>128</v>
      </c>
      <c r="O1792" s="27" t="s">
        <v>586</v>
      </c>
      <c r="P1792" s="27"/>
      <c r="Q1792" s="27"/>
      <c r="R1792" s="28"/>
      <c r="S1792" s="28" t="n">
        <f aca="false">IF(AND(L1792="Oui",K1792="Principal",R1792&lt;&gt;""),I1792*R1792,0)</f>
        <v>0</v>
      </c>
      <c r="T1792" s="28" t="n">
        <f aca="false">IF(R1792&lt;&gt;"",M1792-S1792,0)</f>
        <v>0</v>
      </c>
      <c r="U1792" s="28" t="n">
        <f aca="false">IF(R1792="",M1792,0)</f>
        <v>0</v>
      </c>
    </row>
    <row r="1793" customFormat="false" ht="15" hidden="false" customHeight="false" outlineLevel="0" collapsed="false">
      <c r="A1793" s="25" t="s">
        <v>65</v>
      </c>
      <c r="B1793" s="25" t="s">
        <v>75</v>
      </c>
      <c r="C1793" s="25" t="s">
        <v>48</v>
      </c>
      <c r="D1793" s="25" t="n">
        <v>23</v>
      </c>
      <c r="E1793" s="25" t="s">
        <v>577</v>
      </c>
      <c r="F1793" s="25" t="s">
        <v>321</v>
      </c>
      <c r="G1793" s="25" t="n">
        <v>1192</v>
      </c>
      <c r="H1793" s="25" t="s">
        <v>694</v>
      </c>
      <c r="I1793" s="25" t="n">
        <v>1</v>
      </c>
      <c r="J1793" s="26" t="n">
        <v>7000</v>
      </c>
      <c r="K1793" s="25" t="s">
        <v>577</v>
      </c>
      <c r="L1793" s="25" t="s">
        <v>579</v>
      </c>
      <c r="M1793" s="26" t="n">
        <f aca="false">IF(AND(L1793="Oui",K1793="Principal"),I1793*J1793,0)</f>
        <v>0</v>
      </c>
      <c r="N1793" s="25" t="s">
        <v>548</v>
      </c>
      <c r="O1793" s="25"/>
      <c r="P1793" s="25" t="s">
        <v>550</v>
      </c>
      <c r="Q1793" s="25" t="s">
        <v>557</v>
      </c>
      <c r="R1793" s="26" t="n">
        <v>5500</v>
      </c>
      <c r="S1793" s="26" t="n">
        <f aca="false">IF(AND(L1793="Oui",K1793="Principal",R1793&lt;&gt;""),I1793*R1793,0)</f>
        <v>0</v>
      </c>
      <c r="T1793" s="26" t="n">
        <f aca="false">IF(R1793&lt;&gt;"",M1793-S1793,0)</f>
        <v>0</v>
      </c>
      <c r="U1793" s="26" t="n">
        <f aca="false">IF(R1793="",M1793,0)</f>
        <v>0</v>
      </c>
    </row>
    <row r="1794" customFormat="false" ht="15" hidden="false" customHeight="false" outlineLevel="0" collapsed="false">
      <c r="A1794" s="25" t="s">
        <v>65</v>
      </c>
      <c r="B1794" s="25" t="s">
        <v>75</v>
      </c>
      <c r="C1794" s="25" t="s">
        <v>49</v>
      </c>
      <c r="D1794" s="25" t="n">
        <v>1</v>
      </c>
      <c r="E1794" s="25" t="s">
        <v>544</v>
      </c>
      <c r="F1794" s="25" t="s">
        <v>295</v>
      </c>
      <c r="G1794" s="25" t="n">
        <v>1618</v>
      </c>
      <c r="H1794" s="25" t="s">
        <v>600</v>
      </c>
      <c r="I1794" s="25" t="n">
        <v>2</v>
      </c>
      <c r="J1794" s="26" t="n">
        <v>450</v>
      </c>
      <c r="K1794" s="25" t="s">
        <v>546</v>
      </c>
      <c r="L1794" s="25" t="s">
        <v>547</v>
      </c>
      <c r="M1794" s="26" t="n">
        <f aca="false">IF(AND(L1794="Oui",K1794="Principal"),I1794*J1794,0)</f>
        <v>900</v>
      </c>
      <c r="N1794" s="25" t="s">
        <v>548</v>
      </c>
      <c r="O1794" s="25"/>
      <c r="P1794" s="25" t="s">
        <v>556</v>
      </c>
      <c r="Q1794" s="25" t="s">
        <v>557</v>
      </c>
      <c r="R1794" s="26" t="n">
        <v>350</v>
      </c>
      <c r="S1794" s="26" t="n">
        <f aca="false">IF(AND(L1794="Oui",K1794="Principal",R1794&lt;&gt;""),I1794*R1794,0)</f>
        <v>700</v>
      </c>
      <c r="T1794" s="26" t="n">
        <f aca="false">IF(R1794&lt;&gt;"",M1794-S1794,0)</f>
        <v>200</v>
      </c>
      <c r="U1794" s="26" t="n">
        <f aca="false">IF(R1794="",M1794,0)</f>
        <v>0</v>
      </c>
    </row>
    <row r="1795" customFormat="false" ht="15" hidden="false" customHeight="false" outlineLevel="0" collapsed="false">
      <c r="A1795" s="25" t="s">
        <v>65</v>
      </c>
      <c r="B1795" s="25" t="s">
        <v>75</v>
      </c>
      <c r="C1795" s="25" t="s">
        <v>49</v>
      </c>
      <c r="D1795" s="25" t="n">
        <v>2</v>
      </c>
      <c r="E1795" s="25" t="s">
        <v>544</v>
      </c>
      <c r="F1795" s="25" t="s">
        <v>296</v>
      </c>
      <c r="G1795" s="25" t="n">
        <v>1</v>
      </c>
      <c r="H1795" s="25" t="s">
        <v>681</v>
      </c>
      <c r="I1795" s="25" t="n">
        <v>4</v>
      </c>
      <c r="J1795" s="26" t="n">
        <v>500</v>
      </c>
      <c r="K1795" s="25" t="s">
        <v>546</v>
      </c>
      <c r="L1795" s="25" t="s">
        <v>547</v>
      </c>
      <c r="M1795" s="26" t="n">
        <f aca="false">IF(AND(L1795="Oui",K1795="Principal"),I1795*J1795,0)</f>
        <v>2000</v>
      </c>
      <c r="N1795" s="25" t="s">
        <v>548</v>
      </c>
      <c r="O1795" s="25"/>
      <c r="P1795" s="25" t="s">
        <v>559</v>
      </c>
      <c r="Q1795" s="25" t="s">
        <v>551</v>
      </c>
      <c r="R1795" s="26"/>
      <c r="S1795" s="26" t="n">
        <f aca="false">IF(AND(L1795="Oui",K1795="Principal",R1795&lt;&gt;""),I1795*R1795,0)</f>
        <v>0</v>
      </c>
      <c r="T1795" s="26" t="n">
        <f aca="false">IF(R1795&lt;&gt;"",M1795-S1795,0)</f>
        <v>0</v>
      </c>
      <c r="U1795" s="26" t="n">
        <f aca="false">IF(R1795="",M1795,0)</f>
        <v>2000</v>
      </c>
    </row>
    <row r="1796" customFormat="false" ht="15" hidden="false" customHeight="false" outlineLevel="0" collapsed="false">
      <c r="A1796" s="25" t="s">
        <v>65</v>
      </c>
      <c r="B1796" s="25" t="s">
        <v>75</v>
      </c>
      <c r="C1796" s="25" t="s">
        <v>49</v>
      </c>
      <c r="D1796" s="25" t="n">
        <v>3</v>
      </c>
      <c r="E1796" s="25" t="s">
        <v>544</v>
      </c>
      <c r="F1796" s="25" t="s">
        <v>298</v>
      </c>
      <c r="G1796" s="25" t="n">
        <v>1616</v>
      </c>
      <c r="H1796" s="25" t="s">
        <v>695</v>
      </c>
      <c r="I1796" s="25" t="n">
        <v>2</v>
      </c>
      <c r="J1796" s="26" t="n">
        <v>900</v>
      </c>
      <c r="K1796" s="25" t="s">
        <v>546</v>
      </c>
      <c r="L1796" s="25" t="s">
        <v>547</v>
      </c>
      <c r="M1796" s="26" t="n">
        <f aca="false">IF(AND(L1796="Oui",K1796="Principal"),I1796*J1796,0)</f>
        <v>1800</v>
      </c>
      <c r="N1796" s="25" t="s">
        <v>548</v>
      </c>
      <c r="O1796" s="25"/>
      <c r="P1796" s="25" t="s">
        <v>556</v>
      </c>
      <c r="Q1796" s="25" t="s">
        <v>557</v>
      </c>
      <c r="R1796" s="26" t="n">
        <v>800</v>
      </c>
      <c r="S1796" s="26" t="n">
        <f aca="false">IF(AND(L1796="Oui",K1796="Principal",R1796&lt;&gt;""),I1796*R1796,0)</f>
        <v>1600</v>
      </c>
      <c r="T1796" s="26" t="n">
        <f aca="false">IF(R1796&lt;&gt;"",M1796-S1796,0)</f>
        <v>200</v>
      </c>
      <c r="U1796" s="26" t="n">
        <f aca="false">IF(R1796="",M1796,0)</f>
        <v>0</v>
      </c>
    </row>
    <row r="1797" customFormat="false" ht="15" hidden="false" customHeight="false" outlineLevel="0" collapsed="false">
      <c r="A1797" s="25" t="s">
        <v>65</v>
      </c>
      <c r="B1797" s="25" t="s">
        <v>75</v>
      </c>
      <c r="C1797" s="25" t="s">
        <v>49</v>
      </c>
      <c r="D1797" s="25" t="n">
        <v>4</v>
      </c>
      <c r="E1797" s="25" t="s">
        <v>544</v>
      </c>
      <c r="F1797" s="25" t="s">
        <v>338</v>
      </c>
      <c r="G1797" s="25" t="n">
        <v>1715</v>
      </c>
      <c r="H1797" s="25" t="s">
        <v>713</v>
      </c>
      <c r="I1797" s="25" t="n">
        <v>5</v>
      </c>
      <c r="J1797" s="26" t="n">
        <v>1600</v>
      </c>
      <c r="K1797" s="25" t="s">
        <v>546</v>
      </c>
      <c r="L1797" s="25" t="s">
        <v>547</v>
      </c>
      <c r="M1797" s="26" t="n">
        <f aca="false">IF(AND(L1797="Oui",K1797="Principal"),I1797*J1797,0)</f>
        <v>8000</v>
      </c>
      <c r="N1797" s="25" t="s">
        <v>548</v>
      </c>
      <c r="O1797" s="25"/>
      <c r="P1797" s="25" t="s">
        <v>550</v>
      </c>
      <c r="Q1797" s="25" t="s">
        <v>557</v>
      </c>
      <c r="R1797" s="26" t="n">
        <v>1300</v>
      </c>
      <c r="S1797" s="26" t="n">
        <f aca="false">IF(AND(L1797="Oui",K1797="Principal",R1797&lt;&gt;""),I1797*R1797,0)</f>
        <v>6500</v>
      </c>
      <c r="T1797" s="26" t="n">
        <f aca="false">IF(R1797&lt;&gt;"",M1797-S1797,0)</f>
        <v>1500</v>
      </c>
      <c r="U1797" s="26" t="n">
        <f aca="false">IF(R1797="",M1797,0)</f>
        <v>0</v>
      </c>
    </row>
    <row r="1798" customFormat="false" ht="15" hidden="false" customHeight="false" outlineLevel="0" collapsed="false">
      <c r="A1798" s="25" t="s">
        <v>65</v>
      </c>
      <c r="B1798" s="25" t="s">
        <v>75</v>
      </c>
      <c r="C1798" s="25" t="s">
        <v>49</v>
      </c>
      <c r="D1798" s="25" t="n">
        <v>5</v>
      </c>
      <c r="E1798" s="25" t="s">
        <v>544</v>
      </c>
      <c r="F1798" s="25" t="s">
        <v>442</v>
      </c>
      <c r="G1798" s="25" t="n">
        <v>1729</v>
      </c>
      <c r="H1798" s="25" t="s">
        <v>552</v>
      </c>
      <c r="I1798" s="25" t="n">
        <v>1</v>
      </c>
      <c r="J1798" s="26" t="n">
        <v>1300</v>
      </c>
      <c r="K1798" s="25" t="s">
        <v>546</v>
      </c>
      <c r="L1798" s="25" t="s">
        <v>547</v>
      </c>
      <c r="M1798" s="26" t="n">
        <f aca="false">IF(AND(L1798="Oui",K1798="Principal"),I1798*J1798,0)</f>
        <v>1300</v>
      </c>
      <c r="N1798" s="25" t="s">
        <v>548</v>
      </c>
      <c r="O1798" s="25"/>
      <c r="P1798" s="25" t="s">
        <v>550</v>
      </c>
      <c r="Q1798" s="25" t="s">
        <v>551</v>
      </c>
      <c r="R1798" s="26"/>
      <c r="S1798" s="26" t="n">
        <f aca="false">IF(AND(L1798="Oui",K1798="Principal",R1798&lt;&gt;""),I1798*R1798,0)</f>
        <v>0</v>
      </c>
      <c r="T1798" s="26" t="n">
        <f aca="false">IF(R1798&lt;&gt;"",M1798-S1798,0)</f>
        <v>0</v>
      </c>
      <c r="U1798" s="26" t="n">
        <f aca="false">IF(R1798="",M1798,0)</f>
        <v>1300</v>
      </c>
    </row>
    <row r="1799" customFormat="false" ht="15" hidden="false" customHeight="false" outlineLevel="0" collapsed="false">
      <c r="A1799" s="25" t="s">
        <v>65</v>
      </c>
      <c r="B1799" s="25" t="s">
        <v>75</v>
      </c>
      <c r="C1799" s="25" t="s">
        <v>49</v>
      </c>
      <c r="D1799" s="25" t="n">
        <v>6</v>
      </c>
      <c r="E1799" s="25" t="s">
        <v>563</v>
      </c>
      <c r="F1799" s="25" t="s">
        <v>255</v>
      </c>
      <c r="G1799" s="25" t="n">
        <v>1636</v>
      </c>
      <c r="H1799" s="25" t="s">
        <v>661</v>
      </c>
      <c r="I1799" s="25" t="n">
        <v>1</v>
      </c>
      <c r="J1799" s="26" t="n">
        <v>400</v>
      </c>
      <c r="K1799" s="25" t="s">
        <v>546</v>
      </c>
      <c r="L1799" s="25" t="s">
        <v>547</v>
      </c>
      <c r="M1799" s="26" t="n">
        <f aca="false">IF(AND(L1799="Oui",K1799="Principal"),I1799*J1799,0)</f>
        <v>400</v>
      </c>
      <c r="N1799" s="25" t="s">
        <v>548</v>
      </c>
      <c r="O1799" s="25"/>
      <c r="P1799" s="25" t="s">
        <v>556</v>
      </c>
      <c r="Q1799" s="25" t="s">
        <v>557</v>
      </c>
      <c r="R1799" s="26" t="n">
        <v>320</v>
      </c>
      <c r="S1799" s="26" t="n">
        <f aca="false">IF(AND(L1799="Oui",K1799="Principal",R1799&lt;&gt;""),I1799*R1799,0)</f>
        <v>320</v>
      </c>
      <c r="T1799" s="26" t="n">
        <f aca="false">IF(R1799&lt;&gt;"",M1799-S1799,0)</f>
        <v>80</v>
      </c>
      <c r="U1799" s="26" t="n">
        <f aca="false">IF(R1799="",M1799,0)</f>
        <v>0</v>
      </c>
    </row>
    <row r="1800" customFormat="false" ht="15" hidden="false" customHeight="false" outlineLevel="0" collapsed="false">
      <c r="A1800" s="25" t="s">
        <v>65</v>
      </c>
      <c r="B1800" s="25" t="s">
        <v>75</v>
      </c>
      <c r="C1800" s="25" t="s">
        <v>49</v>
      </c>
      <c r="D1800" s="25" t="n">
        <v>7</v>
      </c>
      <c r="E1800" s="25" t="s">
        <v>563</v>
      </c>
      <c r="F1800" s="25" t="s">
        <v>257</v>
      </c>
      <c r="G1800" s="25" t="n">
        <v>1635</v>
      </c>
      <c r="H1800" s="25" t="s">
        <v>607</v>
      </c>
      <c r="I1800" s="25" t="n">
        <v>1</v>
      </c>
      <c r="J1800" s="26" t="n">
        <v>100</v>
      </c>
      <c r="K1800" s="25" t="s">
        <v>546</v>
      </c>
      <c r="L1800" s="25" t="s">
        <v>547</v>
      </c>
      <c r="M1800" s="26" t="n">
        <f aca="false">IF(AND(L1800="Oui",K1800="Principal"),I1800*J1800,0)</f>
        <v>100</v>
      </c>
      <c r="N1800" s="25" t="s">
        <v>548</v>
      </c>
      <c r="O1800" s="25"/>
      <c r="P1800" s="25" t="s">
        <v>556</v>
      </c>
      <c r="Q1800" s="25" t="s">
        <v>557</v>
      </c>
      <c r="R1800" s="26" t="n">
        <v>80</v>
      </c>
      <c r="S1800" s="26" t="n">
        <f aca="false">IF(AND(L1800="Oui",K1800="Principal",R1800&lt;&gt;""),I1800*R1800,0)</f>
        <v>80</v>
      </c>
      <c r="T1800" s="26" t="n">
        <f aca="false">IF(R1800&lt;&gt;"",M1800-S1800,0)</f>
        <v>20</v>
      </c>
      <c r="U1800" s="26" t="n">
        <f aca="false">IF(R1800="",M1800,0)</f>
        <v>0</v>
      </c>
    </row>
    <row r="1801" customFormat="false" ht="15" hidden="false" customHeight="false" outlineLevel="0" collapsed="false">
      <c r="A1801" s="25" t="s">
        <v>65</v>
      </c>
      <c r="B1801" s="25" t="s">
        <v>75</v>
      </c>
      <c r="C1801" s="25" t="s">
        <v>49</v>
      </c>
      <c r="D1801" s="25" t="n">
        <v>8</v>
      </c>
      <c r="E1801" s="25" t="s">
        <v>563</v>
      </c>
      <c r="F1801" s="25" t="s">
        <v>188</v>
      </c>
      <c r="G1801" s="25" t="n">
        <v>8</v>
      </c>
      <c r="H1801" s="25" t="s">
        <v>188</v>
      </c>
      <c r="I1801" s="25" t="n">
        <v>1</v>
      </c>
      <c r="J1801" s="26" t="n">
        <v>500</v>
      </c>
      <c r="K1801" s="25" t="s">
        <v>546</v>
      </c>
      <c r="L1801" s="25" t="s">
        <v>547</v>
      </c>
      <c r="M1801" s="26" t="n">
        <f aca="false">IF(AND(L1801="Oui",K1801="Principal"),I1801*J1801,0)</f>
        <v>500</v>
      </c>
      <c r="N1801" s="25" t="s">
        <v>548</v>
      </c>
      <c r="O1801" s="25"/>
      <c r="P1801" s="25" t="s">
        <v>559</v>
      </c>
      <c r="Q1801" s="25" t="s">
        <v>551</v>
      </c>
      <c r="R1801" s="26"/>
      <c r="S1801" s="26" t="n">
        <f aca="false">IF(AND(L1801="Oui",K1801="Principal",R1801&lt;&gt;""),I1801*R1801,0)</f>
        <v>0</v>
      </c>
      <c r="T1801" s="26" t="n">
        <f aca="false">IF(R1801&lt;&gt;"",M1801-S1801,0)</f>
        <v>0</v>
      </c>
      <c r="U1801" s="26" t="n">
        <f aca="false">IF(R1801="",M1801,0)</f>
        <v>500</v>
      </c>
    </row>
    <row r="1802" customFormat="false" ht="15" hidden="false" customHeight="false" outlineLevel="0" collapsed="false">
      <c r="A1802" s="25" t="s">
        <v>65</v>
      </c>
      <c r="B1802" s="25" t="s">
        <v>75</v>
      </c>
      <c r="C1802" s="25" t="s">
        <v>49</v>
      </c>
      <c r="D1802" s="25" t="n">
        <v>9</v>
      </c>
      <c r="E1802" s="25" t="s">
        <v>563</v>
      </c>
      <c r="F1802" s="25" t="s">
        <v>323</v>
      </c>
      <c r="G1802" s="25" t="n">
        <v>1607</v>
      </c>
      <c r="H1802" s="25" t="s">
        <v>696</v>
      </c>
      <c r="I1802" s="25" t="n">
        <v>1</v>
      </c>
      <c r="J1802" s="26" t="n">
        <v>2500</v>
      </c>
      <c r="K1802" s="25" t="s">
        <v>546</v>
      </c>
      <c r="L1802" s="25" t="s">
        <v>547</v>
      </c>
      <c r="M1802" s="26" t="n">
        <f aca="false">IF(AND(L1802="Oui",K1802="Principal"),I1802*J1802,0)</f>
        <v>2500</v>
      </c>
      <c r="N1802" s="25" t="s">
        <v>548</v>
      </c>
      <c r="O1802" s="25"/>
      <c r="P1802" s="25" t="s">
        <v>556</v>
      </c>
      <c r="Q1802" s="25" t="s">
        <v>557</v>
      </c>
      <c r="R1802" s="26" t="n">
        <v>2000</v>
      </c>
      <c r="S1802" s="26" t="n">
        <f aca="false">IF(AND(L1802="Oui",K1802="Principal",R1802&lt;&gt;""),I1802*R1802,0)</f>
        <v>2000</v>
      </c>
      <c r="T1802" s="26" t="n">
        <f aca="false">IF(R1802&lt;&gt;"",M1802-S1802,0)</f>
        <v>500</v>
      </c>
      <c r="U1802" s="26" t="n">
        <f aca="false">IF(R1802="",M1802,0)</f>
        <v>0</v>
      </c>
    </row>
    <row r="1803" customFormat="false" ht="15" hidden="false" customHeight="false" outlineLevel="0" collapsed="false">
      <c r="A1803" s="25" t="s">
        <v>65</v>
      </c>
      <c r="B1803" s="25" t="s">
        <v>75</v>
      </c>
      <c r="C1803" s="25" t="s">
        <v>49</v>
      </c>
      <c r="D1803" s="25" t="n">
        <v>10</v>
      </c>
      <c r="E1803" s="25" t="s">
        <v>563</v>
      </c>
      <c r="F1803" s="25" t="s">
        <v>325</v>
      </c>
      <c r="G1803" s="25" t="n">
        <v>1248</v>
      </c>
      <c r="H1803" s="25" t="s">
        <v>697</v>
      </c>
      <c r="I1803" s="25" t="n">
        <v>1</v>
      </c>
      <c r="J1803" s="26" t="n">
        <v>400</v>
      </c>
      <c r="K1803" s="25" t="s">
        <v>546</v>
      </c>
      <c r="L1803" s="25" t="s">
        <v>547</v>
      </c>
      <c r="M1803" s="26" t="n">
        <f aca="false">IF(AND(L1803="Oui",K1803="Principal"),I1803*J1803,0)</f>
        <v>400</v>
      </c>
      <c r="N1803" s="25" t="s">
        <v>548</v>
      </c>
      <c r="O1803" s="25"/>
      <c r="P1803" s="25" t="s">
        <v>550</v>
      </c>
      <c r="Q1803" s="25" t="s">
        <v>557</v>
      </c>
      <c r="R1803" s="26" t="n">
        <v>250</v>
      </c>
      <c r="S1803" s="26" t="n">
        <f aca="false">IF(AND(L1803="Oui",K1803="Principal",R1803&lt;&gt;""),I1803*R1803,0)</f>
        <v>250</v>
      </c>
      <c r="T1803" s="26" t="n">
        <f aca="false">IF(R1803&lt;&gt;"",M1803-S1803,0)</f>
        <v>150</v>
      </c>
      <c r="U1803" s="26" t="n">
        <f aca="false">IF(R1803="",M1803,0)</f>
        <v>0</v>
      </c>
    </row>
    <row r="1804" customFormat="false" ht="15" hidden="false" customHeight="false" outlineLevel="0" collapsed="false">
      <c r="A1804" s="25" t="s">
        <v>65</v>
      </c>
      <c r="B1804" s="25" t="s">
        <v>75</v>
      </c>
      <c r="C1804" s="25" t="s">
        <v>49</v>
      </c>
      <c r="D1804" s="25" t="n">
        <v>11</v>
      </c>
      <c r="E1804" s="25" t="s">
        <v>565</v>
      </c>
      <c r="F1804" s="25" t="s">
        <v>99</v>
      </c>
      <c r="G1804" s="25" t="n">
        <v>1181</v>
      </c>
      <c r="H1804" s="25" t="s">
        <v>581</v>
      </c>
      <c r="I1804" s="25" t="n">
        <v>1</v>
      </c>
      <c r="J1804" s="26" t="n">
        <v>250</v>
      </c>
      <c r="K1804" s="25" t="s">
        <v>546</v>
      </c>
      <c r="L1804" s="25" t="s">
        <v>547</v>
      </c>
      <c r="M1804" s="26" t="n">
        <f aca="false">IF(AND(L1804="Oui",K1804="Principal"),I1804*J1804,0)</f>
        <v>250</v>
      </c>
      <c r="N1804" s="25" t="s">
        <v>548</v>
      </c>
      <c r="O1804" s="25"/>
      <c r="P1804" s="25" t="s">
        <v>550</v>
      </c>
      <c r="Q1804" s="25" t="s">
        <v>557</v>
      </c>
      <c r="R1804" s="26" t="n">
        <v>110</v>
      </c>
      <c r="S1804" s="26" t="n">
        <f aca="false">IF(AND(L1804="Oui",K1804="Principal",R1804&lt;&gt;""),I1804*R1804,0)</f>
        <v>110</v>
      </c>
      <c r="T1804" s="26" t="n">
        <f aca="false">IF(R1804&lt;&gt;"",M1804-S1804,0)</f>
        <v>140</v>
      </c>
      <c r="U1804" s="26" t="n">
        <f aca="false">IF(R1804="",M1804,0)</f>
        <v>0</v>
      </c>
    </row>
    <row r="1805" customFormat="false" ht="15" hidden="false" customHeight="false" outlineLevel="0" collapsed="false">
      <c r="A1805" s="25" t="s">
        <v>65</v>
      </c>
      <c r="B1805" s="25" t="s">
        <v>75</v>
      </c>
      <c r="C1805" s="25" t="s">
        <v>49</v>
      </c>
      <c r="D1805" s="25" t="n">
        <v>12</v>
      </c>
      <c r="E1805" s="25" t="s">
        <v>565</v>
      </c>
      <c r="F1805" s="25" t="s">
        <v>164</v>
      </c>
      <c r="G1805" s="25" t="n">
        <v>1587</v>
      </c>
      <c r="H1805" s="25" t="s">
        <v>567</v>
      </c>
      <c r="I1805" s="25" t="n">
        <v>1</v>
      </c>
      <c r="J1805" s="26" t="n">
        <v>500</v>
      </c>
      <c r="K1805" s="25" t="s">
        <v>546</v>
      </c>
      <c r="L1805" s="25" t="s">
        <v>547</v>
      </c>
      <c r="M1805" s="26" t="n">
        <f aca="false">IF(AND(L1805="Oui",K1805="Principal"),I1805*J1805,0)</f>
        <v>500</v>
      </c>
      <c r="N1805" s="25" t="s">
        <v>548</v>
      </c>
      <c r="O1805" s="25"/>
      <c r="P1805" s="25" t="s">
        <v>556</v>
      </c>
      <c r="Q1805" s="25" t="s">
        <v>557</v>
      </c>
      <c r="R1805" s="26" t="n">
        <v>350</v>
      </c>
      <c r="S1805" s="26" t="n">
        <f aca="false">IF(AND(L1805="Oui",K1805="Principal",R1805&lt;&gt;""),I1805*R1805,0)</f>
        <v>350</v>
      </c>
      <c r="T1805" s="26" t="n">
        <f aca="false">IF(R1805&lt;&gt;"",M1805-S1805,0)</f>
        <v>150</v>
      </c>
      <c r="U1805" s="26" t="n">
        <f aca="false">IF(R1805="",M1805,0)</f>
        <v>0</v>
      </c>
    </row>
    <row r="1806" customFormat="false" ht="15" hidden="false" customHeight="false" outlineLevel="0" collapsed="false">
      <c r="A1806" s="25" t="s">
        <v>65</v>
      </c>
      <c r="B1806" s="25" t="s">
        <v>75</v>
      </c>
      <c r="C1806" s="25" t="s">
        <v>49</v>
      </c>
      <c r="D1806" s="25" t="n">
        <v>13</v>
      </c>
      <c r="E1806" s="25" t="s">
        <v>565</v>
      </c>
      <c r="F1806" s="25" t="s">
        <v>166</v>
      </c>
      <c r="G1806" s="25" t="n">
        <v>1604</v>
      </c>
      <c r="H1806" s="25" t="s">
        <v>582</v>
      </c>
      <c r="I1806" s="25" t="n">
        <v>2</v>
      </c>
      <c r="J1806" s="26" t="n">
        <v>700</v>
      </c>
      <c r="K1806" s="25" t="s">
        <v>546</v>
      </c>
      <c r="L1806" s="25" t="s">
        <v>547</v>
      </c>
      <c r="M1806" s="26" t="n">
        <f aca="false">IF(AND(L1806="Oui",K1806="Principal"),I1806*J1806,0)</f>
        <v>1400</v>
      </c>
      <c r="N1806" s="25" t="s">
        <v>548</v>
      </c>
      <c r="O1806" s="25"/>
      <c r="P1806" s="25" t="s">
        <v>556</v>
      </c>
      <c r="Q1806" s="25" t="s">
        <v>557</v>
      </c>
      <c r="R1806" s="26" t="n">
        <v>400</v>
      </c>
      <c r="S1806" s="26" t="n">
        <f aca="false">IF(AND(L1806="Oui",K1806="Principal",R1806&lt;&gt;""),I1806*R1806,0)</f>
        <v>800</v>
      </c>
      <c r="T1806" s="26" t="n">
        <f aca="false">IF(R1806&lt;&gt;"",M1806-S1806,0)</f>
        <v>600</v>
      </c>
      <c r="U1806" s="26" t="n">
        <f aca="false">IF(R1806="",M1806,0)</f>
        <v>0</v>
      </c>
    </row>
    <row r="1807" customFormat="false" ht="15" hidden="false" customHeight="false" outlineLevel="0" collapsed="false">
      <c r="A1807" s="25" t="s">
        <v>65</v>
      </c>
      <c r="B1807" s="25" t="s">
        <v>75</v>
      </c>
      <c r="C1807" s="25" t="s">
        <v>49</v>
      </c>
      <c r="D1807" s="25" t="n">
        <v>14</v>
      </c>
      <c r="E1807" s="25" t="s">
        <v>565</v>
      </c>
      <c r="F1807" s="25" t="s">
        <v>304</v>
      </c>
      <c r="G1807" s="25" t="n">
        <v>1586</v>
      </c>
      <c r="H1807" s="25" t="s">
        <v>583</v>
      </c>
      <c r="I1807" s="25" t="n">
        <v>1</v>
      </c>
      <c r="J1807" s="26" t="n">
        <v>900</v>
      </c>
      <c r="K1807" s="25" t="s">
        <v>546</v>
      </c>
      <c r="L1807" s="25" t="s">
        <v>547</v>
      </c>
      <c r="M1807" s="26" t="n">
        <f aca="false">IF(AND(L1807="Oui",K1807="Principal"),I1807*J1807,0)</f>
        <v>900</v>
      </c>
      <c r="N1807" s="25" t="s">
        <v>548</v>
      </c>
      <c r="O1807" s="25"/>
      <c r="P1807" s="25" t="s">
        <v>556</v>
      </c>
      <c r="Q1807" s="25" t="s">
        <v>557</v>
      </c>
      <c r="R1807" s="26" t="n">
        <v>650</v>
      </c>
      <c r="S1807" s="26" t="n">
        <f aca="false">IF(AND(L1807="Oui",K1807="Principal",R1807&lt;&gt;""),I1807*R1807,0)</f>
        <v>650</v>
      </c>
      <c r="T1807" s="26" t="n">
        <f aca="false">IF(R1807&lt;&gt;"",M1807-S1807,0)</f>
        <v>250</v>
      </c>
      <c r="U1807" s="26" t="n">
        <f aca="false">IF(R1807="",M1807,0)</f>
        <v>0</v>
      </c>
    </row>
    <row r="1808" customFormat="false" ht="15" hidden="false" customHeight="false" outlineLevel="0" collapsed="false">
      <c r="A1808" s="33" t="s">
        <v>65</v>
      </c>
      <c r="B1808" s="33" t="s">
        <v>75</v>
      </c>
      <c r="C1808" s="33" t="s">
        <v>49</v>
      </c>
      <c r="D1808" s="33" t="n">
        <v>15</v>
      </c>
      <c r="E1808" s="33" t="s">
        <v>609</v>
      </c>
      <c r="F1808" s="33" t="s">
        <v>199</v>
      </c>
      <c r="G1808" s="33" t="n">
        <v>1229</v>
      </c>
      <c r="H1808" s="33" t="s">
        <v>643</v>
      </c>
      <c r="I1808" s="33" t="n">
        <v>1</v>
      </c>
      <c r="J1808" s="34" t="n">
        <v>1800</v>
      </c>
      <c r="K1808" s="33" t="s">
        <v>546</v>
      </c>
      <c r="L1808" s="33" t="s">
        <v>547</v>
      </c>
      <c r="M1808" s="34" t="n">
        <f aca="false">IF(AND(L1808="Oui",K1808="Principal"),I1808*J1808,0)</f>
        <v>1800</v>
      </c>
      <c r="N1808" s="33" t="s">
        <v>182</v>
      </c>
      <c r="O1808" s="33" t="s">
        <v>644</v>
      </c>
      <c r="P1808" s="33" t="s">
        <v>550</v>
      </c>
      <c r="Q1808" s="33" t="s">
        <v>557</v>
      </c>
      <c r="R1808" s="34" t="n">
        <v>1500</v>
      </c>
      <c r="S1808" s="34" t="n">
        <f aca="false">IF(AND(L1808="Oui",K1808="Principal",R1808&lt;&gt;""),I1808*R1808,0)</f>
        <v>1500</v>
      </c>
      <c r="T1808" s="34" t="n">
        <f aca="false">IF(R1808&lt;&gt;"",M1808-S1808,0)</f>
        <v>300</v>
      </c>
      <c r="U1808" s="34" t="n">
        <f aca="false">IF(R1808="",M1808,0)</f>
        <v>0</v>
      </c>
    </row>
    <row r="1809" customFormat="false" ht="15" hidden="false" customHeight="false" outlineLevel="0" collapsed="false">
      <c r="A1809" s="25" t="s">
        <v>65</v>
      </c>
      <c r="B1809" s="25" t="s">
        <v>75</v>
      </c>
      <c r="C1809" s="25" t="s">
        <v>49</v>
      </c>
      <c r="D1809" s="25" t="n">
        <v>16</v>
      </c>
      <c r="E1809" s="25" t="s">
        <v>609</v>
      </c>
      <c r="F1809" s="25" t="s">
        <v>443</v>
      </c>
      <c r="G1809" s="25" t="n">
        <v>1727</v>
      </c>
      <c r="H1809" s="25" t="s">
        <v>698</v>
      </c>
      <c r="I1809" s="25" t="n">
        <v>1</v>
      </c>
      <c r="J1809" s="26" t="n">
        <v>4750</v>
      </c>
      <c r="K1809" s="25" t="s">
        <v>546</v>
      </c>
      <c r="L1809" s="25" t="s">
        <v>547</v>
      </c>
      <c r="M1809" s="26" t="n">
        <f aca="false">IF(AND(L1809="Oui",K1809="Principal"),I1809*J1809,0)</f>
        <v>4750</v>
      </c>
      <c r="N1809" s="25" t="s">
        <v>548</v>
      </c>
      <c r="O1809" s="25"/>
      <c r="P1809" s="25" t="s">
        <v>559</v>
      </c>
      <c r="Q1809" s="25" t="s">
        <v>557</v>
      </c>
      <c r="R1809" s="26" t="n">
        <v>3700</v>
      </c>
      <c r="S1809" s="26" t="n">
        <f aca="false">IF(AND(L1809="Oui",K1809="Principal",R1809&lt;&gt;""),I1809*R1809,0)</f>
        <v>3700</v>
      </c>
      <c r="T1809" s="26" t="n">
        <f aca="false">IF(R1809&lt;&gt;"",M1809-S1809,0)</f>
        <v>1050</v>
      </c>
      <c r="U1809" s="26" t="n">
        <f aca="false">IF(R1809="",M1809,0)</f>
        <v>0</v>
      </c>
    </row>
    <row r="1810" customFormat="false" ht="15" hidden="false" customHeight="false" outlineLevel="0" collapsed="false">
      <c r="A1810" s="25" t="s">
        <v>65</v>
      </c>
      <c r="B1810" s="25" t="s">
        <v>75</v>
      </c>
      <c r="C1810" s="25" t="s">
        <v>49</v>
      </c>
      <c r="D1810" s="25" t="n">
        <v>17</v>
      </c>
      <c r="E1810" s="25" t="s">
        <v>700</v>
      </c>
      <c r="F1810" s="25" t="s">
        <v>329</v>
      </c>
      <c r="G1810" s="25" t="n">
        <v>1716</v>
      </c>
      <c r="H1810" s="25" t="s">
        <v>701</v>
      </c>
      <c r="I1810" s="25" t="n">
        <v>1</v>
      </c>
      <c r="J1810" s="26" t="n">
        <v>1800</v>
      </c>
      <c r="K1810" s="25" t="s">
        <v>546</v>
      </c>
      <c r="L1810" s="25" t="s">
        <v>547</v>
      </c>
      <c r="M1810" s="26" t="n">
        <f aca="false">IF(AND(L1810="Oui",K1810="Principal"),I1810*J1810,0)</f>
        <v>1800</v>
      </c>
      <c r="N1810" s="25" t="s">
        <v>548</v>
      </c>
      <c r="O1810" s="25"/>
      <c r="P1810" s="25" t="s">
        <v>559</v>
      </c>
      <c r="Q1810" s="25" t="s">
        <v>557</v>
      </c>
      <c r="R1810" s="26" t="n">
        <v>1300</v>
      </c>
      <c r="S1810" s="26" t="n">
        <f aca="false">IF(AND(L1810="Oui",K1810="Principal",R1810&lt;&gt;""),I1810*R1810,0)</f>
        <v>1300</v>
      </c>
      <c r="T1810" s="26" t="n">
        <f aca="false">IF(R1810&lt;&gt;"",M1810-S1810,0)</f>
        <v>500</v>
      </c>
      <c r="U1810" s="26" t="n">
        <f aca="false">IF(R1810="",M1810,0)</f>
        <v>0</v>
      </c>
    </row>
    <row r="1811" customFormat="false" ht="15" hidden="false" customHeight="false" outlineLevel="0" collapsed="false">
      <c r="A1811" s="27" t="s">
        <v>65</v>
      </c>
      <c r="B1811" s="27" t="s">
        <v>75</v>
      </c>
      <c r="C1811" s="27" t="s">
        <v>49</v>
      </c>
      <c r="D1811" s="27" t="n">
        <v>18</v>
      </c>
      <c r="E1811" s="27" t="s">
        <v>700</v>
      </c>
      <c r="F1811" s="27" t="s">
        <v>430</v>
      </c>
      <c r="G1811" s="27"/>
      <c r="H1811" s="27" t="s">
        <v>585</v>
      </c>
      <c r="I1811" s="27" t="n">
        <v>1</v>
      </c>
      <c r="J1811" s="28" t="n">
        <v>0</v>
      </c>
      <c r="K1811" s="27" t="s">
        <v>546</v>
      </c>
      <c r="L1811" s="27" t="s">
        <v>579</v>
      </c>
      <c r="M1811" s="28" t="n">
        <f aca="false">IF(AND(L1811="Oui",K1811="Principal"),I1811*J1811,0)</f>
        <v>0</v>
      </c>
      <c r="N1811" s="27" t="s">
        <v>128</v>
      </c>
      <c r="O1811" s="27" t="s">
        <v>586</v>
      </c>
      <c r="P1811" s="27"/>
      <c r="Q1811" s="27"/>
      <c r="R1811" s="28"/>
      <c r="S1811" s="28" t="n">
        <f aca="false">IF(AND(L1811="Oui",K1811="Principal",R1811&lt;&gt;""),I1811*R1811,0)</f>
        <v>0</v>
      </c>
      <c r="T1811" s="28" t="n">
        <f aca="false">IF(R1811&lt;&gt;"",M1811-S1811,0)</f>
        <v>0</v>
      </c>
      <c r="U1811" s="28" t="n">
        <f aca="false">IF(R1811="",M1811,0)</f>
        <v>0</v>
      </c>
    </row>
    <row r="1812" customFormat="false" ht="15" hidden="false" customHeight="false" outlineLevel="0" collapsed="false">
      <c r="A1812" s="27" t="s">
        <v>65</v>
      </c>
      <c r="B1812" s="27" t="s">
        <v>75</v>
      </c>
      <c r="C1812" s="27" t="s">
        <v>49</v>
      </c>
      <c r="D1812" s="27" t="n">
        <v>19</v>
      </c>
      <c r="E1812" s="27" t="s">
        <v>700</v>
      </c>
      <c r="F1812" s="27" t="s">
        <v>382</v>
      </c>
      <c r="G1812" s="27"/>
      <c r="H1812" s="27" t="s">
        <v>585</v>
      </c>
      <c r="I1812" s="27" t="n">
        <v>1</v>
      </c>
      <c r="J1812" s="28" t="n">
        <v>0</v>
      </c>
      <c r="K1812" s="27" t="s">
        <v>546</v>
      </c>
      <c r="L1812" s="27" t="s">
        <v>579</v>
      </c>
      <c r="M1812" s="28" t="n">
        <f aca="false">IF(AND(L1812="Oui",K1812="Principal"),I1812*J1812,0)</f>
        <v>0</v>
      </c>
      <c r="N1812" s="27" t="s">
        <v>128</v>
      </c>
      <c r="O1812" s="27" t="s">
        <v>586</v>
      </c>
      <c r="P1812" s="27"/>
      <c r="Q1812" s="27"/>
      <c r="R1812" s="28"/>
      <c r="S1812" s="28" t="n">
        <f aca="false">IF(AND(L1812="Oui",K1812="Principal",R1812&lt;&gt;""),I1812*R1812,0)</f>
        <v>0</v>
      </c>
      <c r="T1812" s="28" t="n">
        <f aca="false">IF(R1812&lt;&gt;"",M1812-S1812,0)</f>
        <v>0</v>
      </c>
      <c r="U1812" s="28" t="n">
        <f aca="false">IF(R1812="",M1812,0)</f>
        <v>0</v>
      </c>
    </row>
    <row r="1813" customFormat="false" ht="15" hidden="false" customHeight="false" outlineLevel="0" collapsed="false">
      <c r="A1813" s="25" t="s">
        <v>65</v>
      </c>
      <c r="B1813" s="25" t="s">
        <v>75</v>
      </c>
      <c r="C1813" s="25" t="s">
        <v>49</v>
      </c>
      <c r="D1813" s="25" t="n">
        <v>20</v>
      </c>
      <c r="E1813" s="25" t="s">
        <v>571</v>
      </c>
      <c r="F1813" s="25" t="s">
        <v>431</v>
      </c>
      <c r="G1813" s="25" t="n">
        <v>1631</v>
      </c>
      <c r="H1813" s="25" t="s">
        <v>755</v>
      </c>
      <c r="I1813" s="25" t="n">
        <v>1</v>
      </c>
      <c r="J1813" s="26" t="n">
        <v>2700</v>
      </c>
      <c r="K1813" s="25" t="s">
        <v>546</v>
      </c>
      <c r="L1813" s="25" t="s">
        <v>547</v>
      </c>
      <c r="M1813" s="26" t="n">
        <f aca="false">IF(AND(L1813="Oui",K1813="Principal"),I1813*J1813,0)</f>
        <v>2700</v>
      </c>
      <c r="N1813" s="25" t="s">
        <v>548</v>
      </c>
      <c r="O1813" s="25"/>
      <c r="P1813" s="25" t="s">
        <v>556</v>
      </c>
      <c r="Q1813" s="25" t="s">
        <v>557</v>
      </c>
      <c r="R1813" s="26" t="n">
        <v>2000</v>
      </c>
      <c r="S1813" s="26" t="n">
        <f aca="false">IF(AND(L1813="Oui",K1813="Principal",R1813&lt;&gt;""),I1813*R1813,0)</f>
        <v>2000</v>
      </c>
      <c r="T1813" s="26" t="n">
        <f aca="false">IF(R1813&lt;&gt;"",M1813-S1813,0)</f>
        <v>700</v>
      </c>
      <c r="U1813" s="26" t="n">
        <f aca="false">IF(R1813="",M1813,0)</f>
        <v>0</v>
      </c>
    </row>
    <row r="1814" customFormat="false" ht="15" hidden="false" customHeight="false" outlineLevel="0" collapsed="false">
      <c r="A1814" s="25" t="s">
        <v>65</v>
      </c>
      <c r="B1814" s="25" t="s">
        <v>75</v>
      </c>
      <c r="C1814" s="25" t="s">
        <v>49</v>
      </c>
      <c r="D1814" s="25" t="n">
        <v>21</v>
      </c>
      <c r="E1814" s="25" t="s">
        <v>571</v>
      </c>
      <c r="F1814" s="25" t="s">
        <v>433</v>
      </c>
      <c r="G1814" s="25" t="n">
        <v>1683</v>
      </c>
      <c r="H1814" s="25" t="s">
        <v>756</v>
      </c>
      <c r="I1814" s="25" t="n">
        <v>1</v>
      </c>
      <c r="J1814" s="26" t="n">
        <v>1000</v>
      </c>
      <c r="K1814" s="25" t="s">
        <v>546</v>
      </c>
      <c r="L1814" s="25" t="s">
        <v>547</v>
      </c>
      <c r="M1814" s="26" t="n">
        <f aca="false">IF(AND(L1814="Oui",K1814="Principal"),I1814*J1814,0)</f>
        <v>1000</v>
      </c>
      <c r="N1814" s="25" t="s">
        <v>548</v>
      </c>
      <c r="O1814" s="25"/>
      <c r="P1814" s="25" t="s">
        <v>556</v>
      </c>
      <c r="Q1814" s="25" t="s">
        <v>557</v>
      </c>
      <c r="R1814" s="26"/>
      <c r="S1814" s="26" t="n">
        <f aca="false">IF(AND(L1814="Oui",K1814="Principal",R1814&lt;&gt;""),I1814*R1814,0)</f>
        <v>0</v>
      </c>
      <c r="T1814" s="26" t="n">
        <f aca="false">IF(R1814&lt;&gt;"",M1814-S1814,0)</f>
        <v>0</v>
      </c>
      <c r="U1814" s="26" t="n">
        <f aca="false">IF(R1814="",M1814,0)</f>
        <v>1000</v>
      </c>
    </row>
    <row r="1815" customFormat="false" ht="15" hidden="false" customHeight="false" outlineLevel="0" collapsed="false">
      <c r="A1815" s="33" t="s">
        <v>65</v>
      </c>
      <c r="B1815" s="33" t="s">
        <v>75</v>
      </c>
      <c r="C1815" s="33" t="s">
        <v>49</v>
      </c>
      <c r="D1815" s="33" t="n">
        <v>22</v>
      </c>
      <c r="E1815" s="33" t="s">
        <v>571</v>
      </c>
      <c r="F1815" s="33" t="s">
        <v>435</v>
      </c>
      <c r="G1815" s="33" t="n">
        <v>1269</v>
      </c>
      <c r="H1815" s="33" t="s">
        <v>757</v>
      </c>
      <c r="I1815" s="33" t="n">
        <v>1</v>
      </c>
      <c r="J1815" s="34" t="n">
        <v>1150</v>
      </c>
      <c r="K1815" s="33" t="s">
        <v>546</v>
      </c>
      <c r="L1815" s="33" t="s">
        <v>547</v>
      </c>
      <c r="M1815" s="34" t="n">
        <f aca="false">IF(AND(L1815="Oui",K1815="Principal"),I1815*J1815,0)</f>
        <v>1150</v>
      </c>
      <c r="N1815" s="33" t="s">
        <v>182</v>
      </c>
      <c r="O1815" s="33" t="s">
        <v>758</v>
      </c>
      <c r="P1815" s="33" t="s">
        <v>550</v>
      </c>
      <c r="Q1815" s="33" t="s">
        <v>557</v>
      </c>
      <c r="R1815" s="34" t="n">
        <v>850</v>
      </c>
      <c r="S1815" s="34" t="n">
        <f aca="false">IF(AND(L1815="Oui",K1815="Principal",R1815&lt;&gt;""),I1815*R1815,0)</f>
        <v>850</v>
      </c>
      <c r="T1815" s="34" t="n">
        <f aca="false">IF(R1815&lt;&gt;"",M1815-S1815,0)</f>
        <v>300</v>
      </c>
      <c r="U1815" s="34" t="n">
        <f aca="false">IF(R1815="",M1815,0)</f>
        <v>0</v>
      </c>
    </row>
    <row r="1816" customFormat="false" ht="15" hidden="false" customHeight="false" outlineLevel="0" collapsed="false">
      <c r="A1816" s="25" t="s">
        <v>65</v>
      </c>
      <c r="B1816" s="25" t="s">
        <v>75</v>
      </c>
      <c r="C1816" s="25" t="s">
        <v>49</v>
      </c>
      <c r="D1816" s="25" t="n">
        <v>23</v>
      </c>
      <c r="E1816" s="25" t="s">
        <v>573</v>
      </c>
      <c r="F1816" s="25" t="s">
        <v>176</v>
      </c>
      <c r="G1816" s="25" t="n">
        <v>19</v>
      </c>
      <c r="H1816" s="25" t="s">
        <v>615</v>
      </c>
      <c r="I1816" s="25" t="n">
        <v>1</v>
      </c>
      <c r="J1816" s="26" t="n">
        <v>2500</v>
      </c>
      <c r="K1816" s="25" t="s">
        <v>546</v>
      </c>
      <c r="L1816" s="25" t="s">
        <v>547</v>
      </c>
      <c r="M1816" s="26" t="n">
        <f aca="false">IF(AND(L1816="Oui",K1816="Principal"),I1816*J1816,0)</f>
        <v>2500</v>
      </c>
      <c r="N1816" s="25" t="s">
        <v>548</v>
      </c>
      <c r="O1816" s="25"/>
      <c r="P1816" s="25" t="s">
        <v>559</v>
      </c>
      <c r="Q1816" s="25" t="s">
        <v>551</v>
      </c>
      <c r="R1816" s="26"/>
      <c r="S1816" s="26" t="n">
        <f aca="false">IF(AND(L1816="Oui",K1816="Principal",R1816&lt;&gt;""),I1816*R1816,0)</f>
        <v>0</v>
      </c>
      <c r="T1816" s="26" t="n">
        <f aca="false">IF(R1816&lt;&gt;"",M1816-S1816,0)</f>
        <v>0</v>
      </c>
      <c r="U1816" s="26" t="n">
        <f aca="false">IF(R1816="",M1816,0)</f>
        <v>2500</v>
      </c>
    </row>
    <row r="1817" customFormat="false" ht="15" hidden="false" customHeight="false" outlineLevel="0" collapsed="false">
      <c r="A1817" s="25" t="s">
        <v>65</v>
      </c>
      <c r="B1817" s="25" t="s">
        <v>75</v>
      </c>
      <c r="C1817" s="25" t="s">
        <v>49</v>
      </c>
      <c r="D1817" s="25" t="n">
        <v>24</v>
      </c>
      <c r="E1817" s="25" t="s">
        <v>573</v>
      </c>
      <c r="F1817" s="25" t="s">
        <v>117</v>
      </c>
      <c r="G1817" s="25" t="n">
        <v>1288</v>
      </c>
      <c r="H1817" s="25" t="s">
        <v>624</v>
      </c>
      <c r="I1817" s="25" t="n">
        <v>1</v>
      </c>
      <c r="J1817" s="26" t="n">
        <v>2500</v>
      </c>
      <c r="K1817" s="25" t="s">
        <v>546</v>
      </c>
      <c r="L1817" s="25" t="s">
        <v>547</v>
      </c>
      <c r="M1817" s="26" t="n">
        <f aca="false">IF(AND(L1817="Oui",K1817="Principal"),I1817*J1817,0)</f>
        <v>2500</v>
      </c>
      <c r="N1817" s="25" t="s">
        <v>548</v>
      </c>
      <c r="O1817" s="25"/>
      <c r="P1817" s="25" t="s">
        <v>550</v>
      </c>
      <c r="Q1817" s="25" t="s">
        <v>557</v>
      </c>
      <c r="R1817" s="26" t="n">
        <v>2000</v>
      </c>
      <c r="S1817" s="26" t="n">
        <f aca="false">IF(AND(L1817="Oui",K1817="Principal",R1817&lt;&gt;""),I1817*R1817,0)</f>
        <v>2000</v>
      </c>
      <c r="T1817" s="26" t="n">
        <f aca="false">IF(R1817&lt;&gt;"",M1817-S1817,0)</f>
        <v>500</v>
      </c>
      <c r="U1817" s="26" t="n">
        <f aca="false">IF(R1817="",M1817,0)</f>
        <v>0</v>
      </c>
    </row>
    <row r="1818" customFormat="false" ht="15" hidden="false" customHeight="false" outlineLevel="0" collapsed="false">
      <c r="A1818" s="25" t="s">
        <v>65</v>
      </c>
      <c r="B1818" s="25" t="s">
        <v>75</v>
      </c>
      <c r="C1818" s="25" t="s">
        <v>49</v>
      </c>
      <c r="D1818" s="25" t="n">
        <v>25</v>
      </c>
      <c r="E1818" s="25" t="s">
        <v>573</v>
      </c>
      <c r="F1818" s="25" t="s">
        <v>321</v>
      </c>
      <c r="G1818" s="25" t="n">
        <v>1192</v>
      </c>
      <c r="H1818" s="25" t="s">
        <v>694</v>
      </c>
      <c r="I1818" s="25" t="n">
        <v>1</v>
      </c>
      <c r="J1818" s="26" t="n">
        <v>7000</v>
      </c>
      <c r="K1818" s="25" t="s">
        <v>546</v>
      </c>
      <c r="L1818" s="25" t="s">
        <v>547</v>
      </c>
      <c r="M1818" s="26" t="n">
        <f aca="false">IF(AND(L1818="Oui",K1818="Principal"),I1818*J1818,0)</f>
        <v>7000</v>
      </c>
      <c r="N1818" s="25" t="s">
        <v>548</v>
      </c>
      <c r="O1818" s="25"/>
      <c r="P1818" s="25" t="s">
        <v>550</v>
      </c>
      <c r="Q1818" s="25" t="s">
        <v>557</v>
      </c>
      <c r="R1818" s="26" t="n">
        <v>5500</v>
      </c>
      <c r="S1818" s="26" t="n">
        <f aca="false">IF(AND(L1818="Oui",K1818="Principal",R1818&lt;&gt;""),I1818*R1818,0)</f>
        <v>5500</v>
      </c>
      <c r="T1818" s="26" t="n">
        <f aca="false">IF(R1818&lt;&gt;"",M1818-S1818,0)</f>
        <v>1500</v>
      </c>
      <c r="U1818" s="26" t="n">
        <f aca="false">IF(R1818="",M1818,0)</f>
        <v>0</v>
      </c>
    </row>
    <row r="1819" customFormat="false" ht="15" hidden="false" customHeight="false" outlineLevel="0" collapsed="false">
      <c r="A1819" s="27" t="s">
        <v>65</v>
      </c>
      <c r="B1819" s="27" t="s">
        <v>75</v>
      </c>
      <c r="C1819" s="27" t="s">
        <v>49</v>
      </c>
      <c r="D1819" s="27" t="n">
        <v>26</v>
      </c>
      <c r="E1819" s="27" t="s">
        <v>588</v>
      </c>
      <c r="F1819" s="27" t="s">
        <v>518</v>
      </c>
      <c r="G1819" s="27"/>
      <c r="H1819" s="27" t="s">
        <v>585</v>
      </c>
      <c r="I1819" s="27" t="n">
        <v>1</v>
      </c>
      <c r="J1819" s="28" t="n">
        <v>0</v>
      </c>
      <c r="K1819" s="27" t="s">
        <v>546</v>
      </c>
      <c r="L1819" s="27" t="s">
        <v>579</v>
      </c>
      <c r="M1819" s="28" t="n">
        <f aca="false">IF(AND(L1819="Oui",K1819="Principal"),I1819*J1819,0)</f>
        <v>0</v>
      </c>
      <c r="N1819" s="27" t="s">
        <v>128</v>
      </c>
      <c r="O1819" s="27" t="s">
        <v>808</v>
      </c>
      <c r="P1819" s="27"/>
      <c r="Q1819" s="27"/>
      <c r="R1819" s="28"/>
      <c r="S1819" s="28" t="n">
        <f aca="false">IF(AND(L1819="Oui",K1819="Principal",R1819&lt;&gt;""),I1819*R1819,0)</f>
        <v>0</v>
      </c>
      <c r="T1819" s="28" t="n">
        <f aca="false">IF(R1819&lt;&gt;"",M1819-S1819,0)</f>
        <v>0</v>
      </c>
      <c r="U1819" s="28" t="n">
        <f aca="false">IF(R1819="",M1819,0)</f>
        <v>0</v>
      </c>
    </row>
    <row r="1820" customFormat="false" ht="15" hidden="false" customHeight="false" outlineLevel="0" collapsed="false">
      <c r="A1820" s="33" t="s">
        <v>65</v>
      </c>
      <c r="B1820" s="33" t="s">
        <v>75</v>
      </c>
      <c r="C1820" s="33" t="s">
        <v>49</v>
      </c>
      <c r="D1820" s="33" t="n">
        <v>27</v>
      </c>
      <c r="E1820" s="33" t="s">
        <v>588</v>
      </c>
      <c r="F1820" s="33" t="s">
        <v>519</v>
      </c>
      <c r="G1820" s="33" t="n">
        <v>64</v>
      </c>
      <c r="H1820" s="33" t="s">
        <v>809</v>
      </c>
      <c r="I1820" s="33" t="n">
        <v>1</v>
      </c>
      <c r="J1820" s="34" t="n">
        <v>10000</v>
      </c>
      <c r="K1820" s="33" t="s">
        <v>546</v>
      </c>
      <c r="L1820" s="33" t="s">
        <v>547</v>
      </c>
      <c r="M1820" s="34" t="n">
        <f aca="false">IF(AND(L1820="Oui",K1820="Principal"),I1820*J1820,0)</f>
        <v>10000</v>
      </c>
      <c r="N1820" s="33" t="s">
        <v>182</v>
      </c>
      <c r="O1820" s="33" t="s">
        <v>810</v>
      </c>
      <c r="P1820" s="33" t="s">
        <v>559</v>
      </c>
      <c r="Q1820" s="33" t="s">
        <v>557</v>
      </c>
      <c r="R1820" s="34" t="n">
        <v>8000</v>
      </c>
      <c r="S1820" s="34" t="n">
        <f aca="false">IF(AND(L1820="Oui",K1820="Principal",R1820&lt;&gt;""),I1820*R1820,0)</f>
        <v>8000</v>
      </c>
      <c r="T1820" s="34" t="n">
        <f aca="false">IF(R1820&lt;&gt;"",M1820-S1820,0)</f>
        <v>2000</v>
      </c>
      <c r="U1820" s="34" t="n">
        <f aca="false">IF(R1820="",M1820,0)</f>
        <v>0</v>
      </c>
    </row>
    <row r="1821" customFormat="false" ht="15" hidden="false" customHeight="false" outlineLevel="0" collapsed="false">
      <c r="A1821" s="25" t="s">
        <v>65</v>
      </c>
      <c r="B1821" s="25" t="s">
        <v>75</v>
      </c>
      <c r="C1821" s="25" t="s">
        <v>49</v>
      </c>
      <c r="D1821" s="25" t="n">
        <v>28</v>
      </c>
      <c r="E1821" s="25" t="s">
        <v>686</v>
      </c>
      <c r="F1821" s="25" t="s">
        <v>521</v>
      </c>
      <c r="G1821" s="25" t="n">
        <v>1561</v>
      </c>
      <c r="H1821" s="25" t="s">
        <v>811</v>
      </c>
      <c r="I1821" s="25" t="n">
        <v>1</v>
      </c>
      <c r="J1821" s="26" t="n">
        <v>4720</v>
      </c>
      <c r="K1821" s="25" t="s">
        <v>546</v>
      </c>
      <c r="L1821" s="25" t="s">
        <v>547</v>
      </c>
      <c r="M1821" s="26" t="n">
        <f aca="false">IF(AND(L1821="Oui",K1821="Principal"),I1821*J1821,0)</f>
        <v>4720</v>
      </c>
      <c r="N1821" s="25" t="s">
        <v>548</v>
      </c>
      <c r="O1821" s="25"/>
      <c r="P1821" s="25" t="s">
        <v>550</v>
      </c>
      <c r="Q1821" s="25" t="s">
        <v>557</v>
      </c>
      <c r="R1821" s="26" t="n">
        <v>3720</v>
      </c>
      <c r="S1821" s="26" t="n">
        <f aca="false">IF(AND(L1821="Oui",K1821="Principal",R1821&lt;&gt;""),I1821*R1821,0)</f>
        <v>3720</v>
      </c>
      <c r="T1821" s="26" t="n">
        <f aca="false">IF(R1821&lt;&gt;"",M1821-S1821,0)</f>
        <v>1000</v>
      </c>
      <c r="U1821" s="26" t="n">
        <f aca="false">IF(R1821="",M1821,0)</f>
        <v>0</v>
      </c>
    </row>
    <row r="1822" customFormat="false" ht="15" hidden="false" customHeight="false" outlineLevel="0" collapsed="false">
      <c r="A1822" s="27" t="s">
        <v>65</v>
      </c>
      <c r="B1822" s="27" t="s">
        <v>75</v>
      </c>
      <c r="C1822" s="27" t="s">
        <v>49</v>
      </c>
      <c r="D1822" s="27" t="n">
        <v>29</v>
      </c>
      <c r="E1822" s="27" t="s">
        <v>588</v>
      </c>
      <c r="F1822" s="27" t="s">
        <v>523</v>
      </c>
      <c r="G1822" s="27"/>
      <c r="H1822" s="27" t="s">
        <v>585</v>
      </c>
      <c r="I1822" s="27" t="n">
        <v>1</v>
      </c>
      <c r="J1822" s="28" t="n">
        <v>0</v>
      </c>
      <c r="K1822" s="27" t="s">
        <v>546</v>
      </c>
      <c r="L1822" s="27" t="s">
        <v>579</v>
      </c>
      <c r="M1822" s="28" t="n">
        <f aca="false">IF(AND(L1822="Oui",K1822="Principal"),I1822*J1822,0)</f>
        <v>0</v>
      </c>
      <c r="N1822" s="27" t="s">
        <v>128</v>
      </c>
      <c r="O1822" s="27" t="s">
        <v>586</v>
      </c>
      <c r="P1822" s="27"/>
      <c r="Q1822" s="27"/>
      <c r="R1822" s="28"/>
      <c r="S1822" s="28" t="n">
        <f aca="false">IF(AND(L1822="Oui",K1822="Principal",R1822&lt;&gt;""),I1822*R1822,0)</f>
        <v>0</v>
      </c>
      <c r="T1822" s="28" t="n">
        <f aca="false">IF(R1822&lt;&gt;"",M1822-S1822,0)</f>
        <v>0</v>
      </c>
      <c r="U1822" s="28" t="n">
        <f aca="false">IF(R1822="",M1822,0)</f>
        <v>0</v>
      </c>
    </row>
    <row r="1823" customFormat="false" ht="15" hidden="false" customHeight="false" outlineLevel="0" collapsed="false">
      <c r="A1823" s="25" t="s">
        <v>65</v>
      </c>
      <c r="B1823" s="25" t="s">
        <v>75</v>
      </c>
      <c r="C1823" s="25" t="s">
        <v>49</v>
      </c>
      <c r="D1823" s="25" t="n">
        <v>30</v>
      </c>
      <c r="E1823" s="25" t="s">
        <v>588</v>
      </c>
      <c r="F1823" s="25" t="s">
        <v>524</v>
      </c>
      <c r="G1823" s="25" t="n">
        <v>63</v>
      </c>
      <c r="H1823" s="25" t="s">
        <v>812</v>
      </c>
      <c r="I1823" s="25" t="n">
        <v>1</v>
      </c>
      <c r="J1823" s="26" t="n">
        <v>10000</v>
      </c>
      <c r="K1823" s="25" t="s">
        <v>546</v>
      </c>
      <c r="L1823" s="25" t="s">
        <v>547</v>
      </c>
      <c r="M1823" s="26" t="n">
        <f aca="false">IF(AND(L1823="Oui",K1823="Principal"),I1823*J1823,0)</f>
        <v>10000</v>
      </c>
      <c r="N1823" s="25" t="s">
        <v>548</v>
      </c>
      <c r="O1823" s="25"/>
      <c r="P1823" s="25" t="s">
        <v>559</v>
      </c>
      <c r="Q1823" s="25" t="s">
        <v>557</v>
      </c>
      <c r="R1823" s="26" t="n">
        <v>8000</v>
      </c>
      <c r="S1823" s="26" t="n">
        <f aca="false">IF(AND(L1823="Oui",K1823="Principal",R1823&lt;&gt;""),I1823*R1823,0)</f>
        <v>8000</v>
      </c>
      <c r="T1823" s="26" t="n">
        <f aca="false">IF(R1823&lt;&gt;"",M1823-S1823,0)</f>
        <v>2000</v>
      </c>
      <c r="U1823" s="26" t="n">
        <f aca="false">IF(R1823="",M1823,0)</f>
        <v>0</v>
      </c>
    </row>
    <row r="1824" customFormat="false" ht="15" hidden="false" customHeight="false" outlineLevel="0" collapsed="false">
      <c r="A1824" s="27" t="s">
        <v>65</v>
      </c>
      <c r="B1824" s="27" t="s">
        <v>75</v>
      </c>
      <c r="C1824" s="27" t="s">
        <v>49</v>
      </c>
      <c r="D1824" s="27" t="n">
        <v>31</v>
      </c>
      <c r="E1824" s="27" t="s">
        <v>588</v>
      </c>
      <c r="F1824" s="27" t="s">
        <v>526</v>
      </c>
      <c r="G1824" s="27"/>
      <c r="H1824" s="27" t="s">
        <v>585</v>
      </c>
      <c r="I1824" s="27" t="n">
        <v>1</v>
      </c>
      <c r="J1824" s="28" t="n">
        <v>0</v>
      </c>
      <c r="K1824" s="27" t="s">
        <v>546</v>
      </c>
      <c r="L1824" s="27" t="s">
        <v>579</v>
      </c>
      <c r="M1824" s="28" t="n">
        <f aca="false">IF(AND(L1824="Oui",K1824="Principal"),I1824*J1824,0)</f>
        <v>0</v>
      </c>
      <c r="N1824" s="27" t="s">
        <v>128</v>
      </c>
      <c r="O1824" s="27" t="s">
        <v>586</v>
      </c>
      <c r="P1824" s="27"/>
      <c r="Q1824" s="27"/>
      <c r="R1824" s="28"/>
      <c r="S1824" s="28" t="n">
        <f aca="false">IF(AND(L1824="Oui",K1824="Principal",R1824&lt;&gt;""),I1824*R1824,0)</f>
        <v>0</v>
      </c>
      <c r="T1824" s="28" t="n">
        <f aca="false">IF(R1824&lt;&gt;"",M1824-S1824,0)</f>
        <v>0</v>
      </c>
      <c r="U1824" s="28" t="n">
        <f aca="false">IF(R1824="",M1824,0)</f>
        <v>0</v>
      </c>
    </row>
    <row r="1825" customFormat="false" ht="15" hidden="false" customHeight="false" outlineLevel="0" collapsed="false">
      <c r="A1825" s="25" t="s">
        <v>65</v>
      </c>
      <c r="B1825" s="25" t="s">
        <v>75</v>
      </c>
      <c r="C1825" s="25" t="s">
        <v>50</v>
      </c>
      <c r="D1825" s="25" t="n">
        <v>1</v>
      </c>
      <c r="E1825" s="25" t="s">
        <v>544</v>
      </c>
      <c r="F1825" s="25" t="s">
        <v>295</v>
      </c>
      <c r="G1825" s="25" t="n">
        <v>1618</v>
      </c>
      <c r="H1825" s="25" t="s">
        <v>600</v>
      </c>
      <c r="I1825" s="25" t="n">
        <v>2</v>
      </c>
      <c r="J1825" s="26" t="n">
        <v>450</v>
      </c>
      <c r="K1825" s="25" t="s">
        <v>546</v>
      </c>
      <c r="L1825" s="25" t="s">
        <v>547</v>
      </c>
      <c r="M1825" s="26" t="n">
        <f aca="false">IF(AND(L1825="Oui",K1825="Principal"),I1825*J1825,0)</f>
        <v>900</v>
      </c>
      <c r="N1825" s="25" t="s">
        <v>548</v>
      </c>
      <c r="O1825" s="25"/>
      <c r="P1825" s="25" t="s">
        <v>556</v>
      </c>
      <c r="Q1825" s="25" t="s">
        <v>557</v>
      </c>
      <c r="R1825" s="26" t="n">
        <v>350</v>
      </c>
      <c r="S1825" s="26" t="n">
        <f aca="false">IF(AND(L1825="Oui",K1825="Principal",R1825&lt;&gt;""),I1825*R1825,0)</f>
        <v>700</v>
      </c>
      <c r="T1825" s="26" t="n">
        <f aca="false">IF(R1825&lt;&gt;"",M1825-S1825,0)</f>
        <v>200</v>
      </c>
      <c r="U1825" s="26" t="n">
        <f aca="false">IF(R1825="",M1825,0)</f>
        <v>0</v>
      </c>
    </row>
    <row r="1826" customFormat="false" ht="15" hidden="false" customHeight="false" outlineLevel="0" collapsed="false">
      <c r="A1826" s="25" t="s">
        <v>65</v>
      </c>
      <c r="B1826" s="25" t="s">
        <v>75</v>
      </c>
      <c r="C1826" s="25" t="s">
        <v>50</v>
      </c>
      <c r="D1826" s="25" t="n">
        <v>2</v>
      </c>
      <c r="E1826" s="25" t="s">
        <v>544</v>
      </c>
      <c r="F1826" s="25" t="s">
        <v>296</v>
      </c>
      <c r="G1826" s="25" t="n">
        <v>1</v>
      </c>
      <c r="H1826" s="25" t="s">
        <v>681</v>
      </c>
      <c r="I1826" s="25" t="n">
        <v>4</v>
      </c>
      <c r="J1826" s="26" t="n">
        <v>500</v>
      </c>
      <c r="K1826" s="25" t="s">
        <v>546</v>
      </c>
      <c r="L1826" s="25" t="s">
        <v>547</v>
      </c>
      <c r="M1826" s="26" t="n">
        <f aca="false">IF(AND(L1826="Oui",K1826="Principal"),I1826*J1826,0)</f>
        <v>2000</v>
      </c>
      <c r="N1826" s="25" t="s">
        <v>548</v>
      </c>
      <c r="O1826" s="25"/>
      <c r="P1826" s="25" t="s">
        <v>559</v>
      </c>
      <c r="Q1826" s="25" t="s">
        <v>551</v>
      </c>
      <c r="R1826" s="26"/>
      <c r="S1826" s="26" t="n">
        <f aca="false">IF(AND(L1826="Oui",K1826="Principal",R1826&lt;&gt;""),I1826*R1826,0)</f>
        <v>0</v>
      </c>
      <c r="T1826" s="26" t="n">
        <f aca="false">IF(R1826&lt;&gt;"",M1826-S1826,0)</f>
        <v>0</v>
      </c>
      <c r="U1826" s="26" t="n">
        <f aca="false">IF(R1826="",M1826,0)</f>
        <v>2000</v>
      </c>
    </row>
    <row r="1827" customFormat="false" ht="15" hidden="false" customHeight="false" outlineLevel="0" collapsed="false">
      <c r="A1827" s="25" t="s">
        <v>65</v>
      </c>
      <c r="B1827" s="25" t="s">
        <v>75</v>
      </c>
      <c r="C1827" s="25" t="s">
        <v>50</v>
      </c>
      <c r="D1827" s="25" t="n">
        <v>3</v>
      </c>
      <c r="E1827" s="25" t="s">
        <v>544</v>
      </c>
      <c r="F1827" s="25" t="s">
        <v>298</v>
      </c>
      <c r="G1827" s="25" t="n">
        <v>1616</v>
      </c>
      <c r="H1827" s="25" t="s">
        <v>695</v>
      </c>
      <c r="I1827" s="25" t="n">
        <v>2</v>
      </c>
      <c r="J1827" s="26" t="n">
        <v>900</v>
      </c>
      <c r="K1827" s="25" t="s">
        <v>546</v>
      </c>
      <c r="L1827" s="25" t="s">
        <v>547</v>
      </c>
      <c r="M1827" s="26" t="n">
        <f aca="false">IF(AND(L1827="Oui",K1827="Principal"),I1827*J1827,0)</f>
        <v>1800</v>
      </c>
      <c r="N1827" s="25" t="s">
        <v>548</v>
      </c>
      <c r="O1827" s="25"/>
      <c r="P1827" s="25" t="s">
        <v>556</v>
      </c>
      <c r="Q1827" s="25" t="s">
        <v>557</v>
      </c>
      <c r="R1827" s="26" t="n">
        <v>800</v>
      </c>
      <c r="S1827" s="26" t="n">
        <f aca="false">IF(AND(L1827="Oui",K1827="Principal",R1827&lt;&gt;""),I1827*R1827,0)</f>
        <v>1600</v>
      </c>
      <c r="T1827" s="26" t="n">
        <f aca="false">IF(R1827&lt;&gt;"",M1827-S1827,0)</f>
        <v>200</v>
      </c>
      <c r="U1827" s="26" t="n">
        <f aca="false">IF(R1827="",M1827,0)</f>
        <v>0</v>
      </c>
    </row>
    <row r="1828" customFormat="false" ht="15" hidden="false" customHeight="false" outlineLevel="0" collapsed="false">
      <c r="A1828" s="25" t="s">
        <v>65</v>
      </c>
      <c r="B1828" s="25" t="s">
        <v>75</v>
      </c>
      <c r="C1828" s="25" t="s">
        <v>50</v>
      </c>
      <c r="D1828" s="25" t="n">
        <v>4</v>
      </c>
      <c r="E1828" s="25" t="s">
        <v>544</v>
      </c>
      <c r="F1828" s="25" t="s">
        <v>338</v>
      </c>
      <c r="G1828" s="25" t="n">
        <v>1715</v>
      </c>
      <c r="H1828" s="25" t="s">
        <v>713</v>
      </c>
      <c r="I1828" s="25" t="n">
        <v>5</v>
      </c>
      <c r="J1828" s="26" t="n">
        <v>1600</v>
      </c>
      <c r="K1828" s="25" t="s">
        <v>546</v>
      </c>
      <c r="L1828" s="25" t="s">
        <v>547</v>
      </c>
      <c r="M1828" s="26" t="n">
        <f aca="false">IF(AND(L1828="Oui",K1828="Principal"),I1828*J1828,0)</f>
        <v>8000</v>
      </c>
      <c r="N1828" s="25" t="s">
        <v>548</v>
      </c>
      <c r="O1828" s="25"/>
      <c r="P1828" s="25" t="s">
        <v>550</v>
      </c>
      <c r="Q1828" s="25" t="s">
        <v>557</v>
      </c>
      <c r="R1828" s="26" t="n">
        <v>1300</v>
      </c>
      <c r="S1828" s="26" t="n">
        <f aca="false">IF(AND(L1828="Oui",K1828="Principal",R1828&lt;&gt;""),I1828*R1828,0)</f>
        <v>6500</v>
      </c>
      <c r="T1828" s="26" t="n">
        <f aca="false">IF(R1828&lt;&gt;"",M1828-S1828,0)</f>
        <v>1500</v>
      </c>
      <c r="U1828" s="26" t="n">
        <f aca="false">IF(R1828="",M1828,0)</f>
        <v>0</v>
      </c>
    </row>
    <row r="1829" customFormat="false" ht="15" hidden="false" customHeight="false" outlineLevel="0" collapsed="false">
      <c r="A1829" s="25" t="s">
        <v>65</v>
      </c>
      <c r="B1829" s="25" t="s">
        <v>75</v>
      </c>
      <c r="C1829" s="25" t="s">
        <v>50</v>
      </c>
      <c r="D1829" s="25" t="n">
        <v>5</v>
      </c>
      <c r="E1829" s="25" t="s">
        <v>544</v>
      </c>
      <c r="F1829" s="25" t="s">
        <v>442</v>
      </c>
      <c r="G1829" s="25" t="n">
        <v>1729</v>
      </c>
      <c r="H1829" s="25" t="s">
        <v>552</v>
      </c>
      <c r="I1829" s="25" t="n">
        <v>1</v>
      </c>
      <c r="J1829" s="26" t="n">
        <v>1300</v>
      </c>
      <c r="K1829" s="25" t="s">
        <v>546</v>
      </c>
      <c r="L1829" s="25" t="s">
        <v>547</v>
      </c>
      <c r="M1829" s="26" t="n">
        <f aca="false">IF(AND(L1829="Oui",K1829="Principal"),I1829*J1829,0)</f>
        <v>1300</v>
      </c>
      <c r="N1829" s="25" t="s">
        <v>548</v>
      </c>
      <c r="O1829" s="25"/>
      <c r="P1829" s="25" t="s">
        <v>550</v>
      </c>
      <c r="Q1829" s="25" t="s">
        <v>551</v>
      </c>
      <c r="R1829" s="26"/>
      <c r="S1829" s="26" t="n">
        <f aca="false">IF(AND(L1829="Oui",K1829="Principal",R1829&lt;&gt;""),I1829*R1829,0)</f>
        <v>0</v>
      </c>
      <c r="T1829" s="26" t="n">
        <f aca="false">IF(R1829&lt;&gt;"",M1829-S1829,0)</f>
        <v>0</v>
      </c>
      <c r="U1829" s="26" t="n">
        <f aca="false">IF(R1829="",M1829,0)</f>
        <v>1300</v>
      </c>
    </row>
    <row r="1830" customFormat="false" ht="15" hidden="false" customHeight="false" outlineLevel="0" collapsed="false">
      <c r="A1830" s="25" t="s">
        <v>65</v>
      </c>
      <c r="B1830" s="25" t="s">
        <v>75</v>
      </c>
      <c r="C1830" s="25" t="s">
        <v>50</v>
      </c>
      <c r="D1830" s="25" t="n">
        <v>6</v>
      </c>
      <c r="E1830" s="25" t="s">
        <v>563</v>
      </c>
      <c r="F1830" s="25" t="s">
        <v>255</v>
      </c>
      <c r="G1830" s="25" t="n">
        <v>1636</v>
      </c>
      <c r="H1830" s="25" t="s">
        <v>661</v>
      </c>
      <c r="I1830" s="25" t="n">
        <v>1</v>
      </c>
      <c r="J1830" s="26" t="n">
        <v>400</v>
      </c>
      <c r="K1830" s="25" t="s">
        <v>546</v>
      </c>
      <c r="L1830" s="25" t="s">
        <v>547</v>
      </c>
      <c r="M1830" s="26" t="n">
        <f aca="false">IF(AND(L1830="Oui",K1830="Principal"),I1830*J1830,0)</f>
        <v>400</v>
      </c>
      <c r="N1830" s="25" t="s">
        <v>548</v>
      </c>
      <c r="O1830" s="25"/>
      <c r="P1830" s="25" t="s">
        <v>556</v>
      </c>
      <c r="Q1830" s="25" t="s">
        <v>557</v>
      </c>
      <c r="R1830" s="26" t="n">
        <v>320</v>
      </c>
      <c r="S1830" s="26" t="n">
        <f aca="false">IF(AND(L1830="Oui",K1830="Principal",R1830&lt;&gt;""),I1830*R1830,0)</f>
        <v>320</v>
      </c>
      <c r="T1830" s="26" t="n">
        <f aca="false">IF(R1830&lt;&gt;"",M1830-S1830,0)</f>
        <v>80</v>
      </c>
      <c r="U1830" s="26" t="n">
        <f aca="false">IF(R1830="",M1830,0)</f>
        <v>0</v>
      </c>
    </row>
    <row r="1831" customFormat="false" ht="15" hidden="false" customHeight="false" outlineLevel="0" collapsed="false">
      <c r="A1831" s="25" t="s">
        <v>65</v>
      </c>
      <c r="B1831" s="25" t="s">
        <v>75</v>
      </c>
      <c r="C1831" s="25" t="s">
        <v>50</v>
      </c>
      <c r="D1831" s="25" t="n">
        <v>7</v>
      </c>
      <c r="E1831" s="25" t="s">
        <v>563</v>
      </c>
      <c r="F1831" s="25" t="s">
        <v>257</v>
      </c>
      <c r="G1831" s="25" t="n">
        <v>1635</v>
      </c>
      <c r="H1831" s="25" t="s">
        <v>607</v>
      </c>
      <c r="I1831" s="25" t="n">
        <v>1</v>
      </c>
      <c r="J1831" s="26" t="n">
        <v>100</v>
      </c>
      <c r="K1831" s="25" t="s">
        <v>546</v>
      </c>
      <c r="L1831" s="25" t="s">
        <v>547</v>
      </c>
      <c r="M1831" s="26" t="n">
        <f aca="false">IF(AND(L1831="Oui",K1831="Principal"),I1831*J1831,0)</f>
        <v>100</v>
      </c>
      <c r="N1831" s="25" t="s">
        <v>548</v>
      </c>
      <c r="O1831" s="25"/>
      <c r="P1831" s="25" t="s">
        <v>556</v>
      </c>
      <c r="Q1831" s="25" t="s">
        <v>557</v>
      </c>
      <c r="R1831" s="26" t="n">
        <v>80</v>
      </c>
      <c r="S1831" s="26" t="n">
        <f aca="false">IF(AND(L1831="Oui",K1831="Principal",R1831&lt;&gt;""),I1831*R1831,0)</f>
        <v>80</v>
      </c>
      <c r="T1831" s="26" t="n">
        <f aca="false">IF(R1831&lt;&gt;"",M1831-S1831,0)</f>
        <v>20</v>
      </c>
      <c r="U1831" s="26" t="n">
        <f aca="false">IF(R1831="",M1831,0)</f>
        <v>0</v>
      </c>
    </row>
    <row r="1832" customFormat="false" ht="15" hidden="false" customHeight="false" outlineLevel="0" collapsed="false">
      <c r="A1832" s="25" t="s">
        <v>65</v>
      </c>
      <c r="B1832" s="25" t="s">
        <v>75</v>
      </c>
      <c r="C1832" s="25" t="s">
        <v>50</v>
      </c>
      <c r="D1832" s="25" t="n">
        <v>8</v>
      </c>
      <c r="E1832" s="25" t="s">
        <v>563</v>
      </c>
      <c r="F1832" s="25" t="s">
        <v>188</v>
      </c>
      <c r="G1832" s="25" t="n">
        <v>8</v>
      </c>
      <c r="H1832" s="25" t="s">
        <v>188</v>
      </c>
      <c r="I1832" s="25" t="n">
        <v>1</v>
      </c>
      <c r="J1832" s="26" t="n">
        <v>500</v>
      </c>
      <c r="K1832" s="25" t="s">
        <v>546</v>
      </c>
      <c r="L1832" s="25" t="s">
        <v>547</v>
      </c>
      <c r="M1832" s="26" t="n">
        <f aca="false">IF(AND(L1832="Oui",K1832="Principal"),I1832*J1832,0)</f>
        <v>500</v>
      </c>
      <c r="N1832" s="25" t="s">
        <v>548</v>
      </c>
      <c r="O1832" s="25"/>
      <c r="P1832" s="25" t="s">
        <v>559</v>
      </c>
      <c r="Q1832" s="25" t="s">
        <v>551</v>
      </c>
      <c r="R1832" s="26"/>
      <c r="S1832" s="26" t="n">
        <f aca="false">IF(AND(L1832="Oui",K1832="Principal",R1832&lt;&gt;""),I1832*R1832,0)</f>
        <v>0</v>
      </c>
      <c r="T1832" s="26" t="n">
        <f aca="false">IF(R1832&lt;&gt;"",M1832-S1832,0)</f>
        <v>0</v>
      </c>
      <c r="U1832" s="26" t="n">
        <f aca="false">IF(R1832="",M1832,0)</f>
        <v>500</v>
      </c>
    </row>
    <row r="1833" customFormat="false" ht="15" hidden="false" customHeight="false" outlineLevel="0" collapsed="false">
      <c r="A1833" s="25" t="s">
        <v>65</v>
      </c>
      <c r="B1833" s="25" t="s">
        <v>75</v>
      </c>
      <c r="C1833" s="25" t="s">
        <v>50</v>
      </c>
      <c r="D1833" s="25" t="n">
        <v>9</v>
      </c>
      <c r="E1833" s="25" t="s">
        <v>563</v>
      </c>
      <c r="F1833" s="25" t="s">
        <v>323</v>
      </c>
      <c r="G1833" s="25" t="n">
        <v>1607</v>
      </c>
      <c r="H1833" s="25" t="s">
        <v>696</v>
      </c>
      <c r="I1833" s="25" t="n">
        <v>1</v>
      </c>
      <c r="J1833" s="26" t="n">
        <v>2500</v>
      </c>
      <c r="K1833" s="25" t="s">
        <v>546</v>
      </c>
      <c r="L1833" s="25" t="s">
        <v>547</v>
      </c>
      <c r="M1833" s="26" t="n">
        <f aca="false">IF(AND(L1833="Oui",K1833="Principal"),I1833*J1833,0)</f>
        <v>2500</v>
      </c>
      <c r="N1833" s="25" t="s">
        <v>548</v>
      </c>
      <c r="O1833" s="25"/>
      <c r="P1833" s="25" t="s">
        <v>556</v>
      </c>
      <c r="Q1833" s="25" t="s">
        <v>557</v>
      </c>
      <c r="R1833" s="26" t="n">
        <v>2000</v>
      </c>
      <c r="S1833" s="26" t="n">
        <f aca="false">IF(AND(L1833="Oui",K1833="Principal",R1833&lt;&gt;""),I1833*R1833,0)</f>
        <v>2000</v>
      </c>
      <c r="T1833" s="26" t="n">
        <f aca="false">IF(R1833&lt;&gt;"",M1833-S1833,0)</f>
        <v>500</v>
      </c>
      <c r="U1833" s="26" t="n">
        <f aca="false">IF(R1833="",M1833,0)</f>
        <v>0</v>
      </c>
    </row>
    <row r="1834" customFormat="false" ht="15" hidden="false" customHeight="false" outlineLevel="0" collapsed="false">
      <c r="A1834" s="25" t="s">
        <v>65</v>
      </c>
      <c r="B1834" s="25" t="s">
        <v>75</v>
      </c>
      <c r="C1834" s="25" t="s">
        <v>50</v>
      </c>
      <c r="D1834" s="25" t="n">
        <v>10</v>
      </c>
      <c r="E1834" s="25" t="s">
        <v>563</v>
      </c>
      <c r="F1834" s="25" t="s">
        <v>325</v>
      </c>
      <c r="G1834" s="25" t="n">
        <v>1639</v>
      </c>
      <c r="H1834" s="25" t="s">
        <v>702</v>
      </c>
      <c r="I1834" s="25" t="n">
        <v>1</v>
      </c>
      <c r="J1834" s="26" t="n">
        <v>1000</v>
      </c>
      <c r="K1834" s="25" t="s">
        <v>546</v>
      </c>
      <c r="L1834" s="25" t="s">
        <v>547</v>
      </c>
      <c r="M1834" s="26" t="n">
        <f aca="false">IF(AND(L1834="Oui",K1834="Principal"),I1834*J1834,0)</f>
        <v>1000</v>
      </c>
      <c r="N1834" s="25" t="s">
        <v>548</v>
      </c>
      <c r="O1834" s="25"/>
      <c r="P1834" s="25" t="s">
        <v>556</v>
      </c>
      <c r="Q1834" s="25" t="s">
        <v>557</v>
      </c>
      <c r="R1834" s="26" t="n">
        <v>700</v>
      </c>
      <c r="S1834" s="26" t="n">
        <f aca="false">IF(AND(L1834="Oui",K1834="Principal",R1834&lt;&gt;""),I1834*R1834,0)</f>
        <v>700</v>
      </c>
      <c r="T1834" s="26" t="n">
        <f aca="false">IF(R1834&lt;&gt;"",M1834-S1834,0)</f>
        <v>300</v>
      </c>
      <c r="U1834" s="26" t="n">
        <f aca="false">IF(R1834="",M1834,0)</f>
        <v>0</v>
      </c>
    </row>
    <row r="1835" customFormat="false" ht="15" hidden="false" customHeight="false" outlineLevel="0" collapsed="false">
      <c r="A1835" s="25" t="s">
        <v>65</v>
      </c>
      <c r="B1835" s="25" t="s">
        <v>75</v>
      </c>
      <c r="C1835" s="25" t="s">
        <v>50</v>
      </c>
      <c r="D1835" s="25" t="n">
        <v>11</v>
      </c>
      <c r="E1835" s="25" t="s">
        <v>565</v>
      </c>
      <c r="F1835" s="25" t="s">
        <v>99</v>
      </c>
      <c r="G1835" s="25" t="n">
        <v>1181</v>
      </c>
      <c r="H1835" s="25" t="s">
        <v>581</v>
      </c>
      <c r="I1835" s="25" t="n">
        <v>1</v>
      </c>
      <c r="J1835" s="26" t="n">
        <v>250</v>
      </c>
      <c r="K1835" s="25" t="s">
        <v>546</v>
      </c>
      <c r="L1835" s="25" t="s">
        <v>547</v>
      </c>
      <c r="M1835" s="26" t="n">
        <f aca="false">IF(AND(L1835="Oui",K1835="Principal"),I1835*J1835,0)</f>
        <v>250</v>
      </c>
      <c r="N1835" s="25" t="s">
        <v>548</v>
      </c>
      <c r="O1835" s="25"/>
      <c r="P1835" s="25" t="s">
        <v>550</v>
      </c>
      <c r="Q1835" s="25" t="s">
        <v>557</v>
      </c>
      <c r="R1835" s="26" t="n">
        <v>110</v>
      </c>
      <c r="S1835" s="26" t="n">
        <f aca="false">IF(AND(L1835="Oui",K1835="Principal",R1835&lt;&gt;""),I1835*R1835,0)</f>
        <v>110</v>
      </c>
      <c r="T1835" s="26" t="n">
        <f aca="false">IF(R1835&lt;&gt;"",M1835-S1835,0)</f>
        <v>140</v>
      </c>
      <c r="U1835" s="26" t="n">
        <f aca="false">IF(R1835="",M1835,0)</f>
        <v>0</v>
      </c>
    </row>
    <row r="1836" customFormat="false" ht="15" hidden="false" customHeight="false" outlineLevel="0" collapsed="false">
      <c r="A1836" s="25" t="s">
        <v>65</v>
      </c>
      <c r="B1836" s="25" t="s">
        <v>75</v>
      </c>
      <c r="C1836" s="25" t="s">
        <v>50</v>
      </c>
      <c r="D1836" s="25" t="n">
        <v>12</v>
      </c>
      <c r="E1836" s="25" t="s">
        <v>565</v>
      </c>
      <c r="F1836" s="25" t="s">
        <v>164</v>
      </c>
      <c r="G1836" s="25" t="n">
        <v>1587</v>
      </c>
      <c r="H1836" s="25" t="s">
        <v>567</v>
      </c>
      <c r="I1836" s="25" t="n">
        <v>1</v>
      </c>
      <c r="J1836" s="26" t="n">
        <v>500</v>
      </c>
      <c r="K1836" s="25" t="s">
        <v>546</v>
      </c>
      <c r="L1836" s="25" t="s">
        <v>547</v>
      </c>
      <c r="M1836" s="26" t="n">
        <f aca="false">IF(AND(L1836="Oui",K1836="Principal"),I1836*J1836,0)</f>
        <v>500</v>
      </c>
      <c r="N1836" s="25" t="s">
        <v>548</v>
      </c>
      <c r="O1836" s="25"/>
      <c r="P1836" s="25" t="s">
        <v>556</v>
      </c>
      <c r="Q1836" s="25" t="s">
        <v>557</v>
      </c>
      <c r="R1836" s="26" t="n">
        <v>350</v>
      </c>
      <c r="S1836" s="26" t="n">
        <f aca="false">IF(AND(L1836="Oui",K1836="Principal",R1836&lt;&gt;""),I1836*R1836,0)</f>
        <v>350</v>
      </c>
      <c r="T1836" s="26" t="n">
        <f aca="false">IF(R1836&lt;&gt;"",M1836-S1836,0)</f>
        <v>150</v>
      </c>
      <c r="U1836" s="26" t="n">
        <f aca="false">IF(R1836="",M1836,0)</f>
        <v>0</v>
      </c>
    </row>
    <row r="1837" customFormat="false" ht="15" hidden="false" customHeight="false" outlineLevel="0" collapsed="false">
      <c r="A1837" s="25" t="s">
        <v>65</v>
      </c>
      <c r="B1837" s="25" t="s">
        <v>75</v>
      </c>
      <c r="C1837" s="25" t="s">
        <v>50</v>
      </c>
      <c r="D1837" s="25" t="n">
        <v>13</v>
      </c>
      <c r="E1837" s="25" t="s">
        <v>565</v>
      </c>
      <c r="F1837" s="25" t="s">
        <v>166</v>
      </c>
      <c r="G1837" s="25" t="n">
        <v>1604</v>
      </c>
      <c r="H1837" s="25" t="s">
        <v>582</v>
      </c>
      <c r="I1837" s="25" t="n">
        <v>2</v>
      </c>
      <c r="J1837" s="26" t="n">
        <v>700</v>
      </c>
      <c r="K1837" s="25" t="s">
        <v>546</v>
      </c>
      <c r="L1837" s="25" t="s">
        <v>547</v>
      </c>
      <c r="M1837" s="26" t="n">
        <f aca="false">IF(AND(L1837="Oui",K1837="Principal"),I1837*J1837,0)</f>
        <v>1400</v>
      </c>
      <c r="N1837" s="25" t="s">
        <v>548</v>
      </c>
      <c r="O1837" s="25"/>
      <c r="P1837" s="25" t="s">
        <v>556</v>
      </c>
      <c r="Q1837" s="25" t="s">
        <v>557</v>
      </c>
      <c r="R1837" s="26" t="n">
        <v>400</v>
      </c>
      <c r="S1837" s="26" t="n">
        <f aca="false">IF(AND(L1837="Oui",K1837="Principal",R1837&lt;&gt;""),I1837*R1837,0)</f>
        <v>800</v>
      </c>
      <c r="T1837" s="26" t="n">
        <f aca="false">IF(R1837&lt;&gt;"",M1837-S1837,0)</f>
        <v>600</v>
      </c>
      <c r="U1837" s="26" t="n">
        <f aca="false">IF(R1837="",M1837,0)</f>
        <v>0</v>
      </c>
    </row>
    <row r="1838" customFormat="false" ht="15" hidden="false" customHeight="false" outlineLevel="0" collapsed="false">
      <c r="A1838" s="25" t="s">
        <v>65</v>
      </c>
      <c r="B1838" s="25" t="s">
        <v>75</v>
      </c>
      <c r="C1838" s="25" t="s">
        <v>50</v>
      </c>
      <c r="D1838" s="25" t="n">
        <v>14</v>
      </c>
      <c r="E1838" s="25" t="s">
        <v>565</v>
      </c>
      <c r="F1838" s="25" t="s">
        <v>304</v>
      </c>
      <c r="G1838" s="25" t="n">
        <v>1586</v>
      </c>
      <c r="H1838" s="25" t="s">
        <v>583</v>
      </c>
      <c r="I1838" s="25" t="n">
        <v>1</v>
      </c>
      <c r="J1838" s="26" t="n">
        <v>900</v>
      </c>
      <c r="K1838" s="25" t="s">
        <v>546</v>
      </c>
      <c r="L1838" s="25" t="s">
        <v>547</v>
      </c>
      <c r="M1838" s="26" t="n">
        <f aca="false">IF(AND(L1838="Oui",K1838="Principal"),I1838*J1838,0)</f>
        <v>900</v>
      </c>
      <c r="N1838" s="25" t="s">
        <v>548</v>
      </c>
      <c r="O1838" s="25"/>
      <c r="P1838" s="25" t="s">
        <v>556</v>
      </c>
      <c r="Q1838" s="25" t="s">
        <v>557</v>
      </c>
      <c r="R1838" s="26" t="n">
        <v>650</v>
      </c>
      <c r="S1838" s="26" t="n">
        <f aca="false">IF(AND(L1838="Oui",K1838="Principal",R1838&lt;&gt;""),I1838*R1838,0)</f>
        <v>650</v>
      </c>
      <c r="T1838" s="26" t="n">
        <f aca="false">IF(R1838&lt;&gt;"",M1838-S1838,0)</f>
        <v>250</v>
      </c>
      <c r="U1838" s="26" t="n">
        <f aca="false">IF(R1838="",M1838,0)</f>
        <v>0</v>
      </c>
    </row>
    <row r="1839" customFormat="false" ht="15" hidden="false" customHeight="false" outlineLevel="0" collapsed="false">
      <c r="A1839" s="33" t="s">
        <v>65</v>
      </c>
      <c r="B1839" s="33" t="s">
        <v>75</v>
      </c>
      <c r="C1839" s="33" t="s">
        <v>50</v>
      </c>
      <c r="D1839" s="33" t="n">
        <v>15</v>
      </c>
      <c r="E1839" s="33" t="s">
        <v>609</v>
      </c>
      <c r="F1839" s="33" t="s">
        <v>199</v>
      </c>
      <c r="G1839" s="33" t="n">
        <v>1229</v>
      </c>
      <c r="H1839" s="33" t="s">
        <v>643</v>
      </c>
      <c r="I1839" s="33" t="n">
        <v>1</v>
      </c>
      <c r="J1839" s="34" t="n">
        <v>1800</v>
      </c>
      <c r="K1839" s="33" t="s">
        <v>546</v>
      </c>
      <c r="L1839" s="33" t="s">
        <v>547</v>
      </c>
      <c r="M1839" s="34" t="n">
        <f aca="false">IF(AND(L1839="Oui",K1839="Principal"),I1839*J1839,0)</f>
        <v>1800</v>
      </c>
      <c r="N1839" s="33" t="s">
        <v>182</v>
      </c>
      <c r="O1839" s="33" t="s">
        <v>644</v>
      </c>
      <c r="P1839" s="33" t="s">
        <v>550</v>
      </c>
      <c r="Q1839" s="33" t="s">
        <v>557</v>
      </c>
      <c r="R1839" s="34" t="n">
        <v>1500</v>
      </c>
      <c r="S1839" s="34" t="n">
        <f aca="false">IF(AND(L1839="Oui",K1839="Principal",R1839&lt;&gt;""),I1839*R1839,0)</f>
        <v>1500</v>
      </c>
      <c r="T1839" s="34" t="n">
        <f aca="false">IF(R1839&lt;&gt;"",M1839-S1839,0)</f>
        <v>300</v>
      </c>
      <c r="U1839" s="34" t="n">
        <f aca="false">IF(R1839="",M1839,0)</f>
        <v>0</v>
      </c>
    </row>
    <row r="1840" customFormat="false" ht="15" hidden="false" customHeight="false" outlineLevel="0" collapsed="false">
      <c r="A1840" s="25" t="s">
        <v>65</v>
      </c>
      <c r="B1840" s="25" t="s">
        <v>75</v>
      </c>
      <c r="C1840" s="25" t="s">
        <v>50</v>
      </c>
      <c r="D1840" s="25" t="n">
        <v>16</v>
      </c>
      <c r="E1840" s="25" t="s">
        <v>609</v>
      </c>
      <c r="F1840" s="25" t="s">
        <v>443</v>
      </c>
      <c r="G1840" s="25" t="n">
        <v>1727</v>
      </c>
      <c r="H1840" s="25" t="s">
        <v>698</v>
      </c>
      <c r="I1840" s="25" t="n">
        <v>1</v>
      </c>
      <c r="J1840" s="26" t="n">
        <v>4750</v>
      </c>
      <c r="K1840" s="25" t="s">
        <v>546</v>
      </c>
      <c r="L1840" s="25" t="s">
        <v>547</v>
      </c>
      <c r="M1840" s="26" t="n">
        <f aca="false">IF(AND(L1840="Oui",K1840="Principal"),I1840*J1840,0)</f>
        <v>4750</v>
      </c>
      <c r="N1840" s="25" t="s">
        <v>548</v>
      </c>
      <c r="O1840" s="25"/>
      <c r="P1840" s="25" t="s">
        <v>559</v>
      </c>
      <c r="Q1840" s="25" t="s">
        <v>557</v>
      </c>
      <c r="R1840" s="26" t="n">
        <v>3700</v>
      </c>
      <c r="S1840" s="26" t="n">
        <f aca="false">IF(AND(L1840="Oui",K1840="Principal",R1840&lt;&gt;""),I1840*R1840,0)</f>
        <v>3700</v>
      </c>
      <c r="T1840" s="26" t="n">
        <f aca="false">IF(R1840&lt;&gt;"",M1840-S1840,0)</f>
        <v>1050</v>
      </c>
      <c r="U1840" s="26" t="n">
        <f aca="false">IF(R1840="",M1840,0)</f>
        <v>0</v>
      </c>
    </row>
    <row r="1841" customFormat="false" ht="15" hidden="false" customHeight="false" outlineLevel="0" collapsed="false">
      <c r="A1841" s="25" t="s">
        <v>65</v>
      </c>
      <c r="B1841" s="25" t="s">
        <v>75</v>
      </c>
      <c r="C1841" s="25" t="s">
        <v>50</v>
      </c>
      <c r="D1841" s="25" t="n">
        <v>17</v>
      </c>
      <c r="E1841" s="25" t="s">
        <v>700</v>
      </c>
      <c r="F1841" s="25" t="s">
        <v>329</v>
      </c>
      <c r="G1841" s="25" t="n">
        <v>1716</v>
      </c>
      <c r="H1841" s="25" t="s">
        <v>701</v>
      </c>
      <c r="I1841" s="25" t="n">
        <v>1</v>
      </c>
      <c r="J1841" s="26" t="n">
        <v>1800</v>
      </c>
      <c r="K1841" s="25" t="s">
        <v>546</v>
      </c>
      <c r="L1841" s="25" t="s">
        <v>547</v>
      </c>
      <c r="M1841" s="26" t="n">
        <f aca="false">IF(AND(L1841="Oui",K1841="Principal"),I1841*J1841,0)</f>
        <v>1800</v>
      </c>
      <c r="N1841" s="25" t="s">
        <v>548</v>
      </c>
      <c r="O1841" s="25"/>
      <c r="P1841" s="25" t="s">
        <v>559</v>
      </c>
      <c r="Q1841" s="25" t="s">
        <v>557</v>
      </c>
      <c r="R1841" s="26" t="n">
        <v>1300</v>
      </c>
      <c r="S1841" s="26" t="n">
        <f aca="false">IF(AND(L1841="Oui",K1841="Principal",R1841&lt;&gt;""),I1841*R1841,0)</f>
        <v>1300</v>
      </c>
      <c r="T1841" s="26" t="n">
        <f aca="false">IF(R1841&lt;&gt;"",M1841-S1841,0)</f>
        <v>500</v>
      </c>
      <c r="U1841" s="26" t="n">
        <f aca="false">IF(R1841="",M1841,0)</f>
        <v>0</v>
      </c>
    </row>
    <row r="1842" customFormat="false" ht="15" hidden="false" customHeight="false" outlineLevel="0" collapsed="false">
      <c r="A1842" s="27" t="s">
        <v>65</v>
      </c>
      <c r="B1842" s="27" t="s">
        <v>75</v>
      </c>
      <c r="C1842" s="27" t="s">
        <v>50</v>
      </c>
      <c r="D1842" s="27" t="n">
        <v>18</v>
      </c>
      <c r="E1842" s="27" t="s">
        <v>700</v>
      </c>
      <c r="F1842" s="27" t="s">
        <v>430</v>
      </c>
      <c r="G1842" s="27"/>
      <c r="H1842" s="27" t="s">
        <v>585</v>
      </c>
      <c r="I1842" s="27" t="n">
        <v>1</v>
      </c>
      <c r="J1842" s="28" t="n">
        <v>0</v>
      </c>
      <c r="K1842" s="27" t="s">
        <v>546</v>
      </c>
      <c r="L1842" s="27" t="s">
        <v>579</v>
      </c>
      <c r="M1842" s="28" t="n">
        <f aca="false">IF(AND(L1842="Oui",K1842="Principal"),I1842*J1842,0)</f>
        <v>0</v>
      </c>
      <c r="N1842" s="27" t="s">
        <v>128</v>
      </c>
      <c r="O1842" s="27" t="s">
        <v>586</v>
      </c>
      <c r="P1842" s="27"/>
      <c r="Q1842" s="27"/>
      <c r="R1842" s="28"/>
      <c r="S1842" s="28" t="n">
        <f aca="false">IF(AND(L1842="Oui",K1842="Principal",R1842&lt;&gt;""),I1842*R1842,0)</f>
        <v>0</v>
      </c>
      <c r="T1842" s="28" t="n">
        <f aca="false">IF(R1842&lt;&gt;"",M1842-S1842,0)</f>
        <v>0</v>
      </c>
      <c r="U1842" s="28" t="n">
        <f aca="false">IF(R1842="",M1842,0)</f>
        <v>0</v>
      </c>
    </row>
    <row r="1843" customFormat="false" ht="15" hidden="false" customHeight="false" outlineLevel="0" collapsed="false">
      <c r="A1843" s="27" t="s">
        <v>65</v>
      </c>
      <c r="B1843" s="27" t="s">
        <v>75</v>
      </c>
      <c r="C1843" s="27" t="s">
        <v>50</v>
      </c>
      <c r="D1843" s="27" t="n">
        <v>19</v>
      </c>
      <c r="E1843" s="27" t="s">
        <v>700</v>
      </c>
      <c r="F1843" s="27" t="s">
        <v>382</v>
      </c>
      <c r="G1843" s="27"/>
      <c r="H1843" s="27" t="s">
        <v>585</v>
      </c>
      <c r="I1843" s="27" t="n">
        <v>1</v>
      </c>
      <c r="J1843" s="28" t="n">
        <v>0</v>
      </c>
      <c r="K1843" s="27" t="s">
        <v>546</v>
      </c>
      <c r="L1843" s="27" t="s">
        <v>579</v>
      </c>
      <c r="M1843" s="28" t="n">
        <f aca="false">IF(AND(L1843="Oui",K1843="Principal"),I1843*J1843,0)</f>
        <v>0</v>
      </c>
      <c r="N1843" s="27" t="s">
        <v>128</v>
      </c>
      <c r="O1843" s="27" t="s">
        <v>586</v>
      </c>
      <c r="P1843" s="27"/>
      <c r="Q1843" s="27"/>
      <c r="R1843" s="28"/>
      <c r="S1843" s="28" t="n">
        <f aca="false">IF(AND(L1843="Oui",K1843="Principal",R1843&lt;&gt;""),I1843*R1843,0)</f>
        <v>0</v>
      </c>
      <c r="T1843" s="28" t="n">
        <f aca="false">IF(R1843&lt;&gt;"",M1843-S1843,0)</f>
        <v>0</v>
      </c>
      <c r="U1843" s="28" t="n">
        <f aca="false">IF(R1843="",M1843,0)</f>
        <v>0</v>
      </c>
    </row>
    <row r="1844" customFormat="false" ht="15" hidden="false" customHeight="false" outlineLevel="0" collapsed="false">
      <c r="A1844" s="25" t="s">
        <v>65</v>
      </c>
      <c r="B1844" s="25" t="s">
        <v>75</v>
      </c>
      <c r="C1844" s="25" t="s">
        <v>50</v>
      </c>
      <c r="D1844" s="25" t="n">
        <v>20</v>
      </c>
      <c r="E1844" s="25" t="s">
        <v>571</v>
      </c>
      <c r="F1844" s="25" t="s">
        <v>431</v>
      </c>
      <c r="G1844" s="25" t="n">
        <v>1631</v>
      </c>
      <c r="H1844" s="25" t="s">
        <v>755</v>
      </c>
      <c r="I1844" s="25" t="n">
        <v>1</v>
      </c>
      <c r="J1844" s="26" t="n">
        <v>2700</v>
      </c>
      <c r="K1844" s="25" t="s">
        <v>546</v>
      </c>
      <c r="L1844" s="25" t="s">
        <v>547</v>
      </c>
      <c r="M1844" s="26" t="n">
        <f aca="false">IF(AND(L1844="Oui",K1844="Principal"),I1844*J1844,0)</f>
        <v>2700</v>
      </c>
      <c r="N1844" s="25" t="s">
        <v>548</v>
      </c>
      <c r="O1844" s="25"/>
      <c r="P1844" s="25" t="s">
        <v>556</v>
      </c>
      <c r="Q1844" s="25" t="s">
        <v>557</v>
      </c>
      <c r="R1844" s="26" t="n">
        <v>2000</v>
      </c>
      <c r="S1844" s="26" t="n">
        <f aca="false">IF(AND(L1844="Oui",K1844="Principal",R1844&lt;&gt;""),I1844*R1844,0)</f>
        <v>2000</v>
      </c>
      <c r="T1844" s="26" t="n">
        <f aca="false">IF(R1844&lt;&gt;"",M1844-S1844,0)</f>
        <v>700</v>
      </c>
      <c r="U1844" s="26" t="n">
        <f aca="false">IF(R1844="",M1844,0)</f>
        <v>0</v>
      </c>
    </row>
    <row r="1845" customFormat="false" ht="15" hidden="false" customHeight="false" outlineLevel="0" collapsed="false">
      <c r="A1845" s="25" t="s">
        <v>65</v>
      </c>
      <c r="B1845" s="25" t="s">
        <v>75</v>
      </c>
      <c r="C1845" s="25" t="s">
        <v>50</v>
      </c>
      <c r="D1845" s="25" t="n">
        <v>21</v>
      </c>
      <c r="E1845" s="25" t="s">
        <v>571</v>
      </c>
      <c r="F1845" s="25" t="s">
        <v>433</v>
      </c>
      <c r="G1845" s="25" t="n">
        <v>1683</v>
      </c>
      <c r="H1845" s="25" t="s">
        <v>756</v>
      </c>
      <c r="I1845" s="25" t="n">
        <v>1</v>
      </c>
      <c r="J1845" s="26" t="n">
        <v>1000</v>
      </c>
      <c r="K1845" s="25" t="s">
        <v>546</v>
      </c>
      <c r="L1845" s="25" t="s">
        <v>547</v>
      </c>
      <c r="M1845" s="26" t="n">
        <f aca="false">IF(AND(L1845="Oui",K1845="Principal"),I1845*J1845,0)</f>
        <v>1000</v>
      </c>
      <c r="N1845" s="25" t="s">
        <v>548</v>
      </c>
      <c r="O1845" s="25"/>
      <c r="P1845" s="25" t="s">
        <v>556</v>
      </c>
      <c r="Q1845" s="25" t="s">
        <v>557</v>
      </c>
      <c r="R1845" s="26"/>
      <c r="S1845" s="26" t="n">
        <f aca="false">IF(AND(L1845="Oui",K1845="Principal",R1845&lt;&gt;""),I1845*R1845,0)</f>
        <v>0</v>
      </c>
      <c r="T1845" s="26" t="n">
        <f aca="false">IF(R1845&lt;&gt;"",M1845-S1845,0)</f>
        <v>0</v>
      </c>
      <c r="U1845" s="26" t="n">
        <f aca="false">IF(R1845="",M1845,0)</f>
        <v>1000</v>
      </c>
    </row>
    <row r="1846" customFormat="false" ht="15" hidden="false" customHeight="false" outlineLevel="0" collapsed="false">
      <c r="A1846" s="33" t="s">
        <v>65</v>
      </c>
      <c r="B1846" s="33" t="s">
        <v>75</v>
      </c>
      <c r="C1846" s="33" t="s">
        <v>50</v>
      </c>
      <c r="D1846" s="33" t="n">
        <v>22</v>
      </c>
      <c r="E1846" s="33" t="s">
        <v>571</v>
      </c>
      <c r="F1846" s="33" t="s">
        <v>435</v>
      </c>
      <c r="G1846" s="33" t="n">
        <v>1269</v>
      </c>
      <c r="H1846" s="33" t="s">
        <v>757</v>
      </c>
      <c r="I1846" s="33" t="n">
        <v>1</v>
      </c>
      <c r="J1846" s="34" t="n">
        <v>1150</v>
      </c>
      <c r="K1846" s="33" t="s">
        <v>546</v>
      </c>
      <c r="L1846" s="33" t="s">
        <v>547</v>
      </c>
      <c r="M1846" s="34" t="n">
        <f aca="false">IF(AND(L1846="Oui",K1846="Principal"),I1846*J1846,0)</f>
        <v>1150</v>
      </c>
      <c r="N1846" s="33" t="s">
        <v>182</v>
      </c>
      <c r="O1846" s="33" t="s">
        <v>758</v>
      </c>
      <c r="P1846" s="33" t="s">
        <v>550</v>
      </c>
      <c r="Q1846" s="33" t="s">
        <v>557</v>
      </c>
      <c r="R1846" s="34" t="n">
        <v>850</v>
      </c>
      <c r="S1846" s="34" t="n">
        <f aca="false">IF(AND(L1846="Oui",K1846="Principal",R1846&lt;&gt;""),I1846*R1846,0)</f>
        <v>850</v>
      </c>
      <c r="T1846" s="34" t="n">
        <f aca="false">IF(R1846&lt;&gt;"",M1846-S1846,0)</f>
        <v>300</v>
      </c>
      <c r="U1846" s="34" t="n">
        <f aca="false">IF(R1846="",M1846,0)</f>
        <v>0</v>
      </c>
    </row>
    <row r="1847" customFormat="false" ht="15" hidden="false" customHeight="false" outlineLevel="0" collapsed="false">
      <c r="A1847" s="25" t="s">
        <v>65</v>
      </c>
      <c r="B1847" s="25" t="s">
        <v>75</v>
      </c>
      <c r="C1847" s="25" t="s">
        <v>50</v>
      </c>
      <c r="D1847" s="25" t="n">
        <v>23</v>
      </c>
      <c r="E1847" s="25" t="s">
        <v>573</v>
      </c>
      <c r="F1847" s="25" t="s">
        <v>176</v>
      </c>
      <c r="G1847" s="25" t="n">
        <v>19</v>
      </c>
      <c r="H1847" s="25" t="s">
        <v>615</v>
      </c>
      <c r="I1847" s="25" t="n">
        <v>1</v>
      </c>
      <c r="J1847" s="26" t="n">
        <v>2500</v>
      </c>
      <c r="K1847" s="25" t="s">
        <v>546</v>
      </c>
      <c r="L1847" s="25" t="s">
        <v>547</v>
      </c>
      <c r="M1847" s="26" t="n">
        <f aca="false">IF(AND(L1847="Oui",K1847="Principal"),I1847*J1847,0)</f>
        <v>2500</v>
      </c>
      <c r="N1847" s="25" t="s">
        <v>548</v>
      </c>
      <c r="O1847" s="25"/>
      <c r="P1847" s="25" t="s">
        <v>559</v>
      </c>
      <c r="Q1847" s="25" t="s">
        <v>551</v>
      </c>
      <c r="R1847" s="26"/>
      <c r="S1847" s="26" t="n">
        <f aca="false">IF(AND(L1847="Oui",K1847="Principal",R1847&lt;&gt;""),I1847*R1847,0)</f>
        <v>0</v>
      </c>
      <c r="T1847" s="26" t="n">
        <f aca="false">IF(R1847&lt;&gt;"",M1847-S1847,0)</f>
        <v>0</v>
      </c>
      <c r="U1847" s="26" t="n">
        <f aca="false">IF(R1847="",M1847,0)</f>
        <v>2500</v>
      </c>
    </row>
    <row r="1848" customFormat="false" ht="15" hidden="false" customHeight="false" outlineLevel="0" collapsed="false">
      <c r="A1848" s="25" t="s">
        <v>65</v>
      </c>
      <c r="B1848" s="25" t="s">
        <v>75</v>
      </c>
      <c r="C1848" s="25" t="s">
        <v>50</v>
      </c>
      <c r="D1848" s="25" t="n">
        <v>24</v>
      </c>
      <c r="E1848" s="25" t="s">
        <v>573</v>
      </c>
      <c r="F1848" s="25" t="s">
        <v>117</v>
      </c>
      <c r="G1848" s="25" t="n">
        <v>1288</v>
      </c>
      <c r="H1848" s="25" t="s">
        <v>624</v>
      </c>
      <c r="I1848" s="25" t="n">
        <v>1</v>
      </c>
      <c r="J1848" s="26" t="n">
        <v>2500</v>
      </c>
      <c r="K1848" s="25" t="s">
        <v>546</v>
      </c>
      <c r="L1848" s="25" t="s">
        <v>547</v>
      </c>
      <c r="M1848" s="26" t="n">
        <f aca="false">IF(AND(L1848="Oui",K1848="Principal"),I1848*J1848,0)</f>
        <v>2500</v>
      </c>
      <c r="N1848" s="25" t="s">
        <v>548</v>
      </c>
      <c r="O1848" s="25"/>
      <c r="P1848" s="25" t="s">
        <v>550</v>
      </c>
      <c r="Q1848" s="25" t="s">
        <v>557</v>
      </c>
      <c r="R1848" s="26" t="n">
        <v>2000</v>
      </c>
      <c r="S1848" s="26" t="n">
        <f aca="false">IF(AND(L1848="Oui",K1848="Principal",R1848&lt;&gt;""),I1848*R1848,0)</f>
        <v>2000</v>
      </c>
      <c r="T1848" s="26" t="n">
        <f aca="false">IF(R1848&lt;&gt;"",M1848-S1848,0)</f>
        <v>500</v>
      </c>
      <c r="U1848" s="26" t="n">
        <f aca="false">IF(R1848="",M1848,0)</f>
        <v>0</v>
      </c>
    </row>
    <row r="1849" customFormat="false" ht="15" hidden="false" customHeight="false" outlineLevel="0" collapsed="false">
      <c r="A1849" s="25" t="s">
        <v>65</v>
      </c>
      <c r="B1849" s="25" t="s">
        <v>75</v>
      </c>
      <c r="C1849" s="25" t="s">
        <v>50</v>
      </c>
      <c r="D1849" s="25" t="n">
        <v>25</v>
      </c>
      <c r="E1849" s="25" t="s">
        <v>573</v>
      </c>
      <c r="F1849" s="25" t="s">
        <v>321</v>
      </c>
      <c r="G1849" s="25" t="n">
        <v>1192</v>
      </c>
      <c r="H1849" s="25" t="s">
        <v>694</v>
      </c>
      <c r="I1849" s="25" t="n">
        <v>1</v>
      </c>
      <c r="J1849" s="26" t="n">
        <v>7000</v>
      </c>
      <c r="K1849" s="25" t="s">
        <v>546</v>
      </c>
      <c r="L1849" s="25" t="s">
        <v>547</v>
      </c>
      <c r="M1849" s="26" t="n">
        <f aca="false">IF(AND(L1849="Oui",K1849="Principal"),I1849*J1849,0)</f>
        <v>7000</v>
      </c>
      <c r="N1849" s="25" t="s">
        <v>548</v>
      </c>
      <c r="O1849" s="25"/>
      <c r="P1849" s="25" t="s">
        <v>550</v>
      </c>
      <c r="Q1849" s="25" t="s">
        <v>557</v>
      </c>
      <c r="R1849" s="26" t="n">
        <v>5500</v>
      </c>
      <c r="S1849" s="26" t="n">
        <f aca="false">IF(AND(L1849="Oui",K1849="Principal",R1849&lt;&gt;""),I1849*R1849,0)</f>
        <v>5500</v>
      </c>
      <c r="T1849" s="26" t="n">
        <f aca="false">IF(R1849&lt;&gt;"",M1849-S1849,0)</f>
        <v>1500</v>
      </c>
      <c r="U1849" s="26" t="n">
        <f aca="false">IF(R1849="",M1849,0)</f>
        <v>0</v>
      </c>
    </row>
    <row r="1850" customFormat="false" ht="15" hidden="false" customHeight="false" outlineLevel="0" collapsed="false">
      <c r="A1850" s="27" t="s">
        <v>65</v>
      </c>
      <c r="B1850" s="27" t="s">
        <v>75</v>
      </c>
      <c r="C1850" s="27" t="s">
        <v>50</v>
      </c>
      <c r="D1850" s="27" t="n">
        <v>26</v>
      </c>
      <c r="E1850" s="27" t="s">
        <v>588</v>
      </c>
      <c r="F1850" s="27" t="s">
        <v>518</v>
      </c>
      <c r="G1850" s="27"/>
      <c r="H1850" s="27" t="s">
        <v>585</v>
      </c>
      <c r="I1850" s="27" t="n">
        <v>1</v>
      </c>
      <c r="J1850" s="28" t="n">
        <v>0</v>
      </c>
      <c r="K1850" s="27" t="s">
        <v>546</v>
      </c>
      <c r="L1850" s="27" t="s">
        <v>579</v>
      </c>
      <c r="M1850" s="28" t="n">
        <f aca="false">IF(AND(L1850="Oui",K1850="Principal"),I1850*J1850,0)</f>
        <v>0</v>
      </c>
      <c r="N1850" s="27" t="s">
        <v>128</v>
      </c>
      <c r="O1850" s="27" t="s">
        <v>808</v>
      </c>
      <c r="P1850" s="27"/>
      <c r="Q1850" s="27"/>
      <c r="R1850" s="28"/>
      <c r="S1850" s="28" t="n">
        <f aca="false">IF(AND(L1850="Oui",K1850="Principal",R1850&lt;&gt;""),I1850*R1850,0)</f>
        <v>0</v>
      </c>
      <c r="T1850" s="28" t="n">
        <f aca="false">IF(R1850&lt;&gt;"",M1850-S1850,0)</f>
        <v>0</v>
      </c>
      <c r="U1850" s="28" t="n">
        <f aca="false">IF(R1850="",M1850,0)</f>
        <v>0</v>
      </c>
    </row>
    <row r="1851" customFormat="false" ht="15" hidden="false" customHeight="false" outlineLevel="0" collapsed="false">
      <c r="A1851" s="33" t="s">
        <v>65</v>
      </c>
      <c r="B1851" s="33" t="s">
        <v>75</v>
      </c>
      <c r="C1851" s="33" t="s">
        <v>50</v>
      </c>
      <c r="D1851" s="33" t="n">
        <v>27</v>
      </c>
      <c r="E1851" s="33" t="s">
        <v>588</v>
      </c>
      <c r="F1851" s="33" t="s">
        <v>519</v>
      </c>
      <c r="G1851" s="33" t="n">
        <v>64</v>
      </c>
      <c r="H1851" s="33" t="s">
        <v>809</v>
      </c>
      <c r="I1851" s="33" t="n">
        <v>1</v>
      </c>
      <c r="J1851" s="34" t="n">
        <v>10000</v>
      </c>
      <c r="K1851" s="33" t="s">
        <v>546</v>
      </c>
      <c r="L1851" s="33" t="s">
        <v>547</v>
      </c>
      <c r="M1851" s="34" t="n">
        <f aca="false">IF(AND(L1851="Oui",K1851="Principal"),I1851*J1851,0)</f>
        <v>10000</v>
      </c>
      <c r="N1851" s="33" t="s">
        <v>182</v>
      </c>
      <c r="O1851" s="33" t="s">
        <v>810</v>
      </c>
      <c r="P1851" s="33" t="s">
        <v>559</v>
      </c>
      <c r="Q1851" s="33" t="s">
        <v>557</v>
      </c>
      <c r="R1851" s="34" t="n">
        <v>8000</v>
      </c>
      <c r="S1851" s="34" t="n">
        <f aca="false">IF(AND(L1851="Oui",K1851="Principal",R1851&lt;&gt;""),I1851*R1851,0)</f>
        <v>8000</v>
      </c>
      <c r="T1851" s="34" t="n">
        <f aca="false">IF(R1851&lt;&gt;"",M1851-S1851,0)</f>
        <v>2000</v>
      </c>
      <c r="U1851" s="34" t="n">
        <f aca="false">IF(R1851="",M1851,0)</f>
        <v>0</v>
      </c>
    </row>
    <row r="1852" customFormat="false" ht="15" hidden="false" customHeight="false" outlineLevel="0" collapsed="false">
      <c r="A1852" s="25" t="s">
        <v>65</v>
      </c>
      <c r="B1852" s="25" t="s">
        <v>75</v>
      </c>
      <c r="C1852" s="25" t="s">
        <v>50</v>
      </c>
      <c r="D1852" s="25" t="n">
        <v>28</v>
      </c>
      <c r="E1852" s="25" t="s">
        <v>686</v>
      </c>
      <c r="F1852" s="25" t="s">
        <v>521</v>
      </c>
      <c r="G1852" s="25" t="n">
        <v>1561</v>
      </c>
      <c r="H1852" s="25" t="s">
        <v>811</v>
      </c>
      <c r="I1852" s="25" t="n">
        <v>1</v>
      </c>
      <c r="J1852" s="26" t="n">
        <v>4720</v>
      </c>
      <c r="K1852" s="25" t="s">
        <v>546</v>
      </c>
      <c r="L1852" s="25" t="s">
        <v>547</v>
      </c>
      <c r="M1852" s="26" t="n">
        <f aca="false">IF(AND(L1852="Oui",K1852="Principal"),I1852*J1852,0)</f>
        <v>4720</v>
      </c>
      <c r="N1852" s="25" t="s">
        <v>548</v>
      </c>
      <c r="O1852" s="25"/>
      <c r="P1852" s="25" t="s">
        <v>550</v>
      </c>
      <c r="Q1852" s="25" t="s">
        <v>557</v>
      </c>
      <c r="R1852" s="26" t="n">
        <v>3720</v>
      </c>
      <c r="S1852" s="26" t="n">
        <f aca="false">IF(AND(L1852="Oui",K1852="Principal",R1852&lt;&gt;""),I1852*R1852,0)</f>
        <v>3720</v>
      </c>
      <c r="T1852" s="26" t="n">
        <f aca="false">IF(R1852&lt;&gt;"",M1852-S1852,0)</f>
        <v>1000</v>
      </c>
      <c r="U1852" s="26" t="n">
        <f aca="false">IF(R1852="",M1852,0)</f>
        <v>0</v>
      </c>
    </row>
    <row r="1853" customFormat="false" ht="15" hidden="false" customHeight="false" outlineLevel="0" collapsed="false">
      <c r="A1853" s="27" t="s">
        <v>65</v>
      </c>
      <c r="B1853" s="27" t="s">
        <v>75</v>
      </c>
      <c r="C1853" s="27" t="s">
        <v>50</v>
      </c>
      <c r="D1853" s="27" t="n">
        <v>29</v>
      </c>
      <c r="E1853" s="27" t="s">
        <v>588</v>
      </c>
      <c r="F1853" s="27" t="s">
        <v>527</v>
      </c>
      <c r="G1853" s="27"/>
      <c r="H1853" s="27" t="s">
        <v>585</v>
      </c>
      <c r="I1853" s="27" t="n">
        <v>1</v>
      </c>
      <c r="J1853" s="28" t="n">
        <v>0</v>
      </c>
      <c r="K1853" s="27" t="s">
        <v>546</v>
      </c>
      <c r="L1853" s="27" t="s">
        <v>579</v>
      </c>
      <c r="M1853" s="28" t="n">
        <f aca="false">IF(AND(L1853="Oui",K1853="Principal"),I1853*J1853,0)</f>
        <v>0</v>
      </c>
      <c r="N1853" s="27" t="s">
        <v>128</v>
      </c>
      <c r="O1853" s="27" t="s">
        <v>586</v>
      </c>
      <c r="P1853" s="27"/>
      <c r="Q1853" s="27"/>
      <c r="R1853" s="28"/>
      <c r="S1853" s="28" t="n">
        <f aca="false">IF(AND(L1853="Oui",K1853="Principal",R1853&lt;&gt;""),I1853*R1853,0)</f>
        <v>0</v>
      </c>
      <c r="T1853" s="28" t="n">
        <f aca="false">IF(R1853&lt;&gt;"",M1853-S1853,0)</f>
        <v>0</v>
      </c>
      <c r="U1853" s="28" t="n">
        <f aca="false">IF(R1853="",M1853,0)</f>
        <v>0</v>
      </c>
    </row>
    <row r="1854" customFormat="false" ht="15" hidden="false" customHeight="false" outlineLevel="0" collapsed="false">
      <c r="A1854" s="27" t="s">
        <v>65</v>
      </c>
      <c r="B1854" s="27" t="s">
        <v>75</v>
      </c>
      <c r="C1854" s="27" t="s">
        <v>50</v>
      </c>
      <c r="D1854" s="27" t="n">
        <v>30</v>
      </c>
      <c r="E1854" s="27" t="s">
        <v>588</v>
      </c>
      <c r="F1854" s="27" t="s">
        <v>523</v>
      </c>
      <c r="G1854" s="27"/>
      <c r="H1854" s="27" t="s">
        <v>585</v>
      </c>
      <c r="I1854" s="27" t="n">
        <v>1</v>
      </c>
      <c r="J1854" s="28" t="n">
        <v>0</v>
      </c>
      <c r="K1854" s="27" t="s">
        <v>546</v>
      </c>
      <c r="L1854" s="27" t="s">
        <v>579</v>
      </c>
      <c r="M1854" s="28" t="n">
        <f aca="false">IF(AND(L1854="Oui",K1854="Principal"),I1854*J1854,0)</f>
        <v>0</v>
      </c>
      <c r="N1854" s="27" t="s">
        <v>128</v>
      </c>
      <c r="O1854" s="27" t="s">
        <v>586</v>
      </c>
      <c r="P1854" s="27"/>
      <c r="Q1854" s="27"/>
      <c r="R1854" s="28"/>
      <c r="S1854" s="28" t="n">
        <f aca="false">IF(AND(L1854="Oui",K1854="Principal",R1854&lt;&gt;""),I1854*R1854,0)</f>
        <v>0</v>
      </c>
      <c r="T1854" s="28" t="n">
        <f aca="false">IF(R1854&lt;&gt;"",M1854-S1854,0)</f>
        <v>0</v>
      </c>
      <c r="U1854" s="28" t="n">
        <f aca="false">IF(R1854="",M1854,0)</f>
        <v>0</v>
      </c>
    </row>
    <row r="1855" customFormat="false" ht="15" hidden="false" customHeight="false" outlineLevel="0" collapsed="false">
      <c r="A1855" s="25" t="s">
        <v>65</v>
      </c>
      <c r="B1855" s="25" t="s">
        <v>75</v>
      </c>
      <c r="C1855" s="25" t="s">
        <v>50</v>
      </c>
      <c r="D1855" s="25" t="n">
        <v>31</v>
      </c>
      <c r="E1855" s="25" t="s">
        <v>588</v>
      </c>
      <c r="F1855" s="25" t="s">
        <v>524</v>
      </c>
      <c r="G1855" s="25" t="n">
        <v>63</v>
      </c>
      <c r="H1855" s="25" t="s">
        <v>812</v>
      </c>
      <c r="I1855" s="25" t="n">
        <v>1</v>
      </c>
      <c r="J1855" s="26" t="n">
        <v>10000</v>
      </c>
      <c r="K1855" s="25" t="s">
        <v>546</v>
      </c>
      <c r="L1855" s="25" t="s">
        <v>547</v>
      </c>
      <c r="M1855" s="26" t="n">
        <f aca="false">IF(AND(L1855="Oui",K1855="Principal"),I1855*J1855,0)</f>
        <v>10000</v>
      </c>
      <c r="N1855" s="25" t="s">
        <v>548</v>
      </c>
      <c r="O1855" s="25"/>
      <c r="P1855" s="25" t="s">
        <v>559</v>
      </c>
      <c r="Q1855" s="25" t="s">
        <v>557</v>
      </c>
      <c r="R1855" s="26" t="n">
        <v>8000</v>
      </c>
      <c r="S1855" s="26" t="n">
        <f aca="false">IF(AND(L1855="Oui",K1855="Principal",R1855&lt;&gt;""),I1855*R1855,0)</f>
        <v>8000</v>
      </c>
      <c r="T1855" s="26" t="n">
        <f aca="false">IF(R1855&lt;&gt;"",M1855-S1855,0)</f>
        <v>2000</v>
      </c>
      <c r="U1855" s="26" t="n">
        <f aca="false">IF(R1855="",M1855,0)</f>
        <v>0</v>
      </c>
    </row>
    <row r="1856" customFormat="false" ht="15" hidden="false" customHeight="false" outlineLevel="0" collapsed="false">
      <c r="A1856" s="27" t="s">
        <v>65</v>
      </c>
      <c r="B1856" s="27" t="s">
        <v>75</v>
      </c>
      <c r="C1856" s="27" t="s">
        <v>50</v>
      </c>
      <c r="D1856" s="27" t="n">
        <v>32</v>
      </c>
      <c r="E1856" s="27" t="s">
        <v>588</v>
      </c>
      <c r="F1856" s="27" t="s">
        <v>526</v>
      </c>
      <c r="G1856" s="27"/>
      <c r="H1856" s="27" t="s">
        <v>585</v>
      </c>
      <c r="I1856" s="27" t="n">
        <v>1</v>
      </c>
      <c r="J1856" s="28" t="n">
        <v>0</v>
      </c>
      <c r="K1856" s="27" t="s">
        <v>546</v>
      </c>
      <c r="L1856" s="27" t="s">
        <v>579</v>
      </c>
      <c r="M1856" s="28" t="n">
        <f aca="false">IF(AND(L1856="Oui",K1856="Principal"),I1856*J1856,0)</f>
        <v>0</v>
      </c>
      <c r="N1856" s="27" t="s">
        <v>128</v>
      </c>
      <c r="O1856" s="27" t="s">
        <v>586</v>
      </c>
      <c r="P1856" s="27"/>
      <c r="Q1856" s="27"/>
      <c r="R1856" s="28"/>
      <c r="S1856" s="28" t="n">
        <f aca="false">IF(AND(L1856="Oui",K1856="Principal",R1856&lt;&gt;""),I1856*R1856,0)</f>
        <v>0</v>
      </c>
      <c r="T1856" s="28" t="n">
        <f aca="false">IF(R1856&lt;&gt;"",M1856-S1856,0)</f>
        <v>0</v>
      </c>
      <c r="U1856" s="28" t="n">
        <f aca="false">IF(R1856="",M1856,0)</f>
        <v>0</v>
      </c>
    </row>
  </sheetData>
  <autoFilter ref="A1:U185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60"/>
    <col collapsed="false" customWidth="true" hidden="false" outlineLevel="0" max="5" min="5" style="0" width="45"/>
  </cols>
  <sheetData>
    <row r="1" customFormat="false" ht="17.35" hidden="false" customHeight="false" outlineLevel="0" collapsed="false">
      <c r="A1" s="4" t="s">
        <v>813</v>
      </c>
    </row>
    <row r="3" customFormat="false" ht="15" hidden="false" customHeight="false" outlineLevel="0" collapsed="false">
      <c r="A3" s="11" t="s">
        <v>814</v>
      </c>
    </row>
    <row r="4" customFormat="false" ht="26.85" hidden="false" customHeight="false" outlineLevel="0" collapsed="false">
      <c r="A4" s="6" t="s">
        <v>815</v>
      </c>
      <c r="B4" s="6" t="s">
        <v>816</v>
      </c>
      <c r="C4" s="6" t="s">
        <v>817</v>
      </c>
      <c r="D4" s="6" t="s">
        <v>818</v>
      </c>
      <c r="E4" s="6" t="s">
        <v>819</v>
      </c>
    </row>
    <row r="5" customFormat="false" ht="90.25" hidden="false" customHeight="false" outlineLevel="0" collapsed="false">
      <c r="A5" s="35" t="s">
        <v>382</v>
      </c>
      <c r="B5" s="36" t="s">
        <v>820</v>
      </c>
      <c r="C5" s="36" t="n">
        <v>24</v>
      </c>
      <c r="D5" s="36" t="s">
        <v>821</v>
      </c>
      <c r="E5" s="36" t="s">
        <v>822</v>
      </c>
    </row>
    <row r="6" customFormat="false" ht="52.2" hidden="false" customHeight="false" outlineLevel="0" collapsed="false">
      <c r="A6" s="35" t="s">
        <v>430</v>
      </c>
      <c r="B6" s="36" t="s">
        <v>823</v>
      </c>
      <c r="C6" s="36" t="n">
        <v>12</v>
      </c>
      <c r="D6" s="36" t="s">
        <v>824</v>
      </c>
      <c r="E6" s="36" t="s">
        <v>822</v>
      </c>
    </row>
    <row r="7" customFormat="false" ht="26.85" hidden="false" customHeight="false" outlineLevel="0" collapsed="false">
      <c r="A7" s="35" t="s">
        <v>126</v>
      </c>
      <c r="B7" s="36" t="s">
        <v>825</v>
      </c>
      <c r="C7" s="36" t="n">
        <v>6</v>
      </c>
      <c r="D7" s="36" t="s">
        <v>826</v>
      </c>
      <c r="E7" s="36" t="s">
        <v>822</v>
      </c>
    </row>
    <row r="8" customFormat="false" ht="26.85" hidden="false" customHeight="false" outlineLevel="0" collapsed="false">
      <c r="A8" s="35" t="s">
        <v>129</v>
      </c>
      <c r="B8" s="36" t="s">
        <v>825</v>
      </c>
      <c r="C8" s="36" t="n">
        <v>6</v>
      </c>
      <c r="D8" s="36" t="s">
        <v>827</v>
      </c>
      <c r="E8" s="36" t="s">
        <v>822</v>
      </c>
    </row>
    <row r="9" customFormat="false" ht="15" hidden="false" customHeight="false" outlineLevel="0" collapsed="false">
      <c r="A9" s="35" t="s">
        <v>427</v>
      </c>
      <c r="B9" s="36" t="s">
        <v>828</v>
      </c>
      <c r="C9" s="36" t="n">
        <v>6</v>
      </c>
      <c r="D9" s="36" t="s">
        <v>829</v>
      </c>
      <c r="E9" s="36" t="s">
        <v>822</v>
      </c>
    </row>
    <row r="10" customFormat="false" ht="15" hidden="false" customHeight="false" outlineLevel="0" collapsed="false">
      <c r="A10" s="35" t="s">
        <v>498</v>
      </c>
      <c r="B10" s="36" t="s">
        <v>830</v>
      </c>
      <c r="C10" s="36" t="n">
        <v>6</v>
      </c>
      <c r="D10" s="36" t="s">
        <v>831</v>
      </c>
      <c r="E10" s="36" t="s">
        <v>822</v>
      </c>
    </row>
    <row r="11" customFormat="false" ht="26.85" hidden="false" customHeight="false" outlineLevel="0" collapsed="false">
      <c r="A11" s="35" t="s">
        <v>130</v>
      </c>
      <c r="B11" s="36" t="s">
        <v>832</v>
      </c>
      <c r="C11" s="36" t="n">
        <v>4</v>
      </c>
      <c r="D11" s="36" t="s">
        <v>833</v>
      </c>
      <c r="E11" s="36" t="s">
        <v>822</v>
      </c>
    </row>
    <row r="12" customFormat="false" ht="26.85" hidden="false" customHeight="false" outlineLevel="0" collapsed="false">
      <c r="A12" s="35" t="s">
        <v>473</v>
      </c>
      <c r="B12" s="36" t="s">
        <v>834</v>
      </c>
      <c r="C12" s="36" t="n">
        <v>4</v>
      </c>
      <c r="D12" s="36" t="s">
        <v>835</v>
      </c>
      <c r="E12" s="36" t="s">
        <v>822</v>
      </c>
    </row>
    <row r="13" customFormat="false" ht="26.85" hidden="false" customHeight="false" outlineLevel="0" collapsed="false">
      <c r="A13" s="35" t="s">
        <v>142</v>
      </c>
      <c r="B13" s="36" t="s">
        <v>836</v>
      </c>
      <c r="C13" s="36" t="n">
        <v>3</v>
      </c>
      <c r="D13" s="36" t="s">
        <v>837</v>
      </c>
      <c r="E13" s="36" t="s">
        <v>822</v>
      </c>
    </row>
    <row r="14" customFormat="false" ht="15" hidden="false" customHeight="false" outlineLevel="0" collapsed="false">
      <c r="A14" s="35" t="s">
        <v>196</v>
      </c>
      <c r="B14" s="36" t="s">
        <v>55</v>
      </c>
      <c r="C14" s="36" t="n">
        <v>3</v>
      </c>
      <c r="D14" s="36" t="s">
        <v>838</v>
      </c>
      <c r="E14" s="36" t="s">
        <v>822</v>
      </c>
    </row>
    <row r="15" customFormat="false" ht="15" hidden="false" customHeight="false" outlineLevel="0" collapsed="false">
      <c r="A15" s="35" t="s">
        <v>308</v>
      </c>
      <c r="B15" s="36" t="s">
        <v>61</v>
      </c>
      <c r="C15" s="36" t="n">
        <v>3</v>
      </c>
      <c r="D15" s="36" t="s">
        <v>839</v>
      </c>
      <c r="E15" s="36" t="s">
        <v>822</v>
      </c>
    </row>
    <row r="16" customFormat="false" ht="15" hidden="false" customHeight="false" outlineLevel="0" collapsed="false">
      <c r="A16" s="35" t="s">
        <v>319</v>
      </c>
      <c r="B16" s="36" t="s">
        <v>61</v>
      </c>
      <c r="C16" s="36" t="n">
        <v>3</v>
      </c>
      <c r="D16" s="36" t="s">
        <v>840</v>
      </c>
      <c r="E16" s="36" t="s">
        <v>822</v>
      </c>
    </row>
    <row r="17" customFormat="false" ht="15" hidden="false" customHeight="false" outlineLevel="0" collapsed="false">
      <c r="A17" s="35" t="s">
        <v>320</v>
      </c>
      <c r="B17" s="36" t="s">
        <v>61</v>
      </c>
      <c r="C17" s="36" t="n">
        <v>3</v>
      </c>
      <c r="D17" s="36" t="s">
        <v>841</v>
      </c>
      <c r="E17" s="36" t="s">
        <v>822</v>
      </c>
    </row>
    <row r="18" customFormat="false" ht="15" hidden="false" customHeight="false" outlineLevel="0" collapsed="false">
      <c r="A18" s="35" t="s">
        <v>336</v>
      </c>
      <c r="B18" s="36" t="s">
        <v>842</v>
      </c>
      <c r="C18" s="36" t="n">
        <v>3</v>
      </c>
      <c r="D18" s="36" t="s">
        <v>843</v>
      </c>
      <c r="E18" s="36" t="s">
        <v>822</v>
      </c>
    </row>
    <row r="19" customFormat="false" ht="26.85" hidden="false" customHeight="false" outlineLevel="0" collapsed="false">
      <c r="A19" s="35" t="s">
        <v>353</v>
      </c>
      <c r="B19" s="36" t="s">
        <v>62</v>
      </c>
      <c r="C19" s="36" t="n">
        <v>3</v>
      </c>
      <c r="D19" s="36" t="s">
        <v>712</v>
      </c>
      <c r="E19" s="36" t="s">
        <v>822</v>
      </c>
    </row>
    <row r="20" customFormat="false" ht="15" hidden="false" customHeight="false" outlineLevel="0" collapsed="false">
      <c r="A20" s="35" t="s">
        <v>363</v>
      </c>
      <c r="B20" s="36" t="s">
        <v>63</v>
      </c>
      <c r="C20" s="36" t="n">
        <v>3</v>
      </c>
      <c r="D20" s="36" t="s">
        <v>839</v>
      </c>
      <c r="E20" s="36" t="s">
        <v>822</v>
      </c>
    </row>
    <row r="21" customFormat="false" ht="15" hidden="false" customHeight="false" outlineLevel="0" collapsed="false">
      <c r="A21" s="35" t="s">
        <v>395</v>
      </c>
      <c r="B21" s="36" t="s">
        <v>64</v>
      </c>
      <c r="C21" s="36" t="n">
        <v>3</v>
      </c>
      <c r="D21" s="36" t="s">
        <v>844</v>
      </c>
      <c r="E21" s="36" t="s">
        <v>822</v>
      </c>
    </row>
    <row r="22" customFormat="false" ht="15" hidden="false" customHeight="false" outlineLevel="0" collapsed="false">
      <c r="A22" s="35" t="s">
        <v>412</v>
      </c>
      <c r="B22" s="36" t="s">
        <v>64</v>
      </c>
      <c r="C22" s="36" t="n">
        <v>3</v>
      </c>
      <c r="D22" s="36" t="s">
        <v>841</v>
      </c>
      <c r="E22" s="36" t="s">
        <v>822</v>
      </c>
    </row>
    <row r="23" customFormat="false" ht="15" hidden="false" customHeight="false" outlineLevel="0" collapsed="false">
      <c r="A23" s="35" t="s">
        <v>446</v>
      </c>
      <c r="B23" s="36" t="s">
        <v>67</v>
      </c>
      <c r="C23" s="36" t="n">
        <v>3</v>
      </c>
      <c r="D23" s="36" t="s">
        <v>845</v>
      </c>
      <c r="E23" s="36" t="s">
        <v>822</v>
      </c>
    </row>
    <row r="24" customFormat="false" ht="15" hidden="false" customHeight="false" outlineLevel="0" collapsed="false">
      <c r="A24" s="35" t="s">
        <v>447</v>
      </c>
      <c r="B24" s="36" t="s">
        <v>67</v>
      </c>
      <c r="C24" s="36" t="n">
        <v>3</v>
      </c>
      <c r="D24" s="36" t="s">
        <v>846</v>
      </c>
      <c r="E24" s="36" t="s">
        <v>822</v>
      </c>
    </row>
    <row r="25" customFormat="false" ht="15" hidden="false" customHeight="false" outlineLevel="0" collapsed="false">
      <c r="A25" s="35" t="s">
        <v>450</v>
      </c>
      <c r="B25" s="36" t="s">
        <v>67</v>
      </c>
      <c r="C25" s="36" t="n">
        <v>3</v>
      </c>
      <c r="D25" s="36" t="s">
        <v>847</v>
      </c>
      <c r="E25" s="36" t="s">
        <v>822</v>
      </c>
    </row>
    <row r="26" customFormat="false" ht="26.85" hidden="false" customHeight="false" outlineLevel="0" collapsed="false">
      <c r="A26" s="35" t="s">
        <v>505</v>
      </c>
      <c r="B26" s="36" t="s">
        <v>74</v>
      </c>
      <c r="C26" s="36" t="n">
        <v>3</v>
      </c>
      <c r="D26" s="36" t="s">
        <v>799</v>
      </c>
      <c r="E26" s="36" t="s">
        <v>822</v>
      </c>
    </row>
    <row r="27" customFormat="false" ht="26.85" hidden="false" customHeight="false" outlineLevel="0" collapsed="false">
      <c r="A27" s="35" t="s">
        <v>518</v>
      </c>
      <c r="B27" s="36" t="s">
        <v>75</v>
      </c>
      <c r="C27" s="36" t="n">
        <v>3</v>
      </c>
      <c r="D27" s="36" t="s">
        <v>808</v>
      </c>
      <c r="E27" s="36" t="s">
        <v>822</v>
      </c>
    </row>
    <row r="28" customFormat="false" ht="26.85" hidden="false" customHeight="false" outlineLevel="0" collapsed="false">
      <c r="A28" s="35" t="s">
        <v>523</v>
      </c>
      <c r="B28" s="36" t="s">
        <v>75</v>
      </c>
      <c r="C28" s="36" t="n">
        <v>3</v>
      </c>
      <c r="D28" s="36" t="s">
        <v>848</v>
      </c>
      <c r="E28" s="36" t="s">
        <v>822</v>
      </c>
    </row>
    <row r="29" customFormat="false" ht="15" hidden="false" customHeight="false" outlineLevel="0" collapsed="false">
      <c r="A29" s="35" t="s">
        <v>526</v>
      </c>
      <c r="B29" s="36" t="s">
        <v>75</v>
      </c>
      <c r="C29" s="36" t="n">
        <v>3</v>
      </c>
      <c r="D29" s="36" t="s">
        <v>849</v>
      </c>
      <c r="E29" s="36" t="s">
        <v>822</v>
      </c>
    </row>
    <row r="30" customFormat="false" ht="15" hidden="false" customHeight="false" outlineLevel="0" collapsed="false">
      <c r="A30" s="35" t="s">
        <v>385</v>
      </c>
      <c r="B30" s="36" t="s">
        <v>850</v>
      </c>
      <c r="C30" s="36" t="n">
        <v>1</v>
      </c>
      <c r="D30" s="36" t="s">
        <v>851</v>
      </c>
      <c r="E30" s="36" t="s">
        <v>822</v>
      </c>
    </row>
    <row r="31" customFormat="false" ht="15" hidden="false" customHeight="false" outlineLevel="0" collapsed="false">
      <c r="A31" s="35" t="s">
        <v>425</v>
      </c>
      <c r="B31" s="36" t="s">
        <v>852</v>
      </c>
      <c r="C31" s="36" t="n">
        <v>1</v>
      </c>
      <c r="D31" s="36" t="s">
        <v>753</v>
      </c>
      <c r="E31" s="36" t="s">
        <v>822</v>
      </c>
    </row>
    <row r="32" customFormat="false" ht="15" hidden="false" customHeight="false" outlineLevel="0" collapsed="false">
      <c r="A32" s="35" t="s">
        <v>457</v>
      </c>
      <c r="B32" s="36" t="s">
        <v>853</v>
      </c>
      <c r="C32" s="36" t="n">
        <v>1</v>
      </c>
      <c r="D32" s="36" t="s">
        <v>854</v>
      </c>
      <c r="E32" s="36" t="s">
        <v>822</v>
      </c>
    </row>
    <row r="33" customFormat="false" ht="26.85" hidden="false" customHeight="false" outlineLevel="0" collapsed="false">
      <c r="A33" s="35" t="s">
        <v>458</v>
      </c>
      <c r="B33" s="36" t="s">
        <v>853</v>
      </c>
      <c r="C33" s="36" t="n">
        <v>1</v>
      </c>
      <c r="D33" s="36" t="s">
        <v>771</v>
      </c>
      <c r="E33" s="36" t="s">
        <v>822</v>
      </c>
    </row>
    <row r="34" customFormat="false" ht="26.85" hidden="false" customHeight="false" outlineLevel="0" collapsed="false">
      <c r="A34" s="35" t="s">
        <v>459</v>
      </c>
      <c r="B34" s="36" t="s">
        <v>853</v>
      </c>
      <c r="C34" s="36" t="n">
        <v>1</v>
      </c>
      <c r="D34" s="36" t="s">
        <v>855</v>
      </c>
      <c r="E34" s="36" t="s">
        <v>822</v>
      </c>
    </row>
    <row r="35" customFormat="false" ht="26.85" hidden="false" customHeight="false" outlineLevel="0" collapsed="false">
      <c r="A35" s="35" t="s">
        <v>527</v>
      </c>
      <c r="B35" s="36" t="s">
        <v>856</v>
      </c>
      <c r="C35" s="36" t="n">
        <v>1</v>
      </c>
      <c r="D35" s="36" t="s">
        <v>857</v>
      </c>
      <c r="E35" s="36" t="s">
        <v>822</v>
      </c>
    </row>
    <row r="37" customFormat="false" ht="15" hidden="false" customHeight="false" outlineLevel="0" collapsed="false">
      <c r="A37" s="11" t="s">
        <v>858</v>
      </c>
    </row>
    <row r="38" customFormat="false" ht="26.85" hidden="false" customHeight="false" outlineLevel="0" collapsed="false">
      <c r="A38" s="6" t="s">
        <v>859</v>
      </c>
      <c r="B38" s="6" t="s">
        <v>816</v>
      </c>
      <c r="C38" s="6" t="s">
        <v>817</v>
      </c>
      <c r="D38" s="6" t="s">
        <v>860</v>
      </c>
      <c r="E38" s="6" t="s">
        <v>861</v>
      </c>
    </row>
    <row r="39" customFormat="false" ht="26.85" hidden="false" customHeight="false" outlineLevel="0" collapsed="false">
      <c r="A39" s="37" t="s">
        <v>612</v>
      </c>
      <c r="B39" s="36" t="s">
        <v>862</v>
      </c>
      <c r="C39" s="36" t="n">
        <v>18</v>
      </c>
      <c r="D39" s="36" t="s">
        <v>863</v>
      </c>
      <c r="E39" s="36" t="s">
        <v>611</v>
      </c>
    </row>
    <row r="40" customFormat="false" ht="26.85" hidden="false" customHeight="false" outlineLevel="0" collapsed="false">
      <c r="A40" s="37" t="s">
        <v>763</v>
      </c>
      <c r="B40" s="36" t="s">
        <v>864</v>
      </c>
      <c r="C40" s="36" t="n">
        <v>5</v>
      </c>
      <c r="D40" s="36" t="s">
        <v>865</v>
      </c>
      <c r="E40" s="36" t="s">
        <v>762</v>
      </c>
    </row>
    <row r="41" customFormat="false" ht="39.55" hidden="false" customHeight="false" outlineLevel="0" collapsed="false">
      <c r="A41" s="37" t="s">
        <v>760</v>
      </c>
      <c r="B41" s="36" t="s">
        <v>864</v>
      </c>
      <c r="C41" s="36" t="n">
        <v>5</v>
      </c>
      <c r="D41" s="36" t="s">
        <v>866</v>
      </c>
      <c r="E41" s="36" t="s">
        <v>759</v>
      </c>
    </row>
    <row r="43" customFormat="false" ht="15" hidden="false" customHeight="false" outlineLevel="0" collapsed="false">
      <c r="A43" s="11" t="s">
        <v>867</v>
      </c>
    </row>
    <row r="44" customFormat="false" ht="26.85" hidden="false" customHeight="false" outlineLevel="0" collapsed="false">
      <c r="A44" s="6" t="s">
        <v>859</v>
      </c>
      <c r="B44" s="6" t="s">
        <v>816</v>
      </c>
      <c r="C44" s="6" t="s">
        <v>817</v>
      </c>
      <c r="D44" s="6" t="s">
        <v>868</v>
      </c>
      <c r="E44" s="6" t="s">
        <v>869</v>
      </c>
    </row>
    <row r="45" customFormat="false" ht="39.55" hidden="false" customHeight="false" outlineLevel="0" collapsed="false">
      <c r="A45" s="38" t="s">
        <v>199</v>
      </c>
      <c r="B45" s="36" t="s">
        <v>870</v>
      </c>
      <c r="C45" s="36" t="n">
        <v>54</v>
      </c>
      <c r="D45" s="36" t="s">
        <v>644</v>
      </c>
      <c r="E45" s="36" t="s">
        <v>222</v>
      </c>
    </row>
    <row r="46" customFormat="false" ht="77.6" hidden="false" customHeight="false" outlineLevel="0" collapsed="false">
      <c r="A46" s="38" t="s">
        <v>435</v>
      </c>
      <c r="B46" s="36" t="s">
        <v>871</v>
      </c>
      <c r="C46" s="36" t="n">
        <v>20</v>
      </c>
      <c r="D46" s="36" t="s">
        <v>758</v>
      </c>
      <c r="E46" s="36" t="s">
        <v>436</v>
      </c>
    </row>
    <row r="47" customFormat="false" ht="15" hidden="false" customHeight="false" outlineLevel="0" collapsed="false">
      <c r="A47" s="38" t="s">
        <v>302</v>
      </c>
      <c r="B47" s="36" t="s">
        <v>872</v>
      </c>
      <c r="C47" s="36" t="n">
        <v>12</v>
      </c>
      <c r="D47" s="36" t="s">
        <v>684</v>
      </c>
      <c r="E47" s="36" t="s">
        <v>303</v>
      </c>
    </row>
    <row r="48" customFormat="false" ht="26.85" hidden="false" customHeight="false" outlineLevel="0" collapsed="false">
      <c r="A48" s="39" t="s">
        <v>328</v>
      </c>
      <c r="B48" s="36" t="s">
        <v>873</v>
      </c>
      <c r="C48" s="36" t="n">
        <v>8</v>
      </c>
      <c r="D48" s="36" t="s">
        <v>699</v>
      </c>
      <c r="E48" s="36" t="s">
        <v>140</v>
      </c>
    </row>
    <row r="49" customFormat="false" ht="26.85" hidden="false" customHeight="false" outlineLevel="0" collapsed="false">
      <c r="A49" s="38" t="s">
        <v>478</v>
      </c>
      <c r="B49" s="36" t="s">
        <v>874</v>
      </c>
      <c r="C49" s="36" t="n">
        <v>6</v>
      </c>
      <c r="D49" s="36" t="s">
        <v>783</v>
      </c>
      <c r="E49" s="36" t="s">
        <v>479</v>
      </c>
    </row>
    <row r="50" customFormat="false" ht="15" hidden="false" customHeight="false" outlineLevel="0" collapsed="false">
      <c r="A50" s="38" t="s">
        <v>480</v>
      </c>
      <c r="B50" s="36" t="s">
        <v>875</v>
      </c>
      <c r="C50" s="36" t="n">
        <v>4</v>
      </c>
      <c r="D50" s="36" t="s">
        <v>785</v>
      </c>
      <c r="E50" s="36" t="s">
        <v>481</v>
      </c>
    </row>
    <row r="51" customFormat="false" ht="26.85" hidden="false" customHeight="false" outlineLevel="0" collapsed="false">
      <c r="A51" s="39" t="s">
        <v>139</v>
      </c>
      <c r="B51" s="36" t="s">
        <v>836</v>
      </c>
      <c r="C51" s="36" t="n">
        <v>3</v>
      </c>
      <c r="D51" s="36" t="s">
        <v>596</v>
      </c>
      <c r="E51" s="36" t="s">
        <v>140</v>
      </c>
    </row>
    <row r="52" customFormat="false" ht="26.85" hidden="false" customHeight="false" outlineLevel="0" collapsed="false">
      <c r="A52" s="38" t="s">
        <v>179</v>
      </c>
      <c r="B52" s="36" t="s">
        <v>54</v>
      </c>
      <c r="C52" s="36" t="n">
        <v>3</v>
      </c>
      <c r="D52" s="36" t="s">
        <v>619</v>
      </c>
      <c r="E52" s="36" t="s">
        <v>181</v>
      </c>
    </row>
    <row r="53" customFormat="false" ht="26.85" hidden="false" customHeight="false" outlineLevel="0" collapsed="false">
      <c r="A53" s="38" t="s">
        <v>276</v>
      </c>
      <c r="B53" s="36" t="s">
        <v>59</v>
      </c>
      <c r="C53" s="36" t="n">
        <v>3</v>
      </c>
      <c r="D53" s="36" t="s">
        <v>672</v>
      </c>
      <c r="E53" s="36" t="s">
        <v>277</v>
      </c>
    </row>
    <row r="54" customFormat="false" ht="26.85" hidden="false" customHeight="false" outlineLevel="0" collapsed="false">
      <c r="A54" s="38" t="s">
        <v>476</v>
      </c>
      <c r="B54" s="36" t="s">
        <v>70</v>
      </c>
      <c r="C54" s="36" t="n">
        <v>3</v>
      </c>
      <c r="D54" s="36" t="s">
        <v>781</v>
      </c>
      <c r="E54" s="36" t="s">
        <v>477</v>
      </c>
    </row>
    <row r="55" customFormat="false" ht="26.85" hidden="false" customHeight="false" outlineLevel="0" collapsed="false">
      <c r="A55" s="38" t="s">
        <v>503</v>
      </c>
      <c r="B55" s="36" t="s">
        <v>74</v>
      </c>
      <c r="C55" s="36" t="n">
        <v>3</v>
      </c>
      <c r="D55" s="36" t="s">
        <v>798</v>
      </c>
      <c r="E55" s="36" t="s">
        <v>504</v>
      </c>
    </row>
    <row r="56" customFormat="false" ht="26.85" hidden="false" customHeight="false" outlineLevel="0" collapsed="false">
      <c r="A56" s="38" t="s">
        <v>506</v>
      </c>
      <c r="B56" s="36" t="s">
        <v>74</v>
      </c>
      <c r="C56" s="36" t="n">
        <v>3</v>
      </c>
      <c r="D56" s="36" t="s">
        <v>801</v>
      </c>
      <c r="E56" s="36" t="s">
        <v>507</v>
      </c>
    </row>
    <row r="57" customFormat="false" ht="26.85" hidden="false" customHeight="false" outlineLevel="0" collapsed="false">
      <c r="A57" s="38" t="s">
        <v>508</v>
      </c>
      <c r="B57" s="36" t="s">
        <v>74</v>
      </c>
      <c r="C57" s="36" t="n">
        <v>3</v>
      </c>
      <c r="D57" s="36" t="s">
        <v>803</v>
      </c>
      <c r="E57" s="36" t="s">
        <v>509</v>
      </c>
    </row>
    <row r="58" customFormat="false" ht="26.85" hidden="false" customHeight="false" outlineLevel="0" collapsed="false">
      <c r="A58" s="38" t="s">
        <v>510</v>
      </c>
      <c r="B58" s="36" t="s">
        <v>74</v>
      </c>
      <c r="C58" s="36" t="n">
        <v>3</v>
      </c>
      <c r="D58" s="36" t="s">
        <v>805</v>
      </c>
      <c r="E58" s="36" t="s">
        <v>511</v>
      </c>
    </row>
    <row r="59" customFormat="false" ht="26.85" hidden="false" customHeight="false" outlineLevel="0" collapsed="false">
      <c r="A59" s="38" t="s">
        <v>519</v>
      </c>
      <c r="B59" s="36" t="s">
        <v>75</v>
      </c>
      <c r="C59" s="36" t="n">
        <v>3</v>
      </c>
      <c r="D59" s="36" t="s">
        <v>810</v>
      </c>
      <c r="E59" s="36" t="s">
        <v>520</v>
      </c>
    </row>
    <row r="60" customFormat="false" ht="26.85" hidden="false" customHeight="false" outlineLevel="0" collapsed="false">
      <c r="A60" s="39" t="s">
        <v>194</v>
      </c>
      <c r="B60" s="36" t="s">
        <v>876</v>
      </c>
      <c r="C60" s="36" t="n">
        <v>1</v>
      </c>
      <c r="D60" s="36" t="s">
        <v>629</v>
      </c>
      <c r="E60" s="36" t="s">
        <v>195</v>
      </c>
    </row>
    <row r="61" customFormat="false" ht="26.85" hidden="false" customHeight="false" outlineLevel="0" collapsed="false">
      <c r="A61" s="38" t="s">
        <v>390</v>
      </c>
      <c r="B61" s="36" t="s">
        <v>850</v>
      </c>
      <c r="C61" s="36" t="n">
        <v>1</v>
      </c>
      <c r="D61" s="36" t="s">
        <v>734</v>
      </c>
      <c r="E61" s="36" t="s">
        <v>391</v>
      </c>
    </row>
    <row r="62" customFormat="false" ht="26.85" hidden="false" customHeight="false" outlineLevel="0" collapsed="false">
      <c r="A62" s="38" t="s">
        <v>419</v>
      </c>
      <c r="B62" s="36" t="s">
        <v>852</v>
      </c>
      <c r="C62" s="36" t="n">
        <v>1</v>
      </c>
      <c r="D62" s="36" t="s">
        <v>749</v>
      </c>
      <c r="E62" s="36" t="s">
        <v>420</v>
      </c>
    </row>
    <row r="63" customFormat="false" ht="26.85" hidden="false" customHeight="false" outlineLevel="0" collapsed="false">
      <c r="A63" s="38" t="s">
        <v>421</v>
      </c>
      <c r="B63" s="36" t="s">
        <v>852</v>
      </c>
      <c r="C63" s="36" t="n">
        <v>1</v>
      </c>
      <c r="D63" s="36" t="s">
        <v>751</v>
      </c>
      <c r="E63" s="36" t="s">
        <v>422</v>
      </c>
    </row>
    <row r="64" customFormat="false" ht="26.85" hidden="false" customHeight="false" outlineLevel="0" collapsed="false">
      <c r="A64" s="38" t="s">
        <v>455</v>
      </c>
      <c r="B64" s="36" t="s">
        <v>853</v>
      </c>
      <c r="C64" s="36" t="n">
        <v>1</v>
      </c>
      <c r="D64" s="36" t="s">
        <v>770</v>
      </c>
      <c r="E64" s="36" t="s">
        <v>456</v>
      </c>
    </row>
    <row r="65" customFormat="false" ht="15" hidden="false" customHeight="false" outlineLevel="0" collapsed="false">
      <c r="A65" s="38" t="s">
        <v>462</v>
      </c>
      <c r="B65" s="36" t="s">
        <v>853</v>
      </c>
      <c r="C65" s="36" t="n">
        <v>1</v>
      </c>
      <c r="D65" s="36" t="s">
        <v>774</v>
      </c>
      <c r="E65" s="36" t="s">
        <v>463</v>
      </c>
    </row>
    <row r="66" customFormat="false" ht="26.85" hidden="false" customHeight="false" outlineLevel="0" collapsed="false">
      <c r="A66" s="38" t="s">
        <v>476</v>
      </c>
      <c r="B66" s="36" t="s">
        <v>877</v>
      </c>
      <c r="C66" s="36" t="n">
        <v>1</v>
      </c>
      <c r="D66" s="36" t="s">
        <v>793</v>
      </c>
      <c r="E66" s="36" t="s">
        <v>493</v>
      </c>
    </row>
    <row r="67" customFormat="false" ht="26.85" hidden="false" customHeight="false" outlineLevel="0" collapsed="false">
      <c r="A67" s="38" t="s">
        <v>495</v>
      </c>
      <c r="B67" s="36" t="s">
        <v>877</v>
      </c>
      <c r="C67" s="36" t="n">
        <v>1</v>
      </c>
      <c r="D67" s="36" t="s">
        <v>795</v>
      </c>
      <c r="E67" s="36" t="s">
        <v>496</v>
      </c>
    </row>
    <row r="69" customFormat="false" ht="15" hidden="false" customHeight="false" outlineLevel="0" collapsed="false">
      <c r="A69" s="11" t="s">
        <v>878</v>
      </c>
    </row>
    <row r="70" customFormat="false" ht="26.85" hidden="false" customHeight="false" outlineLevel="0" collapsed="false">
      <c r="A70" s="6" t="s">
        <v>859</v>
      </c>
      <c r="B70" s="6" t="s">
        <v>816</v>
      </c>
      <c r="C70" s="6" t="s">
        <v>817</v>
      </c>
      <c r="D70" s="6" t="s">
        <v>879</v>
      </c>
      <c r="E70" s="6" t="s">
        <v>880</v>
      </c>
    </row>
    <row r="71" customFormat="false" ht="39.55" hidden="false" customHeight="false" outlineLevel="0" collapsed="false">
      <c r="A71" s="36" t="s">
        <v>881</v>
      </c>
      <c r="B71" s="36" t="s">
        <v>882</v>
      </c>
      <c r="C71" s="36" t="n">
        <v>60</v>
      </c>
      <c r="D71" s="36" t="s">
        <v>883</v>
      </c>
      <c r="E71" s="36" t="s">
        <v>884</v>
      </c>
    </row>
    <row r="72" customFormat="false" ht="39.55" hidden="false" customHeight="false" outlineLevel="0" collapsed="false">
      <c r="A72" s="36" t="s">
        <v>885</v>
      </c>
      <c r="B72" s="36" t="s">
        <v>886</v>
      </c>
      <c r="C72" s="36" t="n">
        <v>42</v>
      </c>
      <c r="D72" s="36" t="s">
        <v>883</v>
      </c>
      <c r="E72" s="36" t="s">
        <v>887</v>
      </c>
    </row>
    <row r="73" customFormat="false" ht="128.35" hidden="false" customHeight="false" outlineLevel="0" collapsed="false">
      <c r="A73" s="36" t="s">
        <v>888</v>
      </c>
      <c r="B73" s="36" t="s">
        <v>889</v>
      </c>
      <c r="C73" s="36" t="n">
        <v>40</v>
      </c>
      <c r="D73" s="36" t="s">
        <v>883</v>
      </c>
      <c r="E73" s="36" t="s">
        <v>887</v>
      </c>
    </row>
    <row r="74" customFormat="false" ht="26.85" hidden="false" customHeight="false" outlineLevel="0" collapsed="false">
      <c r="A74" s="36" t="s">
        <v>890</v>
      </c>
      <c r="B74" s="36" t="s">
        <v>891</v>
      </c>
      <c r="C74" s="36" t="n">
        <v>30</v>
      </c>
      <c r="D74" s="36" t="s">
        <v>883</v>
      </c>
      <c r="E74" s="36" t="s">
        <v>892</v>
      </c>
    </row>
    <row r="75" customFormat="false" ht="102.95" hidden="false" customHeight="false" outlineLevel="0" collapsed="false">
      <c r="A75" s="36" t="s">
        <v>893</v>
      </c>
      <c r="B75" s="36" t="s">
        <v>894</v>
      </c>
      <c r="C75" s="36" t="n">
        <v>29</v>
      </c>
      <c r="D75" s="36" t="s">
        <v>883</v>
      </c>
      <c r="E75" s="36" t="s">
        <v>895</v>
      </c>
    </row>
    <row r="76" customFormat="false" ht="26.85" hidden="false" customHeight="false" outlineLevel="0" collapsed="false">
      <c r="A76" s="36" t="s">
        <v>896</v>
      </c>
      <c r="B76" s="36" t="s">
        <v>897</v>
      </c>
      <c r="C76" s="36" t="n">
        <v>24</v>
      </c>
      <c r="D76" s="36" t="s">
        <v>883</v>
      </c>
      <c r="E76" s="36" t="s">
        <v>898</v>
      </c>
    </row>
    <row r="77" customFormat="false" ht="102.95" hidden="false" customHeight="false" outlineLevel="0" collapsed="false">
      <c r="A77" s="36" t="s">
        <v>899</v>
      </c>
      <c r="B77" s="36" t="s">
        <v>900</v>
      </c>
      <c r="C77" s="36" t="n">
        <v>23</v>
      </c>
      <c r="D77" s="36" t="s">
        <v>883</v>
      </c>
      <c r="E77" s="36" t="s">
        <v>901</v>
      </c>
    </row>
    <row r="78" customFormat="false" ht="77.6" hidden="false" customHeight="false" outlineLevel="0" collapsed="false">
      <c r="A78" s="36" t="s">
        <v>902</v>
      </c>
      <c r="B78" s="36" t="s">
        <v>871</v>
      </c>
      <c r="C78" s="36" t="n">
        <v>20</v>
      </c>
      <c r="D78" s="36" t="s">
        <v>883</v>
      </c>
      <c r="E78" s="36" t="s">
        <v>903</v>
      </c>
    </row>
    <row r="79" customFormat="false" ht="15" hidden="false" customHeight="false" outlineLevel="0" collapsed="false">
      <c r="A79" s="36" t="s">
        <v>904</v>
      </c>
      <c r="B79" s="36" t="s">
        <v>862</v>
      </c>
      <c r="C79" s="36" t="n">
        <v>18</v>
      </c>
      <c r="D79" s="36" t="s">
        <v>905</v>
      </c>
      <c r="E79" s="36" t="s">
        <v>901</v>
      </c>
    </row>
    <row r="80" customFormat="false" ht="39.55" hidden="false" customHeight="false" outlineLevel="0" collapsed="false">
      <c r="A80" s="36" t="s">
        <v>906</v>
      </c>
      <c r="B80" s="36" t="s">
        <v>907</v>
      </c>
      <c r="C80" s="36" t="n">
        <v>17</v>
      </c>
      <c r="D80" s="36" t="s">
        <v>883</v>
      </c>
      <c r="E80" s="36" t="s">
        <v>887</v>
      </c>
    </row>
    <row r="81" customFormat="false" ht="77.6" hidden="false" customHeight="false" outlineLevel="0" collapsed="false">
      <c r="A81" s="36" t="s">
        <v>908</v>
      </c>
      <c r="B81" s="36" t="s">
        <v>909</v>
      </c>
      <c r="C81" s="36" t="n">
        <v>17</v>
      </c>
      <c r="D81" s="36" t="s">
        <v>883</v>
      </c>
      <c r="E81" s="36" t="s">
        <v>910</v>
      </c>
    </row>
    <row r="82" customFormat="false" ht="64.9" hidden="false" customHeight="false" outlineLevel="0" collapsed="false">
      <c r="A82" s="36" t="s">
        <v>911</v>
      </c>
      <c r="B82" s="36" t="s">
        <v>912</v>
      </c>
      <c r="C82" s="36" t="n">
        <v>13</v>
      </c>
      <c r="D82" s="36" t="s">
        <v>883</v>
      </c>
      <c r="E82" s="36" t="s">
        <v>892</v>
      </c>
    </row>
    <row r="83" customFormat="false" ht="26.85" hidden="false" customHeight="false" outlineLevel="0" collapsed="false">
      <c r="A83" s="36" t="s">
        <v>913</v>
      </c>
      <c r="B83" s="36" t="s">
        <v>914</v>
      </c>
      <c r="C83" s="36" t="n">
        <v>12</v>
      </c>
      <c r="D83" s="36" t="s">
        <v>905</v>
      </c>
      <c r="E83" s="36" t="s">
        <v>915</v>
      </c>
    </row>
    <row r="84" customFormat="false" ht="39.55" hidden="false" customHeight="false" outlineLevel="0" collapsed="false">
      <c r="A84" s="36" t="s">
        <v>916</v>
      </c>
      <c r="B84" s="36" t="s">
        <v>917</v>
      </c>
      <c r="C84" s="36" t="n">
        <v>11</v>
      </c>
      <c r="D84" s="36" t="s">
        <v>883</v>
      </c>
      <c r="E84" s="36" t="s">
        <v>918</v>
      </c>
    </row>
    <row r="85" customFormat="false" ht="15" hidden="false" customHeight="false" outlineLevel="0" collapsed="false">
      <c r="A85" s="36" t="s">
        <v>919</v>
      </c>
      <c r="B85" s="36" t="s">
        <v>920</v>
      </c>
      <c r="C85" s="36" t="n">
        <v>9</v>
      </c>
      <c r="D85" s="36" t="s">
        <v>883</v>
      </c>
      <c r="E85" s="36" t="s">
        <v>921</v>
      </c>
    </row>
    <row r="86" customFormat="false" ht="26.85" hidden="false" customHeight="false" outlineLevel="0" collapsed="false">
      <c r="A86" s="36" t="s">
        <v>922</v>
      </c>
      <c r="B86" s="36" t="s">
        <v>920</v>
      </c>
      <c r="C86" s="36" t="n">
        <v>9</v>
      </c>
      <c r="D86" s="36" t="s">
        <v>883</v>
      </c>
      <c r="E86" s="36" t="s">
        <v>923</v>
      </c>
    </row>
    <row r="87" customFormat="false" ht="26.85" hidden="false" customHeight="false" outlineLevel="0" collapsed="false">
      <c r="A87" s="36" t="s">
        <v>924</v>
      </c>
      <c r="B87" s="36" t="s">
        <v>836</v>
      </c>
      <c r="C87" s="36" t="n">
        <v>3</v>
      </c>
      <c r="D87" s="36" t="s">
        <v>883</v>
      </c>
      <c r="E87" s="36" t="s">
        <v>925</v>
      </c>
    </row>
    <row r="88" customFormat="false" ht="26.85" hidden="false" customHeight="false" outlineLevel="0" collapsed="false">
      <c r="A88" s="36" t="s">
        <v>926</v>
      </c>
      <c r="B88" s="36" t="s">
        <v>836</v>
      </c>
      <c r="C88" s="36" t="n">
        <v>3</v>
      </c>
      <c r="D88" s="36" t="s">
        <v>883</v>
      </c>
      <c r="E88" s="36" t="s">
        <v>903</v>
      </c>
    </row>
    <row r="90" customFormat="false" ht="15" hidden="false" customHeight="false" outlineLevel="0" collapsed="false">
      <c r="A90" s="11" t="s">
        <v>927</v>
      </c>
    </row>
    <row r="91" customFormat="false" ht="26.85" hidden="false" customHeight="false" outlineLevel="0" collapsed="false">
      <c r="A91" s="6" t="s">
        <v>859</v>
      </c>
      <c r="B91" s="6" t="s">
        <v>816</v>
      </c>
      <c r="C91" s="6" t="s">
        <v>817</v>
      </c>
      <c r="D91" s="6" t="s">
        <v>928</v>
      </c>
      <c r="E91" s="6" t="s">
        <v>929</v>
      </c>
    </row>
    <row r="92" customFormat="false" ht="39.55" hidden="false" customHeight="false" outlineLevel="0" collapsed="false">
      <c r="A92" s="36" t="s">
        <v>930</v>
      </c>
      <c r="B92" s="36" t="s">
        <v>931</v>
      </c>
      <c r="C92" s="36" t="n">
        <v>23</v>
      </c>
      <c r="D92" s="36" t="n">
        <v>14</v>
      </c>
      <c r="E92" s="36" t="s">
        <v>932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4" t="s">
        <v>933</v>
      </c>
    </row>
    <row r="3" customFormat="false" ht="15" hidden="false" customHeight="false" outlineLevel="0" collapsed="false">
      <c r="A3" s="40" t="s">
        <v>934</v>
      </c>
    </row>
    <row r="4" customFormat="false" ht="26.85" hidden="false" customHeight="false" outlineLevel="0" collapsed="false">
      <c r="A4" s="40" t="s">
        <v>935</v>
      </c>
    </row>
    <row r="5" customFormat="false" ht="26.85" hidden="false" customHeight="false" outlineLevel="0" collapsed="false">
      <c r="A5" s="40" t="s">
        <v>936</v>
      </c>
    </row>
    <row r="6" customFormat="false" ht="15" hidden="false" customHeight="false" outlineLevel="0" collapsed="false">
      <c r="A6" s="40" t="s">
        <v>937</v>
      </c>
    </row>
    <row r="7" customFormat="false" ht="26.85" hidden="false" customHeight="false" outlineLevel="0" collapsed="false">
      <c r="A7" s="40" t="s">
        <v>938</v>
      </c>
    </row>
    <row r="8" customFormat="false" ht="26.85" hidden="false" customHeight="false" outlineLevel="0" collapsed="false">
      <c r="A8" s="40" t="s">
        <v>939</v>
      </c>
    </row>
    <row r="9" customFormat="false" ht="26.85" hidden="false" customHeight="false" outlineLevel="0" collapsed="false">
      <c r="A9" s="40" t="s">
        <v>940</v>
      </c>
    </row>
    <row r="10" customFormat="false" ht="15" hidden="false" customHeight="false" outlineLevel="0" collapsed="false">
      <c r="A10" s="40" t="s">
        <v>941</v>
      </c>
    </row>
    <row r="11" customFormat="false" ht="15" hidden="false" customHeight="false" outlineLevel="0" collapsed="false">
      <c r="A11" s="40" t="s">
        <v>942</v>
      </c>
    </row>
    <row r="12" customFormat="false" ht="26.85" hidden="false" customHeight="false" outlineLevel="0" collapsed="false">
      <c r="A12" s="40" t="s">
        <v>943</v>
      </c>
    </row>
    <row r="13" customFormat="false" ht="26.85" hidden="false" customHeight="false" outlineLevel="0" collapsed="false">
      <c r="A13" s="40" t="s">
        <v>944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2026-09-29T22:04:46Z</dcterms:created>
  <dc:creator>openpyxl</dc:creator>
  <dc:description/>
  <dc:language>en-US</dc:language>
  <cp:lastModifiedBy/>
  <dcterms:modified xsi:type="dcterms:W3CDTF">2026-09-29T22:04:47Z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